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Board Credits &amp; Important U" sheetId="1" r:id="rId5"/>
    <sheet state="visible" name="Australia" sheetId="2" r:id="rId6"/>
    <sheet state="visible" name="Bangladesh" sheetId="3" r:id="rId7"/>
    <sheet state="visible" name="Canada" sheetId="4" r:id="rId8"/>
    <sheet state="visible" name="England" sheetId="5" r:id="rId9"/>
    <sheet state="visible" name="India" sheetId="6" r:id="rId10"/>
    <sheet state="visible" name="Italy" sheetId="7" r:id="rId11"/>
    <sheet state="visible" name="Netherlands" sheetId="8" r:id="rId12"/>
    <sheet state="visible" name="Newzealand" sheetId="9" r:id="rId13"/>
    <sheet state="visible" name="Pakistan" sheetId="10" r:id="rId14"/>
    <sheet state="visible" name="Qatar" sheetId="11" r:id="rId15"/>
    <sheet state="visible" name="Scotland" sheetId="12" r:id="rId16"/>
    <sheet state="visible" name="SA" sheetId="13" r:id="rId17"/>
    <sheet state="visible" name="Srilanka" sheetId="14" r:id="rId18"/>
    <sheet state="visible" name="UAE" sheetId="15" r:id="rId19"/>
    <sheet state="visible" name="WestIndies" sheetId="16" r:id="rId20"/>
    <sheet state="visible" name="Zimbabwe" sheetId="17" r:id="rId21"/>
    <sheet state="visible" name="T20 World Cup 2026" sheetId="18" r:id="rId22"/>
    <sheet state="visible" name="Emerging Talent League" sheetId="19" r:id="rId23"/>
    <sheet state="visible" name="IOCF Lone Warrior" sheetId="20" r:id="rId24"/>
    <sheet state="visible" name="IOCF Cards" sheetId="21" r:id="rId25"/>
    <sheet state="visible" name="100 2026" sheetId="22" r:id="rId26"/>
    <sheet state="visible" name="PSL 2026" sheetId="23" r:id="rId27"/>
    <sheet state="visible" name="BBL 2026" sheetId="24" r:id="rId28"/>
    <sheet state="visible" name="KCL 2026" sheetId="25" r:id="rId29"/>
    <sheet state="visible" name="BPL 2026" sheetId="26" r:id="rId30"/>
    <sheet state="visible" name="IPL 2026" sheetId="27" r:id="rId31"/>
    <sheet state="visible" name="CPL 2026" sheetId="28" r:id="rId32"/>
    <sheet state="visible" name="SPL 2026" sheetId="29" r:id="rId33"/>
    <sheet state="visible" name="Series Matches" sheetId="30" r:id="rId34"/>
    <sheet state="visible" name="WTC Matches" sheetId="31" r:id="rId35"/>
    <sheet state="visible" name="IOCF ASIA CUP" sheetId="32" r:id="rId36"/>
    <sheet state="visible" name="IOCF EURO CUP" sheetId="33" r:id="rId37"/>
    <sheet state="visible" name="IOCF OCEANIA CUP" sheetId="34" r:id="rId38"/>
    <sheet state="visible" name="Board Rankings" sheetId="35" r:id="rId39"/>
    <sheet state="hidden" name="Dismantled UAE" sheetId="36" r:id="rId40"/>
    <sheet state="hidden" name="Dismantled USA" sheetId="37" r:id="rId41"/>
    <sheet state="hidden" name="Dismantled South Africa " sheetId="38" r:id="rId42"/>
  </sheets>
  <definedNames/>
  <calcPr/>
</workbook>
</file>

<file path=xl/sharedStrings.xml><?xml version="1.0" encoding="utf-8"?>
<sst xmlns="http://schemas.openxmlformats.org/spreadsheetml/2006/main" count="16028" uniqueCount="6970">
  <si>
    <t>Credits</t>
  </si>
  <si>
    <t>Board: AUSTRALIA</t>
  </si>
  <si>
    <t>Stadiums of all boards</t>
  </si>
  <si>
    <t>Board: Bangladesh</t>
  </si>
  <si>
    <t>Boards</t>
  </si>
  <si>
    <t>Chairman: Arnab Sarkar | Ceo: Keshav Shah</t>
  </si>
  <si>
    <t xml:space="preserve">Credits left: </t>
  </si>
  <si>
    <t>Chairman: Sai Naveen | CEO: Yasin Iqbal</t>
  </si>
  <si>
    <t>Available Credits</t>
  </si>
  <si>
    <t>Australia</t>
  </si>
  <si>
    <t>Credits left:</t>
  </si>
  <si>
    <t>Bangladesh</t>
  </si>
  <si>
    <t>England</t>
  </si>
  <si>
    <t>India</t>
  </si>
  <si>
    <t>Italy</t>
  </si>
  <si>
    <t>Netherlands</t>
  </si>
  <si>
    <t>Newzealand</t>
  </si>
  <si>
    <t>Pakistan</t>
  </si>
  <si>
    <t>Qatar</t>
  </si>
  <si>
    <t>Scotland</t>
  </si>
  <si>
    <t>South Africa</t>
  </si>
  <si>
    <t>Srilanka</t>
  </si>
  <si>
    <t>UAE</t>
  </si>
  <si>
    <t>West Indies</t>
  </si>
  <si>
    <t>Players</t>
  </si>
  <si>
    <t xml:space="preserve">Stadium: </t>
  </si>
  <si>
    <t xml:space="preserve">Traded Palyers: </t>
  </si>
  <si>
    <t>International Series:</t>
  </si>
  <si>
    <t>Trophy Cabinet ( International Series)</t>
  </si>
  <si>
    <t>IOCF WORLD TEST CHAMPIONSHIP 🏆:</t>
  </si>
  <si>
    <t>Player limit exceeded: -10000</t>
  </si>
  <si>
    <t>Board: Canada</t>
  </si>
  <si>
    <t>CONTINENTAL CUP  🏆: ( ASIA )</t>
  </si>
  <si>
    <t>Umpires Credits :</t>
  </si>
  <si>
    <t>Chairman: Farhan Rizvi</t>
  </si>
  <si>
    <t>Stadium:</t>
  </si>
  <si>
    <t>Whitewash:</t>
  </si>
  <si>
    <t>Trophy Cabinet ( International series)</t>
  </si>
  <si>
    <t>1. Abhishek Adhikary</t>
  </si>
  <si>
    <t xml:space="preserve">Traded Players: </t>
  </si>
  <si>
    <t xml:space="preserve">IOCF T20 WORLD CUP 🏆: </t>
  </si>
  <si>
    <t>1. Greater Asia Cup ( Home )</t>
  </si>
  <si>
    <t>Player limit exceeded: -20000</t>
  </si>
  <si>
    <t xml:space="preserve">IOCF WORLD TEST CHAMPIONSHIP 🏆: </t>
  </si>
  <si>
    <t>CONTINENTAL CUP  🏆: ( OCEANIA )</t>
  </si>
  <si>
    <t>1. Akash Poonam</t>
  </si>
  <si>
    <t>2. Faraz Kapri</t>
  </si>
  <si>
    <t>3. Aftab Ali</t>
  </si>
  <si>
    <t>4. Rehan</t>
  </si>
  <si>
    <t>1. Waqas Mughal</t>
  </si>
  <si>
    <t>5. Faizan Kapri</t>
  </si>
  <si>
    <t>6. Mansoor Jan</t>
  </si>
  <si>
    <t>7. Ayaz Baloch</t>
  </si>
  <si>
    <t>2. Princhi Pratim Bora</t>
  </si>
  <si>
    <t>1. Kangaroo Protea Cup ( Home )</t>
  </si>
  <si>
    <t>Level 3 Stadiums</t>
  </si>
  <si>
    <t>1. Yasin Iqbal - 5k</t>
  </si>
  <si>
    <t>Home ( Afghanistan ): 5000 bet ( Won )</t>
  </si>
  <si>
    <t>2. Boult Taskin ( Away )</t>
  </si>
  <si>
    <t>Entry: -5000</t>
  </si>
  <si>
    <t>Match Bet credits: -20000</t>
  </si>
  <si>
    <t>Trophy Cabinet ( Test )</t>
  </si>
  <si>
    <t>1. 20 to 25: 10000</t>
  </si>
  <si>
    <t>Hosting Amount: 60k</t>
  </si>
  <si>
    <t>Umpire</t>
  </si>
  <si>
    <t>Details</t>
  </si>
  <si>
    <t>Total Matches</t>
  </si>
  <si>
    <t>Points</t>
  </si>
  <si>
    <t>3. Chintu Saikia</t>
  </si>
  <si>
    <t>Padma - Meghna Cricket Arena</t>
  </si>
  <si>
    <t>2. Karan Kumar - 5k</t>
  </si>
  <si>
    <t>Away ( Newzealand ): 5000 bet ( Won )</t>
  </si>
  <si>
    <t>3. Battle of Giants ( Away )</t>
  </si>
  <si>
    <t>Players Awards: 1000</t>
  </si>
  <si>
    <t>Away ( West Indies ): 6000 bet ( Lost )</t>
  </si>
  <si>
    <t>1. Redball War ( Away )</t>
  </si>
  <si>
    <t>2. 25 to 30: 10000</t>
  </si>
  <si>
    <t>Players &amp; Match Awards</t>
  </si>
  <si>
    <t>1. Vaibhav Batra</t>
  </si>
  <si>
    <t>Club Series</t>
  </si>
  <si>
    <t>2. Abrar Ali</t>
  </si>
  <si>
    <t>Home( Pakistan ): 5000 bet ( Lost )</t>
  </si>
  <si>
    <t>Against South Africa: 1</t>
  </si>
  <si>
    <t>4. Vaibhav Batra</t>
  </si>
  <si>
    <t>2. Caribbean Tri Nation Series ( Away )</t>
  </si>
  <si>
    <t>Hilsha Heritage Stadium | Franchise League L1 | Upgraded</t>
  </si>
  <si>
    <t>3. Sai Naveen - 5k</t>
  </si>
  <si>
    <t>Home (West Indies): 7000 bet (Lost)</t>
  </si>
  <si>
    <t>4. Dutch Bangla Battle (Away)</t>
  </si>
  <si>
    <t>Hosting Rights: -42000</t>
  </si>
  <si>
    <t>1. Yasin Iqbal</t>
  </si>
  <si>
    <t>Home ( West Indies ): 6000 bet ( Lost )</t>
  </si>
  <si>
    <t>2. North Sea-Bay Challenge</t>
  </si>
  <si>
    <t>Match Bet credits: 35000</t>
  </si>
  <si>
    <t>Total Credits</t>
  </si>
  <si>
    <t>5. Abrar Ahmed</t>
  </si>
  <si>
    <t>Karnaphuli Cricket Park</t>
  </si>
  <si>
    <t>4. Bhavesh B - 5k</t>
  </si>
  <si>
    <t>Away (England): 10000 bet ( Won )</t>
  </si>
  <si>
    <t>5. Lords Clash (Away)</t>
  </si>
  <si>
    <t>Man of the match: 2</t>
  </si>
  <si>
    <t>Away (England): 10000 bet (Won)</t>
  </si>
  <si>
    <t>3. Tiger Tulip (Home)</t>
  </si>
  <si>
    <t>2. Sai Naveen</t>
  </si>
  <si>
    <t>3. Anand Ajikumar</t>
  </si>
  <si>
    <t xml:space="preserve">Melbourne Cricket Ground </t>
  </si>
  <si>
    <t>Home( South Africa): 5000 bet ( Won )</t>
  </si>
  <si>
    <t>6. Tansuri Datta</t>
  </si>
  <si>
    <t>Mango Fortress Stadium</t>
  </si>
  <si>
    <t>Against Afghanistan: 1</t>
  </si>
  <si>
    <t>5. Vaibhav Batra - 5k</t>
  </si>
  <si>
    <t>Away (Netherlands): 4000 bet (Won)</t>
  </si>
  <si>
    <t>3. Aus Afg Power series ( Home )</t>
  </si>
  <si>
    <t>6. The Royal Protea Trophy (Home)</t>
  </si>
  <si>
    <t>vs England: 1000</t>
  </si>
  <si>
    <t>Home (Scotland): 5000 bet (Won)</t>
  </si>
  <si>
    <t>4. Solidarity Cup (Away)</t>
  </si>
  <si>
    <t>T10 Series</t>
  </si>
  <si>
    <t>Player Awards: 12000</t>
  </si>
  <si>
    <t>Home(Pakistan): 5000 ( Won )</t>
  </si>
  <si>
    <t xml:space="preserve">Benaud-Qadir </t>
  </si>
  <si>
    <t>7. Partha Pratim Bora</t>
  </si>
  <si>
    <t>Sylhet Jewel Stadium</t>
  </si>
  <si>
    <t>6. Saketh Balne - 5k</t>
  </si>
  <si>
    <t>Home (Pakistan): 5000 bet (Lost)</t>
  </si>
  <si>
    <t>7. Anglo Bengal ODI Trophy (Away)</t>
  </si>
  <si>
    <t>vs Pakistan: 1000</t>
  </si>
  <si>
    <t>Away (Scotland): 5000 bet (Lost)</t>
  </si>
  <si>
    <t>Test Tournament</t>
  </si>
  <si>
    <t>4. Anik Dey Shanto</t>
  </si>
  <si>
    <t>8. Asad KB</t>
  </si>
  <si>
    <t>Sundarbans Cricket Fortress</t>
  </si>
  <si>
    <t xml:space="preserve">Sydney Cricket Ground </t>
  </si>
  <si>
    <t>Harsh  Dubey(Ban) - 20000</t>
  </si>
  <si>
    <t>Away( West Indies/ Scotland ): 5000 ( Won )</t>
  </si>
  <si>
    <t>Against England(Test): 1</t>
  </si>
  <si>
    <t>Away(England): 5000 bet (Won)</t>
  </si>
  <si>
    <t>4. The Ashes( Away )</t>
  </si>
  <si>
    <t>8. Tiger Orange Cup (Home)</t>
  </si>
  <si>
    <t>Best Batsman: 1</t>
  </si>
  <si>
    <t>Players Awards: 2300</t>
  </si>
  <si>
    <t>ODI Series</t>
  </si>
  <si>
    <t>1. Rizwan</t>
  </si>
  <si>
    <t>Away(Pakistan): 5000 (Won)</t>
  </si>
  <si>
    <t xml:space="preserve">Scottish Wall </t>
  </si>
  <si>
    <t>T20 Tournament</t>
  </si>
  <si>
    <t xml:space="preserve">9. Bhagrab Kashyap </t>
  </si>
  <si>
    <t>Sonar Bangla Cricket Arena</t>
  </si>
  <si>
    <t>8. Aashutosh from ND: 15000</t>
  </si>
  <si>
    <t>Away(Pakistan): 5000 bet (Lost)</t>
  </si>
  <si>
    <t>vs West Indies: 500</t>
  </si>
  <si>
    <t>Home(Netherlands): 4000 bet (Won)</t>
  </si>
  <si>
    <t>Franchise League</t>
  </si>
  <si>
    <t>10. Ghamshad Kapri</t>
  </si>
  <si>
    <t>Sands cox's Bazar</t>
  </si>
  <si>
    <t>5. Anurag Raj</t>
  </si>
  <si>
    <t>9. Bhavin to SA - 2500</t>
  </si>
  <si>
    <t>Home(South Africa): 5000 bet (Won)</t>
  </si>
  <si>
    <t xml:space="preserve">Optus Stadium | Free T20 WC </t>
  </si>
  <si>
    <t>Best Bowler: 4</t>
  </si>
  <si>
    <t>Away(Newzeland): 6000 bet (Lost)</t>
  </si>
  <si>
    <t>Home ( Newzealand) : 5000 bet ( Lost )</t>
  </si>
  <si>
    <t>KCL</t>
  </si>
  <si>
    <t>Against Newzealand: 2</t>
  </si>
  <si>
    <t>5. Southee Cummins ( Away )</t>
  </si>
  <si>
    <t>1. Sai Naveen</t>
  </si>
  <si>
    <t>Man of the match: 2 (2000)</t>
  </si>
  <si>
    <t>Away(Scotland): 5000 (Won)</t>
  </si>
  <si>
    <t xml:space="preserve">Aussie Wall </t>
  </si>
  <si>
    <t>11. Gaurav Mittal</t>
  </si>
  <si>
    <t>Level 2 Stadiums</t>
  </si>
  <si>
    <t>10. Raksh to SA - 2500</t>
  </si>
  <si>
    <t>Away(England): 5000 bet (Lost)</t>
  </si>
  <si>
    <t>vs England: 500</t>
  </si>
  <si>
    <t>Home(Newzealand): 5000 bet (Lost)</t>
  </si>
  <si>
    <t>BPL</t>
  </si>
  <si>
    <t>12. Hafiz</t>
  </si>
  <si>
    <t>None</t>
  </si>
  <si>
    <t>Lords International Stadium</t>
  </si>
  <si>
    <t>6. Arjun Akj</t>
  </si>
  <si>
    <t>11. Saketh to SA - 2500</t>
  </si>
  <si>
    <t>Home(Netherlands/West Indies): 15000 (Lost)</t>
  </si>
  <si>
    <t>Eternal Coliseum</t>
  </si>
  <si>
    <t xml:space="preserve">Adelaide Oval </t>
  </si>
  <si>
    <t xml:space="preserve">Whitewash lose: </t>
  </si>
  <si>
    <t>Home ( West Indies): 5000 bet ( Lost )</t>
  </si>
  <si>
    <t>Vivian Richards Cricket Ground</t>
  </si>
  <si>
    <t>vs Newzealand: 500</t>
  </si>
  <si>
    <t>6. Southern Challenge (Away)</t>
  </si>
  <si>
    <t>Away(Pakistan): 5000 bet (Won)</t>
  </si>
  <si>
    <t xml:space="preserve">Maya Stadium Amsterdam </t>
  </si>
  <si>
    <t>IPL</t>
  </si>
  <si>
    <t xml:space="preserve">Eden Park </t>
  </si>
  <si>
    <t>Man of the match: 1</t>
  </si>
  <si>
    <t>13. Roshan Singh Rathore</t>
  </si>
  <si>
    <t>vs Pakistan</t>
  </si>
  <si>
    <t>Level 1 Stadiums</t>
  </si>
  <si>
    <t>Pindi International Stadium</t>
  </si>
  <si>
    <t>Home(Scotland): 5000 (Won)</t>
  </si>
  <si>
    <t>12. Bhavesh to SA - 2500</t>
  </si>
  <si>
    <t xml:space="preserve">West End Park </t>
  </si>
  <si>
    <t>Sydney Cup</t>
  </si>
  <si>
    <t>Grange Cricket Stadium</t>
  </si>
  <si>
    <t>Board: England</t>
  </si>
  <si>
    <t>Newlands Cricket Stadium</t>
  </si>
  <si>
    <t>2. Anurag Raj</t>
  </si>
  <si>
    <t>vs Pakistan: 500</t>
  </si>
  <si>
    <t>Colombo International Stadium</t>
  </si>
  <si>
    <t>Away(Australia): 5000 bet (Lost)</t>
  </si>
  <si>
    <t>Dubai International Stadium</t>
  </si>
  <si>
    <t>ABD Georgetown Cricket Arena</t>
  </si>
  <si>
    <t>Chairman: Diljith Das | CEO: Jyothish S</t>
  </si>
  <si>
    <t>TITLE SPONSORS: Cricket Circle</t>
  </si>
  <si>
    <t>WGG International Stadium</t>
  </si>
  <si>
    <t>Sree Padmanaba Cricket Park</t>
  </si>
  <si>
    <t>14. Karan Kumar</t>
  </si>
  <si>
    <t>13. Ahmed to Qatar - 2000</t>
  </si>
  <si>
    <t>Dutch Cricket Arena Hague</t>
  </si>
  <si>
    <t>Sky International Stadium</t>
  </si>
  <si>
    <t>1. Sons &amp; Daughter (Pakistan) : Home</t>
  </si>
  <si>
    <t>Karachi International Stadium</t>
  </si>
  <si>
    <t>Home(Australia): 5000 bet (Lost)</t>
  </si>
  <si>
    <t>7. Ashwini Verma</t>
  </si>
  <si>
    <t>Lusail International Stadium</t>
  </si>
  <si>
    <t>Seven Oaks Stadium</t>
  </si>
  <si>
    <t>Sydney Show Ground | Franchise League L1 | Upgraded</t>
  </si>
  <si>
    <t>3. Yasin Iqbal</t>
  </si>
  <si>
    <t>Away( Scotland): 5000 bet ( Lost )</t>
  </si>
  <si>
    <t>7. Kiwi Kangaroo (Away)</t>
  </si>
  <si>
    <t>Wanderers International Stadium</t>
  </si>
  <si>
    <t>Kandy International Stadium</t>
  </si>
  <si>
    <t>• vs Scotland: 500</t>
  </si>
  <si>
    <t>Malayalipuram International Stadium</t>
  </si>
  <si>
    <t>vs Scotland</t>
  </si>
  <si>
    <t>Home (England): 5000 (Lost)</t>
  </si>
  <si>
    <t xml:space="preserve">The Rose Bowl </t>
  </si>
  <si>
    <t>Poker Cup</t>
  </si>
  <si>
    <t>15. Manan Irfan</t>
  </si>
  <si>
    <t>Jannat Wadi | Franchise League L1 | Upgraded</t>
  </si>
  <si>
    <t>14. Ebad to Qatar - 2000</t>
  </si>
  <si>
    <t>Home(UAE): 5000 bet (Lost)</t>
  </si>
  <si>
    <t>2. Karan Kumar</t>
  </si>
  <si>
    <t>Whitewash lose:</t>
  </si>
  <si>
    <t>Sovereign Crown Arena</t>
  </si>
  <si>
    <t>Home( Bangladesh): 5000 bet (Lost)</t>
  </si>
  <si>
    <t>Gaddafi Stadium Lahore | Franchise League L1 | Upgraded</t>
  </si>
  <si>
    <t>Club Tournament</t>
  </si>
  <si>
    <t>Traded Player:</t>
  </si>
  <si>
    <t xml:space="preserve">IOCF T20 WORLD CUP 🏆 : </t>
  </si>
  <si>
    <t>Scotba Cricket Stadium</t>
  </si>
  <si>
    <t>EMERGING TALENTS LEAGUE:</t>
  </si>
  <si>
    <t>Bridgetown Royal Cricket Arena | Franchise League L1 | Upgraded</t>
  </si>
  <si>
    <t>CONTINENTAL CUP  🏆: ( EURO )</t>
  </si>
  <si>
    <t>16. Manoj Kumar Chetry</t>
  </si>
  <si>
    <t>15. Abdul to Qatar - 2000</t>
  </si>
  <si>
    <t>Home (Netherlands): 7000 bet (Won)</t>
  </si>
  <si>
    <t>Best Bowler: 2</t>
  </si>
  <si>
    <t>8. Chiranjibi Samal</t>
  </si>
  <si>
    <t>1. Aash Muhammad</t>
  </si>
  <si>
    <t xml:space="preserve">Marvel Cricket Stadium </t>
  </si>
  <si>
    <t>Home( Afghanistan): 7000 bet ( Won )</t>
  </si>
  <si>
    <t>Trent Bridge | Franchise League L1 | Upgraded</t>
  </si>
  <si>
    <t>1. Sir Vivian Richards Trophy ( Away )</t>
  </si>
  <si>
    <t>8. Kingfisher Cup (Home)</t>
  </si>
  <si>
    <t>7. Summan Baig to Pak - 2k</t>
  </si>
  <si>
    <t>17. Ali Khan</t>
  </si>
  <si>
    <t>Most Sixes: 1</t>
  </si>
  <si>
    <t>16. Ashutosh to NZ- 5000</t>
  </si>
  <si>
    <t>Best Bowler: 1 (500)</t>
  </si>
  <si>
    <t>Away(England): 5000 (Lost)</t>
  </si>
  <si>
    <t>T20 Series</t>
  </si>
  <si>
    <t>Orange - Yellow Trophy</t>
  </si>
  <si>
    <t xml:space="preserve">Thunder Dome </t>
  </si>
  <si>
    <t>Multan International Stadium</t>
  </si>
  <si>
    <t>9. Kashif Ramzan</t>
  </si>
  <si>
    <t xml:space="preserve">The Gabba </t>
  </si>
  <si>
    <t>Away( England ): 10000 ( Won )</t>
  </si>
  <si>
    <t>18. Rahees Ashiq</t>
  </si>
  <si>
    <t>Basseterre Patriots Cricket Ground</t>
  </si>
  <si>
    <t>17. Rao Abul to Qatar - 15000</t>
  </si>
  <si>
    <t>9. KFC T20 Cup (Home)</t>
  </si>
  <si>
    <t>vs Scotland: 500</t>
  </si>
  <si>
    <t>8. Srinidhi (10k) - SA Chairman</t>
  </si>
  <si>
    <t>2. Abhijith</t>
  </si>
  <si>
    <t>• vs Scotland: 300</t>
  </si>
  <si>
    <t>Away( West Indies ): 10000 bet ( Won )</t>
  </si>
  <si>
    <t>Home(Bangladesh): 5000 (Won)</t>
  </si>
  <si>
    <t>1. Anderson Tendulkar ( India )</t>
  </si>
  <si>
    <t>2. Anglo Scotish Trophy ( Home )</t>
  </si>
  <si>
    <t xml:space="preserve">The Oval </t>
  </si>
  <si>
    <t>1. Subaida to SA : 7000</t>
  </si>
  <si>
    <t>19. Rajab Baloch</t>
  </si>
  <si>
    <t xml:space="preserve">Players Awards: 30000 </t>
  </si>
  <si>
    <t>18. Harsh Dubey to Qatar - 15000</t>
  </si>
  <si>
    <t>3. Harsh Dubey</t>
  </si>
  <si>
    <t>Match Bet credits: 24000</t>
  </si>
  <si>
    <t>Hyder Cricket Stadium</t>
  </si>
  <si>
    <t xml:space="preserve">Tournament Awards: </t>
  </si>
  <si>
    <t>Award Winners</t>
  </si>
  <si>
    <t>Kingstown Volcano Cricket Stdaium</t>
  </si>
  <si>
    <t>20. Hamza</t>
  </si>
  <si>
    <t>19. Adithya to RSA - 15000</t>
  </si>
  <si>
    <t>3. Achuz Sukumaran</t>
  </si>
  <si>
    <t>Best Batsman: 2</t>
  </si>
  <si>
    <t>Home( India ): 5000 bet ( Lost )</t>
  </si>
  <si>
    <t>10. Muhammad Shahzad</t>
  </si>
  <si>
    <t>2. The Ashes ( Test - Australia )</t>
  </si>
  <si>
    <t>3. Commonwealth Crown ( Home )</t>
  </si>
  <si>
    <t>21. Sajjad Kapri</t>
  </si>
  <si>
    <t xml:space="preserve">Ninja Stadium Hobart </t>
  </si>
  <si>
    <t>2. Hirak to Ned: 5000</t>
  </si>
  <si>
    <t>20. Ritik from Ned - 1000</t>
  </si>
  <si>
    <t>Players Awards: 7600</t>
  </si>
  <si>
    <t>Away ( England ): 5000 bet ( Lost )</t>
  </si>
  <si>
    <t>IOCF HALL OF FAME</t>
  </si>
  <si>
    <t>1. Toby Joseph</t>
  </si>
  <si>
    <t xml:space="preserve">Old Trafford </t>
  </si>
  <si>
    <t>Against Newzealand: 1</t>
  </si>
  <si>
    <t>Player Awards: 15500</t>
  </si>
  <si>
    <t>10. IPL Challenger Trophy (Away)</t>
  </si>
  <si>
    <t>9. Donald (10k) - SA Chairman</t>
  </si>
  <si>
    <t>Inferno Bay Arena</t>
  </si>
  <si>
    <t>2. Bhavesh B</t>
  </si>
  <si>
    <t>Quetta Cricket Arena</t>
  </si>
  <si>
    <t>2. Keshav Shah</t>
  </si>
  <si>
    <t>Away(Bangladesh): 5000 (Won)</t>
  </si>
  <si>
    <t>Port of Spain Knights Arena</t>
  </si>
  <si>
    <t>BBL</t>
  </si>
  <si>
    <t>Home(West Indies): 6000 bet (Lost)</t>
  </si>
  <si>
    <t>1. Royal Test</t>
  </si>
  <si>
    <t>Match of the Tournament:</t>
  </si>
  <si>
    <t>Eng vs WI (15000)</t>
  </si>
  <si>
    <t>22. Siddiqui Ahsan</t>
  </si>
  <si>
    <t>21. Ashfak to Aus - 23000</t>
  </si>
  <si>
    <t>11. Lal Krishna</t>
  </si>
  <si>
    <t>1. Diljith Das</t>
  </si>
  <si>
    <t>Yorkshire Headingley</t>
  </si>
  <si>
    <t>vs Netherlands : 500</t>
  </si>
  <si>
    <t>Away ( UAE ): 5000 bet ( Lost )</t>
  </si>
  <si>
    <t>Prince's Arena</t>
  </si>
  <si>
    <t>PSL</t>
  </si>
  <si>
    <t>Against Scotland: 1</t>
  </si>
  <si>
    <t>11. Great Southern Dutch (Home)</t>
  </si>
  <si>
    <t>10. Noor from WI - 10000</t>
  </si>
  <si>
    <t>Karakoram Stadium Skardu</t>
  </si>
  <si>
    <t>Man of the match: 1 (1000)</t>
  </si>
  <si>
    <t>Home(Netherlands): 5000 (Lost)</t>
  </si>
  <si>
    <t>Kingston Kings Cricket Stadium</t>
  </si>
  <si>
    <t>23. Ishita Sharma</t>
  </si>
  <si>
    <t>Yasin Iqbal</t>
  </si>
  <si>
    <t>4. Siddiqui Ahsan</t>
  </si>
  <si>
    <t>4. Aneesh</t>
  </si>
  <si>
    <t>Home ( Scotland ): 5000 bet ( Won )</t>
  </si>
  <si>
    <t>Somerset County Ground</t>
  </si>
  <si>
    <t>Ice in their Veins :  Top Wicket Taker</t>
  </si>
  <si>
    <t>4. Crown series ( Home )</t>
  </si>
  <si>
    <t>Lion's Citadel</t>
  </si>
  <si>
    <t>3. Ashuotsh to Ned: 5000</t>
  </si>
  <si>
    <t>1. Rahees</t>
  </si>
  <si>
    <t>Ironhold Park</t>
  </si>
  <si>
    <t>Most Dot Balls(65): 5000</t>
  </si>
  <si>
    <t>Khyber Stadium Peshawar</t>
  </si>
  <si>
    <t>1. Aneesh</t>
  </si>
  <si>
    <t>Home (Italy): 5000 bet (Won)</t>
  </si>
  <si>
    <t>12. Malaram Patel</t>
  </si>
  <si>
    <t>2. Royal Lion</t>
  </si>
  <si>
    <t>Best Talent Discovery Board:</t>
  </si>
  <si>
    <t>England (10000)</t>
  </si>
  <si>
    <t>vs Scotland: 1000</t>
  </si>
  <si>
    <t>St. John's Falcon Cricket Arena</t>
  </si>
  <si>
    <t>11. Mahi to SA - 2500</t>
  </si>
  <si>
    <t>• vs Afghanistan: 300</t>
  </si>
  <si>
    <t>vs Bangadesh</t>
  </si>
  <si>
    <t>Away(Netherlands): 5000 (Won)</t>
  </si>
  <si>
    <t>Best Bowler: 1</t>
  </si>
  <si>
    <t>3. Arnab Sarkar</t>
  </si>
  <si>
    <t>Master's Arena</t>
  </si>
  <si>
    <t>5. Gowri Madhu</t>
  </si>
  <si>
    <t>Away ( Afghanistan): 3000 bet ( Lost )</t>
  </si>
  <si>
    <t>Alpine Crown Arena</t>
  </si>
  <si>
    <t>5. Yuvraj Flintoff ( Away )</t>
  </si>
  <si>
    <t>4. Subaida to Italy: 7000</t>
  </si>
  <si>
    <t>2. Rejith Mohan</t>
  </si>
  <si>
    <t>Home(Bangladesh): 10000 bet (Lost)</t>
  </si>
  <si>
    <t>3. Great Subcontinent Clash</t>
  </si>
  <si>
    <t>13. Adilur Rahman</t>
  </si>
  <si>
    <t>Fair Play:</t>
  </si>
  <si>
    <t>England(15000)</t>
  </si>
  <si>
    <t>Away (Pakistan): 10000 bet (Won)</t>
  </si>
  <si>
    <t>4. Harsh Dubey</t>
  </si>
  <si>
    <t>12. K Rakesh to SA - 2500</t>
  </si>
  <si>
    <t>3. Anurag</t>
  </si>
  <si>
    <t>Best Batsman: 2 (1000)</t>
  </si>
  <si>
    <t>6. Harshad Vanimal</t>
  </si>
  <si>
    <t>Home ( Srilanka): 5000 bet ( Lost)</t>
  </si>
  <si>
    <t>6. Ashes Blitz ( Home )</t>
  </si>
  <si>
    <t>5. Vishnu to Italy: 3000</t>
  </si>
  <si>
    <t>Middlesex Lords County Cricket Ground</t>
  </si>
  <si>
    <t>• vs Australia: 500</t>
  </si>
  <si>
    <t>Fastest Century(24B): 5000</t>
  </si>
  <si>
    <t>5. Manan</t>
  </si>
  <si>
    <t>Home (Pakistan): 10000 bet (Won)</t>
  </si>
  <si>
    <t>4. Fortress Cup</t>
  </si>
  <si>
    <t xml:space="preserve">Best Batsman: </t>
  </si>
  <si>
    <t>Shajahan (20000)</t>
  </si>
  <si>
    <t>14. Manish Indoria</t>
  </si>
  <si>
    <t>Titan Bay Coliseum | Franchise League L1</t>
  </si>
  <si>
    <t>Away (Newzealand): 5000 bet (Won)</t>
  </si>
  <si>
    <t>7. Karthik Verma</t>
  </si>
  <si>
    <t>13. Harsh from Qatar - 60000</t>
  </si>
  <si>
    <t>Home ( Newzealand): 5000 bet ( Won )</t>
  </si>
  <si>
    <t>7. Dutch Anglo ( Away )</t>
  </si>
  <si>
    <t>Economical bowler: 3</t>
  </si>
  <si>
    <t>Most Fours:5000</t>
  </si>
  <si>
    <t>2. Jyothish S</t>
  </si>
  <si>
    <t>Home (India): 5000 bet (Won)</t>
  </si>
  <si>
    <t>5. London Trophy</t>
  </si>
  <si>
    <t>Player of the Tournament:</t>
  </si>
  <si>
    <t>Shajahan (25000)</t>
  </si>
  <si>
    <t>Durahm Riverside Ground</t>
  </si>
  <si>
    <t>15. Mohammad Noor</t>
  </si>
  <si>
    <t>6. Adithya</t>
  </si>
  <si>
    <t>Home(Srilanka): 5000 bet (Won)</t>
  </si>
  <si>
    <t>8. Molly Stephan</t>
  </si>
  <si>
    <t>14. Ashfak from BD - 23000</t>
  </si>
  <si>
    <t>Home ( Pakistan): 5000 bet ( Won )</t>
  </si>
  <si>
    <t>8. Karachi London (Away )</t>
  </si>
  <si>
    <t>5. Ahsan Siddiqui</t>
  </si>
  <si>
    <t>• vs Australia: 300</t>
  </si>
  <si>
    <t>Best Batsman: 10000</t>
  </si>
  <si>
    <t>Man of the match: 4</t>
  </si>
  <si>
    <t>Away (Newzealand): 5000 bet (Lost)</t>
  </si>
  <si>
    <t>6. Imperial Lords</t>
  </si>
  <si>
    <t>Runners UP:</t>
  </si>
  <si>
    <t>100 ( Commentory )</t>
  </si>
  <si>
    <t>vs Netherlands: 1000</t>
  </si>
  <si>
    <t>9. Rahees</t>
  </si>
  <si>
    <t>Home ( Australia ): 10000 bet ( Lost )</t>
  </si>
  <si>
    <t>9. London Trophy (Home)</t>
  </si>
  <si>
    <t xml:space="preserve">Player limit exceeded: </t>
  </si>
  <si>
    <t>16. Rahul Gadia</t>
  </si>
  <si>
    <t>• vs West Indies: 300</t>
  </si>
  <si>
    <t>Home (England): 10000 bet (Won)</t>
  </si>
  <si>
    <t>3. Diljith Das</t>
  </si>
  <si>
    <t>vs Italy: 1000</t>
  </si>
  <si>
    <t>Economical bowler: 1</t>
  </si>
  <si>
    <t>Away (Australia): 5000 bet (Won)</t>
  </si>
  <si>
    <t xml:space="preserve">7. Royal WTC Clash </t>
  </si>
  <si>
    <t>17. Rizwan Mansoori</t>
  </si>
  <si>
    <t>Home(India): 5000 bet (Lost)</t>
  </si>
  <si>
    <t>vs Netherlands: 500</t>
  </si>
  <si>
    <t>6. Princhi Bora</t>
  </si>
  <si>
    <t>Canada</t>
  </si>
  <si>
    <t>10. Rashid</t>
  </si>
  <si>
    <t>Away ( India ): 10000 bet ( Won )</t>
  </si>
  <si>
    <t>7. Bhargab</t>
  </si>
  <si>
    <t>10. Northwave Trophy (Away)</t>
  </si>
  <si>
    <t>Zimbabwe</t>
  </si>
  <si>
    <t>• vs Newzealand: 300</t>
  </si>
  <si>
    <t>Fastest Fifty(10B): 5000</t>
  </si>
  <si>
    <t>vs India: 1000</t>
  </si>
  <si>
    <t>18. Rohit Patel</t>
  </si>
  <si>
    <t>Home (Australia): 5000 bet (Won)</t>
  </si>
  <si>
    <t>Away(India): 5000 bet (Won)</t>
  </si>
  <si>
    <t>4. Rizwan</t>
  </si>
  <si>
    <t>2. Achuz</t>
  </si>
  <si>
    <t>3. Saubhagya</t>
  </si>
  <si>
    <t>8. Ali Khan</t>
  </si>
  <si>
    <t>11. Sujith Kumar</t>
  </si>
  <si>
    <t>19. Zeeshan Yaqoob</t>
  </si>
  <si>
    <t>Home(Netherlands): 10000 bet (Won)</t>
  </si>
  <si>
    <t>Best Batsman:</t>
  </si>
  <si>
    <t>Home ( Australia ): 5000 bet ( Won )</t>
  </si>
  <si>
    <t>11. The Arabian Challenge (Home)</t>
  </si>
  <si>
    <t>vs Australia: 1000</t>
  </si>
  <si>
    <t>Away(Qatar): 5000 bet (Lost)</t>
  </si>
  <si>
    <t>12. Renjish</t>
  </si>
  <si>
    <t>vs Australia: 500</t>
  </si>
  <si>
    <t>Away (England): 5000 bet (Won)</t>
  </si>
  <si>
    <t>12. Anz ODI Clash (Home)</t>
  </si>
  <si>
    <t>Runners Up: 40000</t>
  </si>
  <si>
    <t>20. Anand Kumar</t>
  </si>
  <si>
    <t>Home(Netherlands): 5000 bet (Won)</t>
  </si>
  <si>
    <t>Home(England): 10000 bet (Lost)</t>
  </si>
  <si>
    <t>International Tournament Updates</t>
  </si>
  <si>
    <t>KCL ( Commentory )</t>
  </si>
  <si>
    <t>13. Sachin P</t>
  </si>
  <si>
    <t>21. Harsh Dubey</t>
  </si>
  <si>
    <t>Franchise League Updates</t>
  </si>
  <si>
    <t>Home(UAE): 3000 bet (Lost)</t>
  </si>
  <si>
    <t>Home ( West Indies): 6000 bet (Lost)</t>
  </si>
  <si>
    <t>13. Royal Anglo Trophy (Home)</t>
  </si>
  <si>
    <t>5. Abrar</t>
  </si>
  <si>
    <t>2. Aneesh</t>
  </si>
  <si>
    <t>Best Bowler: 3</t>
  </si>
  <si>
    <t>Away (Bangladesh): 5000 bet (Won)</t>
  </si>
  <si>
    <t>CPL</t>
  </si>
  <si>
    <t>Tournament Name</t>
  </si>
  <si>
    <t>14. Sadik</t>
  </si>
  <si>
    <t>Awards</t>
  </si>
  <si>
    <t>Home (Italy): 5000 bet (Lost)</t>
  </si>
  <si>
    <t>22. Hur Ali</t>
  </si>
  <si>
    <t>14. Unity T20 Cup (Home)</t>
  </si>
  <si>
    <t>Official Board</t>
  </si>
  <si>
    <t xml:space="preserve">All Franchise League Credits Updates : </t>
  </si>
  <si>
    <t>Most sixes: 1</t>
  </si>
  <si>
    <t>League Name</t>
  </si>
  <si>
    <t>Prediction Winners: 20000</t>
  </si>
  <si>
    <t>vs Italy: 500</t>
  </si>
  <si>
    <t>Award Name</t>
  </si>
  <si>
    <t>CPL ( Commentory )</t>
  </si>
  <si>
    <t>Award Winner</t>
  </si>
  <si>
    <t>Franchise Team</t>
  </si>
  <si>
    <t>National Board</t>
  </si>
  <si>
    <t>23. Syed Aqi</t>
  </si>
  <si>
    <t>15. Safeer Babu</t>
  </si>
  <si>
    <t>Home (Bangladesh): 10000 bet ( Lost )</t>
  </si>
  <si>
    <t>4. Arnab</t>
  </si>
  <si>
    <t>15. Legacy Cup (Away)</t>
  </si>
  <si>
    <t>T20 World CUP 2026</t>
  </si>
  <si>
    <t xml:space="preserve">THE HUNDRED : </t>
  </si>
  <si>
    <t>Sponsors</t>
  </si>
  <si>
    <t>vs India: 500</t>
  </si>
  <si>
    <t>3. Jyothish</t>
  </si>
  <si>
    <t>Most Dot Balls</t>
  </si>
  <si>
    <t>Toby Joseph</t>
  </si>
  <si>
    <t>London Spirit</t>
  </si>
  <si>
    <t>THE HUNDRED 2026</t>
  </si>
  <si>
    <t>Southern Brave</t>
  </si>
  <si>
    <t>Welsh Fire</t>
  </si>
  <si>
    <t>Emerging Player</t>
  </si>
  <si>
    <t>MI London</t>
  </si>
  <si>
    <t>16. Nisham</t>
  </si>
  <si>
    <t>Sunrisers Leeds</t>
  </si>
  <si>
    <t>Vishnu CV</t>
  </si>
  <si>
    <t>Away (Pakistan): 5000 bet (Won)</t>
  </si>
  <si>
    <t>IOCF LONE WARRIOR</t>
  </si>
  <si>
    <t>No one is playing: They're new to IOCF</t>
  </si>
  <si>
    <t>3. Toby</t>
  </si>
  <si>
    <t>Sai Naveen, Bhavesh &amp; Siddiqui called for national duty ( Bangladesh ) for 15k</t>
  </si>
  <si>
    <t>Most Maidens</t>
  </si>
  <si>
    <t>Pakistan Super League : 51070</t>
  </si>
  <si>
    <t>Anurag Raj</t>
  </si>
  <si>
    <t>17. Sri Vishnu</t>
  </si>
  <si>
    <t>Home (West Indies): 5000 bet (Won)</t>
  </si>
  <si>
    <t>Economical Bowler</t>
  </si>
  <si>
    <t>1. Cricket Circle (Title Sponsors)</t>
  </si>
  <si>
    <t>Waleed Khan</t>
  </si>
  <si>
    <t>24. Ashfak Hosain</t>
  </si>
  <si>
    <t>Afghanistan</t>
  </si>
  <si>
    <t>LAHORE QALANDARS</t>
  </si>
  <si>
    <t xml:space="preserve">PINDIZ </t>
  </si>
  <si>
    <t>MULTAN SULTANS</t>
  </si>
  <si>
    <t>Eliminated in Group Stage: 10k</t>
  </si>
  <si>
    <t xml:space="preserve">KARACHI KINGS </t>
  </si>
  <si>
    <t>QUETTA GLADIATORS</t>
  </si>
  <si>
    <t>Man of the match: 3 (3000)</t>
  </si>
  <si>
    <t>HYDERABAD KINGSMEN</t>
  </si>
  <si>
    <t>Best Economy</t>
  </si>
  <si>
    <t>Team Profit: 5490</t>
  </si>
  <si>
    <t>18. Sujith CS Ctr</t>
  </si>
  <si>
    <t>Team Profit: 1200</t>
  </si>
  <si>
    <t xml:space="preserve">Virendra </t>
  </si>
  <si>
    <t>4. Abrar Ali</t>
  </si>
  <si>
    <t>Team Profit: 17400</t>
  </si>
  <si>
    <t>Most Sixes</t>
  </si>
  <si>
    <t>Hasan Musabir</t>
  </si>
  <si>
    <t>Team Profit: 21980</t>
  </si>
  <si>
    <t>Champion: Diljith Das</t>
  </si>
  <si>
    <t>1. Rajab Baloch</t>
  </si>
  <si>
    <t>• vs Afghanistan: 500</t>
  </si>
  <si>
    <t>3. Toby Joseph</t>
  </si>
  <si>
    <t>Salary: 500</t>
  </si>
  <si>
    <t>Salary: 1000</t>
  </si>
  <si>
    <t>Direct Signing: 5000</t>
  </si>
  <si>
    <t>Best Bat Average</t>
  </si>
  <si>
    <t>Direct Signing: 3000</t>
  </si>
  <si>
    <t>Bhavin Kumar</t>
  </si>
  <si>
    <t>Champions: 4990</t>
  </si>
  <si>
    <t>Best Bowler</t>
  </si>
  <si>
    <t>Best Batsman: 1 (200)</t>
  </si>
  <si>
    <t>Man of the match: 1 (500)</t>
  </si>
  <si>
    <t>Safeer Babu</t>
  </si>
  <si>
    <t>25. Mohsin Lathif</t>
  </si>
  <si>
    <t>Best Bowler:1 (200)</t>
  </si>
  <si>
    <t>Fastest Century</t>
  </si>
  <si>
    <t xml:space="preserve">Rejith Mohan </t>
  </si>
  <si>
    <t>Best Batsman</t>
  </si>
  <si>
    <t>Best Bowler: 2 (400)</t>
  </si>
  <si>
    <t>Nirmal Baishya</t>
  </si>
  <si>
    <t>Salary: 3000</t>
  </si>
  <si>
    <t>19. Ajin P Anil</t>
  </si>
  <si>
    <t>Home(Bangladesh): 5000 bet(Lost)</t>
  </si>
  <si>
    <t>• vs South Africa: 500</t>
  </si>
  <si>
    <t>Fastest Fifty</t>
  </si>
  <si>
    <t>Runners up: 2480</t>
  </si>
  <si>
    <t>Diljith Das</t>
  </si>
  <si>
    <t>3. Siddiqui Ahsan</t>
  </si>
  <si>
    <t>2. Bhavesh</t>
  </si>
  <si>
    <t>Salary: 1800</t>
  </si>
  <si>
    <t>Player of the Tournament</t>
  </si>
  <si>
    <t>Shivaji Prakash</t>
  </si>
  <si>
    <t>26. Nidasha Romanoff</t>
  </si>
  <si>
    <t>Best Bowler:2 (400)</t>
  </si>
  <si>
    <t xml:space="preserve">Players Awards: 15000 </t>
  </si>
  <si>
    <t>3. Saketh</t>
  </si>
  <si>
    <t>20. Shajahan</t>
  </si>
  <si>
    <t>Away (Netherlands): 5000 bet (Lost)</t>
  </si>
  <si>
    <t>4. Harsh</t>
  </si>
  <si>
    <t>Most Fours</t>
  </si>
  <si>
    <t>Salary: 1500</t>
  </si>
  <si>
    <t>5. Asad</t>
  </si>
  <si>
    <t>4. Sajjad Kapri</t>
  </si>
  <si>
    <t>Runners Up</t>
  </si>
  <si>
    <t>6. Ghamshad</t>
  </si>
  <si>
    <t>5. Ahsas</t>
  </si>
  <si>
    <t>7. Rahees</t>
  </si>
  <si>
    <t>Hashir</t>
  </si>
  <si>
    <t>21. Sunaif</t>
  </si>
  <si>
    <t>Home(Srilanka): 5000 bet (Lost)</t>
  </si>
  <si>
    <t>Champions</t>
  </si>
  <si>
    <t>8. Ahmed</t>
  </si>
  <si>
    <t>6. Neak M</t>
  </si>
  <si>
    <t>4. Safeer</t>
  </si>
  <si>
    <t>Salary: 2000</t>
  </si>
  <si>
    <t>1. Anurag Raj</t>
  </si>
  <si>
    <t>vs Netherlands</t>
  </si>
  <si>
    <t>Best Bowl Figure</t>
  </si>
  <si>
    <t xml:space="preserve">9. Edad </t>
  </si>
  <si>
    <t>Anshad</t>
  </si>
  <si>
    <t>5. Keshav Shah</t>
  </si>
  <si>
    <t>PAKISTAN SUPER LEAGUE 2026</t>
  </si>
  <si>
    <t>22. Amith</t>
  </si>
  <si>
    <t>Home(UAE): 5000 bet (Won)</t>
  </si>
  <si>
    <t>Molly Stephan</t>
  </si>
  <si>
    <t>Big Bash League :</t>
  </si>
  <si>
    <t>• vs South Africa: 300</t>
  </si>
  <si>
    <t>Wajdan</t>
  </si>
  <si>
    <t>23. Sanoop</t>
  </si>
  <si>
    <t>Lahore Qalandars</t>
  </si>
  <si>
    <t>Away(Australia): 10000 bet (Lost)</t>
  </si>
  <si>
    <t>Ring of Fire :  Top Scorer</t>
  </si>
  <si>
    <t>All Team Profit: 145800</t>
  </si>
  <si>
    <t>• vs Scotland(Final): 500</t>
  </si>
  <si>
    <t>Highest Individual Score</t>
  </si>
  <si>
    <t>Sai Naveen</t>
  </si>
  <si>
    <t>Adelaide Strikers</t>
  </si>
  <si>
    <t>Brisbane Heat</t>
  </si>
  <si>
    <t>Hobart Hurricanes</t>
  </si>
  <si>
    <t>Most Maidens(2): 5000</t>
  </si>
  <si>
    <t>Muhammad Usman</t>
  </si>
  <si>
    <t>Melbourne Renegades</t>
  </si>
  <si>
    <t>Best Batsman: 1 (500)</t>
  </si>
  <si>
    <t>Melbourne Stars</t>
  </si>
  <si>
    <t>Perth Scorchers</t>
  </si>
  <si>
    <t>Sydney Sixers</t>
  </si>
  <si>
    <t>Fastest Umpire</t>
  </si>
  <si>
    <t>Sydney Thunders</t>
  </si>
  <si>
    <t>Nasrullah Kapri</t>
  </si>
  <si>
    <t xml:space="preserve">Best Bowler </t>
  </si>
  <si>
    <t>Adithya Mahajan</t>
  </si>
  <si>
    <t>Home(Newzealand): 10000 bet (Won)</t>
  </si>
  <si>
    <t>Jyothish S</t>
  </si>
  <si>
    <t>Team Profit: 35500</t>
  </si>
  <si>
    <t>4. Rejith</t>
  </si>
  <si>
    <t>Team Profit: 29300</t>
  </si>
  <si>
    <t>World Cup Operaions Excellence</t>
  </si>
  <si>
    <t>Team Profit:</t>
  </si>
  <si>
    <t>Team Profit: 2500</t>
  </si>
  <si>
    <t>Team Profit: 9000</t>
  </si>
  <si>
    <t>Team Profit: 66000</t>
  </si>
  <si>
    <t>Team Profit: 2000</t>
  </si>
  <si>
    <t>Al Ameen</t>
  </si>
  <si>
    <t>Quetta Gladiators</t>
  </si>
  <si>
    <t>1. Bhavesh B</t>
  </si>
  <si>
    <t>1. Karan</t>
  </si>
  <si>
    <t>Home(Bangladesh): 5000 bet(Won)</t>
  </si>
  <si>
    <t>1. Bhavin</t>
  </si>
  <si>
    <t>Ring of Fire :  Top Wicket Taker</t>
  </si>
  <si>
    <t>Best Captain</t>
  </si>
  <si>
    <t>1. Ebad</t>
  </si>
  <si>
    <t>Midhun Manilal</t>
  </si>
  <si>
    <t>Salary: 14000</t>
  </si>
  <si>
    <t>Salary: 2500</t>
  </si>
  <si>
    <t>Salary: 7000</t>
  </si>
  <si>
    <t>Best Batsman: 1 ( 500 )</t>
  </si>
  <si>
    <t>Home(Bangladesh): 5000 bet (Won)</t>
  </si>
  <si>
    <t>Man of the match: 1 ( 1000)</t>
  </si>
  <si>
    <t>• vs West Indies: 500</t>
  </si>
  <si>
    <t>2. Harsh</t>
  </si>
  <si>
    <t>Fair Play Award: 3100</t>
  </si>
  <si>
    <t>Best Bowler: 4 ( 2000 )</t>
  </si>
  <si>
    <t>Chappy</t>
  </si>
  <si>
    <t>Salary: 10000</t>
  </si>
  <si>
    <t>2. Ahmed</t>
  </si>
  <si>
    <t>Champions: 11000</t>
  </si>
  <si>
    <t>Fair Play Award</t>
  </si>
  <si>
    <t>Man of the Match: 1 ( 1000 )</t>
  </si>
  <si>
    <t>Salary: 4500</t>
  </si>
  <si>
    <t>Highest Individual Score(140): 5000</t>
  </si>
  <si>
    <t>2. Ahsan</t>
  </si>
  <si>
    <t>Best Bowler: 2 (1000)</t>
  </si>
  <si>
    <t>Home(Bangladesh): 5000 bet (Lost)</t>
  </si>
  <si>
    <t>• vs Newzealand: 500</t>
  </si>
  <si>
    <t>5. Rahees</t>
  </si>
  <si>
    <t>Runners up</t>
  </si>
  <si>
    <t>Hyderabad Kings</t>
  </si>
  <si>
    <t>3. Rahees</t>
  </si>
  <si>
    <t>3. Ghamshad</t>
  </si>
  <si>
    <t>Man of the Tournament</t>
  </si>
  <si>
    <t>4. Vaibhav</t>
  </si>
  <si>
    <t>Salary: 5000</t>
  </si>
  <si>
    <t>Away(Australia): 10000 bet (Won)</t>
  </si>
  <si>
    <t>4. Sajjad</t>
  </si>
  <si>
    <t>5. Princhi</t>
  </si>
  <si>
    <t>6. Bhargab</t>
  </si>
  <si>
    <t>BIG BASH LEAGUE 2026</t>
  </si>
  <si>
    <t>Best Young Player</t>
  </si>
  <si>
    <t>Anand Ajikumar</t>
  </si>
  <si>
    <t>Kiwi Crown League :</t>
  </si>
  <si>
    <t>World cup operations Excellence: 5000</t>
  </si>
  <si>
    <t>Arnab Sarkar &amp; Nasrullah Kapri</t>
  </si>
  <si>
    <t>4. Arjun AKJ</t>
  </si>
  <si>
    <t>Australia &amp; Pakistan</t>
  </si>
  <si>
    <t>All Team Profit:</t>
  </si>
  <si>
    <t>EMERGING TALENTS LEAGUE 2026</t>
  </si>
  <si>
    <t>5. Achuz</t>
  </si>
  <si>
    <t>6. Molly</t>
  </si>
  <si>
    <t>5. Anand</t>
  </si>
  <si>
    <t>Amjith</t>
  </si>
  <si>
    <t>Best Bowler ( Golden Arm )</t>
  </si>
  <si>
    <t xml:space="preserve">Wellington Warriors </t>
  </si>
  <si>
    <t>Zarnish Saira</t>
  </si>
  <si>
    <t>Auckland Aces</t>
  </si>
  <si>
    <t>Hosting Nation: 30000</t>
  </si>
  <si>
    <t>Canterbury Kings</t>
  </si>
  <si>
    <t>Otago Volts</t>
  </si>
  <si>
    <t>Northern Knights</t>
  </si>
  <si>
    <t>Central Stags</t>
  </si>
  <si>
    <t>Mowglee</t>
  </si>
  <si>
    <t>Queenstown Royals</t>
  </si>
  <si>
    <t>Tauranga Titans</t>
  </si>
  <si>
    <t>5. Sujith CS Ctr</t>
  </si>
  <si>
    <t>Best Batsman ( Golden Bat )</t>
  </si>
  <si>
    <t xml:space="preserve">Team Profit: </t>
  </si>
  <si>
    <t xml:space="preserve">Arnab Sarkar  </t>
  </si>
  <si>
    <t>Shajahan</t>
  </si>
  <si>
    <t>6. Diljith</t>
  </si>
  <si>
    <t>7. Sujith Kumar</t>
  </si>
  <si>
    <t>Most Sixes:1</t>
  </si>
  <si>
    <t>1. Muhammad Ahmed</t>
  </si>
  <si>
    <t>1. Princhi</t>
  </si>
  <si>
    <t>1. Saketh Balne</t>
  </si>
  <si>
    <t xml:space="preserve">Salary: 2000 </t>
  </si>
  <si>
    <t>Prediction 3rd Place: 5000</t>
  </si>
  <si>
    <t xml:space="preserve">Salary: 3000 </t>
  </si>
  <si>
    <t>Direct Signing: 20000</t>
  </si>
  <si>
    <t>6. Rahul Gadia</t>
  </si>
  <si>
    <t xml:space="preserve">Salary: 1000 </t>
  </si>
  <si>
    <t>Man of the match: 1 (1500)</t>
  </si>
  <si>
    <t>Best Bowler: 1 (750)</t>
  </si>
  <si>
    <t>Match of the Tournament</t>
  </si>
  <si>
    <t>Best Bowler: 2 (1500)</t>
  </si>
  <si>
    <t>England &amp; West Indies</t>
  </si>
  <si>
    <t>Champions: 19900</t>
  </si>
  <si>
    <t xml:space="preserve">Salary: 12000 </t>
  </si>
  <si>
    <t>Runners Up: 9950</t>
  </si>
  <si>
    <t>2. Bhavin Kumar</t>
  </si>
  <si>
    <t>Best Talent Discovery Board</t>
  </si>
  <si>
    <t>All four Boards</t>
  </si>
  <si>
    <t>3. Rakshith Raksh</t>
  </si>
  <si>
    <t>7. Safeer Babu</t>
  </si>
  <si>
    <t>Fair Play</t>
  </si>
  <si>
    <t>England &amp; Scotland</t>
  </si>
  <si>
    <t>8. Karthik Verma</t>
  </si>
  <si>
    <t xml:space="preserve">Salary: 15000 </t>
  </si>
  <si>
    <t xml:space="preserve">Salary: 500 </t>
  </si>
  <si>
    <t>KIWI CROWN LEAGUE 2026</t>
  </si>
  <si>
    <t>6. Aniket Gavit</t>
  </si>
  <si>
    <t>Rise of the crown (Emerging Player)</t>
  </si>
  <si>
    <t>Karthik Devadiga</t>
  </si>
  <si>
    <t>3. Vaibhav Batra</t>
  </si>
  <si>
    <t>Wellington Warriors</t>
  </si>
  <si>
    <t>4. Aashutosh Jha</t>
  </si>
  <si>
    <t>The Thunder Striker (Most Sixes)</t>
  </si>
  <si>
    <t>No Salary (Traded)</t>
  </si>
  <si>
    <t>Vishnu Vijay</t>
  </si>
  <si>
    <t>Bangladesh Premier League ( Own League )</t>
  </si>
  <si>
    <t>The Shadow scepter (Best Bowler)</t>
  </si>
  <si>
    <t>Waqas Mughal</t>
  </si>
  <si>
    <t>LONE WARRIOR 2026</t>
  </si>
  <si>
    <t>Semifinalists</t>
  </si>
  <si>
    <t>Abhi &amp; Anshad</t>
  </si>
  <si>
    <t>Scotland &amp; India</t>
  </si>
  <si>
    <t>• vs West Indies(Semis): 500</t>
  </si>
  <si>
    <t>The Golden Crown (Best Batsman)</t>
  </si>
  <si>
    <t>Runner Up</t>
  </si>
  <si>
    <t>Shamroz</t>
  </si>
  <si>
    <t>Crowned Warrior (Player of the Tournament)</t>
  </si>
  <si>
    <t>9. Ajin</t>
  </si>
  <si>
    <t xml:space="preserve">Champion </t>
  </si>
  <si>
    <t>Hosting Rights : 250000</t>
  </si>
  <si>
    <t>Spirit of Crown (Fair Play Award)</t>
  </si>
  <si>
    <t>6. Malaram Patel</t>
  </si>
  <si>
    <t>• vs West Indies(Semis): 300</t>
  </si>
  <si>
    <t>Fine from Afghanistan of 150000 for withdrawing from league</t>
  </si>
  <si>
    <t>INDIAN PREMIER LEAGUE 2026</t>
  </si>
  <si>
    <t>Asru KSD</t>
  </si>
  <si>
    <t>Kolkata Knight Riders</t>
  </si>
  <si>
    <t>Punjab Kings</t>
  </si>
  <si>
    <t>Purple Cap</t>
  </si>
  <si>
    <t>Orange Cap</t>
  </si>
  <si>
    <t>BARISAL RIVER RIDERS</t>
  </si>
  <si>
    <t>Shukoor</t>
  </si>
  <si>
    <t>8. Sujith CS Ctr</t>
  </si>
  <si>
    <t>CHANDPUR ILLISH TITANS</t>
  </si>
  <si>
    <t>vs Qatar: 500</t>
  </si>
  <si>
    <t>SYLHET EMERALD BLADES</t>
  </si>
  <si>
    <t>Rahul Seenu</t>
  </si>
  <si>
    <t>RAJSHAHI MANGO LEGION</t>
  </si>
  <si>
    <t>Delhi Capitals</t>
  </si>
  <si>
    <t>DHAKA BURIGANGA BLAZERS</t>
  </si>
  <si>
    <t>CHITTAGONG MARINERS</t>
  </si>
  <si>
    <t>MAINAMATI TITANS</t>
  </si>
  <si>
    <t>Chennai Super Kings</t>
  </si>
  <si>
    <t>SONARGAON ROYALS</t>
  </si>
  <si>
    <t>10. Aash</t>
  </si>
  <si>
    <t>MYMENSINGH MAVERICKS</t>
  </si>
  <si>
    <t>Rajasthan Royals</t>
  </si>
  <si>
    <t>CUMILA FALCONS</t>
  </si>
  <si>
    <t>CARIBBEAN PREMIER LEAGUE 2026</t>
  </si>
  <si>
    <t>vs Bangladesh: 1000</t>
  </si>
  <si>
    <t>Abhishek Vava</t>
  </si>
  <si>
    <t>Barbados Royals</t>
  </si>
  <si>
    <t>Guyana Amazon Warriors</t>
  </si>
  <si>
    <t>Anish Babu</t>
  </si>
  <si>
    <t>Jamaica Kingsmen</t>
  </si>
  <si>
    <t>Rahul Suresh</t>
  </si>
  <si>
    <t>Trinbago Knight Riders</t>
  </si>
  <si>
    <t>7. Chiranjibi Samal</t>
  </si>
  <si>
    <t xml:space="preserve">1. Sai Naveen </t>
  </si>
  <si>
    <t xml:space="preserve">1. Vaibhav Batra </t>
  </si>
  <si>
    <t xml:space="preserve">1. Ahmed </t>
  </si>
  <si>
    <t>11. Diljith Das</t>
  </si>
  <si>
    <t>St Vincent Volcanoes</t>
  </si>
  <si>
    <t>1. Princhi Bora</t>
  </si>
  <si>
    <t xml:space="preserve">1. Ebad Malik </t>
  </si>
  <si>
    <t>1. Ahsan Siddiqui</t>
  </si>
  <si>
    <t>1. Ashutosh Jha</t>
  </si>
  <si>
    <t>1. Harsh Dubey</t>
  </si>
  <si>
    <t>Captain Salary: 80000</t>
  </si>
  <si>
    <t>Man of the match: 1 (2000)</t>
  </si>
  <si>
    <t>2. Rakshith Raksh</t>
  </si>
  <si>
    <t>2. Abdul Haseeb Siddiq</t>
  </si>
  <si>
    <t>2. Manan Irfan</t>
  </si>
  <si>
    <t>Best Batsman: 1 (1000)</t>
  </si>
  <si>
    <t>Best Bowler: 2 (2000)</t>
  </si>
  <si>
    <t>2. Gaurav Mittal</t>
  </si>
  <si>
    <t>Marquee Salary: 30000</t>
  </si>
  <si>
    <t>vs Bangladesh: 500</t>
  </si>
  <si>
    <t>2. Abrar Ahmed</t>
  </si>
  <si>
    <t>2. Bhargab Kashyap</t>
  </si>
  <si>
    <t>2. Ghamshad Kapri</t>
  </si>
  <si>
    <t>3. chintu</t>
  </si>
  <si>
    <t>3. Anu</t>
  </si>
  <si>
    <t>Best Bowler: 1 (1000)</t>
  </si>
  <si>
    <t>3. Meer</t>
  </si>
  <si>
    <t>3. Rahees Ashiq</t>
  </si>
  <si>
    <t>3. Rajab</t>
  </si>
  <si>
    <t>3. Karan Kumar</t>
  </si>
  <si>
    <t>Salary: 1100</t>
  </si>
  <si>
    <t>Direct Signing: 25000</t>
  </si>
  <si>
    <t>Salary: 900</t>
  </si>
  <si>
    <t>4. M Huzaifa</t>
  </si>
  <si>
    <t>4. Asad</t>
  </si>
  <si>
    <t>5. Adithya</t>
  </si>
  <si>
    <t>Salary: 1600</t>
  </si>
  <si>
    <t>5. Alapan Das</t>
  </si>
  <si>
    <t>Salary: 11000</t>
  </si>
  <si>
    <t>6. Rao Abul</t>
  </si>
  <si>
    <t>Salary: 1300</t>
  </si>
  <si>
    <t>Cancellation Fine: 125000</t>
  </si>
  <si>
    <t>Tournament Cancelled</t>
  </si>
  <si>
    <t>8. K Srinidhi</t>
  </si>
  <si>
    <t xml:space="preserve">Indian Premier League </t>
  </si>
  <si>
    <t>All Franchise League Credits Updates :</t>
  </si>
  <si>
    <t xml:space="preserve">THE HUNDRED ( Own League ) </t>
  </si>
  <si>
    <t>CHENNAI SUPER KINGS</t>
  </si>
  <si>
    <t>DELHI CAPITALS</t>
  </si>
  <si>
    <t>9. Waqas Mughal</t>
  </si>
  <si>
    <t>Hosting Rights : 40000</t>
  </si>
  <si>
    <t>GUJRAT TITANS</t>
  </si>
  <si>
    <t>KOLKATA KNIGHT RIDERS</t>
  </si>
  <si>
    <t>LUCKNOW SUPER GAINTS</t>
  </si>
  <si>
    <t>MUMBAI INDIANS</t>
  </si>
  <si>
    <t>PUNJAB KINGS</t>
  </si>
  <si>
    <t>RAJASTHAN ROYALS</t>
  </si>
  <si>
    <t>ROYAL CHALLENGERS BENGALURU</t>
  </si>
  <si>
    <t>All Team Profit: 123200</t>
  </si>
  <si>
    <t>SUNRISERS HYDERABAD</t>
  </si>
  <si>
    <t>Team Profit: 14500</t>
  </si>
  <si>
    <t>Team Profit: 26600</t>
  </si>
  <si>
    <t>Team Profit: 32100</t>
  </si>
  <si>
    <t>1. Vaibhav</t>
  </si>
  <si>
    <t>1. Meer Kamran</t>
  </si>
  <si>
    <t>Team Profit: 42800</t>
  </si>
  <si>
    <t>Direct Signing: 35000</t>
  </si>
  <si>
    <t>Free Agent</t>
  </si>
  <si>
    <t>1. Shibasis</t>
  </si>
  <si>
    <t>Man of the match: 1 (3000)</t>
  </si>
  <si>
    <t xml:space="preserve">1. Rejith Mohan </t>
  </si>
  <si>
    <t>2. Adithya Mahajn</t>
  </si>
  <si>
    <t>1. Arjun Akj</t>
  </si>
  <si>
    <t>2. Huzaifa</t>
  </si>
  <si>
    <t>1. Aniket Gavit</t>
  </si>
  <si>
    <t>1. Achuz Sukumaran</t>
  </si>
  <si>
    <t>Best Bowler : 1 (1500)</t>
  </si>
  <si>
    <t>Salary: 41000</t>
  </si>
  <si>
    <t>Captain Salary: 8000</t>
  </si>
  <si>
    <t>2. Bhargab</t>
  </si>
  <si>
    <t>3. Gaurav</t>
  </si>
  <si>
    <t>2. Toby Joseph</t>
  </si>
  <si>
    <t>Man of the match: 1 ( 500 )</t>
  </si>
  <si>
    <t>2. Diljith Das</t>
  </si>
  <si>
    <t>Best Batsman: 1 (1500)</t>
  </si>
  <si>
    <t>4. Sai Naveen</t>
  </si>
  <si>
    <t>Man of the match:1 ( 500 )</t>
  </si>
  <si>
    <t>Best Bowler: 1 ( 200 )</t>
  </si>
  <si>
    <t>3. Ahsan</t>
  </si>
  <si>
    <t>Salary: 30000</t>
  </si>
  <si>
    <t>Marquee Salary: 2000</t>
  </si>
  <si>
    <t>Salary: 29000</t>
  </si>
  <si>
    <t>Best Batsman: 1 ( 200 )</t>
  </si>
  <si>
    <t>Man of the match: 2 (6000)</t>
  </si>
  <si>
    <t>Best Bowler: 2 (3000)</t>
  </si>
  <si>
    <t>Champions: 5800</t>
  </si>
  <si>
    <t>Runners up: 2950</t>
  </si>
  <si>
    <t>4. Princhi</t>
  </si>
  <si>
    <t xml:space="preserve">3. Sujith Kumar </t>
  </si>
  <si>
    <t>Salary: 8500</t>
  </si>
  <si>
    <t xml:space="preserve">3. Rahees </t>
  </si>
  <si>
    <t>2. Sujith CS Ctr</t>
  </si>
  <si>
    <t>2. Safeer Babu</t>
  </si>
  <si>
    <t>Caribbean Premier League :</t>
  </si>
  <si>
    <t xml:space="preserve">4. Nadirsha Nachu </t>
  </si>
  <si>
    <t xml:space="preserve">4. Sreeju </t>
  </si>
  <si>
    <t>Best Bowler: 3 ( 600 )</t>
  </si>
  <si>
    <t>Salary: 4000</t>
  </si>
  <si>
    <t>3. Aash Muhammad</t>
  </si>
  <si>
    <t>Man of the match: 2 (1000)</t>
  </si>
  <si>
    <t>Champions: 5300</t>
  </si>
  <si>
    <t>Best Bowler of the tournament: 10000</t>
  </si>
  <si>
    <t xml:space="preserve">3. Rashid </t>
  </si>
  <si>
    <t>Antigua &amp; Barbuda Falcons</t>
  </si>
  <si>
    <t>Runners up: 2850</t>
  </si>
  <si>
    <t>4. Vishnu CV</t>
  </si>
  <si>
    <t>St Kitts &amp; Nevis Patriots</t>
  </si>
  <si>
    <t xml:space="preserve">3. Molly </t>
  </si>
  <si>
    <t>St Lucia Kings</t>
  </si>
  <si>
    <t>10. Noor</t>
  </si>
  <si>
    <t>Emerging Player award: 5000</t>
  </si>
  <si>
    <t xml:space="preserve">4. Sadik </t>
  </si>
  <si>
    <t>5. Sadik</t>
  </si>
  <si>
    <t xml:space="preserve">Scottish Premier League </t>
  </si>
  <si>
    <t xml:space="preserve">4. Aneesh </t>
  </si>
  <si>
    <t>ABERDEEN TITANS</t>
  </si>
  <si>
    <t>DUNDEE WARRIORS</t>
  </si>
  <si>
    <t>Suman called for National Duty ( NZ ) for 1k</t>
  </si>
  <si>
    <t xml:space="preserve">EDINBURGH ROYALS </t>
  </si>
  <si>
    <t>GLASGOW GIANTS</t>
  </si>
  <si>
    <t>HIGHLAND HAWKS</t>
  </si>
  <si>
    <t>INVERNESS EAGLES</t>
  </si>
  <si>
    <t xml:space="preserve">LOTHIAN LIONS </t>
  </si>
  <si>
    <t>PERTH PANTHERS</t>
  </si>
  <si>
    <t>STIRLING KNIGHTS</t>
  </si>
  <si>
    <t>TARTAN STRIKERS</t>
  </si>
  <si>
    <t>Rating By All Boards on The Hundred 2026(8 out of 10): 40000 credits</t>
  </si>
  <si>
    <t>THE HUNDRED : 42400</t>
  </si>
  <si>
    <t xml:space="preserve">Pakistan Super League : </t>
  </si>
  <si>
    <t>1. Karan Kumar</t>
  </si>
  <si>
    <t xml:space="preserve">1. Partha </t>
  </si>
  <si>
    <t>1. Siddiqui Ahsan</t>
  </si>
  <si>
    <t>1. Bhargab Kashyap</t>
  </si>
  <si>
    <t>Direct Signing: 100000</t>
  </si>
  <si>
    <t>Salary: 20000</t>
  </si>
  <si>
    <t>Salary: 32000</t>
  </si>
  <si>
    <t>2. Sajjad Kapri</t>
  </si>
  <si>
    <t>2. Vaibhav Batra</t>
  </si>
  <si>
    <t xml:space="preserve">3. Princhi </t>
  </si>
  <si>
    <t>Salary: 6000</t>
  </si>
  <si>
    <t>4. Ashfak</t>
  </si>
  <si>
    <t>5. Gaurav Mittal</t>
  </si>
  <si>
    <t>Team Profit: 18080</t>
  </si>
  <si>
    <t>6. Ali Khan</t>
  </si>
  <si>
    <t>Team Profit: 3400</t>
  </si>
  <si>
    <t>1. Subaida Subi</t>
  </si>
  <si>
    <t>Salary: 6200</t>
  </si>
  <si>
    <t>Salary: 3400</t>
  </si>
  <si>
    <t>Man of the match: 2 ( 1000 )</t>
  </si>
  <si>
    <t>Best Bowler: 2 ( 400 )</t>
  </si>
  <si>
    <t>2. Vishnu</t>
  </si>
  <si>
    <t>Team Profit: 4800</t>
  </si>
  <si>
    <t>Team Profit: 3000</t>
  </si>
  <si>
    <t>Team Profit: 32300</t>
  </si>
  <si>
    <t>1. Rahul Gadia</t>
  </si>
  <si>
    <t>All Team Profit: 38800</t>
  </si>
  <si>
    <t>1. Rizwan Mansoori</t>
  </si>
  <si>
    <t>1. Arnab Sarkar</t>
  </si>
  <si>
    <t>Salary: 2800</t>
  </si>
  <si>
    <t>Salary: 3500</t>
  </si>
  <si>
    <t>Team Profit: 500</t>
  </si>
  <si>
    <t>2. Anand Akj</t>
  </si>
  <si>
    <t>Team Profit: 8500</t>
  </si>
  <si>
    <t>Team Profit: 15800</t>
  </si>
  <si>
    <t>Best Bowler:1 ( 200 )</t>
  </si>
  <si>
    <t>Team Profit: 12000</t>
  </si>
  <si>
    <t>1. Sri Vishnu</t>
  </si>
  <si>
    <t>1. Diljith</t>
  </si>
  <si>
    <t>1. Sujith Ctr</t>
  </si>
  <si>
    <t>1. Achuz</t>
  </si>
  <si>
    <t>3. Bhavesh B</t>
  </si>
  <si>
    <t>2. Molly</t>
  </si>
  <si>
    <t>2. Aash</t>
  </si>
  <si>
    <t>Best Bowler: 1 ( 500 )</t>
  </si>
  <si>
    <t>3. Aneesh</t>
  </si>
  <si>
    <t>3. Gowri</t>
  </si>
  <si>
    <t>3. Chiranjibi Samal</t>
  </si>
  <si>
    <t>Salary: 1700</t>
  </si>
  <si>
    <t xml:space="preserve">Kiwi Crown League : </t>
  </si>
  <si>
    <t>All Team Profit: 20000</t>
  </si>
  <si>
    <t>Team Profit: 10550</t>
  </si>
  <si>
    <t>Team Profit: 15750</t>
  </si>
  <si>
    <t>Team Profit: 7300</t>
  </si>
  <si>
    <t>Team Profit: 13760</t>
  </si>
  <si>
    <t>Team Profit: 20000</t>
  </si>
  <si>
    <t>1. Saubhagya Gupta</t>
  </si>
  <si>
    <t>1. Anand AJK</t>
  </si>
  <si>
    <t>1. Chiranjibi Samal</t>
  </si>
  <si>
    <t>Salary: 2200</t>
  </si>
  <si>
    <t>1. Sujith CS Ctr</t>
  </si>
  <si>
    <t>Best Batsman:2 (400)</t>
  </si>
  <si>
    <t>1. Jyothish S</t>
  </si>
  <si>
    <t>1. Safeer Babu</t>
  </si>
  <si>
    <t>Salary: 2700</t>
  </si>
  <si>
    <t>Best Batsman: 2 (400)</t>
  </si>
  <si>
    <t>Salary: 18000</t>
  </si>
  <si>
    <t>2. Rizwan Mansoori</t>
  </si>
  <si>
    <t>Best Bowler: 1 (200)</t>
  </si>
  <si>
    <t>Salary: 8000</t>
  </si>
  <si>
    <t>3. Abrar Ali</t>
  </si>
  <si>
    <t>Salary: 3300</t>
  </si>
  <si>
    <t>Best Batsman: 1 (750)</t>
  </si>
  <si>
    <t>Man of the Match: 1 (1500)</t>
  </si>
  <si>
    <t>Salary: 3750</t>
  </si>
  <si>
    <t>Fair Play: 5555</t>
  </si>
  <si>
    <t>2. Achuz Sukumaran</t>
  </si>
  <si>
    <t>2. K Rakesh</t>
  </si>
  <si>
    <t>Salary: 9500</t>
  </si>
  <si>
    <t>Salary: 2850</t>
  </si>
  <si>
    <t>Best Batsman:1 (200)</t>
  </si>
  <si>
    <t>Bangladesh Premier League :</t>
  </si>
  <si>
    <t>4. Rahul Gadia</t>
  </si>
  <si>
    <t>3. Waqas Mughal</t>
  </si>
  <si>
    <t>3. Malaram Patel</t>
  </si>
  <si>
    <t>Salary: 3100</t>
  </si>
  <si>
    <t>4. K Srinidhi</t>
  </si>
  <si>
    <t>5. Lal Krishna</t>
  </si>
  <si>
    <t>6. Anik Dey</t>
  </si>
  <si>
    <t>Salary: 700</t>
  </si>
  <si>
    <t xml:space="preserve">7. Zeeshan </t>
  </si>
  <si>
    <t>1. Aash</t>
  </si>
  <si>
    <t>1. Sujith</t>
  </si>
  <si>
    <t>1. Safeer</t>
  </si>
  <si>
    <t>1. Karthik</t>
  </si>
  <si>
    <t>1. Jyothish</t>
  </si>
  <si>
    <t>Big Bash League ( Own League )</t>
  </si>
  <si>
    <t>Salary: 19000</t>
  </si>
  <si>
    <t>Salary: 23000</t>
  </si>
  <si>
    <t>2. Diljith</t>
  </si>
  <si>
    <t>2. Sachin</t>
  </si>
  <si>
    <t>Hosting Rights : 100000</t>
  </si>
  <si>
    <t>2. Renjish</t>
  </si>
  <si>
    <t>All Team Profit: 522300</t>
  </si>
  <si>
    <t>Team Profit: 43000</t>
  </si>
  <si>
    <t>Team Profit: 66800</t>
  </si>
  <si>
    <t>Team Profit: 51000</t>
  </si>
  <si>
    <t>Team Profit: 43500</t>
  </si>
  <si>
    <t>Team Profit: 38700</t>
  </si>
  <si>
    <t>Team Profit: 183000</t>
  </si>
  <si>
    <t>Team Profit: 40000</t>
  </si>
  <si>
    <t>1. Donald Baghwar</t>
  </si>
  <si>
    <t>1. Keshav Shah</t>
  </si>
  <si>
    <t>1. K Srinidhi</t>
  </si>
  <si>
    <t>1. Malaram Patel</t>
  </si>
  <si>
    <t>Captain Salary: 20000</t>
  </si>
  <si>
    <t>Man of the Match: 1 (1000)</t>
  </si>
  <si>
    <t>2. Anik Dey Shanto</t>
  </si>
  <si>
    <t>Man of the Match: 3 (3000)</t>
  </si>
  <si>
    <t>2. K Rakesh CSK</t>
  </si>
  <si>
    <t>Man of the Match: 4 ( 4000 )</t>
  </si>
  <si>
    <t>2. Rahul Gadia</t>
  </si>
  <si>
    <t>2. Saubhagya Gupta</t>
  </si>
  <si>
    <t>Marquee Salary: 20000</t>
  </si>
  <si>
    <t>1. Renjish</t>
  </si>
  <si>
    <t>Best Batsman: 4 ( 2000 )</t>
  </si>
  <si>
    <t>1. Shajahan</t>
  </si>
  <si>
    <t>1. Sunaif</t>
  </si>
  <si>
    <t>Salary: 22000</t>
  </si>
  <si>
    <t>Salary: 16000</t>
  </si>
  <si>
    <t>Fair Play Award(Captain): 3500</t>
  </si>
  <si>
    <t>3. Arjun</t>
  </si>
  <si>
    <t>3. Ankan Biswas</t>
  </si>
  <si>
    <t>Best Batsman: 2 (3000)</t>
  </si>
  <si>
    <t>3. Manish Indoria</t>
  </si>
  <si>
    <t>2. Rahees</t>
  </si>
  <si>
    <t>2. Mahi Mahendra</t>
  </si>
  <si>
    <t>Champions: 38800</t>
  </si>
  <si>
    <t>Runners up(Captain): 7000</t>
  </si>
  <si>
    <t>Board: INDIA</t>
  </si>
  <si>
    <t>Salary: 9000</t>
  </si>
  <si>
    <t>Most Sixes: 10000</t>
  </si>
  <si>
    <t>Fair Play: 11000</t>
  </si>
  <si>
    <t>3. Karthik Verma</t>
  </si>
  <si>
    <t>Salary: 31000</t>
  </si>
  <si>
    <t>3. Ajay</t>
  </si>
  <si>
    <t>Chairman: Shivaji Prakash | CEO: Jana CP</t>
  </si>
  <si>
    <t>Best Bowler: 1 (1500)</t>
  </si>
  <si>
    <t>Golden Bat( Best Batsman): 20000</t>
  </si>
  <si>
    <t>3. Sri Vishnu</t>
  </si>
  <si>
    <t>4. Nihas</t>
  </si>
  <si>
    <t>Player of the Tournament: 40000</t>
  </si>
  <si>
    <t>3. Zeeshan</t>
  </si>
  <si>
    <t>4. Manish</t>
  </si>
  <si>
    <t>Champions(Captain): 13000</t>
  </si>
  <si>
    <t>2. Anand AJK</t>
  </si>
  <si>
    <t>Runners up: 6200</t>
  </si>
  <si>
    <t>4. Kushagra</t>
  </si>
  <si>
    <t xml:space="preserve">International Series: </t>
  </si>
  <si>
    <t>Board: Italy</t>
  </si>
  <si>
    <t xml:space="preserve">Whitewash: </t>
  </si>
  <si>
    <t>Best Young Player: 10000</t>
  </si>
  <si>
    <t>Player limit Increased:</t>
  </si>
  <si>
    <t>Rating By All Boards on BBL 2026(9 out of 10): 45000 credits</t>
  </si>
  <si>
    <t>1. Abhishek</t>
  </si>
  <si>
    <t>Chairman: Rince Thomas | CEO: Akhil Viratian</t>
  </si>
  <si>
    <t>1. Amith</t>
  </si>
  <si>
    <t>2. Abin</t>
  </si>
  <si>
    <t>Away( England ): 5000 bet ( Won )</t>
  </si>
  <si>
    <t>Best Batsman: 1 (1750)</t>
  </si>
  <si>
    <t>1. Anderson Tendulkar ( England )</t>
  </si>
  <si>
    <t>Champion: 44400</t>
  </si>
  <si>
    <t>Match Bet credits: -17000</t>
  </si>
  <si>
    <t>All Team Profit: 40000</t>
  </si>
  <si>
    <t>3. Anshad P</t>
  </si>
  <si>
    <t>Away( Srilanka): 6000 bet ( Lost )</t>
  </si>
  <si>
    <t>Players Awards: 5000</t>
  </si>
  <si>
    <t>Players Awards: 5500</t>
  </si>
  <si>
    <t>Away (Afghanistan): 7000 bet (Lost)</t>
  </si>
  <si>
    <t>1. Zubeen Garg Rhine A</t>
  </si>
  <si>
    <t>1. Shivaji Prakash</t>
  </si>
  <si>
    <t>Player trade:</t>
  </si>
  <si>
    <t>4. Ashish Anandhu</t>
  </si>
  <si>
    <t>1. Abhishek Anil</t>
  </si>
  <si>
    <t>Home ( England): 10000 ( Lost )</t>
  </si>
  <si>
    <t>1. Anshad</t>
  </si>
  <si>
    <t>1. Rahul Seenu</t>
  </si>
  <si>
    <t>Away(Netherlands): 2500 bet (Won)</t>
  </si>
  <si>
    <t>2. Legacy Trophy</t>
  </si>
  <si>
    <t>1. Romo Carribbean ( Home )</t>
  </si>
  <si>
    <t xml:space="preserve">1. Sachin </t>
  </si>
  <si>
    <t>5. Asru</t>
  </si>
  <si>
    <t>Away (Netherlands): 2000 (Lost)</t>
  </si>
  <si>
    <t>Away (England): 5000 bet (Lost)</t>
  </si>
  <si>
    <t>Salary: 15000</t>
  </si>
  <si>
    <t>2. Vishnu Vijay</t>
  </si>
  <si>
    <t>2. Ajin</t>
  </si>
  <si>
    <t>2. Rashid</t>
  </si>
  <si>
    <t>2. Jyothish</t>
  </si>
  <si>
    <t>Vipin Venu from Italy: -20000</t>
  </si>
  <si>
    <t>1. Anik Dey</t>
  </si>
  <si>
    <t>Home ( West Indies ): 5000 bet ( Won )</t>
  </si>
  <si>
    <t>6. Athif Basheer K</t>
  </si>
  <si>
    <t>2. Zeus Trophy (Away)</t>
  </si>
  <si>
    <t>Salary: 46000</t>
  </si>
  <si>
    <t>Away(Australia): 5000 (Won)</t>
  </si>
  <si>
    <t>3. Sanoop</t>
  </si>
  <si>
    <t>1. Donald</t>
  </si>
  <si>
    <t>3. Safeer</t>
  </si>
  <si>
    <t>Match Bet credits: -25000</t>
  </si>
  <si>
    <t>• vs Pakistan: 500</t>
  </si>
  <si>
    <t>3. Renjish</t>
  </si>
  <si>
    <t>3. Amith</t>
  </si>
  <si>
    <t>Players Trade</t>
  </si>
  <si>
    <t>vs Afghanistan: 500</t>
  </si>
  <si>
    <t>Salary: 90000</t>
  </si>
  <si>
    <t>Home (Pakistan): 5000 bet (Won)</t>
  </si>
  <si>
    <t>Salary: 36000</t>
  </si>
  <si>
    <t xml:space="preserve">Salary: 20000 </t>
  </si>
  <si>
    <t>7. Farhaan</t>
  </si>
  <si>
    <t>3. Aakash</t>
  </si>
  <si>
    <t xml:space="preserve">Salary: 11000 </t>
  </si>
  <si>
    <t>4. Karthik</t>
  </si>
  <si>
    <t xml:space="preserve">Salary: 8000 </t>
  </si>
  <si>
    <t>Home(Australia): 5000 (Lost)</t>
  </si>
  <si>
    <t>Subaida from England: 7000</t>
  </si>
  <si>
    <t>Economical Bowler: 2</t>
  </si>
  <si>
    <t>Away (Srilanka): 6000 bet (Won)</t>
  </si>
  <si>
    <t>3. Roman Crown (Away)</t>
  </si>
  <si>
    <t>2. Farhan</t>
  </si>
  <si>
    <t>Players Awards: 2000</t>
  </si>
  <si>
    <t>Away(South Africa): 5000 bet (Lost)</t>
  </si>
  <si>
    <t>Home (Scotland): 5000 bet (Lost)</t>
  </si>
  <si>
    <t>6. Shajahan</t>
  </si>
  <si>
    <t>1. Unity Nations Trophy (Away)</t>
  </si>
  <si>
    <t>Salary: 12000</t>
  </si>
  <si>
    <t>2. K Srinidhi</t>
  </si>
  <si>
    <t>Man of the match: 2 (3000)</t>
  </si>
  <si>
    <t>4. Afsal</t>
  </si>
  <si>
    <t>Vishnu from England: 3000</t>
  </si>
  <si>
    <t>8. Gopikrishnan SV</t>
  </si>
  <si>
    <t xml:space="preserve">Salary: 6500 </t>
  </si>
  <si>
    <t>1. Rince</t>
  </si>
  <si>
    <t>• vs Pakistan: 300</t>
  </si>
  <si>
    <t>Salary: 6500</t>
  </si>
  <si>
    <t>1. Ajith from NZ: 10000</t>
  </si>
  <si>
    <t>Away (Italy): 5000 bet (Lost)</t>
  </si>
  <si>
    <t>Best Batsman: 2 (1500)</t>
  </si>
  <si>
    <t>Home(South Africa): 5000 bet (Lost)</t>
  </si>
  <si>
    <t>5. Akshay</t>
  </si>
  <si>
    <t>Away (Afghanistan): 5000 bet (Lost)</t>
  </si>
  <si>
    <t>9. Harish Byndoor</t>
  </si>
  <si>
    <t>6. Albin</t>
  </si>
  <si>
    <t>2. Chiranjibi Samal</t>
  </si>
  <si>
    <t>vs South Africa: 1000</t>
  </si>
  <si>
    <t>10. Ahmed Mahsoof</t>
  </si>
  <si>
    <t>7. Anandhu Reddy</t>
  </si>
  <si>
    <t>Best Bowler of the Tournament: 40000</t>
  </si>
  <si>
    <t>2. Raheem</t>
  </si>
  <si>
    <t>Away (South Africa): 5000 bet (Won)</t>
  </si>
  <si>
    <t xml:space="preserve">Salary: 10000 </t>
  </si>
  <si>
    <t xml:space="preserve">Salary: 13000 </t>
  </si>
  <si>
    <t>8. Appu</t>
  </si>
  <si>
    <t>vs South Africa: 500</t>
  </si>
  <si>
    <t>9. Arathy</t>
  </si>
  <si>
    <t>2. Shuhaib</t>
  </si>
  <si>
    <t>10. Aravind</t>
  </si>
  <si>
    <t>11. Arjun</t>
  </si>
  <si>
    <t>11. Peter John</t>
  </si>
  <si>
    <t>12. Churami</t>
  </si>
  <si>
    <t>13. Haseeb</t>
  </si>
  <si>
    <t>14. Huzain</t>
  </si>
  <si>
    <t>Trophy Cabinet</t>
  </si>
  <si>
    <t>15. Hybi Anil</t>
  </si>
  <si>
    <t>2. Jana CP</t>
  </si>
  <si>
    <t>16. Krishnadev</t>
  </si>
  <si>
    <t>12. Pradeesh P</t>
  </si>
  <si>
    <t>King's Fortress</t>
  </si>
  <si>
    <t>17. Sanazil</t>
  </si>
  <si>
    <t>1. Coca Cola Cup</t>
  </si>
  <si>
    <t>18. Shuhaib</t>
  </si>
  <si>
    <t xml:space="preserve">Salary: 3500 </t>
  </si>
  <si>
    <t>19. Subaida Subi</t>
  </si>
  <si>
    <t>4. Anand Ajk</t>
  </si>
  <si>
    <t>20. Thaneem</t>
  </si>
  <si>
    <t xml:space="preserve">Salary: 4000 </t>
  </si>
  <si>
    <t>21. Vipin Venu</t>
  </si>
  <si>
    <t>4. Ankan Biswas</t>
  </si>
  <si>
    <t>22. Vishnu CV</t>
  </si>
  <si>
    <t>5. Manish Indoria</t>
  </si>
  <si>
    <t>13. Raheem K</t>
  </si>
  <si>
    <t>Marusthal Arena</t>
  </si>
  <si>
    <t>23. Tom</t>
  </si>
  <si>
    <t>Semifinalit: Anshad</t>
  </si>
  <si>
    <t>3. Shivaji Prakash</t>
  </si>
  <si>
    <t>3. Jana</t>
  </si>
  <si>
    <t>5. Muhammad Noor</t>
  </si>
  <si>
    <t>14. Rahman SN</t>
  </si>
  <si>
    <t>Imperial Stadium</t>
  </si>
  <si>
    <t>3. Abhishek</t>
  </si>
  <si>
    <t>No Salary(Traded)</t>
  </si>
  <si>
    <t>15. Rahul Roy</t>
  </si>
  <si>
    <t>Dwarka Coliseum</t>
  </si>
  <si>
    <t>• vs Srilanka: 500</t>
  </si>
  <si>
    <t>16. Rahul Seenu</t>
  </si>
  <si>
    <t>Royal Deccan</t>
  </si>
  <si>
    <t>Economical bowler: 2</t>
  </si>
  <si>
    <t>THE HUNDRED : 000</t>
  </si>
  <si>
    <t>17. Rajeev</t>
  </si>
  <si>
    <t>Eternal Aryavarta</t>
  </si>
  <si>
    <t>18. Robert John</t>
  </si>
  <si>
    <t>Sher-E-Punjab</t>
  </si>
  <si>
    <t>• vs Scotland(Semis): 300</t>
  </si>
  <si>
    <t>No Players Sold</t>
  </si>
  <si>
    <t>4. Athif Basheer</t>
  </si>
  <si>
    <t>19. Sanjith</t>
  </si>
  <si>
    <t>Pakistan Super League : 000</t>
  </si>
  <si>
    <t>20. Ajith</t>
  </si>
  <si>
    <t>4. Asru</t>
  </si>
  <si>
    <t xml:space="preserve">Big Bash League : </t>
  </si>
  <si>
    <t>4. Pradeesh</t>
  </si>
  <si>
    <t>5. Robert John</t>
  </si>
  <si>
    <t>All Team Profit: 19100</t>
  </si>
  <si>
    <t>Economical Bowler: 1</t>
  </si>
  <si>
    <t>Team Profit: 6600</t>
  </si>
  <si>
    <t>Team Profit: 1000</t>
  </si>
  <si>
    <t>Team Profit: 9500</t>
  </si>
  <si>
    <t>Team Profit: 1500</t>
  </si>
  <si>
    <t>• vs Srilanka: 300</t>
  </si>
  <si>
    <t>5. Shivaji</t>
  </si>
  <si>
    <t>1. Ankan</t>
  </si>
  <si>
    <t>1. Hybi Anil</t>
  </si>
  <si>
    <t>1. Akhil Mohan</t>
  </si>
  <si>
    <t>1. Donald Baghwar Dkhar</t>
  </si>
  <si>
    <t>1. Vishnu CV</t>
  </si>
  <si>
    <t>1. Zeeshan</t>
  </si>
  <si>
    <t>1. Subaida</t>
  </si>
  <si>
    <t>1. Arjun</t>
  </si>
  <si>
    <t>1. Huzain</t>
  </si>
  <si>
    <t>5. Jana</t>
  </si>
  <si>
    <t>6. Farhan</t>
  </si>
  <si>
    <t>Salary: 1400</t>
  </si>
  <si>
    <t>2. Rince</t>
  </si>
  <si>
    <t>Man of the Match: 2 (2000)</t>
  </si>
  <si>
    <t>2. Sanazil</t>
  </si>
  <si>
    <t>2. Manish</t>
  </si>
  <si>
    <t>2. Rohit</t>
  </si>
  <si>
    <t>2. Anik</t>
  </si>
  <si>
    <t>3. Vishnu Vijay</t>
  </si>
  <si>
    <t>Man of the Match: 1 (2000)</t>
  </si>
  <si>
    <t>IPL ( Commentator )</t>
  </si>
  <si>
    <t>6. Abin</t>
  </si>
  <si>
    <t>2. Anand</t>
  </si>
  <si>
    <t>3. Kashif</t>
  </si>
  <si>
    <t>Marquee: 30000</t>
  </si>
  <si>
    <t>Salary: 600</t>
  </si>
  <si>
    <t>3. Anurag Raj</t>
  </si>
  <si>
    <t>7. Gopikrishnan</t>
  </si>
  <si>
    <t>4. Noor</t>
  </si>
  <si>
    <t>5. Ashwini</t>
  </si>
  <si>
    <t>6. Waqas</t>
  </si>
  <si>
    <t>Salary: 35000</t>
  </si>
  <si>
    <t>7. Chiranjibi</t>
  </si>
  <si>
    <t>• vs England: 500</t>
  </si>
  <si>
    <t>Salary: 26000</t>
  </si>
  <si>
    <t>8. Malaram</t>
  </si>
  <si>
    <t>• vs England: 300</t>
  </si>
  <si>
    <t>8. Gopi SV</t>
  </si>
  <si>
    <t>9. Rahul Gadia</t>
  </si>
  <si>
    <t>Semifinalists: 20000</t>
  </si>
  <si>
    <t>Best Batsman: 2 (2000)</t>
  </si>
  <si>
    <t xml:space="preserve">Players Awards: 5000 </t>
  </si>
  <si>
    <t>Best Bowling Figure(7-21) : 5000</t>
  </si>
  <si>
    <t>Prediction Runners: 10000</t>
  </si>
  <si>
    <t>1. Vishnu Vijay</t>
  </si>
  <si>
    <t>1. Sanazil</t>
  </si>
  <si>
    <t>2. Rince Thomas</t>
  </si>
  <si>
    <t>Most Sixes: 20000</t>
  </si>
  <si>
    <t>Team Profit: 5400</t>
  </si>
  <si>
    <t>Team Profit: 31400</t>
  </si>
  <si>
    <t>Team Profit: 7750</t>
  </si>
  <si>
    <t>1. Gopikrishnan SV</t>
  </si>
  <si>
    <t>Best Batsman of the tournament: 40000</t>
  </si>
  <si>
    <t>2. Athif Basheer K</t>
  </si>
  <si>
    <t>Best Batsman:2 ( 400 )</t>
  </si>
  <si>
    <t>Salary: 1200</t>
  </si>
  <si>
    <t>Player of the tournament: 20000</t>
  </si>
  <si>
    <t>3. Rahul Seenu</t>
  </si>
  <si>
    <t>Salary: 2300</t>
  </si>
  <si>
    <t>4. Farhaan</t>
  </si>
  <si>
    <t>Team Profit: 3050</t>
  </si>
  <si>
    <t>Team Profit: 21790</t>
  </si>
  <si>
    <t>Team Profit: 8660</t>
  </si>
  <si>
    <t>1. Athif Basheer</t>
  </si>
  <si>
    <t>1. Farhaan</t>
  </si>
  <si>
    <t>Fair Play: 1380</t>
  </si>
  <si>
    <t>2. Rahul Seenu</t>
  </si>
  <si>
    <t>1. Manish Indoria</t>
  </si>
  <si>
    <t>Salary: 7400</t>
  </si>
  <si>
    <t>3. Anshad</t>
  </si>
  <si>
    <t>Salary: 6750</t>
  </si>
  <si>
    <t>Marquee Salary: 50000</t>
  </si>
  <si>
    <t>2. Malaram</t>
  </si>
  <si>
    <t>All Team Profit: 34800</t>
  </si>
  <si>
    <t>1. Haseeb</t>
  </si>
  <si>
    <t>Salary: 40000</t>
  </si>
  <si>
    <t>1. Akhil</t>
  </si>
  <si>
    <t>1. Shubaib</t>
  </si>
  <si>
    <t>2. Waqas Mughal</t>
  </si>
  <si>
    <t>1. Thaneem</t>
  </si>
  <si>
    <t xml:space="preserve">3. Keshav </t>
  </si>
  <si>
    <t>Team Profit: 6000</t>
  </si>
  <si>
    <t>Salary: 49000</t>
  </si>
  <si>
    <t>Team Profit: 8300</t>
  </si>
  <si>
    <t>Team Profit: 21000</t>
  </si>
  <si>
    <t>Salary: 27000</t>
  </si>
  <si>
    <t>1. Athif</t>
  </si>
  <si>
    <t>1. Anshad Parakkadan</t>
  </si>
  <si>
    <t>2. Hybi Anil</t>
  </si>
  <si>
    <t>2. Huzain</t>
  </si>
  <si>
    <t>Man of the match:1 (1000)</t>
  </si>
  <si>
    <t>2. Sanzail</t>
  </si>
  <si>
    <t>2. Vipin</t>
  </si>
  <si>
    <t>2. Abhishek</t>
  </si>
  <si>
    <t>Salary: 800</t>
  </si>
  <si>
    <t>4. Chiranjibi</t>
  </si>
  <si>
    <t>2. Farhaan</t>
  </si>
  <si>
    <t>3. Afsal</t>
  </si>
  <si>
    <t>Salary: 2400</t>
  </si>
  <si>
    <t xml:space="preserve">3. Abrar Ali </t>
  </si>
  <si>
    <t>4. Albin</t>
  </si>
  <si>
    <t>3. Rahul Roy</t>
  </si>
  <si>
    <t>5. Anand Kumar</t>
  </si>
  <si>
    <t>6. Rohit Patel</t>
  </si>
  <si>
    <t>4. Ashwini Verma</t>
  </si>
  <si>
    <t xml:space="preserve">All Team Profit: </t>
  </si>
  <si>
    <t>Best Bowler: 3 (4500)</t>
  </si>
  <si>
    <t>5. Noor</t>
  </si>
  <si>
    <t>Salary: 5500</t>
  </si>
  <si>
    <t>6. Zeeshan</t>
  </si>
  <si>
    <t>7. Anand Ajikumar</t>
  </si>
  <si>
    <t>Salary: 7500</t>
  </si>
  <si>
    <t>1. Farhan</t>
  </si>
  <si>
    <t>Man of the match:1 (1500)</t>
  </si>
  <si>
    <t>1. Rince Thomas</t>
  </si>
  <si>
    <t>Board: Netherlands</t>
  </si>
  <si>
    <t>1. Afsal</t>
  </si>
  <si>
    <t>Salary: 25000</t>
  </si>
  <si>
    <t>Chairman: Debajit Borthakur | CEO: Nirmal</t>
  </si>
  <si>
    <t>Runners Up: 19400</t>
  </si>
  <si>
    <t>3. Hybi Anil</t>
  </si>
  <si>
    <t>4. Akhil</t>
  </si>
  <si>
    <t>5. Shuhaib</t>
  </si>
  <si>
    <t>1. Rajeev</t>
  </si>
  <si>
    <t>1. Gopi</t>
  </si>
  <si>
    <t>1. Jana CP</t>
  </si>
  <si>
    <t xml:space="preserve">Player trade: </t>
  </si>
  <si>
    <t>1. Rahul Roy</t>
  </si>
  <si>
    <t>Salary: 2100</t>
  </si>
  <si>
    <t>Salary: 24000</t>
  </si>
  <si>
    <t>Player limit increased: -10000</t>
  </si>
  <si>
    <t>2. Peter</t>
  </si>
  <si>
    <t>2. Robert</t>
  </si>
  <si>
    <t>2. Shivaji</t>
  </si>
  <si>
    <t>1. Noor</t>
  </si>
  <si>
    <t>1. Ali Akbor Ahmed</t>
  </si>
  <si>
    <t>Salary: 50000</t>
  </si>
  <si>
    <t>3. Asru</t>
  </si>
  <si>
    <t>Marquee Salary: 60000</t>
  </si>
  <si>
    <t>1. Atlantic Smash ( Home )</t>
  </si>
  <si>
    <t>Man of the match: 1 (3500)</t>
  </si>
  <si>
    <t>Runners up: 22000</t>
  </si>
  <si>
    <t>2. Ahmed Mahsoof</t>
  </si>
  <si>
    <t>3. Farhan</t>
  </si>
  <si>
    <t>Best Bowler: 2 (3500)</t>
  </si>
  <si>
    <t>2. Kashif</t>
  </si>
  <si>
    <t>Player of the tournament: 180000</t>
  </si>
  <si>
    <t>Indian Premier League ( Own League )</t>
  </si>
  <si>
    <t>Best Batsman: 2 (3500)</t>
  </si>
  <si>
    <t>2. Biki</t>
  </si>
  <si>
    <t>Hosting Rights : 350000</t>
  </si>
  <si>
    <t>1. Hirak From Eng: 5000</t>
  </si>
  <si>
    <t>Home ( Afghanistan) : 5000 ( Lost )</t>
  </si>
  <si>
    <t>1. Dutch Carribbean ( Home )</t>
  </si>
  <si>
    <t>2. Zubeen Garg Rhine ODI (Home)</t>
  </si>
  <si>
    <t>Match Bet credits: -4000</t>
  </si>
  <si>
    <t xml:space="preserve">1. Rince </t>
  </si>
  <si>
    <t>1. Albin</t>
  </si>
  <si>
    <t>3. Bimal Baral</t>
  </si>
  <si>
    <t>2. Ashutoh from Eng: 5000</t>
  </si>
  <si>
    <t>Home ( UAE ): 5000 bet ( Lost )</t>
  </si>
  <si>
    <t>2. Akhil</t>
  </si>
  <si>
    <t>3. Dutch Caribbean 2 ODI (Home)</t>
  </si>
  <si>
    <t>2. Haseeb</t>
  </si>
  <si>
    <t>2. 26 to 30: 10000</t>
  </si>
  <si>
    <t>Fair Play: 12400</t>
  </si>
  <si>
    <t>Players Awards: 9500</t>
  </si>
  <si>
    <t>2. Anandhu R</t>
  </si>
  <si>
    <t>Home(India): 2500 bet (Lost)</t>
  </si>
  <si>
    <t>1. Zubeen Gard Rhine B</t>
  </si>
  <si>
    <t>1. Debajit</t>
  </si>
  <si>
    <t>3. Akshay</t>
  </si>
  <si>
    <t>4. Shuhaib</t>
  </si>
  <si>
    <t xml:space="preserve">3. Vipin </t>
  </si>
  <si>
    <t>3. Subaida Subi</t>
  </si>
  <si>
    <t>1. Athif Basheer K</t>
  </si>
  <si>
    <t>1. Anshad P</t>
  </si>
  <si>
    <t>1. Harish Byndoor</t>
  </si>
  <si>
    <t xml:space="preserve">1. Farhan </t>
  </si>
  <si>
    <t>Best Bowler: 1 (1750)</t>
  </si>
  <si>
    <t>4. Biswajit Dutta</t>
  </si>
  <si>
    <t>3. Aashutosh to Ban: 15000</t>
  </si>
  <si>
    <t>4. Aravind</t>
  </si>
  <si>
    <t>Home ( Newzealand ): 5000 bet ( Lost )</t>
  </si>
  <si>
    <t>4. European Beaver-Hedgehog Trophy (Home)</t>
  </si>
  <si>
    <t>Captain Salary: 90000</t>
  </si>
  <si>
    <t>1. Marami Ahmed</t>
  </si>
  <si>
    <t>1. Arjun AKJ</t>
  </si>
  <si>
    <t>Away (India): 2500 bet (Won)</t>
  </si>
  <si>
    <t>1. Lal Krishna</t>
  </si>
  <si>
    <t>2. Northern Heritage</t>
  </si>
  <si>
    <t>Champion(Captain): 40400</t>
  </si>
  <si>
    <t>5. Bitupan</t>
  </si>
  <si>
    <t>4. Veer to Qatar: 10000</t>
  </si>
  <si>
    <t>Home ( West Indies ): 5000 bet ( Lost )</t>
  </si>
  <si>
    <t>Fair Play(Captain): 13000</t>
  </si>
  <si>
    <t>Home (Srilanka): 5000 bet (Lost)</t>
  </si>
  <si>
    <t>2. Sanjith</t>
  </si>
  <si>
    <t>3. Tulip Desert</t>
  </si>
  <si>
    <t>6. Deepjyoti</t>
  </si>
  <si>
    <t>5. Ritik to Ban: 1000</t>
  </si>
  <si>
    <t>Home ( USA ): 5000 bet ( Won )</t>
  </si>
  <si>
    <t>2. Peter John</t>
  </si>
  <si>
    <t>Home(Scotland): 3000 bet (Won)</t>
  </si>
  <si>
    <t>4. Yellow - Orange Trophy</t>
  </si>
  <si>
    <t>Salary: 21000</t>
  </si>
  <si>
    <t>Player of the tournament: 160000</t>
  </si>
  <si>
    <t>3. Ashish</t>
  </si>
  <si>
    <t>Runners Up(Captain): 20200</t>
  </si>
  <si>
    <t>7. Devasish</t>
  </si>
  <si>
    <t>6. Kartik to Zim: 5000</t>
  </si>
  <si>
    <t>Home ( Scotland ): 5000 bet ( Lost )</t>
  </si>
  <si>
    <t>2. Nirmal</t>
  </si>
  <si>
    <t>Home(Bangladesh): 4000 bet (Won)</t>
  </si>
  <si>
    <t>2. Gopikrishnan SV</t>
  </si>
  <si>
    <t>Salary: 28500</t>
  </si>
  <si>
    <t xml:space="preserve">2. Rajeev </t>
  </si>
  <si>
    <t>8. Prince Gogoi</t>
  </si>
  <si>
    <t>7. Dhurbo to Zim: 5000</t>
  </si>
  <si>
    <t>Home ( Pakistan ): 3000 bet ( Lost )</t>
  </si>
  <si>
    <t>1. Appu</t>
  </si>
  <si>
    <t>9. Dipankar</t>
  </si>
  <si>
    <t>Home (England): 5000 bet (Lost)</t>
  </si>
  <si>
    <t>1. Vipin Venu</t>
  </si>
  <si>
    <t>Home (Qatar): 5000 bet (Won)</t>
  </si>
  <si>
    <t xml:space="preserve">3. Robert John </t>
  </si>
  <si>
    <t>1. Krishnadev</t>
  </si>
  <si>
    <t>1. Shuhaib</t>
  </si>
  <si>
    <t>1. Akhil Viratian</t>
  </si>
  <si>
    <t>10. Hirak</t>
  </si>
  <si>
    <t>Salary: 100000</t>
  </si>
  <si>
    <t>Home (India): 2000 bet (Won)</t>
  </si>
  <si>
    <t>11. Jahirul</t>
  </si>
  <si>
    <t xml:space="preserve">2. Albin </t>
  </si>
  <si>
    <t>Away (Afghanistan): 4000 bet (Lost)</t>
  </si>
  <si>
    <t>2. Anandhu</t>
  </si>
  <si>
    <t>4. Abin</t>
  </si>
  <si>
    <t>3. Vishnu CV</t>
  </si>
  <si>
    <t>Emerging Player: 40000</t>
  </si>
  <si>
    <t>12. Jihan</t>
  </si>
  <si>
    <t>Home (West Indies): 4000 bet (Won)</t>
  </si>
  <si>
    <t>3. Rahul Sharma</t>
  </si>
  <si>
    <t>4. Hybi Anil</t>
  </si>
  <si>
    <t>13. Kiran</t>
  </si>
  <si>
    <t>Home (Bangladesh): 4000 bet (Lost)</t>
  </si>
  <si>
    <t xml:space="preserve">5. Raheem </t>
  </si>
  <si>
    <t>4. Mahsoof</t>
  </si>
  <si>
    <t>Salary: 17000</t>
  </si>
  <si>
    <t>14. Marami</t>
  </si>
  <si>
    <t>Home (England): 4000 bet (Lost)</t>
  </si>
  <si>
    <t>15. Mayank</t>
  </si>
  <si>
    <t>Away(West Indies): 5000 bet (Lost)</t>
  </si>
  <si>
    <t>4. Hirak</t>
  </si>
  <si>
    <t>PSL ( Commentory )</t>
  </si>
  <si>
    <t xml:space="preserve">6. Pradeesh </t>
  </si>
  <si>
    <t>5. Rahman</t>
  </si>
  <si>
    <t>16. Anamika</t>
  </si>
  <si>
    <t>Home (England): 5000 bet (Won)</t>
  </si>
  <si>
    <t>Best Batsman: 3</t>
  </si>
  <si>
    <t>17. Pinku</t>
  </si>
  <si>
    <t>Away(Bangladesh/West Indies): 15000 (Lost)</t>
  </si>
  <si>
    <t>vs Srilanka: 500</t>
  </si>
  <si>
    <t>18. Prabal</t>
  </si>
  <si>
    <t>Away(Australia): 10000 (Lost)</t>
  </si>
  <si>
    <t>19. Rahul</t>
  </si>
  <si>
    <t>Away(Bangladesh): 7000 (Lost)</t>
  </si>
  <si>
    <t>20. Rishi Raj</t>
  </si>
  <si>
    <t>5. Debajit</t>
  </si>
  <si>
    <t>21. Sagar</t>
  </si>
  <si>
    <t>22. Shabir Alam</t>
  </si>
  <si>
    <t>23. Shon</t>
  </si>
  <si>
    <t>24. Bikram Saikia</t>
  </si>
  <si>
    <t>25. Jack Dipu</t>
  </si>
  <si>
    <t>26. Surashri C</t>
  </si>
  <si>
    <t>27. Manuranjan Deka</t>
  </si>
  <si>
    <t>6. Devasish</t>
  </si>
  <si>
    <t>28. Kritartha Kalita</t>
  </si>
  <si>
    <t>29. Khagen Saikia</t>
  </si>
  <si>
    <t>vs Qatar: 1000</t>
  </si>
  <si>
    <t>30. Niyor J Kashyap</t>
  </si>
  <si>
    <t>7. Bimal</t>
  </si>
  <si>
    <t>8. Rishiraj</t>
  </si>
  <si>
    <t>Team Profit: 4500</t>
  </si>
  <si>
    <t>Team Profit: 24650</t>
  </si>
  <si>
    <t>1. Mayank Das ( Replacement )</t>
  </si>
  <si>
    <t>1. Hirak Jyothi</t>
  </si>
  <si>
    <t>1. Nirmal Baishya</t>
  </si>
  <si>
    <t>Best Batsman of the Tournament: 10000</t>
  </si>
  <si>
    <t>2. Marami Ahmed</t>
  </si>
  <si>
    <t>3. Debajit Borthakur</t>
  </si>
  <si>
    <t>1. Asru</t>
  </si>
  <si>
    <t>1. Shivaji</t>
  </si>
  <si>
    <t>Salary: 45000</t>
  </si>
  <si>
    <t>Salary: 75000</t>
  </si>
  <si>
    <t>Direct Signing: 40000</t>
  </si>
  <si>
    <t>Man of the match: 2 (7000)</t>
  </si>
  <si>
    <t>Team Profit: 30860</t>
  </si>
  <si>
    <t>2. Rahman</t>
  </si>
  <si>
    <t>Team Profit: 2150</t>
  </si>
  <si>
    <t>Team Profit: 3680</t>
  </si>
  <si>
    <t xml:space="preserve">3. Harish </t>
  </si>
  <si>
    <t>1. Biswajit Dutta</t>
  </si>
  <si>
    <t>1. Nirmal</t>
  </si>
  <si>
    <t>1. Rahul Sharma</t>
  </si>
  <si>
    <t>Salary: 1950</t>
  </si>
  <si>
    <t>4. Peter</t>
  </si>
  <si>
    <t>3. Ahmed Mahsoof</t>
  </si>
  <si>
    <t>Salary: 60000</t>
  </si>
  <si>
    <t>2. Debajit</t>
  </si>
  <si>
    <t>4. Athif</t>
  </si>
  <si>
    <t>Salary: 3900</t>
  </si>
  <si>
    <t>4. Pradeesh P Nair</t>
  </si>
  <si>
    <t>3. Kiran Nath</t>
  </si>
  <si>
    <t>5. Rahul Roy</t>
  </si>
  <si>
    <t xml:space="preserve">6. Raheem </t>
  </si>
  <si>
    <t>Big Bash League : 0</t>
  </si>
  <si>
    <t>All Team Profit: 0</t>
  </si>
  <si>
    <t>1. Ahmed Mahsoof</t>
  </si>
  <si>
    <t xml:space="preserve">1. Abin </t>
  </si>
  <si>
    <t>1. Rahman SN</t>
  </si>
  <si>
    <t>1. Peter John</t>
  </si>
  <si>
    <t>Salary: 55000</t>
  </si>
  <si>
    <t>Salary: 42000</t>
  </si>
  <si>
    <t>Salary: 155000</t>
  </si>
  <si>
    <t>2. Shivaji Prakash</t>
  </si>
  <si>
    <t>Salary: 38000</t>
  </si>
  <si>
    <t>1. Aashutosh Jha</t>
  </si>
  <si>
    <t>4. Asru KSD</t>
  </si>
  <si>
    <t>Salary: 34000</t>
  </si>
  <si>
    <t>2. Hirakjyothi</t>
  </si>
  <si>
    <t>3. Mayank Das</t>
  </si>
  <si>
    <t>Board: Newzealand</t>
  </si>
  <si>
    <t>Chairman: Srajan Poojari | CEO: Aniket Gavit</t>
  </si>
  <si>
    <t>Board: Pakistan</t>
  </si>
  <si>
    <t>Chairman: Shamroz | CEO: Nasrullah Kapri</t>
  </si>
  <si>
    <t>IOCF T20 WORLD CUP 🏆 :</t>
  </si>
  <si>
    <t>Player limit increased:</t>
  </si>
  <si>
    <t xml:space="preserve">Whitewash win: </t>
  </si>
  <si>
    <t>Player limit exceeded:</t>
  </si>
  <si>
    <t>1. Mayank</t>
  </si>
  <si>
    <t>1. Hirak</t>
  </si>
  <si>
    <t>1. Abu Shazan</t>
  </si>
  <si>
    <t>1. Marami</t>
  </si>
  <si>
    <t>1. Dipankar</t>
  </si>
  <si>
    <t>1. Biswajit</t>
  </si>
  <si>
    <t>1. Crowe Nabi ( Home )</t>
  </si>
  <si>
    <t>1. Muhammad Ahmad</t>
  </si>
  <si>
    <t>2. Veer</t>
  </si>
  <si>
    <t>1. Pointing - Inzamam ( Away )</t>
  </si>
  <si>
    <t>2. Kiran</t>
  </si>
  <si>
    <t>2. Bimal</t>
  </si>
  <si>
    <t>2. Anamika</t>
  </si>
  <si>
    <t>2. Deepjyothi</t>
  </si>
  <si>
    <t>2. Dhurbo</t>
  </si>
  <si>
    <t>3. Rahul</t>
  </si>
  <si>
    <t>2. Adarsh</t>
  </si>
  <si>
    <t>Home( Afghanistan ): 3000 bet ( Won )</t>
  </si>
  <si>
    <t>2. Silk Steel ( Home )</t>
  </si>
  <si>
    <t>3. Bimal</t>
  </si>
  <si>
    <t>1. Silk Steel ( Pakistan )</t>
  </si>
  <si>
    <t>3. Jiha</t>
  </si>
  <si>
    <t>4. Jahirul</t>
  </si>
  <si>
    <t>Hosting Amount: 100k</t>
  </si>
  <si>
    <t>4. Pinku</t>
  </si>
  <si>
    <t>2. Aaiz Khan</t>
  </si>
  <si>
    <t>Away( Australia ): 5000 bet ( Won )</t>
  </si>
  <si>
    <t>2. Thistle Shaheen ( Away )</t>
  </si>
  <si>
    <t>1. Thistle Shaheen ( Away )</t>
  </si>
  <si>
    <t>3. Gokul G</t>
  </si>
  <si>
    <t>Home( Pakistan ): 3000 bet ( Won )</t>
  </si>
  <si>
    <t>3. Fleming Lara ( Home )</t>
  </si>
  <si>
    <t>Match Bet credits: -10000</t>
  </si>
  <si>
    <t>2. Trans Tasman( Australia)</t>
  </si>
  <si>
    <t>Players Awards: 4200</t>
  </si>
  <si>
    <t>Players Awards: 10500</t>
  </si>
  <si>
    <t>Match Bet credits: 27000</t>
  </si>
  <si>
    <t>Newzealand (5000)</t>
  </si>
  <si>
    <t>1. Srajan Poojari</t>
  </si>
  <si>
    <t>3. Afaq Warraich</t>
  </si>
  <si>
    <t>Away( Srilanka ): 6000 bet ( Lost )</t>
  </si>
  <si>
    <t>3. Crecsent Carnage ( Away )</t>
  </si>
  <si>
    <t>2. Crecsent Carnage ( Away )</t>
  </si>
  <si>
    <t>Player Awards: 4500</t>
  </si>
  <si>
    <t>Away(Australia): 5000 (Lost)</t>
  </si>
  <si>
    <t>1. Mallu Pak</t>
  </si>
  <si>
    <t>1. Nasrullah Kapri</t>
  </si>
  <si>
    <t>4. Naveen</t>
  </si>
  <si>
    <t>Home( West Indies): 5000 bet ( Won )</t>
  </si>
  <si>
    <t>4. Trans Tasman ( Away )</t>
  </si>
  <si>
    <t xml:space="preserve">Whitewash loss: </t>
  </si>
  <si>
    <t>1. Ram</t>
  </si>
  <si>
    <t>Home (Scotland): 5000 (Lost )</t>
  </si>
  <si>
    <t>1. Soverign Crown</t>
  </si>
  <si>
    <t>4. Zarnish Saira</t>
  </si>
  <si>
    <t>Away( Newzealand): 3000 bet ( Lost )</t>
  </si>
  <si>
    <t>1. Deepjyoti</t>
  </si>
  <si>
    <t>4. Rhine Indus ( Away )</t>
  </si>
  <si>
    <t>3. Sons &amp; Daughter (Away)</t>
  </si>
  <si>
    <t>3. 30 to 35: 10000</t>
  </si>
  <si>
    <t>1. Nasrullah</t>
  </si>
  <si>
    <t>Away (West Indies): 5000 (Won)</t>
  </si>
  <si>
    <t>5. Yeshwanth Chinni</t>
  </si>
  <si>
    <t>2. Bangladesh Shaheen</t>
  </si>
  <si>
    <t xml:space="preserve">2. Rahul </t>
  </si>
  <si>
    <t>Away( Australia): 5000 bet ( Won )</t>
  </si>
  <si>
    <t>5. Orange Black ( Away )</t>
  </si>
  <si>
    <t>2. Kiwi Elephant</t>
  </si>
  <si>
    <t>3. Hirak</t>
  </si>
  <si>
    <t>5. Ali Abbas Bangash</t>
  </si>
  <si>
    <t>Home( West Indies): 5000 bet ( Lost )</t>
  </si>
  <si>
    <t>5. Khyber Cup (Away )</t>
  </si>
  <si>
    <t>4. 36 to 40: 10000</t>
  </si>
  <si>
    <t>Away (Bangladesh): 5000 (Won)</t>
  </si>
  <si>
    <t>6. Gautam Shankara Ram</t>
  </si>
  <si>
    <t>Home ( South Africa ): 5000 bet ( Lost)</t>
  </si>
  <si>
    <t>6. Silver Emerald ( Home )</t>
  </si>
  <si>
    <t>1. Mccullum Graveney ( Scotland)</t>
  </si>
  <si>
    <t>6. Arslan Ali Shani</t>
  </si>
  <si>
    <t>Away( Scotland): 5000 bet ( Won )</t>
  </si>
  <si>
    <t>6. Pollard Akhter (Away)</t>
  </si>
  <si>
    <t>Home(England): 5000 bet (Won)</t>
  </si>
  <si>
    <t>3. Kiwi Tiger</t>
  </si>
  <si>
    <t>• vs India: 300</t>
  </si>
  <si>
    <t>vs West Indies: 1000</t>
  </si>
  <si>
    <t>Away(India): 5000 bet (Lost)</t>
  </si>
  <si>
    <t>Test Series</t>
  </si>
  <si>
    <t>7. Hasan Musabir</t>
  </si>
  <si>
    <t>7. Taylor Nabi ( Home )</t>
  </si>
  <si>
    <t>2. Southee Cummins( Australia )</t>
  </si>
  <si>
    <t>• vs India: 500</t>
  </si>
  <si>
    <t>2. Nithin</t>
  </si>
  <si>
    <t>Home(India): 6000 bet (Won)</t>
  </si>
  <si>
    <t>4. Italio Kiwi</t>
  </si>
  <si>
    <t>7. Ayaan Sheikh</t>
  </si>
  <si>
    <t>Away(SL,Scot,WI): 6000 bet ( Lost)</t>
  </si>
  <si>
    <t>6. Sons &amp; Daughters of Mother Trophy (Away)</t>
  </si>
  <si>
    <t>Player Trade:</t>
  </si>
  <si>
    <t>Man of the match:1</t>
  </si>
  <si>
    <t>Home(Bangladesh): 5000 (Lost)</t>
  </si>
  <si>
    <t>8. Hrushikesh HD</t>
  </si>
  <si>
    <t>Away ( England): 5000 bet ( Lost )</t>
  </si>
  <si>
    <t>8. Archipelago Series (Home)</t>
  </si>
  <si>
    <t>8. Ayat</t>
  </si>
  <si>
    <t>Home(Bangladesh): 6000 bet (Won)</t>
  </si>
  <si>
    <t>Away( England): 5000 bet ( Lost)</t>
  </si>
  <si>
    <t>5. Tasman Indus</t>
  </si>
  <si>
    <t>7. BANK AL-HABIB (Home)</t>
  </si>
  <si>
    <t>1. Silk Steel ( Newzealand)</t>
  </si>
  <si>
    <t>Home(Newzealand): 5000 (Lost)</t>
  </si>
  <si>
    <t xml:space="preserve">1. Rahul </t>
  </si>
  <si>
    <t>9. Daniyal Sheikh</t>
  </si>
  <si>
    <t>9. Huzaifa Kaukawala</t>
  </si>
  <si>
    <t>Away( Scotland): 10000 bet ( Won )</t>
  </si>
  <si>
    <t>Best Bowler: 3 (5250)</t>
  </si>
  <si>
    <t>8. Summer Series (Home)</t>
  </si>
  <si>
    <t>Away ( Netherlands ): 5000 bet ( Won )</t>
  </si>
  <si>
    <t>1. Summan Baig from Aus - 2k</t>
  </si>
  <si>
    <t>9. Vellas Trophy (Away)</t>
  </si>
  <si>
    <t>2. Zarnish</t>
  </si>
  <si>
    <t>2. Deepjyoti</t>
  </si>
  <si>
    <t>6. Desert Kiwis</t>
  </si>
  <si>
    <t>2. Kishore Gowda</t>
  </si>
  <si>
    <t>3. Sagar</t>
  </si>
  <si>
    <t>10. Farhan Mohammad</t>
  </si>
  <si>
    <t>2. Engr to Afg( Comp for Chairman): 10000</t>
  </si>
  <si>
    <t>11. Ganesh Chunduru</t>
  </si>
  <si>
    <t>Away ( Afghanistan ): 5000 bet ( Lost )</t>
  </si>
  <si>
    <t>10. Karthik Devadiga</t>
  </si>
  <si>
    <t>Home ( Srilanka): 5000 bet ( Won )</t>
  </si>
  <si>
    <t>Away (Italy): 5000 bet (Won)</t>
  </si>
  <si>
    <t>12. Ghamshad Baloch</t>
  </si>
  <si>
    <t>Away ( Netherlands): 3000 bet ( Won )</t>
  </si>
  <si>
    <t>3. Nasrullah</t>
  </si>
  <si>
    <t>PSL ( Commentator )</t>
  </si>
  <si>
    <t>11. Kishore Gowda</t>
  </si>
  <si>
    <t>13. Haniya</t>
  </si>
  <si>
    <t>Home (Australia): 10000 bet (Lost)</t>
  </si>
  <si>
    <t>Runners Up: Shamroz</t>
  </si>
  <si>
    <t>14. Iqra Batool</t>
  </si>
  <si>
    <t>Away ( Afghanistan ): 5000 bet ( Won )</t>
  </si>
  <si>
    <t>12. Mahesh Margol</t>
  </si>
  <si>
    <t>15. Hizbullah Sahito</t>
  </si>
  <si>
    <t>Away (West Indies): 5000 bet (Won)</t>
  </si>
  <si>
    <t>4. Ans Sheikh</t>
  </si>
  <si>
    <t>Home ( Bangladesh ): 5000 bet ( Lost )</t>
  </si>
  <si>
    <t>Away(Qatar): 5000 bet (Won)</t>
  </si>
  <si>
    <t>16. Jalal Jalu</t>
  </si>
  <si>
    <t>Home (Afghanistan): 5000 bet (Lost)</t>
  </si>
  <si>
    <t>3. Iqra</t>
  </si>
  <si>
    <t>17. Khan Mahar</t>
  </si>
  <si>
    <t>13. Nithin Poojary</t>
  </si>
  <si>
    <t>14. Pratyush Mishra</t>
  </si>
  <si>
    <t>Home ( Australia ): 5000 bet ( Lost )</t>
  </si>
  <si>
    <t>3. Ram</t>
  </si>
  <si>
    <t>18. Masrifa Munni</t>
  </si>
  <si>
    <t>5. Talha</t>
  </si>
  <si>
    <t>15. Ram Thakkar</t>
  </si>
  <si>
    <t>2. Shamroz</t>
  </si>
  <si>
    <t>3. Mahesh</t>
  </si>
  <si>
    <t>19. Mian Bilal</t>
  </si>
  <si>
    <t>Home (Newzealand): 5000 bet (Lost)</t>
  </si>
  <si>
    <t>4. Ahmed</t>
  </si>
  <si>
    <t>16.  Ramith Acharya</t>
  </si>
  <si>
    <t>Traded Players:</t>
  </si>
  <si>
    <t>Home (Australia): 5000 bet (Lost)</t>
  </si>
  <si>
    <t>20. Moiz Mohsin</t>
  </si>
  <si>
    <t xml:space="preserve">3. Aniket Gavit </t>
  </si>
  <si>
    <t>21. Muhammad Ali</t>
  </si>
  <si>
    <t>Home(Qatar): 5000 bet (Won)</t>
  </si>
  <si>
    <t>Eliminated In Group Stage: 10k</t>
  </si>
  <si>
    <t>vs Newzeland: 500</t>
  </si>
  <si>
    <t>17. Salar Shah</t>
  </si>
  <si>
    <t>Board: Qatar</t>
  </si>
  <si>
    <t>4. Hasan</t>
  </si>
  <si>
    <t>22. Muhammad Huzaifa</t>
  </si>
  <si>
    <t>Chairman: Ans Sheikh | CEO: Ebad Malik</t>
  </si>
  <si>
    <t>18. Sanan Abrar</t>
  </si>
  <si>
    <t>1. Shibasis to SA: 5000</t>
  </si>
  <si>
    <t>Away(England): 10000 bet (Lost)</t>
  </si>
  <si>
    <t>4. Gautam</t>
  </si>
  <si>
    <t>23. Wajdan</t>
  </si>
  <si>
    <t xml:space="preserve">Players Awards: 10000 </t>
  </si>
  <si>
    <t>3. Ganesh Chunduru</t>
  </si>
  <si>
    <t>19. Toby Joseph</t>
  </si>
  <si>
    <t>2. Ashutoh from BD: 5000</t>
  </si>
  <si>
    <t>24. Nouraiz</t>
  </si>
  <si>
    <t>1. Bhavin Kumar</t>
  </si>
  <si>
    <t>20. Tukaram Parabat</t>
  </si>
  <si>
    <t>3. Ajith to India: 10000</t>
  </si>
  <si>
    <t>25. Rima Naskar Sona</t>
  </si>
  <si>
    <t>Best Bat Average(65.5): 5000</t>
  </si>
  <si>
    <t>1. Adnan Khalid</t>
  </si>
  <si>
    <t>21. Vikas Acharya</t>
  </si>
  <si>
    <t>26. Sanjana</t>
  </si>
  <si>
    <t>2. Nasrullah</t>
  </si>
  <si>
    <t>1. Freedom Trophy ( Home )</t>
  </si>
  <si>
    <t>BBL ( Commentator )</t>
  </si>
  <si>
    <t>22. Yashwanth Yash</t>
  </si>
  <si>
    <t>5. Toby</t>
  </si>
  <si>
    <t>27. Sheikh Arhum</t>
  </si>
  <si>
    <t>Fastest Host of IOCF: 5000</t>
  </si>
  <si>
    <t>23. Ashwini</t>
  </si>
  <si>
    <t>2. Huzaifa Imran</t>
  </si>
  <si>
    <t>Away( Newzealand ): 3000 bet ( Lost )</t>
  </si>
  <si>
    <t>Man of the match: 3</t>
  </si>
  <si>
    <t>1. Against Australia: 1</t>
  </si>
  <si>
    <t>2. Van Ghani ( Away )</t>
  </si>
  <si>
    <t>1. Jishnu to Scotland - 1000</t>
  </si>
  <si>
    <t>28. Shumaila</t>
  </si>
  <si>
    <t>Match Bet credits: 37000</t>
  </si>
  <si>
    <t>24. Azeem</t>
  </si>
  <si>
    <t>29. Sidra</t>
  </si>
  <si>
    <t>3. Muzammil Zafar</t>
  </si>
  <si>
    <t>Home( Srilanka) : 5000 bet ( Lost )</t>
  </si>
  <si>
    <t>30. Summan Baig</t>
  </si>
  <si>
    <t>3. Afghan Pak ( Home )</t>
  </si>
  <si>
    <t>Players Awards: 1100</t>
  </si>
  <si>
    <t>2. Ahmed from Qatar - 2000</t>
  </si>
  <si>
    <t>Players Awards: 11000</t>
  </si>
  <si>
    <t>Home (India): 7000 bet (Won)</t>
  </si>
  <si>
    <t>1. Valley Trophy A (Away)</t>
  </si>
  <si>
    <t>1. Malik Zubair</t>
  </si>
  <si>
    <t>31. Suranja Deepal</t>
  </si>
  <si>
    <t>32. Wafa Baloch</t>
  </si>
  <si>
    <t>4. Zohaib Khan Tareen</t>
  </si>
  <si>
    <t>25. Ashutosh Sha</t>
  </si>
  <si>
    <t>Home ( England): 3000 bet ( Won )</t>
  </si>
  <si>
    <t>5. Harish</t>
  </si>
  <si>
    <t>4. Khyber Dutch (Home)</t>
  </si>
  <si>
    <t>33. Talha D'Crewz</t>
  </si>
  <si>
    <t>1. Farhan Mallick</t>
  </si>
  <si>
    <t>3. Ebad from Qatar - 2000</t>
  </si>
  <si>
    <t>4. Azeem</t>
  </si>
  <si>
    <t>Away (Srilanka): 10000 bet (Won)</t>
  </si>
  <si>
    <t>2. Valley Trophy B (Home)</t>
  </si>
  <si>
    <t>5. Sufyan Gujjar</t>
  </si>
  <si>
    <t>34. Umar Abbas</t>
  </si>
  <si>
    <t>Most sixes: 2</t>
  </si>
  <si>
    <t>Away ( South Africa): 6000 bet ( Lost )</t>
  </si>
  <si>
    <t>5. Clash of the Neighbours  (Away)</t>
  </si>
  <si>
    <t>4. Abdul from Qatar - 2000</t>
  </si>
  <si>
    <t>35. Usman</t>
  </si>
  <si>
    <t>Home (Srilanka): 10000 bet (Won)</t>
  </si>
  <si>
    <t>3. Kabul Trophy</t>
  </si>
  <si>
    <t>6. Suhyl Muhammad</t>
  </si>
  <si>
    <t>Away ( Australia): 7000 bet ( Lost )</t>
  </si>
  <si>
    <t>6. Freedom Jalebi Trophy (Away)</t>
  </si>
  <si>
    <t>5. Abul from BD - 15000</t>
  </si>
  <si>
    <t>4. Desert Tulip</t>
  </si>
  <si>
    <t>6. Yashwanth</t>
  </si>
  <si>
    <t>4. Muhammad Ahmed</t>
  </si>
  <si>
    <t>6. Srajan</t>
  </si>
  <si>
    <t>Eliminated in Super Six: 15000</t>
  </si>
  <si>
    <t>7. Gautam</t>
  </si>
  <si>
    <t>7. Anas Asim</t>
  </si>
  <si>
    <t>Away ( Netherlands): 5000 bet ( Won )</t>
  </si>
  <si>
    <t>7. Desert Derby (Away)</t>
  </si>
  <si>
    <t>6. Harsh from BD - 15000</t>
  </si>
  <si>
    <t>2. Anas Asim</t>
  </si>
  <si>
    <t>8. Kishore</t>
  </si>
  <si>
    <t>Home (West Indies): 5000 bet (Lost)</t>
  </si>
  <si>
    <t>5. Dunes Cup</t>
  </si>
  <si>
    <t>Best Batsman : 1</t>
  </si>
  <si>
    <t>2. Adithya Mahajan</t>
  </si>
  <si>
    <t>8. Mudasir Ali</t>
  </si>
  <si>
    <t>Away ( West Indies): 3000 bet ( Lost )</t>
  </si>
  <si>
    <t>7. Harsh to Aus - 60000</t>
  </si>
  <si>
    <t>Home (Netherlands): 5000 bet (Won)</t>
  </si>
  <si>
    <t>9. Suman Pradhan</t>
  </si>
  <si>
    <t>5. Hizbullah Sahito</t>
  </si>
  <si>
    <t>Away ( Bangladesh ): 5000 bet ( Lost )</t>
  </si>
  <si>
    <t>2. Malik Zubair</t>
  </si>
  <si>
    <t>8. Veer from ND: 10000</t>
  </si>
  <si>
    <t>3. Saad Rizwan</t>
  </si>
  <si>
    <t>Team Profit: 35400</t>
  </si>
  <si>
    <t>Team Profit: 6250</t>
  </si>
  <si>
    <t>1. Ram Thakkar</t>
  </si>
  <si>
    <t>1. Gowri Madhu</t>
  </si>
  <si>
    <t>10. SV</t>
  </si>
  <si>
    <t>1. Srajan Poojary</t>
  </si>
  <si>
    <t>Home ( Pakistan ): 5000 bet ( Won )</t>
  </si>
  <si>
    <t>1. Kishore Gowda</t>
  </si>
  <si>
    <t>• Most Sixes: 300</t>
  </si>
  <si>
    <t>3. Huzaifa</t>
  </si>
  <si>
    <t>11. Abdullah Ishtiaq</t>
  </si>
  <si>
    <t>Away ( Newzealand ): 5000 bet ( Lost )</t>
  </si>
  <si>
    <t>Best Batsman: 2 ( 400 )</t>
  </si>
  <si>
    <t>Eliminated in group stage: 10k</t>
  </si>
  <si>
    <t>Best Batsman:1 ( 200 )</t>
  </si>
  <si>
    <t>4. Ebad Malik</t>
  </si>
  <si>
    <t>2. Yashwanth Yash</t>
  </si>
  <si>
    <t>2. Gautam Shankara Ram</t>
  </si>
  <si>
    <t>2. Suman</t>
  </si>
  <si>
    <t>3. Mahesh Margol</t>
  </si>
  <si>
    <t>3. Hasan Musabbir</t>
  </si>
  <si>
    <t>12. Muhammad Ahmed Mughal</t>
  </si>
  <si>
    <t>vs Srilanka: 1000</t>
  </si>
  <si>
    <t>Most Sixes Tournament Award: 5000</t>
  </si>
  <si>
    <t>13. Saad Rizwan</t>
  </si>
  <si>
    <t>4. Harish</t>
  </si>
  <si>
    <t>Home (Netherlands): 4000 bet (Won)</t>
  </si>
  <si>
    <t>Fantasy League Winner</t>
  </si>
  <si>
    <t>5. Ahmed Mughal</t>
  </si>
  <si>
    <t>14. Abdul Haseeb</t>
  </si>
  <si>
    <t>Malik Zubair: 30000</t>
  </si>
  <si>
    <t>Team Profit: 9100</t>
  </si>
  <si>
    <t>Team Profit: 5850</t>
  </si>
  <si>
    <t>Team Profit: 5160</t>
  </si>
  <si>
    <t>Team Profit: 11460</t>
  </si>
  <si>
    <t>Team Profit: 5000</t>
  </si>
  <si>
    <t>Team Profit: 11000</t>
  </si>
  <si>
    <t>1. Zarnish Saira</t>
  </si>
  <si>
    <t>15. Aman Raj Singh</t>
  </si>
  <si>
    <t>1. Ans Sheikh</t>
  </si>
  <si>
    <t>1. Shamroz</t>
  </si>
  <si>
    <t>Away(South Africa): 5000 bet (Won)</t>
  </si>
  <si>
    <t>1. Mahesh Margol</t>
  </si>
  <si>
    <t>1. Gautam</t>
  </si>
  <si>
    <t>4. Adithya</t>
  </si>
  <si>
    <t>Salary(Replacement Player): 1000</t>
  </si>
  <si>
    <t>Direct Signing: 4500</t>
  </si>
  <si>
    <t>Salary: 5200</t>
  </si>
  <si>
    <t>16. Rao Abul</t>
  </si>
  <si>
    <t>Salary: 5250</t>
  </si>
  <si>
    <t>Runners Up: 2850</t>
  </si>
  <si>
    <t>Away(UAE): 3000 bet (Won)</t>
  </si>
  <si>
    <t>Salary: 3200</t>
  </si>
  <si>
    <t>2. Gowri Madhu</t>
  </si>
  <si>
    <t>Man of the Match: 1 (500)</t>
  </si>
  <si>
    <t>Pakistan Super League ( Own League )</t>
  </si>
  <si>
    <t>17. Suleman Haider</t>
  </si>
  <si>
    <t>Hosting Rights : 50000</t>
  </si>
  <si>
    <t>2. Tukaram Parabat</t>
  </si>
  <si>
    <t>All Team Profit: 142880</t>
  </si>
  <si>
    <t>3. Hrushikesh HD</t>
  </si>
  <si>
    <t>3. Harish</t>
  </si>
  <si>
    <t>18. Syed Raza</t>
  </si>
  <si>
    <t>Board: Scotland</t>
  </si>
  <si>
    <t>Team Profit: 61340</t>
  </si>
  <si>
    <t>Team Profit: 14100</t>
  </si>
  <si>
    <t>Team Profit: 14400</t>
  </si>
  <si>
    <t>Team Profit: 13900</t>
  </si>
  <si>
    <t>2. Hasan</t>
  </si>
  <si>
    <t>19. Umar Shahzad</t>
  </si>
  <si>
    <t>Team Profit: 21080</t>
  </si>
  <si>
    <t>Team Profit: 24160</t>
  </si>
  <si>
    <t>1. Muhammad Usman</t>
  </si>
  <si>
    <t>20. Waleed Khan</t>
  </si>
  <si>
    <t>1. Engr Ans Sheikh</t>
  </si>
  <si>
    <t>Salary: 2600</t>
  </si>
  <si>
    <t>Chairman: Ajaykumar Sajeev | CEO: Jishnu</t>
  </si>
  <si>
    <t>Captain Salary: 7000</t>
  </si>
  <si>
    <t>4. Aniket Gavi</t>
  </si>
  <si>
    <t>Man of the Match: 3 ( 1500 )</t>
  </si>
  <si>
    <t>5. Farhan</t>
  </si>
  <si>
    <t>2. Hizbullah Sahito</t>
  </si>
  <si>
    <t>Fair Play(Captain): 1540</t>
  </si>
  <si>
    <t>Icon Salary: 4000</t>
  </si>
  <si>
    <t>2. Arslan Ali Shani</t>
  </si>
  <si>
    <t>Most Sixes: 5000</t>
  </si>
  <si>
    <t>Runners up ( Captain ): 2880</t>
  </si>
  <si>
    <t>Champions ( Captain ) : 5190</t>
  </si>
  <si>
    <t>3. M Huzaifa</t>
  </si>
  <si>
    <t>All Team Profit: 118800</t>
  </si>
  <si>
    <t>2. Ganesh Chunduru</t>
  </si>
  <si>
    <t>6. Mudasir Ali</t>
  </si>
  <si>
    <t>2. Ayaan Sheikh</t>
  </si>
  <si>
    <t>3. Moiz Mohsin</t>
  </si>
  <si>
    <t>3. Ghamshad Baloch</t>
  </si>
  <si>
    <t>3. Talha</t>
  </si>
  <si>
    <t>4. Khan Mahar</t>
  </si>
  <si>
    <t>3. Masrifa Munni</t>
  </si>
  <si>
    <t>7. Ahmed</t>
  </si>
  <si>
    <t>3. Wafa Baloch</t>
  </si>
  <si>
    <t>Team Profit: 7000</t>
  </si>
  <si>
    <t>4. Suranja</t>
  </si>
  <si>
    <t>Team Profit: 7600</t>
  </si>
  <si>
    <t>Team Profit: 25500</t>
  </si>
  <si>
    <t>4. Ayat</t>
  </si>
  <si>
    <t>Team Profit: 24500</t>
  </si>
  <si>
    <t>Team Profit: 17700</t>
  </si>
  <si>
    <t>Team Profit: 31000</t>
  </si>
  <si>
    <t>4. Ahmed Mahsoof</t>
  </si>
  <si>
    <t>1. Harish</t>
  </si>
  <si>
    <t>8. Ans Sheikh</t>
  </si>
  <si>
    <t>1. Hasan</t>
  </si>
  <si>
    <t>1. Mahesh</t>
  </si>
  <si>
    <t>1. Abhinand</t>
  </si>
  <si>
    <t>1. Aniket</t>
  </si>
  <si>
    <t>1. Kishore</t>
  </si>
  <si>
    <t>5. Mian Bilal</t>
  </si>
  <si>
    <t>1. Mccullum Graveney ( Away )</t>
  </si>
  <si>
    <t>6. Wajdan</t>
  </si>
  <si>
    <t>Emerging Player: 5000</t>
  </si>
  <si>
    <t>2. Hrushikesh</t>
  </si>
  <si>
    <t>Rating By All Boards on PSL 2026(9 out of 10): 45000 credits</t>
  </si>
  <si>
    <t>2. Tukaram</t>
  </si>
  <si>
    <t>Man of the match: 1 ( 1000 )</t>
  </si>
  <si>
    <t xml:space="preserve"> Best Batsman: 1 (500)</t>
  </si>
  <si>
    <t>Best Bowler: 2 ( 1000 )</t>
  </si>
  <si>
    <t>2. Shibasis</t>
  </si>
  <si>
    <t>All Team Profit: 185700</t>
  </si>
  <si>
    <t>Man of the Match: 2 ( 2000 )</t>
  </si>
  <si>
    <t>Jishnu from Afghanistan</t>
  </si>
  <si>
    <t>2. Gautam</t>
  </si>
  <si>
    <t>Away( Westindies/Scotland): 5000 ( Lost )</t>
  </si>
  <si>
    <t>2. Macleod Bardman ( Home )</t>
  </si>
  <si>
    <t>1. Mcculim Graveney ( Away )</t>
  </si>
  <si>
    <t xml:space="preserve">Players Awards: 35000 </t>
  </si>
  <si>
    <t>Team Profit: 2900</t>
  </si>
  <si>
    <t>Match Bet credits: 28000</t>
  </si>
  <si>
    <t>4. Sameer</t>
  </si>
  <si>
    <t>Team Profit: 90400</t>
  </si>
  <si>
    <t>Team Profit: 55500</t>
  </si>
  <si>
    <t>Team Profit: 4000</t>
  </si>
  <si>
    <t>1. Ganesh</t>
  </si>
  <si>
    <t>1. Ahmad</t>
  </si>
  <si>
    <t>Hosting Amount: 101k</t>
  </si>
  <si>
    <t>4. Yashwanth</t>
  </si>
  <si>
    <t>1. Ayaan</t>
  </si>
  <si>
    <t>5. Salar Shah</t>
  </si>
  <si>
    <t>1. Hizbullah</t>
  </si>
  <si>
    <t>Kiwi Crown League ( Own League )</t>
  </si>
  <si>
    <t>3. Afsal OCA</t>
  </si>
  <si>
    <t xml:space="preserve">Player limit increased: </t>
  </si>
  <si>
    <t>Best Bowler: 4 (2000 )</t>
  </si>
  <si>
    <t>Away( England ): 5000 ( Lost )</t>
  </si>
  <si>
    <t>2. Arslan</t>
  </si>
  <si>
    <t>Golden Arm(Best Bowler): 20000</t>
  </si>
  <si>
    <t>3. Coca Cola Series ( Away )</t>
  </si>
  <si>
    <t>Players Awards: 6700</t>
  </si>
  <si>
    <t>1. Hashir</t>
  </si>
  <si>
    <t>Player Awards: 16000</t>
  </si>
  <si>
    <t>Most Sixers: 10000</t>
  </si>
  <si>
    <t>1. Anas Asim</t>
  </si>
  <si>
    <t>Home (West Indies): 5000 bet ( Lost )</t>
  </si>
  <si>
    <t>1. Palmyra Trophy</t>
  </si>
  <si>
    <t>Scotland (10000)</t>
  </si>
  <si>
    <t>3. Usman</t>
  </si>
  <si>
    <t xml:space="preserve">1. Jishnu </t>
  </si>
  <si>
    <t>1. Dr Waleed Khan</t>
  </si>
  <si>
    <t>2. Munni</t>
  </si>
  <si>
    <t>Hosting Rights : 160000</t>
  </si>
  <si>
    <t>3. Engr</t>
  </si>
  <si>
    <t>4. Akshay Varnam</t>
  </si>
  <si>
    <t>All Team Profit: 560000</t>
  </si>
  <si>
    <t>4. Aaiz</t>
  </si>
  <si>
    <t>Home ( pakistan): 5000 ( Lost )</t>
  </si>
  <si>
    <t>Economical Bowler Award: 5000</t>
  </si>
  <si>
    <t>4. Euro Cup ( Away )</t>
  </si>
  <si>
    <t>1. Jishnu</t>
  </si>
  <si>
    <t>2. Farhan Mallick</t>
  </si>
  <si>
    <t>Most Sixes(18): 5000</t>
  </si>
  <si>
    <t>1.  Irshad</t>
  </si>
  <si>
    <t>Away ( West Indies ): 5000 bet ( Won )</t>
  </si>
  <si>
    <t>2. Mediterranean Saltire</t>
  </si>
  <si>
    <t>5. Wajdan</t>
  </si>
  <si>
    <t>Scotland(15000)</t>
  </si>
  <si>
    <t>Team Profit: 52270</t>
  </si>
  <si>
    <t>Team Profit: 7700</t>
  </si>
  <si>
    <t xml:space="preserve">Team Profit: 7300 </t>
  </si>
  <si>
    <t xml:space="preserve">1. Waleed Khan </t>
  </si>
  <si>
    <t>1. M Touqeer</t>
  </si>
  <si>
    <t>Direct Signing: 4000</t>
  </si>
  <si>
    <t>5. Amal</t>
  </si>
  <si>
    <t>1. Gautam Shankara Ram</t>
  </si>
  <si>
    <t>3. Umar Khan</t>
  </si>
  <si>
    <t>Away( Newzealand): 5000 ( Won )</t>
  </si>
  <si>
    <t>1. Hrushikesh HD</t>
  </si>
  <si>
    <t>3. Sufyan</t>
  </si>
  <si>
    <t>1. Shibasis Nayak</t>
  </si>
  <si>
    <t xml:space="preserve">1. Ram Thakkar </t>
  </si>
  <si>
    <t>Man of the match : 1</t>
  </si>
  <si>
    <t>2. Saad Rizwan</t>
  </si>
  <si>
    <t>Captain Salary: 40000</t>
  </si>
  <si>
    <t>2. Shafi</t>
  </si>
  <si>
    <t>3. Kiwi Thistle</t>
  </si>
  <si>
    <t>Best Captain:</t>
  </si>
  <si>
    <t>Amjith (20000)</t>
  </si>
  <si>
    <t>1. Ganesh Chunduru</t>
  </si>
  <si>
    <t>3. Adithya Mahajan</t>
  </si>
  <si>
    <t>1. Summan Baig</t>
  </si>
  <si>
    <t>1. Aaiz Khan</t>
  </si>
  <si>
    <t>2. Karthik Devadiga</t>
  </si>
  <si>
    <t>2. Suman Byndoor</t>
  </si>
  <si>
    <t>Fair Play(Captain): 5565</t>
  </si>
  <si>
    <t>2. Srajan Poojary</t>
  </si>
  <si>
    <t>Best Bowler: 3 (600)</t>
  </si>
  <si>
    <t>Champions(Captain): 21500</t>
  </si>
  <si>
    <t>6. Amjith</t>
  </si>
  <si>
    <t>Home ( Australia): 5000 ( Won )</t>
  </si>
  <si>
    <t>Best Bowler of the Tournament: 10000</t>
  </si>
  <si>
    <t>1. Thistle shaheen ( Home )</t>
  </si>
  <si>
    <t>2. Muhammad Usman</t>
  </si>
  <si>
    <t>Player of the Tournament: 20000</t>
  </si>
  <si>
    <t>Best Bowler: 10000</t>
  </si>
  <si>
    <t>Away (Newzealand): 5000 bet ( Won )</t>
  </si>
  <si>
    <t>4. Celtic Kiwi</t>
  </si>
  <si>
    <t>2. Adarsh Byndoor</t>
  </si>
  <si>
    <t>Champions:</t>
  </si>
  <si>
    <t>2. Nouraiz</t>
  </si>
  <si>
    <t>Runners Up(Captain): 10750</t>
  </si>
  <si>
    <t>Emerging Player: 20000</t>
  </si>
  <si>
    <t>2. Kebin</t>
  </si>
  <si>
    <t>3. Ramith Acharya</t>
  </si>
  <si>
    <t xml:space="preserve">Big Bash League </t>
  </si>
  <si>
    <t>3. Pratyush Mishra</t>
  </si>
  <si>
    <t>2. Hasan Musabir</t>
  </si>
  <si>
    <t>2. Nithin Poojary</t>
  </si>
  <si>
    <t>3. Huzaifa Kaukawala</t>
  </si>
  <si>
    <t>3. Ali Abbas Bangesh</t>
  </si>
  <si>
    <t>4. Toby Joseph</t>
  </si>
  <si>
    <t>4. Muhammad Ali</t>
  </si>
  <si>
    <t>7. Anandhu</t>
  </si>
  <si>
    <t>4. Manish Poojary</t>
  </si>
  <si>
    <t>Away ( SL, Pak, WI): 6000 ( Won )</t>
  </si>
  <si>
    <t>3. Vijeth Devadiga</t>
  </si>
  <si>
    <t>World T20 Champions 2026</t>
  </si>
  <si>
    <t>4. Naveen J</t>
  </si>
  <si>
    <t>2. Crescent Carnage ( Home )</t>
  </si>
  <si>
    <t>Team Profit: 18300</t>
  </si>
  <si>
    <t>Man of the Tournament: 20000</t>
  </si>
  <si>
    <t>Team Profit: 18400</t>
  </si>
  <si>
    <t>Man of the Match: 4</t>
  </si>
  <si>
    <t>Team Profit: 3700</t>
  </si>
  <si>
    <t>Team Profit: 15000</t>
  </si>
  <si>
    <t>Home (Newzealand): 5000  bet (Won)</t>
  </si>
  <si>
    <t>4. Kavya</t>
  </si>
  <si>
    <t>5. Highland Tigers</t>
  </si>
  <si>
    <t>1. Adithya</t>
  </si>
  <si>
    <t>1. Waleed</t>
  </si>
  <si>
    <t>1. Anas</t>
  </si>
  <si>
    <t>1. Touqeer</t>
  </si>
  <si>
    <t>5. Samir</t>
  </si>
  <si>
    <t>5. Vikas Acharya</t>
  </si>
  <si>
    <t>8. Ansar</t>
  </si>
  <si>
    <t>2. Mudasir</t>
  </si>
  <si>
    <t>Home ( Pakistan ): 10000 ( Lost )</t>
  </si>
  <si>
    <t>2. Adnan Abbas</t>
  </si>
  <si>
    <t>2. Saad</t>
  </si>
  <si>
    <t>Rating By All Boards on The Hundred 2026(9 out of 10): 45000 credits</t>
  </si>
  <si>
    <t>Away (Bangladesh): 5000 bet (Lost)</t>
  </si>
  <si>
    <t>6. Madsen Berrington</t>
  </si>
  <si>
    <t xml:space="preserve">Kiwi Crown League : 000 </t>
  </si>
  <si>
    <t>9. Arshad</t>
  </si>
  <si>
    <t>Away ( Srilanka ): 5000 ( Lost )</t>
  </si>
  <si>
    <t>Champions: 80000</t>
  </si>
  <si>
    <t>vs Newzealand: 1000</t>
  </si>
  <si>
    <t>Home (Bangladesh): 5000 bet (Won)</t>
  </si>
  <si>
    <t>7. The Ravana Cup</t>
  </si>
  <si>
    <t>All Team Profit: 0000</t>
  </si>
  <si>
    <t>10. Arshad N</t>
  </si>
  <si>
    <t>Away ( Netherlands ): 5000 ( Won )</t>
  </si>
  <si>
    <t>Away(Scotland): 3000 bet (Lost)</t>
  </si>
  <si>
    <t>8. Latitude Clash</t>
  </si>
  <si>
    <t>3. Resham Das</t>
  </si>
  <si>
    <t>1. Aaiz</t>
  </si>
  <si>
    <t>11. Ashiqui Ashi</t>
  </si>
  <si>
    <t>1. Ahmed</t>
  </si>
  <si>
    <t>1. Huzaifa Imran</t>
  </si>
  <si>
    <t>1. Saad Rizwan</t>
  </si>
  <si>
    <t>1. Adithya Mahajan</t>
  </si>
  <si>
    <t>1. Waleed Khan</t>
  </si>
  <si>
    <t xml:space="preserve">Salary: 19000 </t>
  </si>
  <si>
    <t xml:space="preserve">1. Hrushikesh </t>
  </si>
  <si>
    <t>Prediction 4th Place: 5000</t>
  </si>
  <si>
    <t xml:space="preserve">1. Tukaram </t>
  </si>
  <si>
    <t>vs UAE: 1000</t>
  </si>
  <si>
    <t>9. Highland Falcons</t>
  </si>
  <si>
    <t>2. SK Haseeb Ali</t>
  </si>
  <si>
    <t>12. Ashith S</t>
  </si>
  <si>
    <t xml:space="preserve">1. Huzaifa </t>
  </si>
  <si>
    <t>Semifinalit: Abhinand</t>
  </si>
  <si>
    <t>Best Batsman:1 (1000)</t>
  </si>
  <si>
    <t xml:space="preserve">1. Aniket </t>
  </si>
  <si>
    <t>Man of the match : 4</t>
  </si>
  <si>
    <t>2. Zuhair</t>
  </si>
  <si>
    <t>2. Usman</t>
  </si>
  <si>
    <t>3. Ganesh</t>
  </si>
  <si>
    <t xml:space="preserve">1. Adarsh </t>
  </si>
  <si>
    <t>2. Touqeer</t>
  </si>
  <si>
    <t>3. Mian</t>
  </si>
  <si>
    <t>1. Sanan</t>
  </si>
  <si>
    <t xml:space="preserve">Salary: 2500 </t>
  </si>
  <si>
    <t>4. Akshay</t>
  </si>
  <si>
    <t>3. Mudasir Ali</t>
  </si>
  <si>
    <t>Player of the Tournament: 80000</t>
  </si>
  <si>
    <t>3. Umar Abbas</t>
  </si>
  <si>
    <t>4. Wafa</t>
  </si>
  <si>
    <t xml:space="preserve">2. Srajan </t>
  </si>
  <si>
    <t>4. Abdullah Ishtiaq</t>
  </si>
  <si>
    <t>2. Pratyush</t>
  </si>
  <si>
    <t>3. Rao Abul</t>
  </si>
  <si>
    <t xml:space="preserve">2. Mahesh </t>
  </si>
  <si>
    <t>5. Summan</t>
  </si>
  <si>
    <t>2. Umar Khan</t>
  </si>
  <si>
    <t>13. Asthu Mohammad</t>
  </si>
  <si>
    <t xml:space="preserve">2. Vikas </t>
  </si>
  <si>
    <t>2. Ramith</t>
  </si>
  <si>
    <t xml:space="preserve">2. Toby </t>
  </si>
  <si>
    <t>6. Ali Bangesh</t>
  </si>
  <si>
    <t>Salary: 13000</t>
  </si>
  <si>
    <t xml:space="preserve">14. Athul </t>
  </si>
  <si>
    <t>3. Hasan</t>
  </si>
  <si>
    <t>5. Adnan Khalid</t>
  </si>
  <si>
    <t>2. Thesbeer</t>
  </si>
  <si>
    <t>3. Karthik</t>
  </si>
  <si>
    <t>Away(Srilanka): 6000 bet  (Won)</t>
  </si>
  <si>
    <t>15. Blesson Devassi</t>
  </si>
  <si>
    <t>3. Nithin</t>
  </si>
  <si>
    <t>Away(UAE): 5000 bet (Won)</t>
  </si>
  <si>
    <t>16. Bijoy</t>
  </si>
  <si>
    <t>• vs India(Semis): 500</t>
  </si>
  <si>
    <t xml:space="preserve">4. Naveen </t>
  </si>
  <si>
    <t>6. Sufyan Gujjar</t>
  </si>
  <si>
    <t>17. Chappy MK</t>
  </si>
  <si>
    <t>3. Hashir</t>
  </si>
  <si>
    <t xml:space="preserve">5. Yeshwanth </t>
  </si>
  <si>
    <t>18. Dingan</t>
  </si>
  <si>
    <t>7. Muzamil</t>
  </si>
  <si>
    <t>19. Ershad</t>
  </si>
  <si>
    <t>20. Hari M</t>
  </si>
  <si>
    <t>• vs India(Semis): 300</t>
  </si>
  <si>
    <t>21. Harishankar</t>
  </si>
  <si>
    <t>22. Hashir</t>
  </si>
  <si>
    <t>Most sixes: 3</t>
  </si>
  <si>
    <t>4. Ershad</t>
  </si>
  <si>
    <t>23. Huzain Muhammad</t>
  </si>
  <si>
    <t>24. Irshad Bekal</t>
  </si>
  <si>
    <t>(AFG)Withdrawn from BPL: 150000 Fine</t>
  </si>
  <si>
    <t>25. Jasheer V</t>
  </si>
  <si>
    <t>5. Ashith</t>
  </si>
  <si>
    <t>26. Kailas</t>
  </si>
  <si>
    <t>4. Shukoor</t>
  </si>
  <si>
    <t>27. Kebin</t>
  </si>
  <si>
    <t>28. Libin Thomas</t>
  </si>
  <si>
    <t>29. MS</t>
  </si>
  <si>
    <t>5. Irshad Bekal</t>
  </si>
  <si>
    <t>6. Asthu</t>
  </si>
  <si>
    <t>30. Rojo</t>
  </si>
  <si>
    <t>31. Sajith</t>
  </si>
  <si>
    <t>• vs England(Final): 500</t>
  </si>
  <si>
    <t>32. Salimax</t>
  </si>
  <si>
    <t>6. Kebin</t>
  </si>
  <si>
    <t>33. Shaheen</t>
  </si>
  <si>
    <t>34. Shehinsha</t>
  </si>
  <si>
    <t>• vs England(Final): 1000</t>
  </si>
  <si>
    <t>7. Salimax</t>
  </si>
  <si>
    <t>35. Shinu</t>
  </si>
  <si>
    <t>36. Shukoor</t>
  </si>
  <si>
    <t>1. Azeem</t>
  </si>
  <si>
    <t>37. Sufaid</t>
  </si>
  <si>
    <t>1. Mian</t>
  </si>
  <si>
    <t>1. Hasan Musabir</t>
  </si>
  <si>
    <t>8. Ajaykumar</t>
  </si>
  <si>
    <t>38. Thanvin</t>
  </si>
  <si>
    <t>39. Thebseer</t>
  </si>
  <si>
    <t>40. Vivek</t>
  </si>
  <si>
    <t>Man of the Match: 1 (3000)</t>
  </si>
  <si>
    <t>41. Yadhu</t>
  </si>
  <si>
    <t>2. Ganesh</t>
  </si>
  <si>
    <t>42. Zuhaid Mohd</t>
  </si>
  <si>
    <t>Best Bowler:1 (1500)</t>
  </si>
  <si>
    <t>1. Ans</t>
  </si>
  <si>
    <t>Most Sixes Award: 40000</t>
  </si>
  <si>
    <t>43. Ajoy</t>
  </si>
  <si>
    <t>1. Mudasir Ali</t>
  </si>
  <si>
    <t>3. Ashutosh</t>
  </si>
  <si>
    <t>vs UAE: 500</t>
  </si>
  <si>
    <t>2. Haniya</t>
  </si>
  <si>
    <t xml:space="preserve">2. Ajith </t>
  </si>
  <si>
    <t xml:space="preserve">3. Nasrullah </t>
  </si>
  <si>
    <t>9. Jishnu</t>
  </si>
  <si>
    <t>2. Mahesh Margol</t>
  </si>
  <si>
    <t>Man of the match: 3 (6000)</t>
  </si>
  <si>
    <t>Best Bowler: 3 (3000)</t>
  </si>
  <si>
    <t>2. Aaiz</t>
  </si>
  <si>
    <t>3. Yeshwanth</t>
  </si>
  <si>
    <t>Best Bowler: 4 (6000)</t>
  </si>
  <si>
    <t>10. Hari M</t>
  </si>
  <si>
    <t>Purple Cap Award: 80000</t>
  </si>
  <si>
    <t>2. Abdullah Ishtiaq</t>
  </si>
  <si>
    <t>3. Hrushikesh</t>
  </si>
  <si>
    <t>Salary: 37000</t>
  </si>
  <si>
    <t>3. Tukaram Parabat</t>
  </si>
  <si>
    <t>4. Adarsh Byndoor</t>
  </si>
  <si>
    <t>4. Nithin</t>
  </si>
  <si>
    <t>Salary: 47000</t>
  </si>
  <si>
    <t>4. Sidra</t>
  </si>
  <si>
    <t>4. Ashwini</t>
  </si>
  <si>
    <t>3. Suman Pradhan</t>
  </si>
  <si>
    <t>5. Karthik Devadiga</t>
  </si>
  <si>
    <t>6. Ali</t>
  </si>
  <si>
    <t>Best Batsman: 3 (4500)</t>
  </si>
  <si>
    <t>No one is playing: They will concetrate on series</t>
  </si>
  <si>
    <t>4. Zohaib</t>
  </si>
  <si>
    <t>Team Profit: 3800</t>
  </si>
  <si>
    <t>Team Profit: 9140</t>
  </si>
  <si>
    <t>1. Ashique Ashi</t>
  </si>
  <si>
    <t>1. Shafi</t>
  </si>
  <si>
    <t>Salary: 3800</t>
  </si>
  <si>
    <t>5. Muzamil</t>
  </si>
  <si>
    <t>2. Shukoor</t>
  </si>
  <si>
    <t>3. Huzain</t>
  </si>
  <si>
    <t>6. Sufyan</t>
  </si>
  <si>
    <t>All Team Profit: 95600</t>
  </si>
  <si>
    <t>1. Ashwini</t>
  </si>
  <si>
    <t>1. Hrushikesh</t>
  </si>
  <si>
    <t>Team Profit: 10000</t>
  </si>
  <si>
    <t>Team Profit: 3600</t>
  </si>
  <si>
    <t>Team Profit: 2200</t>
  </si>
  <si>
    <t>Team Profit: 68100</t>
  </si>
  <si>
    <t>2. Ashutosh</t>
  </si>
  <si>
    <t>2. Zarnish Saira</t>
  </si>
  <si>
    <t>1. Kebin</t>
  </si>
  <si>
    <t>1. Ashith</t>
  </si>
  <si>
    <t>1. AjayKumar</t>
  </si>
  <si>
    <t>1. Irshad</t>
  </si>
  <si>
    <t>1. Ashiqui</t>
  </si>
  <si>
    <t>1. Rojo</t>
  </si>
  <si>
    <t>3. Kishore</t>
  </si>
  <si>
    <t>2. Jishnu</t>
  </si>
  <si>
    <t>2. Thebseer</t>
  </si>
  <si>
    <t xml:space="preserve">1. Saad </t>
  </si>
  <si>
    <t>1. Suhyl Muhammad</t>
  </si>
  <si>
    <t>1. Huzaifa</t>
  </si>
  <si>
    <t>Salary:15000</t>
  </si>
  <si>
    <t>3. Shaheen</t>
  </si>
  <si>
    <t xml:space="preserve">8. Tukaram </t>
  </si>
  <si>
    <t>2. Ebad</t>
  </si>
  <si>
    <t>4. Salimax</t>
  </si>
  <si>
    <t>2. Rao</t>
  </si>
  <si>
    <t>5. Asthu</t>
  </si>
  <si>
    <t>3. SV</t>
  </si>
  <si>
    <t>1. Muhammad Ali</t>
  </si>
  <si>
    <t>1. Ayaan Sheikh</t>
  </si>
  <si>
    <t>1. Umar Abbas</t>
  </si>
  <si>
    <t>Salary: 28000</t>
  </si>
  <si>
    <t>1. Mudasir</t>
  </si>
  <si>
    <t>1. Suhyl</t>
  </si>
  <si>
    <t xml:space="preserve">1. Ahmed Mughal </t>
  </si>
  <si>
    <t>1. Ebad Malik</t>
  </si>
  <si>
    <t>1. Nithin Poojary</t>
  </si>
  <si>
    <t>3. Muhammad Ahmed</t>
  </si>
  <si>
    <t>1. Veer Gupta</t>
  </si>
  <si>
    <t>1. Gokul G</t>
  </si>
  <si>
    <t>3. Summan Baig</t>
  </si>
  <si>
    <t>1. Ajaykumar Sajeev</t>
  </si>
  <si>
    <t>1. Irshad Bekal</t>
  </si>
  <si>
    <t>4. Aaiz Khan</t>
  </si>
  <si>
    <t>1. Ashiqui Ashi</t>
  </si>
  <si>
    <t>2. Ans Sheikh</t>
  </si>
  <si>
    <t>5. Sidra</t>
  </si>
  <si>
    <t>2. Ashutosh Jha</t>
  </si>
  <si>
    <t>6. Iqra</t>
  </si>
  <si>
    <t>2. Hashir</t>
  </si>
  <si>
    <t>Best Bowler: 3 (2250)</t>
  </si>
  <si>
    <t>2. Chappy</t>
  </si>
  <si>
    <t>7. Ali Abbas</t>
  </si>
  <si>
    <t>8. Wafa Baloch</t>
  </si>
  <si>
    <t>1. Eng Ans Sheikh</t>
  </si>
  <si>
    <t>1. Raza</t>
  </si>
  <si>
    <t>2. Ahmed Mughal</t>
  </si>
  <si>
    <t>2. Mudasir Ali</t>
  </si>
  <si>
    <t>4. Huzaifa Imran</t>
  </si>
  <si>
    <t>5. Abdul Muqeeth</t>
  </si>
  <si>
    <t>6. Aman Raj Singh</t>
  </si>
  <si>
    <t>1. Hari</t>
  </si>
  <si>
    <t>1. Ajay</t>
  </si>
  <si>
    <t>1. Shaheen</t>
  </si>
  <si>
    <t>1. Sali</t>
  </si>
  <si>
    <t>1. Asthu</t>
  </si>
  <si>
    <t>Salary: 1900</t>
  </si>
  <si>
    <t>2. Ashi</t>
  </si>
  <si>
    <t>2. Akshay</t>
  </si>
  <si>
    <t>Best bowler: 1 (1000)</t>
  </si>
  <si>
    <t>3. Blesson</t>
  </si>
  <si>
    <t>1. Ershad</t>
  </si>
  <si>
    <t>1. Shukoor</t>
  </si>
  <si>
    <t>Salary:  1000</t>
  </si>
  <si>
    <t>Man of the match: 3 (9000)</t>
  </si>
  <si>
    <t>2. Shinu</t>
  </si>
  <si>
    <t>3. Asthu</t>
  </si>
  <si>
    <t>Orange Cap Award: 80000</t>
  </si>
  <si>
    <t>3. Ashiqui Ashi</t>
  </si>
  <si>
    <t xml:space="preserve">4. Amjith </t>
  </si>
  <si>
    <t>4. Zuhair</t>
  </si>
  <si>
    <t>5. Ansar</t>
  </si>
  <si>
    <t>6. Jasheer</t>
  </si>
  <si>
    <t>6. Thebseer</t>
  </si>
  <si>
    <t>7. Amal</t>
  </si>
  <si>
    <t xml:space="preserve">8. Hari </t>
  </si>
  <si>
    <t>9. Blesson</t>
  </si>
  <si>
    <t>10. Sufaid</t>
  </si>
  <si>
    <t>11. Akshay</t>
  </si>
  <si>
    <t>12. Shaheen</t>
  </si>
  <si>
    <t>13. Adarsh</t>
  </si>
  <si>
    <t>14. Yadhu</t>
  </si>
  <si>
    <t>15. Salimax</t>
  </si>
  <si>
    <t>1. Amjith</t>
  </si>
  <si>
    <t>1. Akshay</t>
  </si>
  <si>
    <t>1. Ansar</t>
  </si>
  <si>
    <t>1. Ashi</t>
  </si>
  <si>
    <t>1. Adarsh</t>
  </si>
  <si>
    <t>1. Zuhair</t>
  </si>
  <si>
    <t>2. Ashith</t>
  </si>
  <si>
    <t>2. Shaheen</t>
  </si>
  <si>
    <t>2. Asthu</t>
  </si>
  <si>
    <t>3. Jasheer</t>
  </si>
  <si>
    <t>4. Shinu</t>
  </si>
  <si>
    <t>5. Thebsheer</t>
  </si>
  <si>
    <t>6. Yadhu</t>
  </si>
  <si>
    <t>4. Chappy</t>
  </si>
  <si>
    <t>5. Hari</t>
  </si>
  <si>
    <t>6. Irshad</t>
  </si>
  <si>
    <t>7. Sufaid</t>
  </si>
  <si>
    <t>Scottish Premier League ( Own League )</t>
  </si>
  <si>
    <t>Board: South Africa</t>
  </si>
  <si>
    <t>Chairman: Srinidhi &amp; Donald Baghwar</t>
  </si>
  <si>
    <t>Hosting Rights : 1200000</t>
  </si>
  <si>
    <t>Players:</t>
  </si>
  <si>
    <t>Board: SRILANKA</t>
  </si>
  <si>
    <t>Chairman: Damitha Naranpanawa | CEO: Thilanga Dumindu</t>
  </si>
  <si>
    <t xml:space="preserve">1. Ashiqui Ashi </t>
  </si>
  <si>
    <t xml:space="preserve">1. Ansar </t>
  </si>
  <si>
    <t xml:space="preserve">1. Abhinand B </t>
  </si>
  <si>
    <t xml:space="preserve">1. Kebin </t>
  </si>
  <si>
    <t>1. Bhavin from BD - 2500</t>
  </si>
  <si>
    <t xml:space="preserve">1. Akshay Varnam </t>
  </si>
  <si>
    <t>Home(Afghanistan): 5000 bet (Lost)</t>
  </si>
  <si>
    <t xml:space="preserve">1. Hashir Fyrooz </t>
  </si>
  <si>
    <t xml:space="preserve">1. Blesson </t>
  </si>
  <si>
    <t xml:space="preserve">1. Rojo </t>
  </si>
  <si>
    <t>Match Bet credits: 15000</t>
  </si>
  <si>
    <t xml:space="preserve">1. Amjith </t>
  </si>
  <si>
    <t>Captain Salary: 300000</t>
  </si>
  <si>
    <t xml:space="preserve">2. Shaheen </t>
  </si>
  <si>
    <t xml:space="preserve">2. Asthu </t>
  </si>
  <si>
    <t xml:space="preserve">2. Hari </t>
  </si>
  <si>
    <t>2. Raksh from BD - 2500</t>
  </si>
  <si>
    <t xml:space="preserve">2. Shafi Chappy </t>
  </si>
  <si>
    <t>Away(Bangladesh): 5000 bet (Lost)</t>
  </si>
  <si>
    <t>01. Asiri</t>
  </si>
  <si>
    <t>Players Awards: 6500</t>
  </si>
  <si>
    <t xml:space="preserve">2. Ashith </t>
  </si>
  <si>
    <t>Home(Italy): 5000 bet (Lost)</t>
  </si>
  <si>
    <t xml:space="preserve">2. Irshad Bekal </t>
  </si>
  <si>
    <t>1. Sky Bound</t>
  </si>
  <si>
    <t xml:space="preserve">2. Zuhair </t>
  </si>
  <si>
    <t>1. Colombo Cup ( Home )</t>
  </si>
  <si>
    <t xml:space="preserve">2. Thebseer </t>
  </si>
  <si>
    <t xml:space="preserve">2. Shinu </t>
  </si>
  <si>
    <t>1. Srinidhi K</t>
  </si>
  <si>
    <t>Marquee Salary: 200000</t>
  </si>
  <si>
    <t>Board: UAE</t>
  </si>
  <si>
    <t xml:space="preserve">3. Salimax </t>
  </si>
  <si>
    <t>3. Vivek</t>
  </si>
  <si>
    <t>3. Adarsh</t>
  </si>
  <si>
    <t>3. Harishankar</t>
  </si>
  <si>
    <t>Chairman: Antony John CTR | CEO: Hanish</t>
  </si>
  <si>
    <t>3. Amal</t>
  </si>
  <si>
    <t>3. Ajoy</t>
  </si>
  <si>
    <t>3. Sufaid</t>
  </si>
  <si>
    <t>3. Yadhu</t>
  </si>
  <si>
    <t>Salary: 180000</t>
  </si>
  <si>
    <t>Salary: 130000</t>
  </si>
  <si>
    <t>02. Hasindu Rashminda</t>
  </si>
  <si>
    <t>Salary: 120000</t>
  </si>
  <si>
    <t>Salary: 160000</t>
  </si>
  <si>
    <t>4. Rakshith Raksh</t>
  </si>
  <si>
    <t>Home( Pakistan ): 6000 bet ( Won )</t>
  </si>
  <si>
    <t>Salary: 52000</t>
  </si>
  <si>
    <t>2. Revival Cup ( Away )</t>
  </si>
  <si>
    <t>3. Saketh from BD - 2500</t>
  </si>
  <si>
    <t>1. Eagles Trophy ( Home )</t>
  </si>
  <si>
    <t>1. K Rakesh</t>
  </si>
  <si>
    <t>4. MS</t>
  </si>
  <si>
    <t>Match Bet credits: -12000</t>
  </si>
  <si>
    <t>Home(West Indies): 5000 bet (Won)</t>
  </si>
  <si>
    <t>2. Earth Bound</t>
  </si>
  <si>
    <t>4. Arshad</t>
  </si>
  <si>
    <t>4. Ajay</t>
  </si>
  <si>
    <t>4. Shehinsha</t>
  </si>
  <si>
    <t>4. Kailas</t>
  </si>
  <si>
    <t xml:space="preserve">4. Thanvin </t>
  </si>
  <si>
    <t>4. Bijoy</t>
  </si>
  <si>
    <t>4. Jasheer</t>
  </si>
  <si>
    <t xml:space="preserve">4. Libin </t>
  </si>
  <si>
    <t>1. Athul</t>
  </si>
  <si>
    <t>Salary: 140000</t>
  </si>
  <si>
    <t>03. Kosala Jayasinghe</t>
  </si>
  <si>
    <t>Salary: 110000</t>
  </si>
  <si>
    <t>1. Crescent Cup (Away)</t>
  </si>
  <si>
    <t>Salary: 240000</t>
  </si>
  <si>
    <t>Away( Afghanistan): 5000 bet ( Won )</t>
  </si>
  <si>
    <t>Salary: 124000</t>
  </si>
  <si>
    <t>3. Blue Rivalry cup ( Home )</t>
  </si>
  <si>
    <t>Players Awards: 1400</t>
  </si>
  <si>
    <t>5. Mahi Mahendra</t>
  </si>
  <si>
    <t>Home (Afghanistan ): 10000 bet (Lost)</t>
  </si>
  <si>
    <t>1. Hague Colombo</t>
  </si>
  <si>
    <t>4. Bhavesh from BD - 2500</t>
  </si>
  <si>
    <t>5. Dingan</t>
  </si>
  <si>
    <t>Away(West Indies): 5000 bet (Won)</t>
  </si>
  <si>
    <t>5. Arshad N</t>
  </si>
  <si>
    <t>1. Damitha N</t>
  </si>
  <si>
    <t>3. Heritage Trophy</t>
  </si>
  <si>
    <t>5. Sajith</t>
  </si>
  <si>
    <t>5. Athul</t>
  </si>
  <si>
    <t>5. Anandhu</t>
  </si>
  <si>
    <t>2. Highland Trophy (Away)</t>
  </si>
  <si>
    <t>Salary: 67000</t>
  </si>
  <si>
    <t>Salary: 123000</t>
  </si>
  <si>
    <t>Salary: 71000</t>
  </si>
  <si>
    <t>Salary: 95000</t>
  </si>
  <si>
    <t>3. Jafnis</t>
  </si>
  <si>
    <t>Home(Qatar): 3000 bet (Lost)</t>
  </si>
  <si>
    <t>3. Sir Gary Sobers Remembrance Trophy (Away)</t>
  </si>
  <si>
    <t>Players Awards: 1500</t>
  </si>
  <si>
    <t>6. K Rakesh</t>
  </si>
  <si>
    <t>Home(Scotland): 5000 bet (Lost)</t>
  </si>
  <si>
    <t>5. Mahi from Aus - 2500</t>
  </si>
  <si>
    <t>4. Ayas</t>
  </si>
  <si>
    <t>04. Rubesh Jude Daniel</t>
  </si>
  <si>
    <t>Home(India): 5000 bet (Won)</t>
  </si>
  <si>
    <t>4. Falcon Cup (Away)</t>
  </si>
  <si>
    <t>4. Bungle in The Jungle</t>
  </si>
  <si>
    <t>Away(Scotland): 5000 bet (Lost)</t>
  </si>
  <si>
    <t>Home( India ): 6000 bet ( Won )</t>
  </si>
  <si>
    <t>2. Rahul Mohapatra</t>
  </si>
  <si>
    <t>4. Emerald Isle ( Away )</t>
  </si>
  <si>
    <t>1. Virendra</t>
  </si>
  <si>
    <t>Away (Afghanistan): 10000 bet (Lost)</t>
  </si>
  <si>
    <t xml:space="preserve">2. Island Trophy </t>
  </si>
  <si>
    <t>5. Rahul Raj</t>
  </si>
  <si>
    <t>Away(Bangladesh): 5000 bet (Won)</t>
  </si>
  <si>
    <t>6. Nikhil</t>
  </si>
  <si>
    <t>7. Abhijith</t>
  </si>
  <si>
    <t>7. Sid V Jain</t>
  </si>
  <si>
    <t>05. Miraj Cool</t>
  </si>
  <si>
    <t>Home(West Indies): 10000 bet (Lost)</t>
  </si>
  <si>
    <t>6. K Rakesh from Aus - 2500</t>
  </si>
  <si>
    <t>Away( England): 5000 bet ( won )</t>
  </si>
  <si>
    <t>5. Eagles Trophy ( Home )</t>
  </si>
  <si>
    <t>8. Akhil</t>
  </si>
  <si>
    <t>Away(West Indies): 10000 bet (Won)</t>
  </si>
  <si>
    <t>Away (Netherlands): 5000 bet (Won)</t>
  </si>
  <si>
    <t>9. Zaheen</t>
  </si>
  <si>
    <t>3. Srilanka in England</t>
  </si>
  <si>
    <t>Away(Australia): 3000 bet (Won)</t>
  </si>
  <si>
    <t>10. Tom</t>
  </si>
  <si>
    <t>3. Abhijith</t>
  </si>
  <si>
    <t>06. Hansana De Silva</t>
  </si>
  <si>
    <t>11. Varun</t>
  </si>
  <si>
    <t>Home( Scot,Pak,WI): 6000 bet ( Lost )</t>
  </si>
  <si>
    <t>6. Highland Lions ( Away )</t>
  </si>
  <si>
    <t>12. Suhas</t>
  </si>
  <si>
    <t>8. Susheel Teja</t>
  </si>
  <si>
    <t>13. Vaishnav</t>
  </si>
  <si>
    <t>7. Shibasis from NZ - 5000</t>
  </si>
  <si>
    <t>14. Jin</t>
  </si>
  <si>
    <t>9. Rahul Mahapatra</t>
  </si>
  <si>
    <t>15. Monai</t>
  </si>
  <si>
    <t>8. Adithya from BD - 15000</t>
  </si>
  <si>
    <t>16. Alan</t>
  </si>
  <si>
    <t>17. Thrived</t>
  </si>
  <si>
    <t>10. Shiva Teja</t>
  </si>
  <si>
    <t>18. Arjun</t>
  </si>
  <si>
    <t>9. Saubhagya (Trade Issue) - 20000</t>
  </si>
  <si>
    <t>19. Vaishak</t>
  </si>
  <si>
    <t>11. Kaushik Kalita</t>
  </si>
  <si>
    <t>07. Sasith Jayawardena</t>
  </si>
  <si>
    <t>12. Girish Ranjan</t>
  </si>
  <si>
    <t>7. The London Cup (Away)</t>
  </si>
  <si>
    <t>2. Kavinda</t>
  </si>
  <si>
    <t>2. Rasith</t>
  </si>
  <si>
    <t>13. Manish Kumar</t>
  </si>
  <si>
    <t>14. Parth Inamdar</t>
  </si>
  <si>
    <t>15. Shibasis</t>
  </si>
  <si>
    <t>2. Kaushik</t>
  </si>
  <si>
    <t>16. Anshuman Mishra</t>
  </si>
  <si>
    <t>08. Damith Nandana</t>
  </si>
  <si>
    <t>17. Kamalesh Chaudary</t>
  </si>
  <si>
    <t>Away ( Newzealand): 5000 bet ( Lost )</t>
  </si>
  <si>
    <t>8. Kingdom Trophy ( Home)</t>
  </si>
  <si>
    <t>18. Jibin Altaf</t>
  </si>
  <si>
    <t>Home(Scotland): 6000 bet (Lost)</t>
  </si>
  <si>
    <t>3. Bhavin Kumar</t>
  </si>
  <si>
    <t>2. Thilanga D</t>
  </si>
  <si>
    <t>19. Rakshith Shetty</t>
  </si>
  <si>
    <t>20. Adithya Mahajan</t>
  </si>
  <si>
    <t>21. Saubhagya Gupta</t>
  </si>
  <si>
    <t>22. Kaushik Jagadeesan</t>
  </si>
  <si>
    <t>09. Kavinda Gihan</t>
  </si>
  <si>
    <t>Away ( Scotland ): 5000 bet ( Won )</t>
  </si>
  <si>
    <t>Away(West Indies): 6000 bet (Lost)</t>
  </si>
  <si>
    <t>All leagues Profit</t>
  </si>
  <si>
    <t>10. Rasith Wijethunga</t>
  </si>
  <si>
    <t>Home (Italy): 6000 bet (Lost)</t>
  </si>
  <si>
    <t>3. Damitha N</t>
  </si>
  <si>
    <t>3. Hasindu R</t>
  </si>
  <si>
    <t>11. Kithmewan Gimantha</t>
  </si>
  <si>
    <t>12. Uresh Gnananga</t>
  </si>
  <si>
    <t>13. Poorna K De Silva</t>
  </si>
  <si>
    <t>4. Sasith</t>
  </si>
  <si>
    <t>14. Ruwanga Bandarawaththa</t>
  </si>
  <si>
    <t>3. Sasith</t>
  </si>
  <si>
    <t>15. Chalana Rukshan</t>
  </si>
  <si>
    <t>16. Thilina Jayarathna</t>
  </si>
  <si>
    <t>17. Binara</t>
  </si>
  <si>
    <t>18. Virendra</t>
  </si>
  <si>
    <t>4. Ruwanga</t>
  </si>
  <si>
    <t>Best Economy(2.0): 5000</t>
  </si>
  <si>
    <t>Fantasy League 4th Place</t>
  </si>
  <si>
    <t>Sasith: 5000</t>
  </si>
  <si>
    <t>1. Srinidhi</t>
  </si>
  <si>
    <t>2. Saketh Balne</t>
  </si>
  <si>
    <t>1. Thilanga Dumindu</t>
  </si>
  <si>
    <t>1. Hasindu Rashminda</t>
  </si>
  <si>
    <t>1. Rasith Wijethunga ( Replacement )</t>
  </si>
  <si>
    <t>Team Profit: 13550</t>
  </si>
  <si>
    <t>1. Damitha Naranpanawa</t>
  </si>
  <si>
    <t>2. Sasith</t>
  </si>
  <si>
    <t>3. Miraj Cool</t>
  </si>
  <si>
    <t>2. Virendra</t>
  </si>
  <si>
    <t>4. Damith Nandana ( Replacement )</t>
  </si>
  <si>
    <t>3. Kosala Jayasinghe</t>
  </si>
  <si>
    <t>Pakistan Super League : 37140</t>
  </si>
  <si>
    <t>Team Profit: 11980</t>
  </si>
  <si>
    <t>Team Profit: 1100</t>
  </si>
  <si>
    <t>Team Profit: 18100</t>
  </si>
  <si>
    <t>Team Profit: 5960</t>
  </si>
  <si>
    <t>1. Miraj Cool</t>
  </si>
  <si>
    <t>1. Rasith Wijetthunga</t>
  </si>
  <si>
    <t>1. Rubesh</t>
  </si>
  <si>
    <t>Salary: 3600</t>
  </si>
  <si>
    <t>2. Damith Nandana</t>
  </si>
  <si>
    <t>2. Damitha Naranpanwa</t>
  </si>
  <si>
    <t>2. Kosala</t>
  </si>
  <si>
    <t>1. Rahul Mahapatra</t>
  </si>
  <si>
    <t>1. Bhavesh</t>
  </si>
  <si>
    <t>1. Kaushik Kalita</t>
  </si>
  <si>
    <t>3. Virendra</t>
  </si>
  <si>
    <t>No Salary ( Traded )</t>
  </si>
  <si>
    <t>4. Hasindu Rashminda</t>
  </si>
  <si>
    <t>2. Shiva Teja</t>
  </si>
  <si>
    <t>5. Sasith</t>
  </si>
  <si>
    <t>3. Mahi Mahendra</t>
  </si>
  <si>
    <t>Big Bash League : 25900</t>
  </si>
  <si>
    <t>Best Bowler:  1 (1000)</t>
  </si>
  <si>
    <t xml:space="preserve">4. K Rakesh </t>
  </si>
  <si>
    <t>5. Parth Inamdar</t>
  </si>
  <si>
    <t>All Team Profit: 44500</t>
  </si>
  <si>
    <t>6. Manish Kumar</t>
  </si>
  <si>
    <t>7. Susheel</t>
  </si>
  <si>
    <t>Team Profit: 7500</t>
  </si>
  <si>
    <t>Board: West Indies</t>
  </si>
  <si>
    <t>Team Profit: 21600</t>
  </si>
  <si>
    <t>Team Profit: 23400</t>
  </si>
  <si>
    <t>9. Shibasis</t>
  </si>
  <si>
    <t>1. Miraj</t>
  </si>
  <si>
    <t>Chairman: Midhun Manial | CEO: Abhilash PA</t>
  </si>
  <si>
    <t>1. Ruwanga</t>
  </si>
  <si>
    <t>1. Hasana</t>
  </si>
  <si>
    <t>Salary: 12200</t>
  </si>
  <si>
    <t>2. Hasindu</t>
  </si>
  <si>
    <t>2. Thilanga</t>
  </si>
  <si>
    <t>2. Thilina</t>
  </si>
  <si>
    <t>3. Rasith</t>
  </si>
  <si>
    <t>4. Uresh GN</t>
  </si>
  <si>
    <t>3. Rubesh</t>
  </si>
  <si>
    <t>4. Damith N</t>
  </si>
  <si>
    <t>Salary: 300</t>
  </si>
  <si>
    <t>1. Sterin</t>
  </si>
  <si>
    <t>1. Akram Curtly Trophy ( Away )</t>
  </si>
  <si>
    <t>Board: ZIMBABWE</t>
  </si>
  <si>
    <t>Chairman: Ritik | CEO: Dhurbo</t>
  </si>
  <si>
    <t>2. Sreeraj</t>
  </si>
  <si>
    <t>Home( England ): 10000 bet ( Lost )</t>
  </si>
  <si>
    <t>2. Frank Worrel ( Away )</t>
  </si>
  <si>
    <t>Match Bet credits: 3000</t>
  </si>
  <si>
    <t>1. Kaushik</t>
  </si>
  <si>
    <t>1. Dutch Carribbean ( Away )</t>
  </si>
  <si>
    <t>1. Mintu Nath</t>
  </si>
  <si>
    <t>1. Raksh</t>
  </si>
  <si>
    <t>1. Sidharth V Jain</t>
  </si>
  <si>
    <t>2. Rishabh Sarkar</t>
  </si>
  <si>
    <t>1. Kartik from Ned: 5000</t>
  </si>
  <si>
    <t>3. Ananya</t>
  </si>
  <si>
    <t>2. Dhurno from Ned: 5000</t>
  </si>
  <si>
    <t>4. Hafijul SK</t>
  </si>
  <si>
    <t>3. Kannan</t>
  </si>
  <si>
    <t>5. Ibrahim</t>
  </si>
  <si>
    <t>6. Anik</t>
  </si>
  <si>
    <t>Home( Australia/Scotland): 5000( Lost )</t>
  </si>
  <si>
    <t>2. Rakesh</t>
  </si>
  <si>
    <t>1. Kavinda Gihan</t>
  </si>
  <si>
    <t>3. Power Punch ( Away )</t>
  </si>
  <si>
    <t>7. Bijoy</t>
  </si>
  <si>
    <t xml:space="preserve">2. Mahi </t>
  </si>
  <si>
    <t>Players Awards: 5100</t>
  </si>
  <si>
    <t>8. Kartik Haloi</t>
  </si>
  <si>
    <t>Home ( Bangladesh ): 6000 bet ( Won )</t>
  </si>
  <si>
    <t>9. Muneef</t>
  </si>
  <si>
    <t>1. Guyana Cup ( Home )</t>
  </si>
  <si>
    <t>2. Kamlesh</t>
  </si>
  <si>
    <t>1. Rasith</t>
  </si>
  <si>
    <t>10. Susanta Kalita</t>
  </si>
  <si>
    <t>1. Midhun Manilal</t>
  </si>
  <si>
    <t>3. Shiva</t>
  </si>
  <si>
    <t>2. Rubesh Jude</t>
  </si>
  <si>
    <t>4. Anandhan</t>
  </si>
  <si>
    <t>Away( Newzealand): 5000 ( Lost )</t>
  </si>
  <si>
    <t>4. Carribbean Thunder ( Home )</t>
  </si>
  <si>
    <t>4. Shibasis</t>
  </si>
  <si>
    <t>1. Midhun</t>
  </si>
  <si>
    <t>1. Arjun Raj</t>
  </si>
  <si>
    <t>4. Bhavin</t>
  </si>
  <si>
    <t>Away ( Bangladesh ): 6000 bet ( Won )</t>
  </si>
  <si>
    <t>2. Forest Cup ( Away )</t>
  </si>
  <si>
    <t>2. 30 to 35: 10000</t>
  </si>
  <si>
    <t>3. Damith Nandana</t>
  </si>
  <si>
    <t>West Indies (5000)</t>
  </si>
  <si>
    <t>3. Hansana</t>
  </si>
  <si>
    <t>5. Ajmal</t>
  </si>
  <si>
    <t>Home( South Africa): 5000 ( Lost )</t>
  </si>
  <si>
    <t>5. American Challenge ( Away )</t>
  </si>
  <si>
    <t>Man of the Match: 1</t>
  </si>
  <si>
    <t>3. Saltire Trophy (Away)</t>
  </si>
  <si>
    <t>4. Binara</t>
  </si>
  <si>
    <t>Player trade: 20000</t>
  </si>
  <si>
    <t xml:space="preserve">Best Bowler: </t>
  </si>
  <si>
    <t>5. Srinidhi</t>
  </si>
  <si>
    <t>Mowglee (20000)</t>
  </si>
  <si>
    <t>6. Rahul Suresh</t>
  </si>
  <si>
    <t>Away( pakistan): 5000 ( Won )</t>
  </si>
  <si>
    <t>6. Dutch Carribbean ( Away )</t>
  </si>
  <si>
    <t>Away(England): 6000 bet (Won)</t>
  </si>
  <si>
    <t>4. Royal Caribbean (Away)</t>
  </si>
  <si>
    <t>6. Rahul</t>
  </si>
  <si>
    <t>7. Falah</t>
  </si>
  <si>
    <t>Away ( Australia): 5000 ( Won )</t>
  </si>
  <si>
    <t>7. Roaring Island (Away)</t>
  </si>
  <si>
    <t>2. Ashwin Thomas</t>
  </si>
  <si>
    <t>Home(Pakistan): 5000 bet (Lost)</t>
  </si>
  <si>
    <t>5. Calypso Kabul Trophy (Away)</t>
  </si>
  <si>
    <t>Vipin Venu to Italy: 20000</t>
  </si>
  <si>
    <t>2. Rahul Suresh</t>
  </si>
  <si>
    <t>8. Georgekutty</t>
  </si>
  <si>
    <t>Away(SL,Scot,Pak): 6000 ( Lost )</t>
  </si>
  <si>
    <t>8. Atlantic Shield(Away)</t>
  </si>
  <si>
    <t>Man of the Match: 2</t>
  </si>
  <si>
    <t>Away (Srilanka): 10000 bet (Lost)</t>
  </si>
  <si>
    <t>6. Island Meets Island (home)</t>
  </si>
  <si>
    <t>Noor to Aus: 10000</t>
  </si>
  <si>
    <t>9. Ameen</t>
  </si>
  <si>
    <t>Away ( South Africa): 6000 ( Won )</t>
  </si>
  <si>
    <t>9. Island Meets Desert Trophy (Home)</t>
  </si>
  <si>
    <t>1. Thilanga</t>
  </si>
  <si>
    <t>1. Hasindu</t>
  </si>
  <si>
    <t>Away(Afghanistan): 5000 bet(Won)</t>
  </si>
  <si>
    <t>2. Miraj</t>
  </si>
  <si>
    <t>3. Chalana</t>
  </si>
  <si>
    <t>3. Kosala</t>
  </si>
  <si>
    <t>10. Bibin Benny</t>
  </si>
  <si>
    <t>Home ( Afghanistan): 3000 ( Won )</t>
  </si>
  <si>
    <t>10. Pookie-Pookie Cup (Home)</t>
  </si>
  <si>
    <t>4. Thilina</t>
  </si>
  <si>
    <t>4. Damith</t>
  </si>
  <si>
    <t>vs Afghanistan: 1000</t>
  </si>
  <si>
    <t>5. Hansana</t>
  </si>
  <si>
    <t>Salary:1300</t>
  </si>
  <si>
    <t>6. Uresh</t>
  </si>
  <si>
    <t>11. Shibili</t>
  </si>
  <si>
    <t>Home ( UAE ): 5000 ( Lost )</t>
  </si>
  <si>
    <t>11. Sky Bound ODI Series (Away)</t>
  </si>
  <si>
    <t>2. Ajmal</t>
  </si>
  <si>
    <t>Home (South Africa): 5000 bet (Lost)</t>
  </si>
  <si>
    <t>3. Muhammad Noor</t>
  </si>
  <si>
    <t>12. Josin Roy</t>
  </si>
  <si>
    <t>Away ( USA ): 5000 ( Won )</t>
  </si>
  <si>
    <t>12. Paradise Trophy (Home)</t>
  </si>
  <si>
    <t>Home(Srilanka): 6000 bet (Won)</t>
  </si>
  <si>
    <t>13. Nayan S Kurup</t>
  </si>
  <si>
    <t>13 ABD Trophy (Home)</t>
  </si>
  <si>
    <t>14. Arjun S Kumar</t>
  </si>
  <si>
    <t>Away ( Italy ): 5000 ( Lost )</t>
  </si>
  <si>
    <t>14. The Global Three (Away)</t>
  </si>
  <si>
    <t>15. Hadi Diyoof</t>
  </si>
  <si>
    <t>Away (Bangladesh): 7000 (Won)</t>
  </si>
  <si>
    <t>15. Caribbean &amp; Emirates Challenge Cup (Away)</t>
  </si>
  <si>
    <t>3. Ameen</t>
  </si>
  <si>
    <t>3. Midhun Manilal</t>
  </si>
  <si>
    <t>4. Abhilash PA</t>
  </si>
  <si>
    <t>16. Bharath Narayana</t>
  </si>
  <si>
    <t>Away (West Indies): 6000 (Won)</t>
  </si>
  <si>
    <t>T20 WORLD CUP 2026 HOSTED BY AUSTRALIA</t>
  </si>
  <si>
    <t>17. Akhil Vijayan</t>
  </si>
  <si>
    <t>Away (Newzealand): 5000 (Lost)</t>
  </si>
  <si>
    <t>Group A</t>
  </si>
  <si>
    <t>Group B</t>
  </si>
  <si>
    <t>18. Nihal</t>
  </si>
  <si>
    <t>Super 6</t>
  </si>
  <si>
    <t>4. Nihal</t>
  </si>
  <si>
    <t>1. Rakshith Shetty</t>
  </si>
  <si>
    <t xml:space="preserve">1. Hansana </t>
  </si>
  <si>
    <t>5. Shibil</t>
  </si>
  <si>
    <t>1. India</t>
  </si>
  <si>
    <t xml:space="preserve">1. Bhavesh </t>
  </si>
  <si>
    <t>19. Vignesh</t>
  </si>
  <si>
    <t>1. England</t>
  </si>
  <si>
    <t>1. Jibin</t>
  </si>
  <si>
    <t>Away (West Indies): 4000 bet (Lost)</t>
  </si>
  <si>
    <t>1. Rakesh</t>
  </si>
  <si>
    <t>Man of the match:2</t>
  </si>
  <si>
    <t>2. Newzealand</t>
  </si>
  <si>
    <t>2. West Indies</t>
  </si>
  <si>
    <t>20. Frijo Thomas</t>
  </si>
  <si>
    <t>3. South Africa</t>
  </si>
  <si>
    <t>3. Scotland</t>
  </si>
  <si>
    <t>4. Pakistan</t>
  </si>
  <si>
    <t>4. Afghanistan</t>
  </si>
  <si>
    <t>21. Ananthu</t>
  </si>
  <si>
    <t>2. Srinidhi</t>
  </si>
  <si>
    <t>Home (UAE): 5000 Bet (Won)</t>
  </si>
  <si>
    <t>5. Srilanka</t>
  </si>
  <si>
    <t>5. Australia</t>
  </si>
  <si>
    <t>5. Harikrishna</t>
  </si>
  <si>
    <t>6. Mowglee</t>
  </si>
  <si>
    <t>22. Ashwin Thomas</t>
  </si>
  <si>
    <t>Group A Matches</t>
  </si>
  <si>
    <t>23. Hari Krishnan</t>
  </si>
  <si>
    <t>Away (South Africa): 3000 bet (Won)</t>
  </si>
  <si>
    <t>Schedule</t>
  </si>
  <si>
    <t>Winner</t>
  </si>
  <si>
    <t xml:space="preserve">Host </t>
  </si>
  <si>
    <t>Man of the match</t>
  </si>
  <si>
    <t>24. Arjun Raj R</t>
  </si>
  <si>
    <t>Away(Srilanka): 5000 bet (Lost)</t>
  </si>
  <si>
    <t>Ice in their Veins :  Top Scorer</t>
  </si>
  <si>
    <t>6. Abhilash</t>
  </si>
  <si>
    <t>Newzealand vs South Africa</t>
  </si>
  <si>
    <t>7. Ajmal Sunaif</t>
  </si>
  <si>
    <t>Arnab</t>
  </si>
  <si>
    <t>Ram</t>
  </si>
  <si>
    <t>Yash</t>
  </si>
  <si>
    <t>25. Anish Babu Koni</t>
  </si>
  <si>
    <t>India vs Pakistan</t>
  </si>
  <si>
    <t>Yasin</t>
  </si>
  <si>
    <t>Bhavin</t>
  </si>
  <si>
    <t>India vs Srilanka</t>
  </si>
  <si>
    <t>1. Sasith</t>
  </si>
  <si>
    <t>Keshav</t>
  </si>
  <si>
    <t>1. Damitha</t>
  </si>
  <si>
    <t>Shivaji</t>
  </si>
  <si>
    <t>Virendra</t>
  </si>
  <si>
    <t>26. Vipin Rajashekaran</t>
  </si>
  <si>
    <t>1. Chalana</t>
  </si>
  <si>
    <t>5. Bibin Benny</t>
  </si>
  <si>
    <t>Pakistan vs South Africa</t>
  </si>
  <si>
    <t>Siddiqui</t>
  </si>
  <si>
    <t>Biswa</t>
  </si>
  <si>
    <t>27. Ajay</t>
  </si>
  <si>
    <t>Away(Bangladesh/Netherlands): 15000 (Won)</t>
  </si>
  <si>
    <t>7. Nihal</t>
  </si>
  <si>
    <t>8. Sreeraj</t>
  </si>
  <si>
    <t>28. Ananthu RG</t>
  </si>
  <si>
    <t>Newzealand vs Srilanka</t>
  </si>
  <si>
    <t>Away(UAE): 10000 (Won)</t>
  </si>
  <si>
    <t>Thilanga</t>
  </si>
  <si>
    <t>Kavinda</t>
  </si>
  <si>
    <t>1. Jibin Altaf</t>
  </si>
  <si>
    <t>29. Jaseel</t>
  </si>
  <si>
    <t>South Africa vs India</t>
  </si>
  <si>
    <t>Home(UAE): 10000 (Lost)</t>
  </si>
  <si>
    <t>Jana</t>
  </si>
  <si>
    <t>Robert</t>
  </si>
  <si>
    <t>3. Kaushik Kalita</t>
  </si>
  <si>
    <t>3. Saketh Balne</t>
  </si>
  <si>
    <t>30. Madhav</t>
  </si>
  <si>
    <t>Newzealand vs Pakistan</t>
  </si>
  <si>
    <t>Salary: 76000</t>
  </si>
  <si>
    <t>Malik</t>
  </si>
  <si>
    <t>Gautam</t>
  </si>
  <si>
    <t>4. Siddharth V Jain</t>
  </si>
  <si>
    <t>Zarnish</t>
  </si>
  <si>
    <t>5. Shiva Teja</t>
  </si>
  <si>
    <t>31. Mowglee</t>
  </si>
  <si>
    <t>South Africa vs Srilanka</t>
  </si>
  <si>
    <t>Anurag</t>
  </si>
  <si>
    <t>32. Nazi</t>
  </si>
  <si>
    <t>Subaida</t>
  </si>
  <si>
    <t>Bhargab</t>
  </si>
  <si>
    <t>8. Ameen</t>
  </si>
  <si>
    <t>33. Sachin</t>
  </si>
  <si>
    <t>India vs Newzealand</t>
  </si>
  <si>
    <t>10. Ashwin Thomas</t>
  </si>
  <si>
    <t>34. Abhishek Vava</t>
  </si>
  <si>
    <t>Srilanka vs Pakistan</t>
  </si>
  <si>
    <t>Jyothish</t>
  </si>
  <si>
    <t>Kosala</t>
  </si>
  <si>
    <t>Best Captain: 5000</t>
  </si>
  <si>
    <t>9. Mowglee</t>
  </si>
  <si>
    <t>Group B Matches</t>
  </si>
  <si>
    <t>Fantasy League 2nd Runner</t>
  </si>
  <si>
    <t xml:space="preserve">11. Nihal </t>
  </si>
  <si>
    <t>Rahul Suresh: 10000</t>
  </si>
  <si>
    <t>CPL (Commentory)</t>
  </si>
  <si>
    <t>Australia vs England</t>
  </si>
  <si>
    <t>Damitha</t>
  </si>
  <si>
    <t>Rahees</t>
  </si>
  <si>
    <t>10. Ajay</t>
  </si>
  <si>
    <t>Afghanistan vs West Indies</t>
  </si>
  <si>
    <t>Midhun</t>
  </si>
  <si>
    <t>Ameen</t>
  </si>
  <si>
    <t>Australia vs Scotland</t>
  </si>
  <si>
    <t xml:space="preserve"> Rizwan</t>
  </si>
  <si>
    <t>Afghanistan vs England</t>
  </si>
  <si>
    <t>Toby</t>
  </si>
  <si>
    <t>Ishak</t>
  </si>
  <si>
    <t>Team Profit: 4700</t>
  </si>
  <si>
    <t>Scotland vs West Indies</t>
  </si>
  <si>
    <t>Team Profit: 9700</t>
  </si>
  <si>
    <t>1. Rahul Suresh</t>
  </si>
  <si>
    <t>1. Nihal Maxi</t>
  </si>
  <si>
    <t>1. Ameen</t>
  </si>
  <si>
    <t>Australia vs Afghanistan</t>
  </si>
  <si>
    <t>2. Bharath Narayan</t>
  </si>
  <si>
    <t>Nasrullah</t>
  </si>
  <si>
    <t>Farhan</t>
  </si>
  <si>
    <t>2. Sreeraj Kaimal</t>
  </si>
  <si>
    <t>3. Bibin Benny</t>
  </si>
  <si>
    <t>3. Abhilash PA</t>
  </si>
  <si>
    <t>England vs West Indies</t>
  </si>
  <si>
    <t>4. Shibil</t>
  </si>
  <si>
    <t>Rejith</t>
  </si>
  <si>
    <t>Achuz</t>
  </si>
  <si>
    <t>Afghanistan vs Scotland</t>
  </si>
  <si>
    <t>Asthu</t>
  </si>
  <si>
    <t>Team Profit: 6190</t>
  </si>
  <si>
    <t>Australia vs West Indies</t>
  </si>
  <si>
    <t>Team Profit: 700</t>
  </si>
  <si>
    <t>Team Profit: 15180</t>
  </si>
  <si>
    <t>Nihal</t>
  </si>
  <si>
    <t>Team Profit: 4180</t>
  </si>
  <si>
    <t>Niyaz</t>
  </si>
  <si>
    <t>1. Kannan</t>
  </si>
  <si>
    <t>1. Shibil</t>
  </si>
  <si>
    <t>1. Nihal</t>
  </si>
  <si>
    <t>England vs Scotland</t>
  </si>
  <si>
    <t>Man of the match:1 (500)</t>
  </si>
  <si>
    <t>Diljith</t>
  </si>
  <si>
    <t>Best Batsman: 4 (800)</t>
  </si>
  <si>
    <t>All Team Profit: 43900</t>
  </si>
  <si>
    <t>Team Profit: 11700</t>
  </si>
  <si>
    <t>Team Profit: 16200</t>
  </si>
  <si>
    <t>1. Al Ameen</t>
  </si>
  <si>
    <t>1. Ashwin</t>
  </si>
  <si>
    <t>1. Sreeraj</t>
  </si>
  <si>
    <t>Newzeland vs West Indies</t>
  </si>
  <si>
    <t>2. Anandha</t>
  </si>
  <si>
    <t>2. Abhilash</t>
  </si>
  <si>
    <t>India vs Scotland</t>
  </si>
  <si>
    <t>2. Georgekutty</t>
  </si>
  <si>
    <t>Rojo</t>
  </si>
  <si>
    <t>England vs South Africa</t>
  </si>
  <si>
    <t>Sujith</t>
  </si>
  <si>
    <t>England vs Newzealand</t>
  </si>
  <si>
    <t>Yashwanth</t>
  </si>
  <si>
    <t>India vs England</t>
  </si>
  <si>
    <t xml:space="preserve">Farhaan </t>
  </si>
  <si>
    <t>Farhaan</t>
  </si>
  <si>
    <t>1. Muhammad Noor</t>
  </si>
  <si>
    <t>1. Nayan S Kurup</t>
  </si>
  <si>
    <t>Scotland vs South Africa</t>
  </si>
  <si>
    <t>1. Abhilash PA</t>
  </si>
  <si>
    <t>Jishnu</t>
  </si>
  <si>
    <t xml:space="preserve">Salary: 5000 </t>
  </si>
  <si>
    <t>Thesbeer</t>
  </si>
  <si>
    <t xml:space="preserve">Salary: 6000 </t>
  </si>
  <si>
    <t>2. Bibbin Benny</t>
  </si>
  <si>
    <t>3. George</t>
  </si>
  <si>
    <t>South Africa vs West Indies</t>
  </si>
  <si>
    <t>Debajit</t>
  </si>
  <si>
    <t>Bibin</t>
  </si>
  <si>
    <t xml:space="preserve">Newzealand vs Scotland </t>
  </si>
  <si>
    <t>India vs West Indies</t>
  </si>
  <si>
    <t>Semifinal</t>
  </si>
  <si>
    <t>West Indies vs England</t>
  </si>
  <si>
    <t>Safeer</t>
  </si>
  <si>
    <t xml:space="preserve">Sujith </t>
  </si>
  <si>
    <t>Final</t>
  </si>
  <si>
    <t>SQUADS</t>
  </si>
  <si>
    <t>SCHEDULE</t>
  </si>
  <si>
    <t>Host</t>
  </si>
  <si>
    <t xml:space="preserve">Opponent </t>
  </si>
  <si>
    <t>Date</t>
  </si>
  <si>
    <t>Venue</t>
  </si>
  <si>
    <t>Kebin</t>
  </si>
  <si>
    <t>Irshad</t>
  </si>
  <si>
    <t>Winners</t>
  </si>
  <si>
    <t>Arjun</t>
  </si>
  <si>
    <t>Man of the Match</t>
  </si>
  <si>
    <t>1. Vignesh</t>
  </si>
  <si>
    <t>1. George</t>
  </si>
  <si>
    <t>1. Amjith (Exp)</t>
  </si>
  <si>
    <t>1. Ashwin Thomas</t>
  </si>
  <si>
    <t>1. Ajmal Sunaif</t>
  </si>
  <si>
    <t>1. Frijo</t>
  </si>
  <si>
    <t>1. Ajith (Exp)</t>
  </si>
  <si>
    <t>1. Shibili (Exp)</t>
  </si>
  <si>
    <t>1. Abhijith (Exp)</t>
  </si>
  <si>
    <t>19th June</t>
  </si>
  <si>
    <t>Grange SC</t>
  </si>
  <si>
    <t>Ansar (Scot)</t>
  </si>
  <si>
    <t>2. Shahzan</t>
  </si>
  <si>
    <t>2. Nihal</t>
  </si>
  <si>
    <t>2. Ajay</t>
  </si>
  <si>
    <t>2. Ajin P Anil</t>
  </si>
  <si>
    <t>ABD Georgetown</t>
  </si>
  <si>
    <t>Shajahan (Eng)</t>
  </si>
  <si>
    <t>2. Mowglee</t>
  </si>
  <si>
    <t>2. Bibin</t>
  </si>
  <si>
    <t>3. Arshad</t>
  </si>
  <si>
    <t>IOCF LONE WARRIOR SEASON ONE</t>
  </si>
  <si>
    <t>3. Azeem</t>
  </si>
  <si>
    <t>3. Ananthu RG</t>
  </si>
  <si>
    <t>3. Shajahan</t>
  </si>
  <si>
    <t>20th June</t>
  </si>
  <si>
    <t>Adarsh (Scot)</t>
  </si>
  <si>
    <t>2. Kannan</t>
  </si>
  <si>
    <t>4. Jibin</t>
  </si>
  <si>
    <t>4. Jaseel</t>
  </si>
  <si>
    <t>4. Sanoop</t>
  </si>
  <si>
    <t>Board</t>
  </si>
  <si>
    <t>3. Sreeraj</t>
  </si>
  <si>
    <t>Award Credits</t>
  </si>
  <si>
    <t>Lords</t>
  </si>
  <si>
    <t>Adnan Abbas Rehan</t>
  </si>
  <si>
    <t>5. Yadhu</t>
  </si>
  <si>
    <t>Rizwan Mansoori</t>
  </si>
  <si>
    <t>5. Linz</t>
  </si>
  <si>
    <t>Ebad Malik</t>
  </si>
  <si>
    <t>5. Madhav</t>
  </si>
  <si>
    <t>5. Sunaif</t>
  </si>
  <si>
    <t>Anshad P</t>
  </si>
  <si>
    <t>Haseeb</t>
  </si>
  <si>
    <t>21st June</t>
  </si>
  <si>
    <t>Nirmal</t>
  </si>
  <si>
    <t>Kishore Gowda</t>
  </si>
  <si>
    <t>Amjith (Scot)</t>
  </si>
  <si>
    <t>6. Aswin</t>
  </si>
  <si>
    <t>Abhinand</t>
  </si>
  <si>
    <t>6. Hrithik</t>
  </si>
  <si>
    <t>Ruwanga</t>
  </si>
  <si>
    <t>6. Amith</t>
  </si>
  <si>
    <t>3. Abhilash</t>
  </si>
  <si>
    <t xml:space="preserve">Newzealand </t>
  </si>
  <si>
    <t>Thunder Dome</t>
  </si>
  <si>
    <t>Vignesh (WI)</t>
  </si>
  <si>
    <t>Player Name</t>
  </si>
  <si>
    <t>Country</t>
  </si>
  <si>
    <t>7. Rakshith</t>
  </si>
  <si>
    <t>Caribbean Premier League ( Own League )</t>
  </si>
  <si>
    <t>7. Nazi</t>
  </si>
  <si>
    <t>7. Junaid</t>
  </si>
  <si>
    <t>22nd June</t>
  </si>
  <si>
    <t>Adnan</t>
  </si>
  <si>
    <t>Jibin (NZ)</t>
  </si>
  <si>
    <t>8. Vishnu</t>
  </si>
  <si>
    <t>8. Rithesh</t>
  </si>
  <si>
    <t>Rizwan</t>
  </si>
  <si>
    <t>8. Sachin</t>
  </si>
  <si>
    <t>8. Lilly</t>
  </si>
  <si>
    <t>Abhi</t>
  </si>
  <si>
    <t>Ebad</t>
  </si>
  <si>
    <t>Ananthu (WI)</t>
  </si>
  <si>
    <t xml:space="preserve">Kishore </t>
  </si>
  <si>
    <t>Hosting Rights : 400000</t>
  </si>
  <si>
    <t>9. Ansar</t>
  </si>
  <si>
    <t>9. Sachin</t>
  </si>
  <si>
    <t>9. Sufaid</t>
  </si>
  <si>
    <t>9. Shafeek</t>
  </si>
  <si>
    <t xml:space="preserve">Scotland </t>
  </si>
  <si>
    <t>23rd June</t>
  </si>
  <si>
    <t>Ajay (WI)</t>
  </si>
  <si>
    <t>10. Adarsh</t>
  </si>
  <si>
    <t>10. Ashwini</t>
  </si>
  <si>
    <t>10. Vignesh</t>
  </si>
  <si>
    <t>10. Rafeek</t>
  </si>
  <si>
    <t>Quarter Finals</t>
  </si>
  <si>
    <t>24th June</t>
  </si>
  <si>
    <t>21st May</t>
  </si>
  <si>
    <t>Sunaif (Eng)</t>
  </si>
  <si>
    <t>23rd May</t>
  </si>
  <si>
    <t>Ruwanga vs Shamroz</t>
  </si>
  <si>
    <t>Abu Shazan (NZ)</t>
  </si>
  <si>
    <t>25th June</t>
  </si>
  <si>
    <t>Adnan vs Rizwan</t>
  </si>
  <si>
    <t>Diljith vs Midhun</t>
  </si>
  <si>
    <t>Abhi vs Kishore</t>
  </si>
  <si>
    <t>Kishore</t>
  </si>
  <si>
    <t>Ebad vs Haseeb</t>
  </si>
  <si>
    <t>Tie</t>
  </si>
  <si>
    <t>Abhi vs Nirmal</t>
  </si>
  <si>
    <t>IOCF Kiwi Crown League 2026 AWARDS</t>
  </si>
  <si>
    <t>Anshad vs Diljith</t>
  </si>
  <si>
    <t>Nirmal vs Midhun</t>
  </si>
  <si>
    <t>Anshad vs Adnan</t>
  </si>
  <si>
    <t>Ruwanga vs Abhi</t>
  </si>
  <si>
    <t>Adnan vs Ebad</t>
  </si>
  <si>
    <t>Shamroz vs Rizwan</t>
  </si>
  <si>
    <t>Anshad vs Shamroz</t>
  </si>
  <si>
    <t>Nirmal vs Rizwan</t>
  </si>
  <si>
    <t>1. Sreeraj R Kaimal</t>
  </si>
  <si>
    <t>Kishore vs Diljith</t>
  </si>
  <si>
    <t>1. Ajmal</t>
  </si>
  <si>
    <t>Haseeb vs Midhun</t>
  </si>
  <si>
    <t>Semifinals</t>
  </si>
  <si>
    <t>Captain Salary: 100000</t>
  </si>
  <si>
    <t>Grand Final</t>
  </si>
  <si>
    <t>Ruwanga vs Anshad</t>
  </si>
  <si>
    <t>Adnan vs Nirmal</t>
  </si>
  <si>
    <t>2. Ananthu M</t>
  </si>
  <si>
    <t>24th May</t>
  </si>
  <si>
    <t>2. Jaseel</t>
  </si>
  <si>
    <t>Shamroz vs Abhi</t>
  </si>
  <si>
    <t>Rizwan vs Ebad</t>
  </si>
  <si>
    <t>Fair Play Captain: 14200</t>
  </si>
  <si>
    <t>Diljith vs Abhi</t>
  </si>
  <si>
    <t>Diljith vs Shamroz</t>
  </si>
  <si>
    <t>22nd May</t>
  </si>
  <si>
    <t>2. Kannan Balakrishna</t>
  </si>
  <si>
    <t>Champion Captain: 45200</t>
  </si>
  <si>
    <t>Best Batsman of the tournament: 100000</t>
  </si>
  <si>
    <t>Ruwanga vs Diljith</t>
  </si>
  <si>
    <t>2. Midhun</t>
  </si>
  <si>
    <t>Adnan vs Midhun</t>
  </si>
  <si>
    <t>Runners up Captain: 24800</t>
  </si>
  <si>
    <t>Anytime they can play when both are available and Hosts are available( Stumps Required)</t>
  </si>
  <si>
    <t>Kishore vs Anshad</t>
  </si>
  <si>
    <t>Haseeb vs Nirmal</t>
  </si>
  <si>
    <t>3. Vignesh Suresh</t>
  </si>
  <si>
    <t>4. Nayan</t>
  </si>
  <si>
    <t>Shamroz vs Kishore</t>
  </si>
  <si>
    <t>3. Ajay Paul</t>
  </si>
  <si>
    <t>Rizwan vs Haseeb</t>
  </si>
  <si>
    <t>2. Diyoof</t>
  </si>
  <si>
    <t>Abhi vs Diljith</t>
  </si>
  <si>
    <t>Ebad vs Midhun</t>
  </si>
  <si>
    <t>Ruwanga vs  Kishore</t>
  </si>
  <si>
    <t>Adnan vs Haseeb</t>
  </si>
  <si>
    <t>4. Madhav</t>
  </si>
  <si>
    <t xml:space="preserve">5. Akhil </t>
  </si>
  <si>
    <t>Abhi vs Anshad</t>
  </si>
  <si>
    <t>3. Vipin R</t>
  </si>
  <si>
    <t>Ebad vs Nirmal</t>
  </si>
  <si>
    <t>Shamroz vs Diljith</t>
  </si>
  <si>
    <t>World Cup Operations Excellence</t>
  </si>
  <si>
    <t>Rizwan vs Midhun</t>
  </si>
  <si>
    <t>3. Sterin Joseph</t>
  </si>
  <si>
    <t xml:space="preserve">6. Abhishek </t>
  </si>
  <si>
    <t xml:space="preserve">4. Josin </t>
  </si>
  <si>
    <t>5. Nazir</t>
  </si>
  <si>
    <t>5. Sachin</t>
  </si>
  <si>
    <t>Emerging Player: 50000</t>
  </si>
  <si>
    <t>4. Falah</t>
  </si>
  <si>
    <t>Salary: 80000</t>
  </si>
  <si>
    <t>4. Anandha</t>
  </si>
  <si>
    <t xml:space="preserve">7. Ananthu U </t>
  </si>
  <si>
    <t>4. Bharath</t>
  </si>
  <si>
    <t>Slaary: 6000</t>
  </si>
  <si>
    <t>5. Frijo</t>
  </si>
  <si>
    <t>5. Ashwin Thomas</t>
  </si>
  <si>
    <t>Salaray: 1000</t>
  </si>
  <si>
    <t>6. Anish Babu Koni</t>
  </si>
  <si>
    <t>Salary: 70000</t>
  </si>
  <si>
    <t>Best Bowler of the tournament: 100000</t>
  </si>
  <si>
    <t>Fantasy League</t>
  </si>
  <si>
    <t>1. Vipin R</t>
  </si>
  <si>
    <t>1. Kannan Balakrishna</t>
  </si>
  <si>
    <t>1. Abhishek Vava</t>
  </si>
  <si>
    <t>1. Ajay Paul</t>
  </si>
  <si>
    <t>1. Anish Babu Koni</t>
  </si>
  <si>
    <t>1. Bharath Narayan</t>
  </si>
  <si>
    <t>2. Anandhan</t>
  </si>
  <si>
    <t>2. Midhun Manilal</t>
  </si>
  <si>
    <t xml:space="preserve">2. Sreeraj </t>
  </si>
  <si>
    <t>Malik Zubair</t>
  </si>
  <si>
    <t>2. Hadi Diyoof</t>
  </si>
  <si>
    <t>2. Sterin</t>
  </si>
  <si>
    <t>3. Anantha Krishnan U</t>
  </si>
  <si>
    <t xml:space="preserve">3. Harikrishnan </t>
  </si>
  <si>
    <t>3. Shibil</t>
  </si>
  <si>
    <t>3. Falah</t>
  </si>
  <si>
    <t>Runner</t>
  </si>
  <si>
    <t>3. Madhav</t>
  </si>
  <si>
    <t>Radheshyam</t>
  </si>
  <si>
    <t>4. Bibin Benny</t>
  </si>
  <si>
    <t>4. Josin</t>
  </si>
  <si>
    <t>4. Ananthu RG</t>
  </si>
  <si>
    <t>2nd Runner</t>
  </si>
  <si>
    <t>5. Nihal Maxi</t>
  </si>
  <si>
    <t>6. Arjun Raj</t>
  </si>
  <si>
    <t>6. Ananthu M</t>
  </si>
  <si>
    <t>4th Place</t>
  </si>
  <si>
    <t>Sasith</t>
  </si>
  <si>
    <t>7. Rahul Suresh</t>
  </si>
  <si>
    <t>7. Jaseel</t>
  </si>
  <si>
    <t>8. Mowglee</t>
  </si>
  <si>
    <t>Salary: 54000</t>
  </si>
  <si>
    <t>5th Place</t>
  </si>
  <si>
    <t>Meghani</t>
  </si>
  <si>
    <t>Prediction Contest</t>
  </si>
  <si>
    <t>1st</t>
  </si>
  <si>
    <t>2nd</t>
  </si>
  <si>
    <t>3rd</t>
  </si>
  <si>
    <t>4th</t>
  </si>
  <si>
    <t>Other Board Credits</t>
  </si>
  <si>
    <t>Awarded Credits</t>
  </si>
  <si>
    <t>Hosting Board</t>
  </si>
  <si>
    <t>Hall of Fame Cards</t>
  </si>
  <si>
    <t>Card Name: ICE IN THEIR VEINS</t>
  </si>
  <si>
    <t>Best Players in IOCF from Jan - March 2026</t>
  </si>
  <si>
    <t>Eliminated in Group Stage</t>
  </si>
  <si>
    <t>Award</t>
  </si>
  <si>
    <t>Achievement</t>
  </si>
  <si>
    <t>1271 Runs</t>
  </si>
  <si>
    <t>69 Wickets</t>
  </si>
  <si>
    <t xml:space="preserve">Card Name: RING OF FIRE </t>
  </si>
  <si>
    <t>Best Players in IOCF from April - June 2026</t>
  </si>
  <si>
    <t>Molly Steephan</t>
  </si>
  <si>
    <t>926 Runs</t>
  </si>
  <si>
    <t>76 Wickets</t>
  </si>
  <si>
    <t>Eliminated in Super Six</t>
  </si>
  <si>
    <t>Registered Players</t>
  </si>
  <si>
    <t>England ( Home )</t>
  </si>
  <si>
    <t>2. Miraj Cool</t>
  </si>
  <si>
    <t>2. Sreeraj R Kaimal</t>
  </si>
  <si>
    <t>3. Anas asim</t>
  </si>
  <si>
    <t>3. Sai Naveen</t>
  </si>
  <si>
    <t>3. Rubesh Jude</t>
  </si>
  <si>
    <t>3. Ans Sheikh</t>
  </si>
  <si>
    <t>3. Sreeju</t>
  </si>
  <si>
    <t>4. Saad rizwan</t>
  </si>
  <si>
    <t>4. Ayaan Sheikh</t>
  </si>
  <si>
    <t>4. IM Ameen</t>
  </si>
  <si>
    <t>4. Sadik</t>
  </si>
  <si>
    <t>5. Suhyl Muhammad</t>
  </si>
  <si>
    <t>5. Rahul Gadia</t>
  </si>
  <si>
    <t>5. Thilanga Dumindu</t>
  </si>
  <si>
    <t>5. Aaiz Khan</t>
  </si>
  <si>
    <t>6. Zuhair chunk</t>
  </si>
  <si>
    <t>6. Abrar Ali</t>
  </si>
  <si>
    <t>6. Kosala Jayasinghe</t>
  </si>
  <si>
    <t>6. Bhavin Kumar</t>
  </si>
  <si>
    <t>6. Nayan S Kurup</t>
  </si>
  <si>
    <t>6. Nadirsha</t>
  </si>
  <si>
    <t>7. Malik zubair</t>
  </si>
  <si>
    <t>7. Rizwan Mansoori</t>
  </si>
  <si>
    <t>7. Ruwanga Bandarawattha</t>
  </si>
  <si>
    <t>7. Muhammad Usman</t>
  </si>
  <si>
    <t>7. Muhammed Shibili M</t>
  </si>
  <si>
    <t>7. Vishnu CV</t>
  </si>
  <si>
    <t>8. Aditya Mahajan</t>
  </si>
  <si>
    <t>8. Arnab Sarkar</t>
  </si>
  <si>
    <t>8. Sasith Jayawardena</t>
  </si>
  <si>
    <t>8. Nasrullah Kapri</t>
  </si>
  <si>
    <t>8. Bibin Benny</t>
  </si>
  <si>
    <t>8. Aneesh</t>
  </si>
  <si>
    <t>9. Bhavesh B</t>
  </si>
  <si>
    <t>9. Kavinda Gihan</t>
  </si>
  <si>
    <t>9. Muhammad Ahmad</t>
  </si>
  <si>
    <t>9. Bharath Narayan</t>
  </si>
  <si>
    <t>9. Molly</t>
  </si>
  <si>
    <t>10. Damith Nandana</t>
  </si>
  <si>
    <t>10. Arjun S Kumar</t>
  </si>
  <si>
    <t>10. Sujith Kumar</t>
  </si>
  <si>
    <t>11. Virendra Peiris</t>
  </si>
  <si>
    <t>11. Frijo Thomas</t>
  </si>
  <si>
    <t>12. Rasith Wijethunga</t>
  </si>
  <si>
    <t>USA</t>
  </si>
  <si>
    <t>1. Arvind kumar Yadav</t>
  </si>
  <si>
    <t>1. Debajit Borthakur</t>
  </si>
  <si>
    <t>1. Hafijul SK</t>
  </si>
  <si>
    <t>2. Prince Meghani</t>
  </si>
  <si>
    <t>2. Nirmal Baishya</t>
  </si>
  <si>
    <t>2. Aahan Sharma</t>
  </si>
  <si>
    <t>3. Ashutosh Jha</t>
  </si>
  <si>
    <t>3. Hirakjyoti Deka</t>
  </si>
  <si>
    <t>3. Ahsan Siddiqui</t>
  </si>
  <si>
    <t>4. Harish Byndoor</t>
  </si>
  <si>
    <t>4. Rahul Seenu</t>
  </si>
  <si>
    <t>4. Bhargav Kashyap</t>
  </si>
  <si>
    <t>4. Marami Ahmed</t>
  </si>
  <si>
    <t>4. Salar Shah</t>
  </si>
  <si>
    <t>5. Suman Byndoor</t>
  </si>
  <si>
    <t>5. Anshad Parakkadan</t>
  </si>
  <si>
    <t>5. Naveen Gupta</t>
  </si>
  <si>
    <t>5. Bishwajit Dutta</t>
  </si>
  <si>
    <t>6. Hasan Musabir</t>
  </si>
  <si>
    <t>6. Frahaan</t>
  </si>
  <si>
    <t>6. Siddharth V Jain</t>
  </si>
  <si>
    <t>6. Bitupan Dutta</t>
  </si>
  <si>
    <t>7. Hrushikesh HD</t>
  </si>
  <si>
    <t>7. Jana CP</t>
  </si>
  <si>
    <t>7. Dipankar Roy</t>
  </si>
  <si>
    <t>8. Nithin Byndoor</t>
  </si>
  <si>
    <t>8. Rahul Sharma</t>
  </si>
  <si>
    <t>9. Vikas Byndoor</t>
  </si>
  <si>
    <t>9. Bimal Baral</t>
  </si>
  <si>
    <t>10. Gautam Shankara Ram</t>
  </si>
  <si>
    <t>10. Deepjyoti Talukdar</t>
  </si>
  <si>
    <t>11. Karthik Devadiga</t>
  </si>
  <si>
    <t>11. Mayank Das</t>
  </si>
  <si>
    <t>12. Adarsh Byndoor</t>
  </si>
  <si>
    <t>12. Veer Gupta</t>
  </si>
  <si>
    <t>13. Ram Thakkar</t>
  </si>
  <si>
    <t>13. Jahirul Hoque</t>
  </si>
  <si>
    <t>14. Yashwanth Yash</t>
  </si>
  <si>
    <t>14. Debasish Borgohain</t>
  </si>
  <si>
    <t>15. Gowri Madhu</t>
  </si>
  <si>
    <t>Franchise League THE HUNDRED All TEAMS</t>
  </si>
  <si>
    <t>1. Shibasis (c) - 8000</t>
  </si>
  <si>
    <t>1. Rejith Mohan (c) - 8000</t>
  </si>
  <si>
    <t>1. Arjun Akj (c) - 8000</t>
  </si>
  <si>
    <t>1. Aniket Gavit (c) - 8000</t>
  </si>
  <si>
    <t>1. Achuz Sukumaran (c) - 8000</t>
  </si>
  <si>
    <t>2. Toby Joseph (m) - 2000</t>
  </si>
  <si>
    <t>2. Jyothish S (m) - 2000</t>
  </si>
  <si>
    <t>Franchise League PSL Registration &amp; all team Players 2026</t>
  </si>
  <si>
    <t>2. Diljith Das (m) - 2000</t>
  </si>
  <si>
    <t>2. Sujith CS Ctr (m) - 2000</t>
  </si>
  <si>
    <t>2. Safeer Babu (m) - 2000</t>
  </si>
  <si>
    <t>3. Sujith Kumar - 4500</t>
  </si>
  <si>
    <t>3. Aash Muhammad - 4500</t>
  </si>
  <si>
    <t>3. Rahees - 4500</t>
  </si>
  <si>
    <t>3. Rashid - 4500</t>
  </si>
  <si>
    <t>3. Molly - 4500</t>
  </si>
  <si>
    <t>4. Nadirsha Nachu - 4000</t>
  </si>
  <si>
    <t>4. Vishnu CV - 4000</t>
  </si>
  <si>
    <t>1. Abrar Ali</t>
  </si>
  <si>
    <t>4. Sreeju - 4000</t>
  </si>
  <si>
    <t>4. Sadik - 4000</t>
  </si>
  <si>
    <t>1. Raheem EK</t>
  </si>
  <si>
    <t>4. Aneesh - 4000</t>
  </si>
  <si>
    <t>5. Ram Thakkar(NZ) - 3500</t>
  </si>
  <si>
    <t>2. Aniket Gavit</t>
  </si>
  <si>
    <t>5. Gopikrishnan SV(Ind) - 3500</t>
  </si>
  <si>
    <t>2. Anand Ajk</t>
  </si>
  <si>
    <t>5. Shivaji Prakash(Ind) - 3500</t>
  </si>
  <si>
    <t>2. Thilanga Dumindu</t>
  </si>
  <si>
    <t>5. Arnab Sarkar(Aus) - 3500</t>
  </si>
  <si>
    <t>5. Anshad(Ind) - 3500</t>
  </si>
  <si>
    <t>6. Yashwanth Yash(NZ) - 3000</t>
  </si>
  <si>
    <t>6. Rahul Suresh(WI) - 3000</t>
  </si>
  <si>
    <t>3. Anike Dey Shanto</t>
  </si>
  <si>
    <t>6. Jana CP(Ind) - 3000</t>
  </si>
  <si>
    <t>6. Srajan Poojary(NZ) - 3000</t>
  </si>
  <si>
    <t>6. Shamroz(Pak) - 3000</t>
  </si>
  <si>
    <t>3. Chappy</t>
  </si>
  <si>
    <t>7. Thilanga Dumindu(SL) - 2800</t>
  </si>
  <si>
    <t>7. Sai Naveen(Aus) - 2800</t>
  </si>
  <si>
    <t>4. Saad Rizwan</t>
  </si>
  <si>
    <t>7. Rizwan Mansoori(Aus) - 2800</t>
  </si>
  <si>
    <t>7. Keshav(Aus) - 2800</t>
  </si>
  <si>
    <t>4. Anurag Raj</t>
  </si>
  <si>
    <t>7. Damitha(SL) - 2800</t>
  </si>
  <si>
    <t>4. Rajeev</t>
  </si>
  <si>
    <t>4. Suman</t>
  </si>
  <si>
    <t>4. Hashir</t>
  </si>
  <si>
    <t>8. Rahul Gadia(Aus) - 2500</t>
  </si>
  <si>
    <t>5. Huzaifa Imran</t>
  </si>
  <si>
    <t>8. Arvind Kumar Yadav(UAE) - 2500</t>
  </si>
  <si>
    <t>5. Rejith Mohan</t>
  </si>
  <si>
    <t>5. Chiranjibi Samal</t>
  </si>
  <si>
    <t>8. Ashuthosh Jha(UAE) - 2500</t>
  </si>
  <si>
    <t>5. Rubesh Jude</t>
  </si>
  <si>
    <t>5. Athif Basheer K</t>
  </si>
  <si>
    <t>8. Gautam(NZ) - 2500</t>
  </si>
  <si>
    <t>5. Hasan Musabbir</t>
  </si>
  <si>
    <t>5. Huzain</t>
  </si>
  <si>
    <t>8. Kishore Gowda(NZ) - 2500</t>
  </si>
  <si>
    <t>6. M Touqeer</t>
  </si>
  <si>
    <t>9. Zarnish Saira(Pak) - 2300</t>
  </si>
  <si>
    <t>6. K Srinidhi</t>
  </si>
  <si>
    <t>9. Dr Waleed Khan(Afg) - 2300</t>
  </si>
  <si>
    <t>6. Farhaan</t>
  </si>
  <si>
    <t>9. Rahul Seenu(Ind) - 2300</t>
  </si>
  <si>
    <t>6. Hrushikesh HD</t>
  </si>
  <si>
    <t>6. Rojo</t>
  </si>
  <si>
    <t>9. Ameen(WI) - 2300</t>
  </si>
  <si>
    <t>9. Nasrullah(Pak) - 2300</t>
  </si>
  <si>
    <t>7. Sufyan Yaqoob</t>
  </si>
  <si>
    <t>7. Keshav Shah</t>
  </si>
  <si>
    <t>7. Rasith Wijethunga</t>
  </si>
  <si>
    <t>10. Bhavin Kumar(Pak) - 2000</t>
  </si>
  <si>
    <t>10. Bharath Narayan(WI) - 2000</t>
  </si>
  <si>
    <t>7. Yashwanth Yash</t>
  </si>
  <si>
    <t>7. Kebin</t>
  </si>
  <si>
    <t>10. Nihal Maxi(WI) - 2000</t>
  </si>
  <si>
    <t>8. Adithya Mahajan</t>
  </si>
  <si>
    <t>10. Malik Zubair(Afg) - 2000</t>
  </si>
  <si>
    <t>8. Lal Krishna</t>
  </si>
  <si>
    <t>10. Nirmal Baishya(Ned) - 2000</t>
  </si>
  <si>
    <t>8. Ruwanga Bandarawattha</t>
  </si>
  <si>
    <t>8. Rahul Seenu</t>
  </si>
  <si>
    <t>11. Prince Meghani(UAE) - 1700</t>
  </si>
  <si>
    <t>8. Nithin</t>
  </si>
  <si>
    <t>11. Bibin Benny(WI) - 1700</t>
  </si>
  <si>
    <t>8. Shaheen</t>
  </si>
  <si>
    <t>11. Hasindu Rashminda(SL) - 1700</t>
  </si>
  <si>
    <t>11. Chiranjibi Samal(Aus) - 1700</t>
  </si>
  <si>
    <t>9. Suhyl Mohammad</t>
  </si>
  <si>
    <t>11. Marami Ahmed(Ned) - 1700</t>
  </si>
  <si>
    <t>9. Uresh Gn</t>
  </si>
  <si>
    <t>12. Mahesh Margol(NZ) - 1500</t>
  </si>
  <si>
    <t>9. Vikas</t>
  </si>
  <si>
    <t>12. Farhan Mallick(Afg) - 1500</t>
  </si>
  <si>
    <t>9. Shukoor</t>
  </si>
  <si>
    <t>12. Hirak Jyothi(Ned) - 1500</t>
  </si>
  <si>
    <t>12. Abrar Ali(Aus) - 1500</t>
  </si>
  <si>
    <t>10. Rakesh</t>
  </si>
  <si>
    <t>12. Debajit Borthakur(Ned) - 1500</t>
  </si>
  <si>
    <t>10. Virendra Peiris</t>
  </si>
  <si>
    <t>13. Sasith(SL) - 1200</t>
  </si>
  <si>
    <t>13. Athif Basheer(Ind) - 1200</t>
  </si>
  <si>
    <t>13. Gowri Madhu(NZ) - 1200</t>
  </si>
  <si>
    <t>11. Rizwan Mansoori</t>
  </si>
  <si>
    <t>13. Sidharth(UAE) - 1200</t>
  </si>
  <si>
    <t>11. Kavinda Gihan</t>
  </si>
  <si>
    <t>13. Virendra(SL) - 1200</t>
  </si>
  <si>
    <t>14. Miraj Cool(SL) - 1000</t>
  </si>
  <si>
    <t>12. Waqas Mughal</t>
  </si>
  <si>
    <t>14. Anand AKJ(Aus) - 1000</t>
  </si>
  <si>
    <t>12. Sasith Jayawardena</t>
  </si>
  <si>
    <t>14. Sreeraj Kaimal(WI) - 1000</t>
  </si>
  <si>
    <t>12. Ram Thakkar</t>
  </si>
  <si>
    <t>14. Hasan Musabbir(NZ) - 1000</t>
  </si>
  <si>
    <t>14. Suman(NZ) - 1000</t>
  </si>
  <si>
    <t>15. Anas Asim(AFG) - 1000</t>
  </si>
  <si>
    <t>15. Bhavesh(Aus) - 1000</t>
  </si>
  <si>
    <t>15. Farhaan(Ind) - 1000</t>
  </si>
  <si>
    <t>15. Ahsan Siddique(USA) - 1000</t>
  </si>
  <si>
    <t>15. Kosala Jayasinghe(SL) - 1000</t>
  </si>
  <si>
    <t>16. Mayank Das(Ned) - 4000 (Replaced Nachu )</t>
  </si>
  <si>
    <t>16. Sadik - 2000</t>
  </si>
  <si>
    <t>16. Abhilash PA(WI) - 4000 ( Replaced Sreeju )</t>
  </si>
  <si>
    <t>16. Ans Sheikh(Pak) - 1000 ( Replaced Ahsan )</t>
  </si>
  <si>
    <t>17. Damith Nandana(SL) -1000 ( Replaced Miraj )</t>
  </si>
  <si>
    <t>17. Shibili (WI) - 2500 ( Replaced Ashutosh )</t>
  </si>
  <si>
    <t>17. Rasith Wijethunga(SL) - 4000 ( Replaced Sadik )</t>
  </si>
  <si>
    <t>18. Harish(NZ) - 1200 ( Replaced Sid )</t>
  </si>
  <si>
    <t>All Match Updates</t>
  </si>
  <si>
    <t>13. Saubhagya Gupta</t>
  </si>
  <si>
    <t>13. Thilina Jayarathna</t>
  </si>
  <si>
    <t>14. Malaram Patel</t>
  </si>
  <si>
    <t>14. Hansana De Silva</t>
  </si>
  <si>
    <t>14. Gowri Madhu</t>
  </si>
  <si>
    <t>15. Damith Nandana</t>
  </si>
  <si>
    <t>15. Ramith</t>
  </si>
  <si>
    <t>16. Tukaram Parabat</t>
  </si>
  <si>
    <t>17. Manish Poojary</t>
  </si>
  <si>
    <t>19. Salar Shah</t>
  </si>
  <si>
    <t>MI London vs London Spirit</t>
  </si>
  <si>
    <t xml:space="preserve">16th March </t>
  </si>
  <si>
    <t>Bhavin Kumar (LS)</t>
  </si>
  <si>
    <t>Pakistan ( Home )</t>
  </si>
  <si>
    <t>Ram Thakkar (LS)</t>
  </si>
  <si>
    <t>1. Arvind Kumar Yadav</t>
  </si>
  <si>
    <t>Southern Brave vs Welsh Fire</t>
  </si>
  <si>
    <t>1. Muhammad Huzaifa</t>
  </si>
  <si>
    <t>Shivaji Prakash (WF)</t>
  </si>
  <si>
    <t>Sreeraj (WF)</t>
  </si>
  <si>
    <t>2. Akhil Mohan</t>
  </si>
  <si>
    <t>Shivaji (WF)</t>
  </si>
  <si>
    <t>2. Rajab Baloch</t>
  </si>
  <si>
    <t>Sunrisers Leeds vs London Spirit</t>
  </si>
  <si>
    <t>2. Moiz Mohsin</t>
  </si>
  <si>
    <t>17th March</t>
  </si>
  <si>
    <t>3. Rdx</t>
  </si>
  <si>
    <t>Kishore Gowda (SL)</t>
  </si>
  <si>
    <t>3. Asadullah KB</t>
  </si>
  <si>
    <t>3. Kannan Balakrishna</t>
  </si>
  <si>
    <t>Achuz (SL)</t>
  </si>
  <si>
    <t>3. Talha D Crew</t>
  </si>
  <si>
    <t>MI London vs Southern Braves</t>
  </si>
  <si>
    <t>4. Naveen Guota</t>
  </si>
  <si>
    <t>18th March</t>
  </si>
  <si>
    <t>4. Kiran Nath</t>
  </si>
  <si>
    <t>4. Ahsas Baloch</t>
  </si>
  <si>
    <t>RDX</t>
  </si>
  <si>
    <t>4. Nihal Maxi</t>
  </si>
  <si>
    <t>Aniket (MI)</t>
  </si>
  <si>
    <t>4. Farhan Mohammad</t>
  </si>
  <si>
    <t>Rejith (SB)</t>
  </si>
  <si>
    <t>Srajan (MI)</t>
  </si>
  <si>
    <t>5. Shahryar Hussain</t>
  </si>
  <si>
    <t>Welsh Fire vs Sunrisers Leeds</t>
  </si>
  <si>
    <t>5. Bitupan Dutta</t>
  </si>
  <si>
    <t>5. Ebad Malik</t>
  </si>
  <si>
    <t>5. Arjun S Kumar</t>
  </si>
  <si>
    <t>5. Ghamshad Baloch</t>
  </si>
  <si>
    <t>Aashutosh (WF)</t>
  </si>
  <si>
    <t>6. Ashutosh Jha</t>
  </si>
  <si>
    <t>Rizwan (WF)</t>
  </si>
  <si>
    <t>6. Mayank Das</t>
  </si>
  <si>
    <t>6. Muhammad Ahmed</t>
  </si>
  <si>
    <t>London Spirit vs Welsh Fire</t>
  </si>
  <si>
    <t>6. Frijo Thomas</t>
  </si>
  <si>
    <t>19th March</t>
  </si>
  <si>
    <t>6. Ahmed Mahsoof</t>
  </si>
  <si>
    <t>7. Siddharth V Jain</t>
  </si>
  <si>
    <t>7. Marami Ahmed</t>
  </si>
  <si>
    <t>7. Ghamshad Baloch</t>
  </si>
  <si>
    <t>7. Mian Bilal</t>
  </si>
  <si>
    <t>Southern Braves vs Sunrisers Leeds</t>
  </si>
  <si>
    <t>8. Subaida Subi</t>
  </si>
  <si>
    <t>20th March</t>
  </si>
  <si>
    <t>8. Biswajit Dutta</t>
  </si>
  <si>
    <t>8. Neak M</t>
  </si>
  <si>
    <t>8. Im Ameen</t>
  </si>
  <si>
    <t>Ganesh Chunduru</t>
  </si>
  <si>
    <t>8. Suranja Deepal</t>
  </si>
  <si>
    <t>Marami (SL)</t>
  </si>
  <si>
    <t>Debajit (SL)</t>
  </si>
  <si>
    <t>9. Rahul Sharma</t>
  </si>
  <si>
    <t>Aash (SB)</t>
  </si>
  <si>
    <t>9. Sajjad Kapri</t>
  </si>
  <si>
    <t>9. Bibin Benny</t>
  </si>
  <si>
    <t>MI London vs Welsh Fire</t>
  </si>
  <si>
    <t>9. Khan Mahar</t>
  </si>
  <si>
    <t>10. Biki Basistha</t>
  </si>
  <si>
    <t>Yasin &amp; Debajit</t>
  </si>
  <si>
    <t>10. Rahees Ashiq</t>
  </si>
  <si>
    <t>10. Sreeraj R Kaimal</t>
  </si>
  <si>
    <t>Hasan (MI)</t>
  </si>
  <si>
    <t>10. Wafa Baloch</t>
  </si>
  <si>
    <t>London Spirit vs Southern Brave</t>
  </si>
  <si>
    <t>11. Saketh Balne</t>
  </si>
  <si>
    <t>21st March</t>
  </si>
  <si>
    <t>11. Ayat</t>
  </si>
  <si>
    <t>12. Bhavesh B</t>
  </si>
  <si>
    <t>Athif (SB)</t>
  </si>
  <si>
    <t>12. Masrifa Munni</t>
  </si>
  <si>
    <t>Ram (LS)</t>
  </si>
  <si>
    <t>Shibasis (LS)</t>
  </si>
  <si>
    <t>13. Karan Kumar</t>
  </si>
  <si>
    <t>Sunrisers Leeds vs vs MI London</t>
  </si>
  <si>
    <t>14. Alamin</t>
  </si>
  <si>
    <t>22nd March</t>
  </si>
  <si>
    <t>15. Harsh Dubey</t>
  </si>
  <si>
    <t>Keshav (MI)</t>
  </si>
  <si>
    <t>16. Siddiqui Ahsan</t>
  </si>
  <si>
    <t>Welsh Fire vs Southern Braves</t>
  </si>
  <si>
    <t>Franchise League PSL All TEAMS</t>
  </si>
  <si>
    <t>Gopi (SB)</t>
  </si>
  <si>
    <t>London Spirit vs Sunrisers Leeds</t>
  </si>
  <si>
    <t>23rd March</t>
  </si>
  <si>
    <t>Sujith &amp; Arjun</t>
  </si>
  <si>
    <t>Mahesh (LS)</t>
  </si>
  <si>
    <t>Anshad (SL)</t>
  </si>
  <si>
    <t>1. Muhammad Usman - 7000</t>
  </si>
  <si>
    <t>Southern Brave vs MI London</t>
  </si>
  <si>
    <t>1. Muhammad Ahmad - 7000</t>
  </si>
  <si>
    <t>24th March</t>
  </si>
  <si>
    <t>1. Engr Ans Sheikh - 7000</t>
  </si>
  <si>
    <t>1. Nasrullah Kapri - 7000</t>
  </si>
  <si>
    <t>1. Zarnish Saira - 7000</t>
  </si>
  <si>
    <t>1. Bhavin Kumar - 7000</t>
  </si>
  <si>
    <t>2. Ayaan Sheikh - 4000</t>
  </si>
  <si>
    <t>Arnab (MI)</t>
  </si>
  <si>
    <t>2. Aaiz Khan - 4000</t>
  </si>
  <si>
    <t>2. Arslan Ali Shani - 4000</t>
  </si>
  <si>
    <t>2. Hizbullah Sahito - 4000</t>
  </si>
  <si>
    <t>Welsh Fire vs London Spirit</t>
  </si>
  <si>
    <t>2. Shamroz - 4000</t>
  </si>
  <si>
    <t>2. Ganesh Chunduru - 4000</t>
  </si>
  <si>
    <t>3. Anas Asim(Afg) - 4000</t>
  </si>
  <si>
    <t>Mayank (LS)</t>
  </si>
  <si>
    <t>3. Kishore Gowda(NZ) - 4500</t>
  </si>
  <si>
    <t>3. Arnab Sarkar (Aus) - 5000</t>
  </si>
  <si>
    <t>3. Yasin Iqbal(BD) - 5000</t>
  </si>
  <si>
    <t>3. Shivaji Prakash (Ind) - 3000</t>
  </si>
  <si>
    <t>Sunrisers Leeds vs Southern Braves</t>
  </si>
  <si>
    <t>3. Sai Naveen(BD) - 3000</t>
  </si>
  <si>
    <t>25th March</t>
  </si>
  <si>
    <t>4. Wafa Baloch(Pak) - 3000</t>
  </si>
  <si>
    <t>Aniket</t>
  </si>
  <si>
    <t>4. Moiz Mohsin(Pak) - 2000</t>
  </si>
  <si>
    <t>4. M Huzaifa(Pak) - 2000</t>
  </si>
  <si>
    <t>4. Gamshad Baloch(Pak) - 3000</t>
  </si>
  <si>
    <t>Safeer (SL)</t>
  </si>
  <si>
    <t>4. Talha(Pak) - 3000</t>
  </si>
  <si>
    <t>4. Masrifa Munni(Pak) - 3500</t>
  </si>
  <si>
    <t>MI London vs Sunrisers Leeds</t>
  </si>
  <si>
    <t>26th March</t>
  </si>
  <si>
    <t>5. Ahmed Mahsoof(Pak) - 3000</t>
  </si>
  <si>
    <t>5. Saubhagya Gupta(Aus) - 2200</t>
  </si>
  <si>
    <t>5. Ashique Ashi(Scot) - 4000</t>
  </si>
  <si>
    <t>5. Khan Mahar(Pak) - 2000</t>
  </si>
  <si>
    <t>Damitha (SL)</t>
  </si>
  <si>
    <t>5. Huzain(Scot) - 1500</t>
  </si>
  <si>
    <t>5. Farhaan(Ind) - 1500</t>
  </si>
  <si>
    <t>Welsh Fire vs MI London</t>
  </si>
  <si>
    <t>6. Mian Bilal(Pak) - 2000</t>
  </si>
  <si>
    <t>6. Achuz Sukumaran(Eng) - 1500</t>
  </si>
  <si>
    <t>6. Biswajit Dutta(Ned) - 1000</t>
  </si>
  <si>
    <t>Achuz &amp; Diljith</t>
  </si>
  <si>
    <t>Sujith (MI)</t>
  </si>
  <si>
    <t>Southern Brave vs London Spirit</t>
  </si>
  <si>
    <t>27th March</t>
  </si>
  <si>
    <t>Anand (SB)</t>
  </si>
  <si>
    <t>Sunrisers Leeds vs Welsh Fire</t>
  </si>
  <si>
    <t>28th March</t>
  </si>
  <si>
    <t>6. Ram Thakkar(NZ) - 5250</t>
  </si>
  <si>
    <t>6. Shafi(Scot) - 3000</t>
  </si>
  <si>
    <t>6. Nihal(WI) - 1500</t>
  </si>
  <si>
    <t>7. Subaida Subi(Eng) - 6200</t>
  </si>
  <si>
    <t>29th March</t>
  </si>
  <si>
    <t>7. Yashwanth Yash(NZ) - 2400</t>
  </si>
  <si>
    <t>7. Srajan Poojari(NZ) - 5200</t>
  </si>
  <si>
    <t>7. Anand Ajk(Aus) - 500</t>
  </si>
  <si>
    <t>7. Ameen(WI) - 2000</t>
  </si>
  <si>
    <t>Gautam (MI)</t>
  </si>
  <si>
    <t>7. Gautam Shankara Ram(NZ) - 3200</t>
  </si>
  <si>
    <t>Eliminator(Welsh vs Sunrisers)</t>
  </si>
  <si>
    <t>30th March</t>
  </si>
  <si>
    <t>8. Kiran Nath(Ned) - 500</t>
  </si>
  <si>
    <t>8. Waleed Khan(Afg) - 5000</t>
  </si>
  <si>
    <t>8. Keshav Shah(Aus) - 2850</t>
  </si>
  <si>
    <t>8. Nirmal(Ned) - 1950</t>
  </si>
  <si>
    <t>Nihal (WF)</t>
  </si>
  <si>
    <t>8. Jana CP(Ind) - 7400</t>
  </si>
  <si>
    <t>8. Hasan Musabir(NZ) - 2600</t>
  </si>
  <si>
    <t>Grand Final(MI vs Sunrisers)</t>
  </si>
  <si>
    <t>9. Marami Ahmed(Ned) - 6000</t>
  </si>
  <si>
    <t>31st March</t>
  </si>
  <si>
    <t>9. Jishnu(Scot) - 3800</t>
  </si>
  <si>
    <t>Arnab(MI)</t>
  </si>
  <si>
    <t>9. M Touqeer(Afg) - 6000</t>
  </si>
  <si>
    <t>Nirmal (SL)</t>
  </si>
  <si>
    <t>9. Ayat(Pak) - 2000</t>
  </si>
  <si>
    <t>9. Thilanga Dumindu(SL) - 3600</t>
  </si>
  <si>
    <t>9. Rahul Seenu(Ind) - 2200</t>
  </si>
  <si>
    <t>10. Debajit(Ned) - 3900</t>
  </si>
  <si>
    <t xml:space="preserve">10. Farhan Mallick(Afg) - 1500 </t>
  </si>
  <si>
    <t>10. Malaram Patel(Aus) - 3100</t>
  </si>
  <si>
    <t>10. Karan Kumar(BD) - 3000</t>
  </si>
  <si>
    <t>IOCF THE HUNDRED 2026 AWARDS</t>
  </si>
  <si>
    <t>10. Anshad(Ind) - 6750</t>
  </si>
  <si>
    <t>10. Rahul Sharma(Ned) - 1000</t>
  </si>
  <si>
    <t>11. Miraj Cool(SL) - 1000</t>
  </si>
  <si>
    <t>11. Anurag Raj(Aus) - 2700</t>
  </si>
  <si>
    <t>11. Aniket Gavit(Eng) - 3400</t>
  </si>
  <si>
    <t>11. Siddiqui Ahsan(BD) - 1800</t>
  </si>
  <si>
    <t>11. Damitha Naranpanawa(SL) - 5500</t>
  </si>
  <si>
    <t>11. Bhavesh B(BD) - 1000</t>
  </si>
  <si>
    <t>12. Karthik Devadiga(NZ) - 500</t>
  </si>
  <si>
    <t>12. Abrar Ali(Aus) - 3750</t>
  </si>
  <si>
    <t>12. Huzaifa Imran(Afg) - 800</t>
  </si>
  <si>
    <t>12. Rizwan Mansoori(Aus) - 3300</t>
  </si>
  <si>
    <t>12. Virendra Peiris(SL) - 500</t>
  </si>
  <si>
    <t>12. Chiranjibi Samal(Aus) - 4000</t>
  </si>
  <si>
    <t>13. Damith Nandana(SL) - 1000</t>
  </si>
  <si>
    <t>13. Hrushikesh HD(NZ) - 500</t>
  </si>
  <si>
    <t>13. K Srinidhi(Aus) - 500</t>
  </si>
  <si>
    <t>13. Harsh(BD) 1500</t>
  </si>
  <si>
    <t>13. Shukoor(Scot) - 500</t>
  </si>
  <si>
    <t>13. Siddarth V Jain(UAE) - 3000</t>
  </si>
  <si>
    <t>14. Hirak Jyothi(Ned) - 500</t>
  </si>
  <si>
    <t>14. Rahul Gadia(Aus) - 1000</t>
  </si>
  <si>
    <t>14. Gowri Madhu(NZ) - 500</t>
  </si>
  <si>
    <t>14. Waqas Mughal(Aus) - 2200</t>
  </si>
  <si>
    <t>14. Hasindu Rashminda(SL) - 500</t>
  </si>
  <si>
    <t>14. K Rakesh CSK(Aus) - 3000</t>
  </si>
  <si>
    <t>15. Rajab Baloch(BD) - 500</t>
  </si>
  <si>
    <t>15. Rasith Wijethunga(SL) - 1100</t>
  </si>
  <si>
    <t>15. Sufyan Yaqoob(Afg) - 500</t>
  </si>
  <si>
    <t>15. Asad(BD) - 500</t>
  </si>
  <si>
    <t>15. Mahesh Margol(NZ) - 500</t>
  </si>
  <si>
    <t>15. Saketh Balne(BD) - 500</t>
  </si>
  <si>
    <t>16. Saad Rizwan(Afg) - 600</t>
  </si>
  <si>
    <t>16. Vaibhav Batra(BD) - 1000</t>
  </si>
  <si>
    <t>16. Lal Krishna(Aus) - 500</t>
  </si>
  <si>
    <t>16. Ghamshad(BD) - 500</t>
  </si>
  <si>
    <t>16. Tukaram Parabat(NZ) - 500</t>
  </si>
  <si>
    <t>16. Rubesh(SL) - 500</t>
  </si>
  <si>
    <t>17. Vishnu CV(Eng) - 500</t>
  </si>
  <si>
    <t>17. Umar Khan(Afg) - 1000</t>
  </si>
  <si>
    <t>17. Anik Dey Shanto(Aus) - 700</t>
  </si>
  <si>
    <t>17. Rahees(BD) - 500</t>
  </si>
  <si>
    <t>17. Sasith(SL) - 500</t>
  </si>
  <si>
    <t>17. Kosala(SL) - 500</t>
  </si>
  <si>
    <t>18. Kannan(WI) - 500</t>
  </si>
  <si>
    <t>18. Athif Basheer(Ind) - 2850</t>
  </si>
  <si>
    <t>18. Zeeshan(Aus) - 1100</t>
  </si>
  <si>
    <t>18. Ahmed(BD) - 2000</t>
  </si>
  <si>
    <t>18. Suranja (Pak) - 500</t>
  </si>
  <si>
    <t>18. Sajjad Kapri (BD) - 500</t>
  </si>
  <si>
    <t>19. Wajdan(Pak) - 500</t>
  </si>
  <si>
    <t>19. Harish(NZ) - 500</t>
  </si>
  <si>
    <t>19. Ebad(BD) - 500</t>
  </si>
  <si>
    <t>19. Ahsas(BD) - 500</t>
  </si>
  <si>
    <t>20. Adithya Mahajan(Afg) - 500</t>
  </si>
  <si>
    <t>20. Gopi SV(Ind) - 500</t>
  </si>
  <si>
    <t>20. Shibili(WI) - 500</t>
  </si>
  <si>
    <t>20. Neak M(BD) - 500</t>
  </si>
  <si>
    <t>Remaining Purse - 8900</t>
  </si>
  <si>
    <t>Remaining Purse - 2200</t>
  </si>
  <si>
    <t>Remaining Purse - 850</t>
  </si>
  <si>
    <t>Remaining Purse - 3000</t>
  </si>
  <si>
    <t>Remaining Purse - 250</t>
  </si>
  <si>
    <t>Remaining Purse - 6500</t>
  </si>
  <si>
    <t>Hyderabad Kingsmen vs Lahore Qalandars</t>
  </si>
  <si>
    <t>4th April</t>
  </si>
  <si>
    <t>Lahore</t>
  </si>
  <si>
    <t>Hyderabad Kingsmen</t>
  </si>
  <si>
    <t>Bhavin Kumar(HK)</t>
  </si>
  <si>
    <t>Rahul Sharma(HK)</t>
  </si>
  <si>
    <t>Nihal(HK)</t>
  </si>
  <si>
    <t>Multan Sultan vs Quetta Gladiators</t>
  </si>
  <si>
    <t>Multan</t>
  </si>
  <si>
    <t>Quette Gladiators</t>
  </si>
  <si>
    <t>Ganesh</t>
  </si>
  <si>
    <t>Suranja Deepal(QG)</t>
  </si>
  <si>
    <t>Tukaram Parabat(QG)</t>
  </si>
  <si>
    <t>Pindiz vs Karachi Kings</t>
  </si>
  <si>
    <t>5th April</t>
  </si>
  <si>
    <t>Karachi</t>
  </si>
  <si>
    <t>Pindiz</t>
  </si>
  <si>
    <t>Hrushikesh HD(PD)</t>
  </si>
  <si>
    <t>Ram Thakkar(KK)</t>
  </si>
  <si>
    <t>Nasrullah Kapri(KK)</t>
  </si>
  <si>
    <t>Hyderabad Kingsmen vs Multan Sultans</t>
  </si>
  <si>
    <t>Sai Naveen(HK)</t>
  </si>
  <si>
    <t>Arnab Sarkar(MS)</t>
  </si>
  <si>
    <t>Lahore Qalandars vs Quetta Gladiators</t>
  </si>
  <si>
    <t>Adithya Mahajan(LQ)</t>
  </si>
  <si>
    <t>Ahmed Mahsoof(LQ)</t>
  </si>
  <si>
    <t>Quetta Gladiators vs Pindiz</t>
  </si>
  <si>
    <t>6th April</t>
  </si>
  <si>
    <t>Pindi</t>
  </si>
  <si>
    <t>Al Ameen (QG)</t>
  </si>
  <si>
    <t>Aaiz Khan (PD)</t>
  </si>
  <si>
    <t>Multan Sultan vs Karachi Kings</t>
  </si>
  <si>
    <t>Karachi Kings</t>
  </si>
  <si>
    <t>Siddiqui Ahsan (KK)</t>
  </si>
  <si>
    <t>Rizwan Mansoori (KK)</t>
  </si>
  <si>
    <t>Hyderabad Kingsmen vs Quetta Gladiators</t>
  </si>
  <si>
    <t>7th April</t>
  </si>
  <si>
    <t>Quetta</t>
  </si>
  <si>
    <t>Lahore Qalandars vs Pindiz</t>
  </si>
  <si>
    <t>Usman (LQ)</t>
  </si>
  <si>
    <t>Vaibhav Batra (PD)</t>
  </si>
  <si>
    <t>Hyderabad Kingsmen vs Pindiz</t>
  </si>
  <si>
    <t>8th April</t>
  </si>
  <si>
    <t>Umar Khan (PD)</t>
  </si>
  <si>
    <t>Sai Naveen (HK)</t>
  </si>
  <si>
    <t>Quetta Gladiators vs Karachi Kings</t>
  </si>
  <si>
    <t>Multan Sultan vs Lahore Qalandars</t>
  </si>
  <si>
    <t>Multan Sultan</t>
  </si>
  <si>
    <t>Arnab Sarkar (MS)</t>
  </si>
  <si>
    <t>Hyderabad Kingsmen vs Karachi Kings</t>
  </si>
  <si>
    <t>9th April</t>
  </si>
  <si>
    <t>Hyderabad</t>
  </si>
  <si>
    <t>Gautam Shankara Ram(HK)</t>
  </si>
  <si>
    <t>Nirmal Baishya (KK)</t>
  </si>
  <si>
    <t>Quetta Gladiators vs Lahore Qalandars</t>
  </si>
  <si>
    <t>Kannan (LQ)</t>
  </si>
  <si>
    <t>Damitha Naranpanawa (QG)</t>
  </si>
  <si>
    <t>Karachi Kings vs Lahore Qalandars</t>
  </si>
  <si>
    <t>10th April</t>
  </si>
  <si>
    <t>Ebad Malik(KK)</t>
  </si>
  <si>
    <t>Shibil (KK)</t>
  </si>
  <si>
    <t>Pindiz vs Multan Sultan</t>
  </si>
  <si>
    <t>Keshav Shah(MS)</t>
  </si>
  <si>
    <t>Zeeshan (MS)</t>
  </si>
  <si>
    <t>Lahore Qalandars vs Hyderabad Kingsmen</t>
  </si>
  <si>
    <t>11th April</t>
  </si>
  <si>
    <t>Anas Asim (LQ)</t>
  </si>
  <si>
    <t>Karachi Kings vs Pindiz</t>
  </si>
  <si>
    <t>Anand Ajk (KK)</t>
  </si>
  <si>
    <t xml:space="preserve">Quetta Gladiators vs Hyderabad Kingsmen </t>
  </si>
  <si>
    <t>12th April</t>
  </si>
  <si>
    <t>K Rakesh CSK(HK)</t>
  </si>
  <si>
    <t>Hizbullah Sahito (KK)</t>
  </si>
  <si>
    <t>Ram Thakkar (KK)</t>
  </si>
  <si>
    <t>Abrar Ali (PD)</t>
  </si>
  <si>
    <t>Aniket Gavit (MS)</t>
  </si>
  <si>
    <t>Multan Sultan vs Hyderabad Kingsmen</t>
  </si>
  <si>
    <t>13th April</t>
  </si>
  <si>
    <t>Nasrullah &amp; Harsh</t>
  </si>
  <si>
    <t xml:space="preserve">Pindiz vs Quetta Gladiators </t>
  </si>
  <si>
    <t>Ahmed &amp; Shamroz</t>
  </si>
  <si>
    <t>Achuz Sukumaran (PD)</t>
  </si>
  <si>
    <t>Athif Basheer K(PD)</t>
  </si>
  <si>
    <t>Hasindu Rashminda (QG)</t>
  </si>
  <si>
    <t>Karachi Kings vs Multan Sultan</t>
  </si>
  <si>
    <t>14th April</t>
  </si>
  <si>
    <t>Yasin Iqbal (KK)</t>
  </si>
  <si>
    <t>Pindiz vs Hyderabad Kingsmen</t>
  </si>
  <si>
    <t>Hrushikesh HD (PD)</t>
  </si>
  <si>
    <t>Karachi Kings vs Quetta Gladiators</t>
  </si>
  <si>
    <t>15th April</t>
  </si>
  <si>
    <t>Shivaji Prakash (QG)</t>
  </si>
  <si>
    <t>Lahore Qalandars vs Multan Sultan</t>
  </si>
  <si>
    <t>Ans Sheikh (MS)</t>
  </si>
  <si>
    <t>Harish (MS)</t>
  </si>
  <si>
    <t>Karachi Kings vs Hyderabad Kingsmen</t>
  </si>
  <si>
    <t>16th April</t>
  </si>
  <si>
    <t>Chiranjibi Samal (HK)</t>
  </si>
  <si>
    <t>Lahore Qalanadars vs Pindiz</t>
  </si>
  <si>
    <t>Muhammed Ahmed (PD)</t>
  </si>
  <si>
    <t xml:space="preserve">Qualifier 1: Hyderabad Kingsmen vs Lahore Qalandars </t>
  </si>
  <si>
    <t>17th April</t>
  </si>
  <si>
    <t xml:space="preserve">Ahmed  </t>
  </si>
  <si>
    <t>Eliminator: Karachi Kings vs Quetta Gladiators</t>
  </si>
  <si>
    <t>Zarnish Saira (QG)</t>
  </si>
  <si>
    <t>Qualifier 2: Lahore Qalandars vs Quetta Gladiators</t>
  </si>
  <si>
    <t>18th April</t>
  </si>
  <si>
    <t>Subaida Subi (LQ)</t>
  </si>
  <si>
    <t>Grand Final: Hyderabad Kingsmen vs Lahore Qalandars</t>
  </si>
  <si>
    <t>19th April</t>
  </si>
  <si>
    <t>Nasrullah (  Com: Ahmed &amp; Nirmal )</t>
  </si>
  <si>
    <t>Adithya Mahajan (LQ)</t>
  </si>
  <si>
    <t>IOCF Pakistan Super League 2026 AWARDS</t>
  </si>
  <si>
    <t>Franchise League BBL Registration &amp; all team Players 2026</t>
  </si>
  <si>
    <t>Australia ( Home )</t>
  </si>
  <si>
    <t>1. Nadeem Prince</t>
  </si>
  <si>
    <t>1. Jana Cp</t>
  </si>
  <si>
    <t>1. Georgekutty Abraham</t>
  </si>
  <si>
    <t>1. Ashwini verma</t>
  </si>
  <si>
    <t>2. Hizbuallah Sahito</t>
  </si>
  <si>
    <t>2. Abhilash PA</t>
  </si>
  <si>
    <t>2. Lal Krishna</t>
  </si>
  <si>
    <t>3. Waleed Khan</t>
  </si>
  <si>
    <t>3. Hasindu Rashminda</t>
  </si>
  <si>
    <t>3. Sujith Kumar</t>
  </si>
  <si>
    <t>3. Shamroz</t>
  </si>
  <si>
    <t>3. Thebseer</t>
  </si>
  <si>
    <t>3. Kannan Balakrishnan</t>
  </si>
  <si>
    <t>3. Zeeshan Yaqoob Gujjar</t>
  </si>
  <si>
    <t>4. Vishnu Vijay</t>
  </si>
  <si>
    <t>4. Aniket Gavit</t>
  </si>
  <si>
    <t>4. Sufyan Gujjar</t>
  </si>
  <si>
    <t>4. Rubesh Jude</t>
  </si>
  <si>
    <t>4. Ahsan Siddiqui</t>
  </si>
  <si>
    <t>4. Aash</t>
  </si>
  <si>
    <t>4. Farhan</t>
  </si>
  <si>
    <t>4. Ashi</t>
  </si>
  <si>
    <t>4. Anandha Krishnan</t>
  </si>
  <si>
    <t>4. Ajay Joseph</t>
  </si>
  <si>
    <t>5. Sanazil</t>
  </si>
  <si>
    <t>5. Shibasis Nayak</t>
  </si>
  <si>
    <t>5. Muhammad Touqeer</t>
  </si>
  <si>
    <t>5. Kosala Jayasinghe</t>
  </si>
  <si>
    <t>5. Raees Ashik</t>
  </si>
  <si>
    <t>5. Gowri</t>
  </si>
  <si>
    <t>5. Ayaan Sheikh</t>
  </si>
  <si>
    <t>5. Jishnu</t>
  </si>
  <si>
    <t>5. Manish Devadiga</t>
  </si>
  <si>
    <t>6. Rince Thomas</t>
  </si>
  <si>
    <t>6. Huzaifa Imran</t>
  </si>
  <si>
    <t>6. Rasith Wijethunga</t>
  </si>
  <si>
    <t>6. Sajjad Kapri</t>
  </si>
  <si>
    <t>6. Rashid</t>
  </si>
  <si>
    <t>6. Raheem</t>
  </si>
  <si>
    <t>6. Muhammad Usman</t>
  </si>
  <si>
    <t>6. Sreeraj R Kaimal</t>
  </si>
  <si>
    <t>6. Kushagra Sathe</t>
  </si>
  <si>
    <t>7. Subaida Subi</t>
  </si>
  <si>
    <t>7. Adnan Abbas</t>
  </si>
  <si>
    <t>7. Ruwanga Bandarawaththa</t>
  </si>
  <si>
    <t>7. Karan Kumar</t>
  </si>
  <si>
    <t>7. Abhishek</t>
  </si>
  <si>
    <t>7. Aaiz Khan</t>
  </si>
  <si>
    <t>7. Hashir</t>
  </si>
  <si>
    <t>7. Bibin Benny</t>
  </si>
  <si>
    <t>7. Arjun Akj</t>
  </si>
  <si>
    <t>8. Vishnu CV</t>
  </si>
  <si>
    <t>8. Mahesh Margol</t>
  </si>
  <si>
    <t>8. Zuhair Rbk</t>
  </si>
  <si>
    <t>8. Uresh Gnananga</t>
  </si>
  <si>
    <t>8. Edab Malik</t>
  </si>
  <si>
    <t>8. Safeer</t>
  </si>
  <si>
    <t>8. Ahmad Muhammad</t>
  </si>
  <si>
    <t>8. Rahul Suresh</t>
  </si>
  <si>
    <t xml:space="preserve">8. Nahas Nazar </t>
  </si>
  <si>
    <t>9. Yashwanth Yash</t>
  </si>
  <si>
    <t>9. Muzammil Zafar</t>
  </si>
  <si>
    <t>9. Virendra Peiris</t>
  </si>
  <si>
    <t>9. Princhi Bora</t>
  </si>
  <si>
    <t>9. Sadik</t>
  </si>
  <si>
    <t>9. Ganesh Chunduru</t>
  </si>
  <si>
    <t>9. Asthu</t>
  </si>
  <si>
    <t>9. Nihal Maxi</t>
  </si>
  <si>
    <t>9. Ankan Biswas</t>
  </si>
  <si>
    <t>10. Harish</t>
  </si>
  <si>
    <t>10. Anas Asim</t>
  </si>
  <si>
    <t>10. Ghamshad</t>
  </si>
  <si>
    <t>10. Achuz</t>
  </si>
  <si>
    <t>10. Arslan Ali Shani</t>
  </si>
  <si>
    <t>10. Kebin</t>
  </si>
  <si>
    <t>10. Hari Krishnan</t>
  </si>
  <si>
    <t>10. Manish Indoria</t>
  </si>
  <si>
    <t>11. Salar Shah</t>
  </si>
  <si>
    <t>11. Adithya Mahajan</t>
  </si>
  <si>
    <t>11. Asad</t>
  </si>
  <si>
    <t>11. Aneesh</t>
  </si>
  <si>
    <t>11. Masrifa Munni</t>
  </si>
  <si>
    <t>11. Ashith</t>
  </si>
  <si>
    <t>11. AL Ameen</t>
  </si>
  <si>
    <t>12. Samir</t>
  </si>
  <si>
    <t>12. Saad Rizwan</t>
  </si>
  <si>
    <t>12. Saketh Balne</t>
  </si>
  <si>
    <t>12. Molly</t>
  </si>
  <si>
    <t>12. Ayat</t>
  </si>
  <si>
    <t>12. Rojo</t>
  </si>
  <si>
    <t>12. Arjun Raj R</t>
  </si>
  <si>
    <t>13. Yeshwanth Chinni</t>
  </si>
  <si>
    <t>13. Hansana De Silva</t>
  </si>
  <si>
    <t>13. Ahsas</t>
  </si>
  <si>
    <t>13. Sujith CS Ctr</t>
  </si>
  <si>
    <t>13. Ahmed Mehsoof</t>
  </si>
  <si>
    <t>13. Muhammed Shibil M</t>
  </si>
  <si>
    <t>14. Ram Thakkar</t>
  </si>
  <si>
    <t>14. Thilina Jayarathna</t>
  </si>
  <si>
    <t>14. Bhavin Kumar</t>
  </si>
  <si>
    <t>14. Sri Vishnu</t>
  </si>
  <si>
    <t>14. Wafa Baloch</t>
  </si>
  <si>
    <t>15. Toby Joseph</t>
  </si>
  <si>
    <t>15. Binara Udayanga</t>
  </si>
  <si>
    <t>15. Bhargab Kashyap</t>
  </si>
  <si>
    <t>15. Wajdan</t>
  </si>
  <si>
    <t>16. Abdul Haseeb</t>
  </si>
  <si>
    <t>17. Ahmed</t>
  </si>
  <si>
    <t>Franchise League BBL All TEAMS</t>
  </si>
  <si>
    <t>Remaining Purse - 1000</t>
  </si>
  <si>
    <t>Remaining Purse - 55000</t>
  </si>
  <si>
    <t>1. Donald Baghwar(C) - 20K</t>
  </si>
  <si>
    <t>1. Keshav Shah(C) - 20K</t>
  </si>
  <si>
    <t>1. K Srinidhi(C) - 20K</t>
  </si>
  <si>
    <t>1. Chiranjibi Samal (C) - 20K</t>
  </si>
  <si>
    <t>1. Waqas Mughal (C) - 20K</t>
  </si>
  <si>
    <t>1. Malaram Patel (C) - 20K</t>
  </si>
  <si>
    <t>1. Arnab Sarkar(C) - 20k</t>
  </si>
  <si>
    <t>1. Rizwan Mansoori(C) - 20K</t>
  </si>
  <si>
    <t>2. Saubhagya Gupta(M) - 20K</t>
  </si>
  <si>
    <t>2. Mahi Mahendra(M) - 20K</t>
  </si>
  <si>
    <t>2. Anik Dey Shanto(M) - 20K</t>
  </si>
  <si>
    <t>2. Anurag Raj (M) - 20K</t>
  </si>
  <si>
    <t>2. Abrar Ali(M) - 20K</t>
  </si>
  <si>
    <t>2. K Rakesh CSK(M) - 20K</t>
  </si>
  <si>
    <t>2. Anand Ajk(M) - 20k</t>
  </si>
  <si>
    <t>2. Rahul Gadia(M) - 20K</t>
  </si>
  <si>
    <t>3. Bhavesh B(DS-BD) - 5000</t>
  </si>
  <si>
    <t>3. Midhuan Manilal(DS-WI) - 5000</t>
  </si>
  <si>
    <t>3. Shivaji Prakash(DS-Ind) - 5000</t>
  </si>
  <si>
    <t>3. Srajan Poojari(DS-NZ) - 5000</t>
  </si>
  <si>
    <t>3. Zarnish Saira(DS-Pak) - 5000</t>
  </si>
  <si>
    <t>3. Damitha Naranpanawa(DS-SL) - 5000</t>
  </si>
  <si>
    <t>3. Yasin Iqbal(DS-BD) - 5000</t>
  </si>
  <si>
    <t>3. Anshad Parakkadan(DS-Ind) - 5000</t>
  </si>
  <si>
    <t>4. Manish Indoria - Aus - 2500</t>
  </si>
  <si>
    <t>4. Zeeshan - Aus - 8000</t>
  </si>
  <si>
    <t>4. Arjun Akj - Aus - 7000</t>
  </si>
  <si>
    <t>4. Ajay Joseph - Aus - 1000</t>
  </si>
  <si>
    <t>4. Irshad - Scot - 1200</t>
  </si>
  <si>
    <t>4. Ankan Biswas - Aus - 6000</t>
  </si>
  <si>
    <t>4. Lal Krishna - Aus - 7000</t>
  </si>
  <si>
    <t>4. Rojo - Scot - 500</t>
  </si>
  <si>
    <t>5. Hashir -  Scot - 5000</t>
  </si>
  <si>
    <t>5. kushagra Sathe -Aus 4000</t>
  </si>
  <si>
    <t>5. Nihas - Aus - 3500</t>
  </si>
  <si>
    <t>5. Manish Devadiga - Aus - 1800</t>
  </si>
  <si>
    <t>5. Karan - Ban - 2500</t>
  </si>
  <si>
    <t>5. Bhavin Kumar - Ban - 7000</t>
  </si>
  <si>
    <t>5. Ashwini Verma - Aus - 2000</t>
  </si>
  <si>
    <t>5. Ebad - Ban - 2000</t>
  </si>
  <si>
    <t>6. Jishnu - Scot - 4000</t>
  </si>
  <si>
    <t>6. Kebin - Scot - 500</t>
  </si>
  <si>
    <t>6. Ashith - Scot - 500</t>
  </si>
  <si>
    <t>6. Ajay Kumar Sajeev -  Scot - 4000</t>
  </si>
  <si>
    <t>6. Hansana - SL - 2000</t>
  </si>
  <si>
    <t>6. Thilanga - SL - 14000</t>
  </si>
  <si>
    <t>6. Ashiqui Ashi - Scot - 6000</t>
  </si>
  <si>
    <t>6. Ram Thakkar - NZ - 21000</t>
  </si>
  <si>
    <t>7. Harsh Dubey - Ban - 10000</t>
  </si>
  <si>
    <t>7. Sai Naveen - Ban - 14000</t>
  </si>
  <si>
    <t>7. Mahesh Margol - NZ 3500</t>
  </si>
  <si>
    <t>7. Gautam - NZ - 16000</t>
  </si>
  <si>
    <t>7. Thilina - SL - 500</t>
  </si>
  <si>
    <t>7. Damith N - SL - 1000</t>
  </si>
  <si>
    <t>7. Thebseer - Scot - 2500</t>
  </si>
  <si>
    <t>7. Shibasis - NZ - 7000</t>
  </si>
  <si>
    <t>8. Vaibhav Batra - Ban - 5000</t>
  </si>
  <si>
    <t>8. Mohammed Ahmed - Ban - 4500</t>
  </si>
  <si>
    <t>8. Tukaram P - NZ - 4500</t>
  </si>
  <si>
    <t>8. Sujith CTR - Eng - 10000</t>
  </si>
  <si>
    <t>8. Rubesh - SL - 300</t>
  </si>
  <si>
    <t>8. Sasith - SL - 2200</t>
  </si>
  <si>
    <t>8. Shaheen - Scot - 2000</t>
  </si>
  <si>
    <t>8. Sameer - NZ - 500</t>
  </si>
  <si>
    <t>9. Princhi - Ban - 2000</t>
  </si>
  <si>
    <t>9. Raees - Ban - 500</t>
  </si>
  <si>
    <t>9. Toby - NZ - 6000</t>
  </si>
  <si>
    <t>9. Aash - Eng - 3000</t>
  </si>
  <si>
    <t>9. Aniket - NZ - 11000</t>
  </si>
  <si>
    <t>9. Kishore - NZ - 6000</t>
  </si>
  <si>
    <t>9. Salimax - Scot - 1600</t>
  </si>
  <si>
    <t>9. Achuz - Eng - 1000</t>
  </si>
  <si>
    <t>10. Bhargab - Ban - 500</t>
  </si>
  <si>
    <t>10. Hasan Mubashir - NZ - 4000</t>
  </si>
  <si>
    <t>10. Yashwanth - NZ - 8000</t>
  </si>
  <si>
    <t>10. Gowri - Eng - 1800</t>
  </si>
  <si>
    <t>10. Engr - Pak - 11000</t>
  </si>
  <si>
    <t>10. Nihal Maxi - WI - 500</t>
  </si>
  <si>
    <t>10. Asthu - Scot - 500</t>
  </si>
  <si>
    <t>10. Hizbullah - Pak - 4000</t>
  </si>
  <si>
    <t>11. Saketh Balne - Ban - 10000</t>
  </si>
  <si>
    <t>11. Ganesh - Pak - 14000</t>
  </si>
  <si>
    <t>11. Diljith Das - Eng - 4500</t>
  </si>
  <si>
    <t>11. Safeer - Eng - 2000</t>
  </si>
  <si>
    <t>11. Ahmed - Pak - 700</t>
  </si>
  <si>
    <t>11. Ananda Krishnan - WI - 500</t>
  </si>
  <si>
    <t>11. Ahsan - Ban - 14000</t>
  </si>
  <si>
    <t>11. Sheeraj - WI - 500</t>
  </si>
  <si>
    <t>12. Miraj Cool - SL - 1000</t>
  </si>
  <si>
    <t>12. Arslan - Pak - 1000</t>
  </si>
  <si>
    <t>12. Molly - Eng - 2000</t>
  </si>
  <si>
    <t>12. Ayaan - Pak - 1000</t>
  </si>
  <si>
    <t>12. Wajdan - Pak - 500</t>
  </si>
  <si>
    <t>12. Subaida - Ita - 7000</t>
  </si>
  <si>
    <t>12. Ghamshad - Ban - 1000</t>
  </si>
  <si>
    <t>12. Abhilash - WI - 500</t>
  </si>
  <si>
    <t>13. Hasindu Rashminda - SL - 3500</t>
  </si>
  <si>
    <t>13. Usman - Pak - 2500</t>
  </si>
  <si>
    <t>13. Aneesh - Eng - 500</t>
  </si>
  <si>
    <t>13. Shibil - WI - 1000</t>
  </si>
  <si>
    <t>13. Shamroz - Pak - 12000</t>
  </si>
  <si>
    <t>13. Anas Asim - Afg - 3000</t>
  </si>
  <si>
    <t>13. Sajjd - Ban - 500</t>
  </si>
  <si>
    <t>13. Huzain - Ita - 500</t>
  </si>
  <si>
    <t>14. Rasith Wijethunga - SL - 2500</t>
  </si>
  <si>
    <t>14. Aaiz - Pak - 1000</t>
  </si>
  <si>
    <t>14. Ahmad - Pak - 2400</t>
  </si>
  <si>
    <t>14. Rahul Suresh - WI - 500</t>
  </si>
  <si>
    <t>14. Al Ameen - WI - 10000</t>
  </si>
  <si>
    <t>14. Mudasir - Afg - 700</t>
  </si>
  <si>
    <t>14. Rahees - Eng - 1000</t>
  </si>
  <si>
    <t>14. Sanazil - Ita - 500</t>
  </si>
  <si>
    <t>15. Harish - NZ - 3500</t>
  </si>
  <si>
    <t>15. Georgekutty Abraham - WI - 500</t>
  </si>
  <si>
    <t>15. Akhil Mohan - Ita - 500</t>
  </si>
  <si>
    <t>15. Vishnu CV - Ita - 500</t>
  </si>
  <si>
    <t>15. Waleed - Afg - 2500</t>
  </si>
  <si>
    <t>15. Rahul Seenu - Ind - 2200</t>
  </si>
  <si>
    <t>15. Nasrullah - Pak - 11000</t>
  </si>
  <si>
    <t>15. Vishnu Vijay - Ita - 500</t>
  </si>
  <si>
    <t>16. Hrishikesh H D - NZ - 3500</t>
  </si>
  <si>
    <t>16. Hybi Anil - Ita - 500</t>
  </si>
  <si>
    <t>16. Adithya Mahajan - Afg - 10000</t>
  </si>
  <si>
    <t>16. Rince - Ita - 500</t>
  </si>
  <si>
    <t>16. Saad - Afg - 3000</t>
  </si>
  <si>
    <t>16. Farh an - Ind - 2400</t>
  </si>
  <si>
    <t>16. Munni - Pak - 1000</t>
  </si>
  <si>
    <t>16. Salar Shah - NZ - 500</t>
  </si>
  <si>
    <t>17. Uresh Gn - SL - 500</t>
  </si>
  <si>
    <t>17. Adnan Abbas - Afg - 1600</t>
  </si>
  <si>
    <t>17. Athif - Ind - 500</t>
  </si>
  <si>
    <t>17. Rahul Roy - Ind - 700</t>
  </si>
  <si>
    <t>17. Ashwin Thomas - WI - 1000</t>
  </si>
  <si>
    <t>17. Jana CP - Ind - 14000</t>
  </si>
  <si>
    <t>18. Sri Vishnu - Eng - 500</t>
  </si>
  <si>
    <t>18. Abhishek - Ind 500</t>
  </si>
  <si>
    <t>18. Touqeer - Afg - 3000</t>
  </si>
  <si>
    <t>Sydney Sixers vs Brisbane Heat</t>
  </si>
  <si>
    <t>4th May</t>
  </si>
  <si>
    <t>SCG</t>
  </si>
  <si>
    <t>Ump: Chiranjibi, SC: Keshav</t>
  </si>
  <si>
    <t>Arnab Sarkar (SS)</t>
  </si>
  <si>
    <t>Muhammad Usman (BH)</t>
  </si>
  <si>
    <t>Adelaide Strikers vs Melbourne Renegades</t>
  </si>
  <si>
    <t>Oval</t>
  </si>
  <si>
    <t>Ump &amp; SC: Keshav</t>
  </si>
  <si>
    <t>Gautam (MR)</t>
  </si>
  <si>
    <t>Bhavesh (AS)</t>
  </si>
  <si>
    <t>Sydney Thunders vs Perth Scorchers</t>
  </si>
  <si>
    <t>5th May</t>
  </si>
  <si>
    <t>Show</t>
  </si>
  <si>
    <t>Subaida Subi (PS)</t>
  </si>
  <si>
    <t>Achuz Sukumaran (ST)</t>
  </si>
  <si>
    <t>Hobart Hurricanes vs Melbourne Stars</t>
  </si>
  <si>
    <t>Ninja</t>
  </si>
  <si>
    <t>Toby Joseph(HH)</t>
  </si>
  <si>
    <t>Arjun Akj(HH)</t>
  </si>
  <si>
    <t>Zarnish Saira (MS)</t>
  </si>
  <si>
    <t>Perth Scorchers vs Sydney Sixers</t>
  </si>
  <si>
    <t>6th May</t>
  </si>
  <si>
    <t>Optus</t>
  </si>
  <si>
    <t>Ump &amp; SC: Anurag</t>
  </si>
  <si>
    <t>Yasin Iqbal (SS)</t>
  </si>
  <si>
    <t>Hobart Hurricanes vs Sydney Thunders</t>
  </si>
  <si>
    <t>Ump &amp; SC: Arnab</t>
  </si>
  <si>
    <t>Shibasis (ST)</t>
  </si>
  <si>
    <t>Brisbane Heat vs Adelaide Strikers</t>
  </si>
  <si>
    <t>7th May</t>
  </si>
  <si>
    <t>Gabba</t>
  </si>
  <si>
    <t>Harsh Dubey (AS)</t>
  </si>
  <si>
    <t>Donald (AS)</t>
  </si>
  <si>
    <t>Jishnu (AS)</t>
  </si>
  <si>
    <t>Melbourne Stars vs Melbourne Renegades</t>
  </si>
  <si>
    <t>MCG</t>
  </si>
  <si>
    <t>Ump &amp; SC: Srinidhi</t>
  </si>
  <si>
    <t>Ahmed (MS)</t>
  </si>
  <si>
    <t>Ayaan (MR)</t>
  </si>
  <si>
    <t>Sydney Sixers vs Hobart Hurricanes</t>
  </si>
  <si>
    <t>8th May</t>
  </si>
  <si>
    <t>Ump &amp; SC: Waqas</t>
  </si>
  <si>
    <t>Aneesh (HH)</t>
  </si>
  <si>
    <t>Shivaji (HH)</t>
  </si>
  <si>
    <t>Sydney Thunders vs Melbourne Renegades</t>
  </si>
  <si>
    <t>Ruwanga (MR)</t>
  </si>
  <si>
    <t>Ajay (MR)</t>
  </si>
  <si>
    <t>Adelaide Strikers vs Melbourne Stars</t>
  </si>
  <si>
    <t>9th May</t>
  </si>
  <si>
    <t>Irshad (MS)</t>
  </si>
  <si>
    <t>Aniket (MS)</t>
  </si>
  <si>
    <t>Harsh (AS)</t>
  </si>
  <si>
    <t>Brisbane Heat vs Perth Scorchers</t>
  </si>
  <si>
    <t>Rahul Seenu (PS)</t>
  </si>
  <si>
    <t>Keshav Shah (BH)</t>
  </si>
  <si>
    <t>Melbourne Renegades vs Sydney Sixers</t>
  </si>
  <si>
    <t>Franchise League KCL Registration &amp; all team Players 2026</t>
  </si>
  <si>
    <t>10th May</t>
  </si>
  <si>
    <t>Marvel</t>
  </si>
  <si>
    <t>Ump &amp; SC: Jyothish</t>
  </si>
  <si>
    <t>Touqeer (SS)</t>
  </si>
  <si>
    <t>Rahul Suresh (MR)</t>
  </si>
  <si>
    <t>Perth Scorchers vs Adelaide Strikers</t>
  </si>
  <si>
    <t>Bhavin (PS)</t>
  </si>
  <si>
    <t>Sakesth (AS)</t>
  </si>
  <si>
    <t>Newzealand (Home)</t>
  </si>
  <si>
    <t>Hobart Hurricanes vs Brisbane Heat</t>
  </si>
  <si>
    <t>11th May</t>
  </si>
  <si>
    <t>1. Rakshith Raksh</t>
  </si>
  <si>
    <t>1. Ali abbas bangash</t>
  </si>
  <si>
    <t>Hybi Anil (BH)</t>
  </si>
  <si>
    <t>Ahmed (BH)</t>
  </si>
  <si>
    <t>1. Chalana Rukshan</t>
  </si>
  <si>
    <t xml:space="preserve">1. Rahul Sharma </t>
  </si>
  <si>
    <t>1. Jana</t>
  </si>
  <si>
    <t>1. Vikas Acharya</t>
  </si>
  <si>
    <t xml:space="preserve">Melbourne Stars vs Sydney Thunders </t>
  </si>
  <si>
    <t>1. Kannan Balakrishnan</t>
  </si>
  <si>
    <t>Ump: Chiranjibi, SC: Srinidhi</t>
  </si>
  <si>
    <t>Jana (ST)</t>
  </si>
  <si>
    <t>Ram (ST)</t>
  </si>
  <si>
    <t>Rubesh (MS)</t>
  </si>
  <si>
    <t xml:space="preserve">2. Nouraiz </t>
  </si>
  <si>
    <t xml:space="preserve">2. Thilanga Dumindu </t>
  </si>
  <si>
    <t xml:space="preserve">2. Jahirul Hoque </t>
  </si>
  <si>
    <t xml:space="preserve"> 2. Athif </t>
  </si>
  <si>
    <t>2. Ramith Acharya</t>
  </si>
  <si>
    <t>2. AjayKumar Sajeev</t>
  </si>
  <si>
    <t>2. AL Ameen</t>
  </si>
  <si>
    <t>Brisbane Heat vs Melbourne Renegades</t>
  </si>
  <si>
    <t>3. Shubaib</t>
  </si>
  <si>
    <t>12th May</t>
  </si>
  <si>
    <t>3. Adnan Abbas</t>
  </si>
  <si>
    <t xml:space="preserve">3. Miraj Cool </t>
  </si>
  <si>
    <t xml:space="preserve">3. Bimal Baral </t>
  </si>
  <si>
    <t xml:space="preserve">3.Abhishek </t>
  </si>
  <si>
    <t>3. Saubhagya Gupta</t>
  </si>
  <si>
    <t xml:space="preserve">3. Jishnu </t>
  </si>
  <si>
    <t>3. Hari Krishnan</t>
  </si>
  <si>
    <t>4. Subaida Subi</t>
  </si>
  <si>
    <t>4. Umar Abbas</t>
  </si>
  <si>
    <t>4. Karan Kumar</t>
  </si>
  <si>
    <t xml:space="preserve">4. Hizbullah </t>
  </si>
  <si>
    <t>Perth Scorchers vs Hobart Hurricanes</t>
  </si>
  <si>
    <t xml:space="preserve">4. Hasindu Rashminda </t>
  </si>
  <si>
    <t xml:space="preserve">4. Bishwajit Dutta </t>
  </si>
  <si>
    <t xml:space="preserve">4.Farhan </t>
  </si>
  <si>
    <t>4. Malaram Patel</t>
  </si>
  <si>
    <t>4. Rahul Suresh</t>
  </si>
  <si>
    <t>5. Vishnu CV</t>
  </si>
  <si>
    <t>5. Umar Khan</t>
  </si>
  <si>
    <t>5. Sakeh Balne</t>
  </si>
  <si>
    <t xml:space="preserve">5. Nasrullah </t>
  </si>
  <si>
    <t xml:space="preserve">5. Rubesh Jude </t>
  </si>
  <si>
    <t xml:space="preserve">5. Hirakjyoti Deka </t>
  </si>
  <si>
    <t xml:space="preserve">5.Peter </t>
  </si>
  <si>
    <t>Sydney Sixers vs Melbourne Stars</t>
  </si>
  <si>
    <t>5. Nawman Baig</t>
  </si>
  <si>
    <t>13th May</t>
  </si>
  <si>
    <t>5. K Srinidhi</t>
  </si>
  <si>
    <t>5. Abhilash P A</t>
  </si>
  <si>
    <t>Ump: Chiranjibi, SC: Arnab</t>
  </si>
  <si>
    <t>Waqas (MS)</t>
  </si>
  <si>
    <t>6. Vishnu Vijay</t>
  </si>
  <si>
    <t>Salimax (SS)</t>
  </si>
  <si>
    <t>6. Malik Zubair</t>
  </si>
  <si>
    <t xml:space="preserve">6. Shamroz </t>
  </si>
  <si>
    <t xml:space="preserve">6. Kosala Jayasinghe </t>
  </si>
  <si>
    <t xml:space="preserve">6. Aashutosh Jha </t>
  </si>
  <si>
    <t>6. Rahul Roy</t>
  </si>
  <si>
    <t>6. Yeshwanth Chinni</t>
  </si>
  <si>
    <t>6. Waqas Mughal</t>
  </si>
  <si>
    <t>Sydney Thunders vs Adelaide Strikers</t>
  </si>
  <si>
    <t>7. Rince Thomas</t>
  </si>
  <si>
    <t>7. Saad Rizwan</t>
  </si>
  <si>
    <t>7. Bhavin Kumar</t>
  </si>
  <si>
    <t xml:space="preserve">7. Muhammad Ali </t>
  </si>
  <si>
    <t>Anshad (ST)</t>
  </si>
  <si>
    <t xml:space="preserve">7. Rasith Wijethunga </t>
  </si>
  <si>
    <t>Hashir (AS)</t>
  </si>
  <si>
    <t xml:space="preserve">7. Nirmal Baishya </t>
  </si>
  <si>
    <t>7. Manish Poojary</t>
  </si>
  <si>
    <t>7. Nahas</t>
  </si>
  <si>
    <t>7. Chappy</t>
  </si>
  <si>
    <t>8. Huzain</t>
  </si>
  <si>
    <t>8. Huzaifa Imran</t>
  </si>
  <si>
    <t>8. Bhavesh B</t>
  </si>
  <si>
    <t xml:space="preserve">8. Ans Sheikh </t>
  </si>
  <si>
    <t xml:space="preserve">8. Ruwanga Bandarawaththa </t>
  </si>
  <si>
    <t>Sydney Thunders vs Sydney Sixers</t>
  </si>
  <si>
    <t xml:space="preserve">8. Debajit Borthakur </t>
  </si>
  <si>
    <t>14th May</t>
  </si>
  <si>
    <t>Ump &amp; SC: Aniket</t>
  </si>
  <si>
    <t>Nasrullah (SS)</t>
  </si>
  <si>
    <t>8. Salar Shah</t>
  </si>
  <si>
    <t>Arnab (SS)</t>
  </si>
  <si>
    <t>8. Abrar Ali</t>
  </si>
  <si>
    <t>8. Asthu</t>
  </si>
  <si>
    <t>8. Muhammad Noor</t>
  </si>
  <si>
    <t>9. Vipin Venu</t>
  </si>
  <si>
    <t>9. M Touqeer</t>
  </si>
  <si>
    <t xml:space="preserve">9. Usman </t>
  </si>
  <si>
    <t xml:space="preserve">9. Uresh Gnananga </t>
  </si>
  <si>
    <t xml:space="preserve">9. Marami Ahmed </t>
  </si>
  <si>
    <t>Adelaide Strikers vs Hobart Hurricanes</t>
  </si>
  <si>
    <t>Ump &amp; SC: Nasrullah</t>
  </si>
  <si>
    <t>Tukaram (HH)</t>
  </si>
  <si>
    <t>Adnan (HH)</t>
  </si>
  <si>
    <t>9. Sanan Abrar</t>
  </si>
  <si>
    <t>9. Chiranjibi Samal</t>
  </si>
  <si>
    <t>9. Ershad</t>
  </si>
  <si>
    <t>9. Nayan S Kurup</t>
  </si>
  <si>
    <t>10. Haseeb</t>
  </si>
  <si>
    <t>10. Sufyan Gujjar</t>
  </si>
  <si>
    <t>Melbourne Renegades vs Perth Scorchers</t>
  </si>
  <si>
    <t xml:space="preserve">10. Aaiz </t>
  </si>
  <si>
    <t>15th May</t>
  </si>
  <si>
    <t xml:space="preserve">10. Deepjyoti Talukdar </t>
  </si>
  <si>
    <t>Anurag (MR)</t>
  </si>
  <si>
    <t>10. Toby Joseph</t>
  </si>
  <si>
    <t>Farhan (PS)</t>
  </si>
  <si>
    <t>10. Donald Baghwar Dkhar</t>
  </si>
  <si>
    <t>10. Hari</t>
  </si>
  <si>
    <t>10. Ananthu Mohan</t>
  </si>
  <si>
    <t>11. Mudasir Ali</t>
  </si>
  <si>
    <t xml:space="preserve">11. Zarnish </t>
  </si>
  <si>
    <t xml:space="preserve">11. Damith Nandana </t>
  </si>
  <si>
    <t xml:space="preserve">11. Mayank Das </t>
  </si>
  <si>
    <t>11. Samir</t>
  </si>
  <si>
    <t>11. Anurag Raj</t>
  </si>
  <si>
    <t>Melbourne Stars vs Brisbane Heat</t>
  </si>
  <si>
    <t>11. Anish Babu Konni</t>
  </si>
  <si>
    <t>12. Thaneem</t>
  </si>
  <si>
    <t>12. Jahfar</t>
  </si>
  <si>
    <t xml:space="preserve">12. Mian Bilal </t>
  </si>
  <si>
    <t>Abrar (MS)</t>
  </si>
  <si>
    <t xml:space="preserve">12. Kavinda Gihan </t>
  </si>
  <si>
    <t xml:space="preserve">12. Veer Gupta </t>
  </si>
  <si>
    <t>12. Pratyush Mishra</t>
  </si>
  <si>
    <t>12. K Rakesh</t>
  </si>
  <si>
    <t>12. Anandha Krishnan</t>
  </si>
  <si>
    <t>13. Sanazil</t>
  </si>
  <si>
    <t>13. Abdullah Usmani</t>
  </si>
  <si>
    <t>13. Ahmed Mahsoof</t>
  </si>
  <si>
    <t xml:space="preserve">13. Sasith Jayawardena </t>
  </si>
  <si>
    <t>13. Kiran Nath</t>
  </si>
  <si>
    <t>13. Huzaifa Kaukawala</t>
  </si>
  <si>
    <t>13. Manish Devadiga</t>
  </si>
  <si>
    <t>Hobart Hurricanes vs Melbourne Renegades</t>
  </si>
  <si>
    <t>13. Georgekutty Abraham</t>
  </si>
  <si>
    <t>16th May</t>
  </si>
  <si>
    <t>14. Afsal</t>
  </si>
  <si>
    <t>14. Abdullah Ishtiaq</t>
  </si>
  <si>
    <t>Ump: Arnab &amp; SC: Srinidhi</t>
  </si>
  <si>
    <t xml:space="preserve">14. Hansana De Silva </t>
  </si>
  <si>
    <t>14. Naveen</t>
  </si>
  <si>
    <t>Ahmed (MR)</t>
  </si>
  <si>
    <t>14. Keshav Shah</t>
  </si>
  <si>
    <t>Srajan (MR)</t>
  </si>
  <si>
    <t>14. Nihal Maxi</t>
  </si>
  <si>
    <t>15. Albin</t>
  </si>
  <si>
    <t>15. Zohaib Khan Tareen</t>
  </si>
  <si>
    <t xml:space="preserve">15. Thilina Jayarathna </t>
  </si>
  <si>
    <t>15. Zeeshan Yaqoob Gujjar</t>
  </si>
  <si>
    <t>15. Arjun S Kumar</t>
  </si>
  <si>
    <t>16. Adnan Khalid</t>
  </si>
  <si>
    <t xml:space="preserve">16. Binara Udayanga </t>
  </si>
  <si>
    <t>Adelaide Strikers vs Sydney Sixers</t>
  </si>
  <si>
    <t>16. Manish Indoria</t>
  </si>
  <si>
    <t>17. Adithya Mahajan</t>
  </si>
  <si>
    <t>Ump: Noor &amp; SC: Arnab</t>
  </si>
  <si>
    <t>17. Ankan Biswas</t>
  </si>
  <si>
    <t>18. Rao Abul</t>
  </si>
  <si>
    <t>18. Anik Dey Shanto</t>
  </si>
  <si>
    <t>19. SK Haseeb Ali</t>
  </si>
  <si>
    <t>20. Zuhair RBK</t>
  </si>
  <si>
    <t>21. Suhyl Mohammad</t>
  </si>
  <si>
    <t>22. Anas Asim</t>
  </si>
  <si>
    <t>23. Talha Saeed Gujjar</t>
  </si>
  <si>
    <t>Perth Scorchers vs Melbourne Stars</t>
  </si>
  <si>
    <t>17th May</t>
  </si>
  <si>
    <t>24. Ishak Farid</t>
  </si>
  <si>
    <t>Saad (MS)</t>
  </si>
  <si>
    <t>25. Nadeem Prince</t>
  </si>
  <si>
    <t>26. Shahzad</t>
  </si>
  <si>
    <t>27. Irfan Ali Soomro</t>
  </si>
  <si>
    <t>28. Muzammil Zafar</t>
  </si>
  <si>
    <t>Brisbane Heat vs Sydney Thunders</t>
  </si>
  <si>
    <t>Franchise League KCL All TEAMS</t>
  </si>
  <si>
    <t>Keshav (BH)</t>
  </si>
  <si>
    <t>Sai Naveen (BH)</t>
  </si>
  <si>
    <t>Hasan (BH)</t>
  </si>
  <si>
    <t>Qualifier 1: Sydney Sixers vs Melbourne Stars</t>
  </si>
  <si>
    <t>18th May</t>
  </si>
  <si>
    <t>1. Kishore Gowda (C)</t>
  </si>
  <si>
    <t>1. Harish Byndoor (C)</t>
  </si>
  <si>
    <t>Ump: Harsh &amp; SC: Arnab</t>
  </si>
  <si>
    <t>1. Mahesh Margol (C)</t>
  </si>
  <si>
    <t>Anand Ajk (SS)</t>
  </si>
  <si>
    <t>1. Aniket Gavit (C)</t>
  </si>
  <si>
    <t>1. Gautam Shankara Ram (C)</t>
  </si>
  <si>
    <t>1. Hrushikesh HD (C)</t>
  </si>
  <si>
    <t>1. Shibasis Nayak (C)</t>
  </si>
  <si>
    <t>1. Ram Thakkar (C)</t>
  </si>
  <si>
    <t>2. Karthik Devadiga (M)</t>
  </si>
  <si>
    <t>2. Suman Byndoor (M)</t>
  </si>
  <si>
    <t>2. Yashwanth Yash (M)</t>
  </si>
  <si>
    <t>2. Srajan Poojary (M)</t>
  </si>
  <si>
    <t>2. Tukaram Parabat (M)</t>
  </si>
  <si>
    <t>2. Hasan Musabir (M)</t>
  </si>
  <si>
    <t>2. Adarsh Byndoor (M)</t>
  </si>
  <si>
    <t>2. Nithin Poojary (M)</t>
  </si>
  <si>
    <t>Eliminator: Perth Scorchers vs Melbourne Renegades</t>
  </si>
  <si>
    <t>3. Anshad (DS-Ind)</t>
  </si>
  <si>
    <t>3. Damitha N (DS-SL)</t>
  </si>
  <si>
    <t>3. Jyothish S (DS-Eng)</t>
  </si>
  <si>
    <t>3. Arnab Sarkar (DS-Aus)</t>
  </si>
  <si>
    <t>3. Sai Naveen (DS-BD)</t>
  </si>
  <si>
    <t>3. Shivaji Prakash (DS-Ind)</t>
  </si>
  <si>
    <t>3. Arjun Akj (DS-Aus)</t>
  </si>
  <si>
    <t>3. Yasin Iqbal (DS-BD)</t>
  </si>
  <si>
    <t>4. Huzaifa Kaukawala(NZ) - 1000</t>
  </si>
  <si>
    <t>4. Ramith Acharya(NZ) - 2000</t>
  </si>
  <si>
    <t>4. Vijeth Devadiga(NZ) - 10000</t>
  </si>
  <si>
    <t>4. Pratyush Mishra(NZ) - 1000</t>
  </si>
  <si>
    <t>4. Vishnu Vijay(Italy) - 500</t>
  </si>
  <si>
    <t>4. Jana CP(Ind) - 18000</t>
  </si>
  <si>
    <t>4. Toby Joseph(NZ) - 9000</t>
  </si>
  <si>
    <t>4. Farhan(Ind) - 2000</t>
  </si>
  <si>
    <t>5. Kavya(NZ) - 1000</t>
  </si>
  <si>
    <t>5. Manish Poojary(NZ) - 5500</t>
  </si>
  <si>
    <t>5. Ganesh Chunduru(Pak) - 5000</t>
  </si>
  <si>
    <t>5. Naveen J(NZ) - 500</t>
  </si>
  <si>
    <t>5. Aneesh(Eng) - 500</t>
  </si>
  <si>
    <t>5. Aaiz Khan(Pak) - 2000</t>
  </si>
  <si>
    <t>5. Samir(NZ) - 3000</t>
  </si>
  <si>
    <t>5. Hybi Anil(Italy) - 7000</t>
  </si>
  <si>
    <t>6. Athif Basheer(Ind) - 6500</t>
  </si>
  <si>
    <t>Qualifier 2: Melbourne Stars vs Melbourne Renegades</t>
  </si>
  <si>
    <t>6. Vikas Acharya(NZ) - 500</t>
  </si>
  <si>
    <t>19th May</t>
  </si>
  <si>
    <t>6. Nouraiz(Pak) - 3000</t>
  </si>
  <si>
    <t>6. Summan Baig(Pak) - 2000</t>
  </si>
  <si>
    <t>6. Ruwanga(SL) - 5500</t>
  </si>
  <si>
    <t>6. Rasith(SL) - 5500</t>
  </si>
  <si>
    <t>6. Abhishek(Ind) - 1000</t>
  </si>
  <si>
    <t>6. Zarnish Saira(Pak) - 16000</t>
  </si>
  <si>
    <t>7. Rahul Roy(Ind) - 1000</t>
  </si>
  <si>
    <t>7. Sujith CS Ctr(Eng) - 18000</t>
  </si>
  <si>
    <t>7. Ali Abbas Bangesh(Pak) - 1000</t>
  </si>
  <si>
    <t>7. Ahmed Mahsoof(Pak) - 2000</t>
  </si>
  <si>
    <t>7. Kosala(SL) - 500</t>
  </si>
  <si>
    <t>7. Virendra(SL) - 3000</t>
  </si>
  <si>
    <t>7. Sanazil(Italy) - 500</t>
  </si>
  <si>
    <t>7. Hizbullah Sahito(Pak) - 4000</t>
  </si>
  <si>
    <t>Final: Sydney Sixers vs Melbourne Stara</t>
  </si>
  <si>
    <t>8. Subaida Subi(Italy) - 12000</t>
  </si>
  <si>
    <t>20th May</t>
  </si>
  <si>
    <t>8. Ans Sheikh(Pak) - 10000</t>
  </si>
  <si>
    <t>8. Muhammad Ali(Pak) - 500</t>
  </si>
  <si>
    <t>8. Irshad Bekal(Scot) - 8000</t>
  </si>
  <si>
    <t>8. Hansana(SL) - 500</t>
  </si>
  <si>
    <t>8. Damith Nandana(SL) - 1000</t>
  </si>
  <si>
    <t>8. Rince Thomas(Italy) - 1000</t>
  </si>
  <si>
    <t>8. Aashutosh(NL) - 9000</t>
  </si>
  <si>
    <t>9. Aash(Eng) - 6000</t>
  </si>
  <si>
    <t>9. Muhammad Usman(Pak) - 1000</t>
  </si>
  <si>
    <t>9. Kavinda Gihan(SL) - 1000</t>
  </si>
  <si>
    <t>9. Malik Zubair(Afg) - 10000</t>
  </si>
  <si>
    <t>9. Binara(SL) - 500</t>
  </si>
  <si>
    <t>9. Ashiqui Ashi(Scot) - 11000</t>
  </si>
  <si>
    <t>9. Safeer Babu(Eng) - 8000</t>
  </si>
  <si>
    <t>9. Thilanga Dumindu(SL) - 6000</t>
  </si>
  <si>
    <t>10. Shamroz(Pak) - 15000</t>
  </si>
  <si>
    <t>10. Huzaifa Imran(Afg) - 1000</t>
  </si>
  <si>
    <t>10. Rubesh Jude(SL) - 2000</t>
  </si>
  <si>
    <t>10. Zuhair (Afg) - 3000</t>
  </si>
  <si>
    <t>10. Adithya Mahajan(Afg) - 19000</t>
  </si>
  <si>
    <t>10. Donald(Aus) - 8000</t>
  </si>
  <si>
    <t>10. Achuz(Eng) - 9500</t>
  </si>
  <si>
    <t>10. Jishnu(Scot) - 7000</t>
  </si>
  <si>
    <t>11. Marami Ahmed(NL) - 7000</t>
  </si>
  <si>
    <t>11. Adnan Abbas(Afg) - 1000</t>
  </si>
  <si>
    <t>11. Saad Rizwan(Afg) - 6500</t>
  </si>
  <si>
    <t>11. Keshav Shah(Aus) - 13000</t>
  </si>
  <si>
    <t>11. Umar Khan (Afg) - 500</t>
  </si>
  <si>
    <t>11. K Rakesh(Aus) - 6500</t>
  </si>
  <si>
    <t>11. Nasrullah Kapri(Pak) - 12000</t>
  </si>
  <si>
    <t>11. Hashir(Scot) - 2000</t>
  </si>
  <si>
    <t>IOCF Big Bash League 2026 AWARDS</t>
  </si>
  <si>
    <t>12. Hirakjyothi(NL) - 1000</t>
  </si>
  <si>
    <t>12. Mudasir Ali(Afg) - 1000</t>
  </si>
  <si>
    <t>12. SK Haseeb Ali(Afg) - 500</t>
  </si>
  <si>
    <t>12. Abrar Ali(Aus) - 10000</t>
  </si>
  <si>
    <t>12. Rizwan Mansoori(Aus) - 11000</t>
  </si>
  <si>
    <t>12. Zeeshan(Aus) - 1000</t>
  </si>
  <si>
    <t>12. Nirmal Baishya(NL) - 3500</t>
  </si>
  <si>
    <t>12. Waleed Khan(Afg) - 3500</t>
  </si>
  <si>
    <t>13. Hasindu Rashminda(SL) - 5000</t>
  </si>
  <si>
    <t>13. Abdullah Ishtiaq(Afg) - 8000</t>
  </si>
  <si>
    <t>13. Rao Abul (Afg) - 1000</t>
  </si>
  <si>
    <t>13. Anand Ajk(Aus) - 4000</t>
  </si>
  <si>
    <t>13. Anurag Raj(Aus) - 15000</t>
  </si>
  <si>
    <t>13. Saketh Balne(BD) - 1000</t>
  </si>
  <si>
    <t>13. Debajit(NL) - 3000</t>
  </si>
  <si>
    <t>13. Anas Asim(Afg) - 2500</t>
  </si>
  <si>
    <t>14. Sasith(SL) - 1000</t>
  </si>
  <si>
    <t>14. Adnan Khalid(Afg) - 500</t>
  </si>
  <si>
    <t>14. Saubhagya Gupta(Aus) - 20000</t>
  </si>
  <si>
    <t>14. Manish Indoria(Aus) - 2000</t>
  </si>
  <si>
    <t>14. Bhavin Kumar(BD) - 15000</t>
  </si>
  <si>
    <t>14. Bhavesh B(BD) - 12000</t>
  </si>
  <si>
    <t>14. Mayank Das(NL) - 1000</t>
  </si>
  <si>
    <t>14. Waqas Mughal(Aus) - 4000</t>
  </si>
  <si>
    <t>15. Miraj(SL) - 2000</t>
  </si>
  <si>
    <t>15. Sufyan Gujjar(Afg) - 500</t>
  </si>
  <si>
    <t>15. Chiranjibi Samal(Aus) - 10000</t>
  </si>
  <si>
    <t>15. Princhi(BD) - 3000</t>
  </si>
  <si>
    <t>15. Kannan(WI) - 500</t>
  </si>
  <si>
    <t>15. Rakshith Raksh(BD) - 500</t>
  </si>
  <si>
    <t>15. Farhan Mallick(Afg) - 3000</t>
  </si>
  <si>
    <t>15. Karan Kumar(BD) - 2000</t>
  </si>
  <si>
    <t>16. Ajaykumar Sajeev(Scot) - 2500</t>
  </si>
  <si>
    <t>16. Muzamil(Afg) - 500</t>
  </si>
  <si>
    <t>16. Malaram Patel(Aus) - 3500</t>
  </si>
  <si>
    <t>16. Al Ameen(WI) - 5000</t>
  </si>
  <si>
    <t>16. Bibbin Benny(WI) - 1000</t>
  </si>
  <si>
    <t>16. Nayan SK(WI) - 500</t>
  </si>
  <si>
    <t>16. M Touqeer(Afg) - 3500</t>
  </si>
  <si>
    <t>16. Vaibhav Batra(BD) - 3000</t>
  </si>
  <si>
    <t>17. Chappy(Scot) - 2500</t>
  </si>
  <si>
    <t>17. Anik Dey Shanto(Aus) - 2000</t>
  </si>
  <si>
    <t>17. Ankan Biswas(Aus) - 500</t>
  </si>
  <si>
    <t>17. Rahul Suresh(WI) - 6000</t>
  </si>
  <si>
    <t>17. K Srinidhi(Aus) - 6500</t>
  </si>
  <si>
    <t>18. Muhammad Ahmed(BD) - 2000</t>
  </si>
  <si>
    <t>18. Muhammad Noor(WI) - 2000</t>
  </si>
  <si>
    <t>18. George(WI) - 500</t>
  </si>
  <si>
    <t>18. Abhilash PA(WI) - 3500</t>
  </si>
  <si>
    <t>Northern Knights vs Queenstown Royals</t>
  </si>
  <si>
    <t>25th May</t>
  </si>
  <si>
    <t>Ironhold</t>
  </si>
  <si>
    <t>Ump &amp; SC: Aniket Gavit</t>
  </si>
  <si>
    <t>Rizwan (NK)</t>
  </si>
  <si>
    <t>Canterbury Kings vs Auckland Aces</t>
  </si>
  <si>
    <t>Soverign</t>
  </si>
  <si>
    <t>Ump &amp; SC: Srajan &amp; Aniket</t>
  </si>
  <si>
    <t>Nouraiz (CK)</t>
  </si>
  <si>
    <t>Huzaifa Imran (AA)</t>
  </si>
  <si>
    <t>Central Stags vs Tauranga Titans</t>
  </si>
  <si>
    <t>26th May</t>
  </si>
  <si>
    <t>Inferno</t>
  </si>
  <si>
    <t>Hrushikesh (CS)</t>
  </si>
  <si>
    <t>Ashutosh (TT)</t>
  </si>
  <si>
    <t>Yasin (TT)</t>
  </si>
  <si>
    <t>Otago Volts vs Wellington Warriors</t>
  </si>
  <si>
    <t>Thunder</t>
  </si>
  <si>
    <t>Ump &amp; SC: Damitha</t>
  </si>
  <si>
    <t>Anshad (WW)</t>
  </si>
  <si>
    <t>Hasindu (WW)</t>
  </si>
  <si>
    <t>Ajaykumar (WW)</t>
  </si>
  <si>
    <t>Northern Knights vs Auckland Aces</t>
  </si>
  <si>
    <t>27th May</t>
  </si>
  <si>
    <t>Eden</t>
  </si>
  <si>
    <t>Ump &amp; SC: Jyothish S</t>
  </si>
  <si>
    <t>Adithya (NK)</t>
  </si>
  <si>
    <t>Tukaram (NK)</t>
  </si>
  <si>
    <t>Queenstown Royals vs Canterbury Kings</t>
  </si>
  <si>
    <t>Alpine</t>
  </si>
  <si>
    <t>Farhan (QR)</t>
  </si>
  <si>
    <t>SK Haseeb (CK)</t>
  </si>
  <si>
    <t>Shibasis (QR)</t>
  </si>
  <si>
    <t>Wellington Warriors vs Tauranga Titans</t>
  </si>
  <si>
    <t>28th May</t>
  </si>
  <si>
    <t>Sky</t>
  </si>
  <si>
    <t xml:space="preserve">Ump &amp; SC: Srajan </t>
  </si>
  <si>
    <t>Zarnish (TT)</t>
  </si>
  <si>
    <t>Shamroz (WW)</t>
  </si>
  <si>
    <t>Otago Volts vs Central Stags</t>
  </si>
  <si>
    <t>K Rakesh (CS)</t>
  </si>
  <si>
    <t>Jana CP (CS)</t>
  </si>
  <si>
    <t>Auckland Aces vs Queenstown Royals</t>
  </si>
  <si>
    <t>29th May</t>
  </si>
  <si>
    <t>Ump &amp; SC: Keshav Shah</t>
  </si>
  <si>
    <t>Safeer (QR)</t>
  </si>
  <si>
    <t>Debajit (QR)</t>
  </si>
  <si>
    <t>Central Stags vs Wellington Warriors</t>
  </si>
  <si>
    <t>Aash (WW)</t>
  </si>
  <si>
    <t>Zeeshan (CS)</t>
  </si>
  <si>
    <t>Rasith (CS)</t>
  </si>
  <si>
    <t>Northern Knights vs Canterbury Kings</t>
  </si>
  <si>
    <t>30th May</t>
  </si>
  <si>
    <t>Ump &amp; SC: Yasin</t>
  </si>
  <si>
    <t>Chiranjibi (CK)</t>
  </si>
  <si>
    <t>Sai Naveen (NK)</t>
  </si>
  <si>
    <t>Tauranga Titans vs Otago Volts</t>
  </si>
  <si>
    <t xml:space="preserve">Titan </t>
  </si>
  <si>
    <t>Ump &amp; SC: Shivaji</t>
  </si>
  <si>
    <t>Malik Zubair (OV)</t>
  </si>
  <si>
    <t>Abrar Ali (OV)</t>
  </si>
  <si>
    <t>Auckland Aces vs Canterbury Kings</t>
  </si>
  <si>
    <t>31st May</t>
  </si>
  <si>
    <t>Ump &amp; SC: Debajit</t>
  </si>
  <si>
    <t>Ganesh (CK)</t>
  </si>
  <si>
    <t>Ali (CK)</t>
  </si>
  <si>
    <t>Saubhagya (CK)</t>
  </si>
  <si>
    <t>Queenstown Royals vs Northern Knights</t>
  </si>
  <si>
    <t>Bhavin (NK)</t>
  </si>
  <si>
    <t>1st June</t>
  </si>
  <si>
    <t>Ump &amp; SC: Nasrullah Kapri</t>
  </si>
  <si>
    <t>Vishnu (NK)</t>
  </si>
  <si>
    <t>Ahmed (AA)</t>
  </si>
  <si>
    <t>Tauranga Titans vs Central Stags</t>
  </si>
  <si>
    <t>Hashir (TT)</t>
  </si>
  <si>
    <t>Canterbury Kings vs Queenstown Royals</t>
  </si>
  <si>
    <t>2nd June</t>
  </si>
  <si>
    <t>Ump &amp; SC: Sai Naveen</t>
  </si>
  <si>
    <t>Achuz (QR)</t>
  </si>
  <si>
    <t>Wellington Warriors vs Otago Volts</t>
  </si>
  <si>
    <t>Marami (WW)</t>
  </si>
  <si>
    <t>Ahmed (OV)</t>
  </si>
  <si>
    <t>Tauranga Titans vs Wellington Warriors</t>
  </si>
  <si>
    <t>3rd June</t>
  </si>
  <si>
    <t>Ump &amp; SC: Ganesh</t>
  </si>
  <si>
    <t>Waqas (TT)</t>
  </si>
  <si>
    <t>Ajay (WW)</t>
  </si>
  <si>
    <t>Central Stags vs Otago Volts</t>
  </si>
  <si>
    <t xml:space="preserve">Ump: Chiranjibi, SC: Aniket </t>
  </si>
  <si>
    <t>Keshav (OV)</t>
  </si>
  <si>
    <t>Arnab (OV)</t>
  </si>
  <si>
    <t>Ashi (CS)</t>
  </si>
  <si>
    <t>Queenstown Royals vs Auckland Aces</t>
  </si>
  <si>
    <t>4th June</t>
  </si>
  <si>
    <t>Aukcland Aces</t>
  </si>
  <si>
    <t>Ans Sheikh (AA)</t>
  </si>
  <si>
    <t>Wellington Warriors vs Central Stags</t>
  </si>
  <si>
    <t>Bhavesh (CS)</t>
  </si>
  <si>
    <t>Otago Volts vs Tauranga Titans</t>
  </si>
  <si>
    <t>5th June</t>
  </si>
  <si>
    <t>Ram (TT)</t>
  </si>
  <si>
    <t>Ump &amp; SC: Malik Zubair</t>
  </si>
  <si>
    <t>Anurag (NK)</t>
  </si>
  <si>
    <t>Eliminator: Canterbuy King vs Welllinton Warriors</t>
  </si>
  <si>
    <t>6th June</t>
  </si>
  <si>
    <t>Jyothish (CK)</t>
  </si>
  <si>
    <t>Qualifier 1: Northern Knights vs Tauranga Titans</t>
  </si>
  <si>
    <t>7th June</t>
  </si>
  <si>
    <t>Qualifier 2: Wellington Warriors vs Northern Knights</t>
  </si>
  <si>
    <t>8th June</t>
  </si>
  <si>
    <t>Finals: Northern Knight vs Tauranga Titans</t>
  </si>
  <si>
    <t>9th June</t>
  </si>
  <si>
    <t>Ump &amp; SC: Aniket Gavit
Com: Arnab &amp; Chiranjibi</t>
  </si>
  <si>
    <t>Franchise League BPL Registration &amp; all team Players 2026</t>
  </si>
  <si>
    <t>Franchise League IPL Registration &amp; all team Players 2026</t>
  </si>
  <si>
    <t xml:space="preserve">Pakistan </t>
  </si>
  <si>
    <t>Bangladesh(Home)</t>
  </si>
  <si>
    <t>1. Abdullah ishtiaq</t>
  </si>
  <si>
    <t>India (Home)</t>
  </si>
  <si>
    <t xml:space="preserve">1. Debajit Borthakur </t>
  </si>
  <si>
    <t xml:space="preserve">1. Shivaji </t>
  </si>
  <si>
    <t xml:space="preserve">1. Adarsh Byndoor </t>
  </si>
  <si>
    <t xml:space="preserve">1. Thebseer </t>
  </si>
  <si>
    <t>1. Hizbullah Sahito</t>
  </si>
  <si>
    <t>1. Akshay Varnam</t>
  </si>
  <si>
    <t xml:space="preserve">1. Rizwan Mansoori </t>
  </si>
  <si>
    <t xml:space="preserve">1. Damitha Naranpanawa </t>
  </si>
  <si>
    <t xml:space="preserve">1. Sri Vishnu </t>
  </si>
  <si>
    <t>1. Shibili</t>
  </si>
  <si>
    <t>1. Sajjad Kapri</t>
  </si>
  <si>
    <t>2. Rahul Sharma</t>
  </si>
  <si>
    <t>2. Akhil Viratian</t>
  </si>
  <si>
    <t>2. Ajith</t>
  </si>
  <si>
    <t>2. Muhammad Ahmed</t>
  </si>
  <si>
    <t>2. Manish Indoria</t>
  </si>
  <si>
    <t xml:space="preserve">2. Mudasir Ali </t>
  </si>
  <si>
    <t>2. Amjith</t>
  </si>
  <si>
    <t xml:space="preserve">2. Athif </t>
  </si>
  <si>
    <t>2. Ali Abbas Bangash</t>
  </si>
  <si>
    <t>2. Nouraiz Abbas</t>
  </si>
  <si>
    <t>2. Karthik Verma</t>
  </si>
  <si>
    <t>3. Rince Thomas</t>
  </si>
  <si>
    <t>3. Naveen</t>
  </si>
  <si>
    <t>3. Ebad Malik</t>
  </si>
  <si>
    <t>3. Ashith</t>
  </si>
  <si>
    <t>3. Aash Muhammed</t>
  </si>
  <si>
    <t>3. Girish Ranjan</t>
  </si>
  <si>
    <t>3. Ashish Anandhu</t>
  </si>
  <si>
    <t>3. Mohammad Noor</t>
  </si>
  <si>
    <t xml:space="preserve">3. Farhan malick </t>
  </si>
  <si>
    <t>4. Debasish Borgohain</t>
  </si>
  <si>
    <t xml:space="preserve">3. Jana </t>
  </si>
  <si>
    <t>4. Chintu Saikia</t>
  </si>
  <si>
    <t xml:space="preserve">3. Dhrubo Rajbongshi </t>
  </si>
  <si>
    <t>3. Vikas Byndoor</t>
  </si>
  <si>
    <t>4. Hrushikesh HD</t>
  </si>
  <si>
    <t>4. Mudasir Ali</t>
  </si>
  <si>
    <t>4. Asthu</t>
  </si>
  <si>
    <t>4. Arjun Akj</t>
  </si>
  <si>
    <t>4. Safeer Babu</t>
  </si>
  <si>
    <t>4. Ganesh Chunduru</t>
  </si>
  <si>
    <t>3. Asad KB</t>
  </si>
  <si>
    <t>4. Kaushik Kalita</t>
  </si>
  <si>
    <t>4. Ameen</t>
  </si>
  <si>
    <t xml:space="preserve">5. Jihan Omar Fokir </t>
  </si>
  <si>
    <t>4. M Waleed khan</t>
  </si>
  <si>
    <t xml:space="preserve">4. Rajeev </t>
  </si>
  <si>
    <t>5. Huzaifa Kaukawala</t>
  </si>
  <si>
    <t>4. Hirakjyoti Deka</t>
  </si>
  <si>
    <t>4. Gautam Shankara Ram</t>
  </si>
  <si>
    <t>5. Chappy</t>
  </si>
  <si>
    <t>4. Irshad</t>
  </si>
  <si>
    <t>5. Muhammad Shahzad</t>
  </si>
  <si>
    <t>5. Muhammad Ali</t>
  </si>
  <si>
    <t>4. Aash Muhammad</t>
  </si>
  <si>
    <t>5. K Rakesh</t>
  </si>
  <si>
    <t>4. K Rakesh</t>
  </si>
  <si>
    <t>4. Alphan Das</t>
  </si>
  <si>
    <t>5. Vipin R</t>
  </si>
  <si>
    <t>5. Ahmed Mahsoof</t>
  </si>
  <si>
    <t>6. Deepjyoti Talukdar</t>
  </si>
  <si>
    <t>6. Alaphan Das</t>
  </si>
  <si>
    <t>6. Karthik Devadiga</t>
  </si>
  <si>
    <t>5. Ankan Biswas</t>
  </si>
  <si>
    <t>6. Saad Rizwan</t>
  </si>
  <si>
    <t xml:space="preserve">5. Saad Rizwan </t>
  </si>
  <si>
    <t>6. Blesson</t>
  </si>
  <si>
    <t xml:space="preserve">5. Abhishek </t>
  </si>
  <si>
    <t>5. Jihan Omar Fokir</t>
  </si>
  <si>
    <t>6. Ashwini Verma</t>
  </si>
  <si>
    <t>6. Renjish</t>
  </si>
  <si>
    <t>5. Blesson</t>
  </si>
  <si>
    <t>6. Aaiz Khan</t>
  </si>
  <si>
    <t>5. Safeer Babu</t>
  </si>
  <si>
    <t>6. Kamlesh Choudhary</t>
  </si>
  <si>
    <t>5. Vishnu Vijay</t>
  </si>
  <si>
    <t>5. Anu Aeshan</t>
  </si>
  <si>
    <t>6. Kannan Balakrishnan</t>
  </si>
  <si>
    <t>6. Peter John</t>
  </si>
  <si>
    <t>7. Alii Akbor Ahmed</t>
  </si>
  <si>
    <t>7. Anu Aeshan</t>
  </si>
  <si>
    <t>7. Nithin Poojary</t>
  </si>
  <si>
    <t>7. Muzammil Zafar</t>
  </si>
  <si>
    <t xml:space="preserve">6. M Touqeer </t>
  </si>
  <si>
    <t>7. Ershad</t>
  </si>
  <si>
    <t xml:space="preserve">6. Farhan </t>
  </si>
  <si>
    <t>7. Waqas Mughal</t>
  </si>
  <si>
    <t>6. Marami Ahmed</t>
  </si>
  <si>
    <t>7. Achuz Sukumaran</t>
  </si>
  <si>
    <t>6. Hasan Musabbir</t>
  </si>
  <si>
    <t>6. Sali</t>
  </si>
  <si>
    <t>6. Nasrullah</t>
  </si>
  <si>
    <t>7. Mahi Mahendra</t>
  </si>
  <si>
    <t>6. Jyothish S</t>
  </si>
  <si>
    <t>7. Hari</t>
  </si>
  <si>
    <t>7. Pradeesh P</t>
  </si>
  <si>
    <t>6. Meer Kamran</t>
  </si>
  <si>
    <t>8. Pinku Bordoloi</t>
  </si>
  <si>
    <t>8. Pratyush Mishra</t>
  </si>
  <si>
    <t>8. SV</t>
  </si>
  <si>
    <t>8. Hari M</t>
  </si>
  <si>
    <t>8. Rohit</t>
  </si>
  <si>
    <t>8. Hizbullah Sahito</t>
  </si>
  <si>
    <t xml:space="preserve">7. Malik Zubair </t>
  </si>
  <si>
    <t>8. Manish Kumar</t>
  </si>
  <si>
    <t xml:space="preserve">7. Rahul Seenu </t>
  </si>
  <si>
    <t>8. Ruwanga Bandarawaththa</t>
  </si>
  <si>
    <t>7. Anamika Priya Pegu</t>
  </si>
  <si>
    <t>8. George</t>
  </si>
  <si>
    <t>8. Raheem K</t>
  </si>
  <si>
    <t>7. Asthu</t>
  </si>
  <si>
    <t>9. Kiran Nath</t>
  </si>
  <si>
    <t>7. Huzain</t>
  </si>
  <si>
    <t>7. Rahul Mahapatra</t>
  </si>
  <si>
    <t>9. Vishnu Vijay</t>
  </si>
  <si>
    <t>9. Ramith Acharya</t>
  </si>
  <si>
    <t>9. Aman Raj Singh</t>
  </si>
  <si>
    <t>9. Salimax</t>
  </si>
  <si>
    <t>9. Abrar Ali</t>
  </si>
  <si>
    <t>9. Abhijith</t>
  </si>
  <si>
    <t>9. Muhammad Ali</t>
  </si>
  <si>
    <t>9. Parth Inamdar</t>
  </si>
  <si>
    <t>9. Uresh Gnananga</t>
  </si>
  <si>
    <t>8. Zeeshan Yaqoob Gujjar</t>
  </si>
  <si>
    <t>9. Ashwin Thomas</t>
  </si>
  <si>
    <t xml:space="preserve">8. Umar Khan </t>
  </si>
  <si>
    <t>9. Rahman SN</t>
  </si>
  <si>
    <t xml:space="preserve">8. Peter </t>
  </si>
  <si>
    <t>8. Bimal Baral</t>
  </si>
  <si>
    <t>8. Huzaifa Kaukawala</t>
  </si>
  <si>
    <t>10. Bimal Baral</t>
  </si>
  <si>
    <t>8. Kebin</t>
  </si>
  <si>
    <t>8. Ayaan Sheikh</t>
  </si>
  <si>
    <t>10. Sanan Abrar</t>
  </si>
  <si>
    <t>10. Sufyan Yaqoob Gujjar</t>
  </si>
  <si>
    <t>10. Shaheen</t>
  </si>
  <si>
    <t>8. Vipin</t>
  </si>
  <si>
    <t>8. Shiva Teja</t>
  </si>
  <si>
    <t>10. Muhammad Noor</t>
  </si>
  <si>
    <t>10. Diljith Das</t>
  </si>
  <si>
    <t>10. Wajdan</t>
  </si>
  <si>
    <t>10. Rahul Mohapatra</t>
  </si>
  <si>
    <t>10. Rahul Suresh</t>
  </si>
  <si>
    <t>10. Rajeev</t>
  </si>
  <si>
    <t>11. Jahirul Hoque</t>
  </si>
  <si>
    <t xml:space="preserve">9. Umar abbas </t>
  </si>
  <si>
    <t>11. Tukaram Parabat</t>
  </si>
  <si>
    <t xml:space="preserve">9. Gopi </t>
  </si>
  <si>
    <t>9. Aashutosh Jha</t>
  </si>
  <si>
    <t>11. Shukoor</t>
  </si>
  <si>
    <t>9. Karthik Devadiga</t>
  </si>
  <si>
    <t>11. Malaram Patel</t>
  </si>
  <si>
    <t>9. Sham Roz</t>
  </si>
  <si>
    <t>11. Sachin P</t>
  </si>
  <si>
    <t>11. Muhammad Ahmad</t>
  </si>
  <si>
    <t>11. Rakshith Raksh</t>
  </si>
  <si>
    <t>9. Haseeb</t>
  </si>
  <si>
    <t>11. Damith Nandana</t>
  </si>
  <si>
    <t>9. Susheel Teja</t>
  </si>
  <si>
    <t>11. Nihal Maxi</t>
  </si>
  <si>
    <t>11. Robert John</t>
  </si>
  <si>
    <t>12. Bishwajit Dutta</t>
  </si>
  <si>
    <t>12. Vishnu CV</t>
  </si>
  <si>
    <t>12. Vikas Acharya</t>
  </si>
  <si>
    <t>10. Anand Ajk</t>
  </si>
  <si>
    <t>12. Thebseer</t>
  </si>
  <si>
    <t xml:space="preserve">10. Nadeem Prince </t>
  </si>
  <si>
    <t>12. Kashif Ramzan</t>
  </si>
  <si>
    <t>10. Rahul Roy</t>
  </si>
  <si>
    <t>12. Nisham</t>
  </si>
  <si>
    <t>10. Jahirul Hoque</t>
  </si>
  <si>
    <t>12. Mian Bilal</t>
  </si>
  <si>
    <t>10. Kishore Gowda</t>
  </si>
  <si>
    <t>10. Ashi</t>
  </si>
  <si>
    <t>12. Kavinda Gihan</t>
  </si>
  <si>
    <t>10. Aaiz khan</t>
  </si>
  <si>
    <t>12. Arjun S Kumar</t>
  </si>
  <si>
    <t xml:space="preserve">10. Virendra Peiris </t>
  </si>
  <si>
    <t>12. Sanjith</t>
  </si>
  <si>
    <t>10. Akshay</t>
  </si>
  <si>
    <t>13. Veer Gupta</t>
  </si>
  <si>
    <t>10. K Srinidhi</t>
  </si>
  <si>
    <t>13. Harsh Dubey</t>
  </si>
  <si>
    <t>13. Yashwanth Yash</t>
  </si>
  <si>
    <t>13. Zuhair</t>
  </si>
  <si>
    <t>13. Chiranjibi Samal</t>
  </si>
  <si>
    <t>13. Karthik Verma</t>
  </si>
  <si>
    <t>13. Wafa Baloch</t>
  </si>
  <si>
    <t>13. Shibasis Nayak</t>
  </si>
  <si>
    <t>13. Sasith Jayawardena</t>
  </si>
  <si>
    <t>13. Frijo Thomas</t>
  </si>
  <si>
    <t>14. Rishi Raj</t>
  </si>
  <si>
    <t xml:space="preserve">11. Talha Saeed Gujjar </t>
  </si>
  <si>
    <t>12. Kiran Nath</t>
  </si>
  <si>
    <t>11. Mahesh Margol</t>
  </si>
  <si>
    <t>11. Hashir</t>
  </si>
  <si>
    <t>11. Summan Baig</t>
  </si>
  <si>
    <t>11. Thaneem</t>
  </si>
  <si>
    <t>14. Yeshwanth Chinni</t>
  </si>
  <si>
    <t>14. Ankan Biswas</t>
  </si>
  <si>
    <t>14. Ghamshad Baloch</t>
  </si>
  <si>
    <t>14. Shiva Teja</t>
  </si>
  <si>
    <t>14. Ajmal Sunaif</t>
  </si>
  <si>
    <t>15. Marami Ahmed</t>
  </si>
  <si>
    <t>Scotland Emerging</t>
  </si>
  <si>
    <t>15. Anand Ajikumar</t>
  </si>
  <si>
    <t>England Emerging</t>
  </si>
  <si>
    <t xml:space="preserve">12. Huzaifa Imran </t>
  </si>
  <si>
    <t>15. Haniya Islam</t>
  </si>
  <si>
    <t>15. Susheel Teja</t>
  </si>
  <si>
    <t>13. Mayank Das</t>
  </si>
  <si>
    <t>15. Thilina Jayarathna</t>
  </si>
  <si>
    <t>15. Josin JR</t>
  </si>
  <si>
    <t>12. Naveen J</t>
  </si>
  <si>
    <t>12. Ashith</t>
  </si>
  <si>
    <t>16. Meer Kamran</t>
  </si>
  <si>
    <t>12. Ali Abbas Bangash</t>
  </si>
  <si>
    <t>16. Vipin Venu</t>
  </si>
  <si>
    <t xml:space="preserve"> </t>
  </si>
  <si>
    <t>12. Sanazil</t>
  </si>
  <si>
    <t>1. Ajin P Anil</t>
  </si>
  <si>
    <t>16. Farhan Mohammad</t>
  </si>
  <si>
    <t>16. Srinidhi K</t>
  </si>
  <si>
    <t>16. Binara Udayanga</t>
  </si>
  <si>
    <t>17. Muhammad Huzaifa</t>
  </si>
  <si>
    <t>Newzealand Emerging</t>
  </si>
  <si>
    <t>2. Amal</t>
  </si>
  <si>
    <t>17. Zeeshan Yaqoob Gujjar</t>
  </si>
  <si>
    <t>2. Shajahan</t>
  </si>
  <si>
    <t>17. Nouraiz Abbas</t>
  </si>
  <si>
    <t>17. Chalana Rukshan</t>
  </si>
  <si>
    <t>West Indies Emerging</t>
  </si>
  <si>
    <t xml:space="preserve">13. Ishak Farid </t>
  </si>
  <si>
    <t>14. Rahul Sharma</t>
  </si>
  <si>
    <t>3. Ansar</t>
  </si>
  <si>
    <t>13. Hari</t>
  </si>
  <si>
    <t>18. Anik dey shanto</t>
  </si>
  <si>
    <t>3. Sunaif</t>
  </si>
  <si>
    <t>18. Moiz Mohsin</t>
  </si>
  <si>
    <t>13. Afsal</t>
  </si>
  <si>
    <t xml:space="preserve">2. Abu Shahzan </t>
  </si>
  <si>
    <t>4. Jasheer V</t>
  </si>
  <si>
    <t>19. Keshav Shah</t>
  </si>
  <si>
    <t>4. Amith</t>
  </si>
  <si>
    <t>19. Iqra Batool</t>
  </si>
  <si>
    <t>South Africa Emerging</t>
  </si>
  <si>
    <t>20. Rao Abul</t>
  </si>
  <si>
    <t xml:space="preserve">14. Zuhair </t>
  </si>
  <si>
    <t>15. Veer Gupta</t>
  </si>
  <si>
    <t>5. Shinu</t>
  </si>
  <si>
    <t>14. Salaar Shah</t>
  </si>
  <si>
    <t>14. Ajay</t>
  </si>
  <si>
    <t>20. Sidra</t>
  </si>
  <si>
    <t>14. Arslan Ali Shani</t>
  </si>
  <si>
    <t>3. Jaseel</t>
  </si>
  <si>
    <t>14. Albin</t>
  </si>
  <si>
    <t>6. Sufaid</t>
  </si>
  <si>
    <t>2. Rakshith Shetty</t>
  </si>
  <si>
    <t>4. Vignhesh Suresh</t>
  </si>
  <si>
    <t>7. Yadhu</t>
  </si>
  <si>
    <t>23. Vaibhav Batra</t>
  </si>
  <si>
    <t xml:space="preserve">15. Kashif Ramzan </t>
  </si>
  <si>
    <t>16. Bishwajit Dutta</t>
  </si>
  <si>
    <t>15. Shibasis Nayak</t>
  </si>
  <si>
    <t>Franchise League IPL All TEAMS</t>
  </si>
  <si>
    <t>15. Muhammad Usman</t>
  </si>
  <si>
    <t>15. Subaida Subi</t>
  </si>
  <si>
    <t xml:space="preserve">16. Adnan Khalid </t>
  </si>
  <si>
    <t>1. Athif Basheer K (C-Ind)</t>
  </si>
  <si>
    <t>17. Dipankar Roy</t>
  </si>
  <si>
    <t>1. Rahul Seenu (C-Ind)</t>
  </si>
  <si>
    <t>16. Toby Joseph</t>
  </si>
  <si>
    <t>1. Anshad (C-Ind)</t>
  </si>
  <si>
    <t>1. Jana CP(C-Ind)</t>
  </si>
  <si>
    <t>16. Wafa Baloch</t>
  </si>
  <si>
    <t>1. Ram Thakkar (C-NZ)</t>
  </si>
  <si>
    <t>1. Irshad Bekal (C-Scot)</t>
  </si>
  <si>
    <t>1. Harish Byndoor (C-Ind)</t>
  </si>
  <si>
    <t>1. Shivaji (C-Ind)</t>
  </si>
  <si>
    <t>1. Farhan (C-Ind)</t>
  </si>
  <si>
    <t>1. Rahul Roy (C-Ind)</t>
  </si>
  <si>
    <t>2. Kishore Gowda (M-NZ)</t>
  </si>
  <si>
    <t>2. Gopikrishnan SV(M-Ind)</t>
  </si>
  <si>
    <t xml:space="preserve">17. Sufyan Yaqoob gujjar </t>
  </si>
  <si>
    <t>2. Aniket (M-NZ)</t>
  </si>
  <si>
    <t>18. Prabal Deka</t>
  </si>
  <si>
    <t>2. Zarnish Saira(M-Pak)</t>
  </si>
  <si>
    <t>17. Tukaram Parabat</t>
  </si>
  <si>
    <t>2. Gautam (M-NZ)</t>
  </si>
  <si>
    <t>2. Jishnu(M-Scot)</t>
  </si>
  <si>
    <t>2. Hasan (M-NZ)</t>
  </si>
  <si>
    <t>2. Arnab (M-Aus)</t>
  </si>
  <si>
    <t>2. Hashir (M-Scot)</t>
  </si>
  <si>
    <t>2. Toby Joseph(M-NZ)</t>
  </si>
  <si>
    <t>3. Mahesh Margol(DS-NZ)</t>
  </si>
  <si>
    <t>3. Suhyl(DS-Qatar)</t>
  </si>
  <si>
    <t>3. Yasin(DS-BD)</t>
  </si>
  <si>
    <t>3. Shamroz(DS-Pak)</t>
  </si>
  <si>
    <t>3. Ashutosh (DS-BD-NZ)</t>
  </si>
  <si>
    <t>3. Ashiqui(DS-Scot)</t>
  </si>
  <si>
    <t>3. Srajan (DS-NZ)</t>
  </si>
  <si>
    <t>3. Kebin(DS-Scot)</t>
  </si>
  <si>
    <t>3. Siddharth (DS-SA)</t>
  </si>
  <si>
    <t xml:space="preserve">18. Muzammil </t>
  </si>
  <si>
    <t>3. Subaida Subi(DS-Italy)</t>
  </si>
  <si>
    <t>19. Pinku Bordoloi</t>
  </si>
  <si>
    <t>18. Ramith Kumar</t>
  </si>
  <si>
    <t>4. Abhishek(Ind) - 21000</t>
  </si>
  <si>
    <t>4. Robert John (Ind) - 9500</t>
  </si>
  <si>
    <t>4. Sanjith(Ind) - 5500</t>
  </si>
  <si>
    <t>4. Rajeev (Ind) - 6500</t>
  </si>
  <si>
    <t>4. Anik(Aus) - 1000</t>
  </si>
  <si>
    <t>4. Harsh (Aus) - 18000</t>
  </si>
  <si>
    <t>4. Anurag (Aus) - 9000</t>
  </si>
  <si>
    <t>4. Rahul(Aus) - 40000</t>
  </si>
  <si>
    <t>4. Sunaif(Eng) - 1000</t>
  </si>
  <si>
    <t>4. Peter John(Ind) - 20000</t>
  </si>
  <si>
    <t xml:space="preserve">19. Anas Asim </t>
  </si>
  <si>
    <t>5. Ankan(Aus) - 6000</t>
  </si>
  <si>
    <t>19. Srajan Poojari</t>
  </si>
  <si>
    <t>5. Abin(Ind) - 35000</t>
  </si>
  <si>
    <t>5. Manish(Aus) - 20000</t>
  </si>
  <si>
    <t>5. Asru(Ind) - 15000</t>
  </si>
  <si>
    <t>5. Rizwan (Aus) - 40000</t>
  </si>
  <si>
    <t>5. Afsal(Italy) - 1000</t>
  </si>
  <si>
    <t>5. Waqas(Aus) - 49000</t>
  </si>
  <si>
    <t>5. Abrar(Aus) - 35000</t>
  </si>
  <si>
    <t>5. Ajmal (WI) - 9000</t>
  </si>
  <si>
    <t>5. Safeer Babu(Eng) - 14000</t>
  </si>
  <si>
    <t xml:space="preserve">20. Saif Ali </t>
  </si>
  <si>
    <t>6. Achuz(Eng) - 11000</t>
  </si>
  <si>
    <t>6. Raheem (Ind) - 6000</t>
  </si>
  <si>
    <t>20. Suman Byndoor</t>
  </si>
  <si>
    <t>6. Sujith CS(Eng) - 22000</t>
  </si>
  <si>
    <t>6. Mahsoof(Ind) -17000</t>
  </si>
  <si>
    <t>6. Diljith(Eng) - 16000</t>
  </si>
  <si>
    <t>6. Amjith(Scot) - 27000</t>
  </si>
  <si>
    <t>6. Shibil (WI) - 10000</t>
  </si>
  <si>
    <t>6. Ashwini(Aus) - 4500</t>
  </si>
  <si>
    <t>6. Ahmed(Pak) - 3000</t>
  </si>
  <si>
    <t>6. Frijo(WI) - 3000</t>
  </si>
  <si>
    <t xml:space="preserve">21. M shahzad </t>
  </si>
  <si>
    <t>7. Ameen(WI) - 29000</t>
  </si>
  <si>
    <t>7. Pradeesh (Ind) - 7000</t>
  </si>
  <si>
    <t>21. Pratyush Mishra</t>
  </si>
  <si>
    <t>7. Abhijith(Eng) - 3500</t>
  </si>
  <si>
    <t>7. George(WI) - 4000</t>
  </si>
  <si>
    <t>7. Rahees(Eng) - 9000</t>
  </si>
  <si>
    <t>7. Ansar(Scot) - 15000</t>
  </si>
  <si>
    <t>7. Vishnu CV(Italy) - 6500</t>
  </si>
  <si>
    <t>7. Noor(Aus) - 5500</t>
  </si>
  <si>
    <t>7. Haniya(Pak) - 1000</t>
  </si>
  <si>
    <t>7. Vipin(WI) - 1000</t>
  </si>
  <si>
    <t>8. Kannan(WI) - 1000</t>
  </si>
  <si>
    <t>8. Arjun Akj(Aus) - 11000</t>
  </si>
  <si>
    <t xml:space="preserve">22. Zohaib Khan Tareen </t>
  </si>
  <si>
    <t>8. Rince (Italy) - 1000</t>
  </si>
  <si>
    <t>8. Mowglee(WI) - 37000</t>
  </si>
  <si>
    <t>22. Vijeth Devadiga</t>
  </si>
  <si>
    <t>8. Karthik(Eng) - 4000</t>
  </si>
  <si>
    <t>8. Jasheer(Scot) - 1000</t>
  </si>
  <si>
    <t>8. Biswajit(ND) - 4000</t>
  </si>
  <si>
    <t>8. Zeeshan(Aus) - 1000</t>
  </si>
  <si>
    <t>8. Shinu(Scot) - 18000</t>
  </si>
  <si>
    <t>8. Sreeraj(WI) - 13000</t>
  </si>
  <si>
    <t>9. Abhilash(WI) - 7000</t>
  </si>
  <si>
    <t>9. Malaram(Aus) - 26000</t>
  </si>
  <si>
    <t>9. Mian (Pak) - 1000</t>
  </si>
  <si>
    <t>9. Vishnu Vijay(Italy) - 25000</t>
  </si>
  <si>
    <t>9. Deepjyoti(ND) - 1000</t>
  </si>
  <si>
    <t>23. Yeshwanth Chinni</t>
  </si>
  <si>
    <t>9. Amal(Scot) - 1000</t>
  </si>
  <si>
    <t>9. Debajit(ND) - 12000</t>
  </si>
  <si>
    <t>9. Anand(Aus) - 7500</t>
  </si>
  <si>
    <t>9. Asthu(Scot) - 35000</t>
  </si>
  <si>
    <t>9. Huzain(Italy) - 11000</t>
  </si>
  <si>
    <t>10. Marami(ND) - 25000</t>
  </si>
  <si>
    <t>10. Keshav (Aus) - 20000</t>
  </si>
  <si>
    <t>10. Ganesh(Pak) - 21000</t>
  </si>
  <si>
    <t>10. Sanazil(Italy) - 7000</t>
  </si>
  <si>
    <t>10. Rahul(ND) - 1000</t>
  </si>
  <si>
    <t>10. Hari(Scot) - 27000</t>
  </si>
  <si>
    <t>10. Hrushikesh(NZ) - 37000</t>
  </si>
  <si>
    <t>10. Shajahan(Eng) - 1000</t>
  </si>
  <si>
    <t>10. Zuhair(Scot) - 2000</t>
  </si>
  <si>
    <t>10. Arjun(Italy) - 1000</t>
  </si>
  <si>
    <t>11. Tukaram(NZ) - 47000</t>
  </si>
  <si>
    <t>11. Chiranjibi(Aus) - 27000</t>
  </si>
  <si>
    <t>24. Nawman Baig</t>
  </si>
  <si>
    <t>11. Nasrullah(Pak) - 13000</t>
  </si>
  <si>
    <t>11. Hybi Anil(Italy) - 18000</t>
  </si>
  <si>
    <t>11. Hirak(ND) - 1000</t>
  </si>
  <si>
    <t>11. Blesson(Scot) - 36000</t>
  </si>
  <si>
    <t>11. Raksh(SA) - 5000</t>
  </si>
  <si>
    <t>11. Aash(Eng) - 31000</t>
  </si>
  <si>
    <t>11. Ashith(Scot) - 15000</t>
  </si>
  <si>
    <t>11. Akhil(Italy) - 9000</t>
  </si>
  <si>
    <t>12. Ashwini(NZ) - 1000</t>
  </si>
  <si>
    <t>12. Anand Kumar(Aus) - 8000</t>
  </si>
  <si>
    <t>12. Kaushik(SA) - 10000</t>
  </si>
  <si>
    <t>12. Iqra(Pak) - 1000</t>
  </si>
  <si>
    <t>12. Adithya(SA) - Trade (41k)</t>
  </si>
  <si>
    <t>12. Sufaid(Scot) - 1000</t>
  </si>
  <si>
    <t>12. Rakesh(SA) - 21000</t>
  </si>
  <si>
    <t>12. Sri Vishnu(Eng) - 1000</t>
  </si>
  <si>
    <t>12. Thebseer(Scot) - 19000</t>
  </si>
  <si>
    <t>12. Shuhaib(Italy) - 1000</t>
  </si>
  <si>
    <t>25. Sanan Abrar</t>
  </si>
  <si>
    <t>13. Karthik(NZ) - 1000</t>
  </si>
  <si>
    <t>13. Renjish(Eng) - 11000</t>
  </si>
  <si>
    <t>13. Rasith(SL) - 10000</t>
  </si>
  <si>
    <t>13. Sidra(Pak) - 1500</t>
  </si>
  <si>
    <t>13. Kamlesh(SA) - 12000</t>
  </si>
  <si>
    <t>13. Akshay(Scot) - 4000</t>
  </si>
  <si>
    <t>13. Hasindu(SL) - 6500</t>
  </si>
  <si>
    <t>13. Ashwin(WI) - 3500</t>
  </si>
  <si>
    <t>13. Mahi(SA) - 9000</t>
  </si>
  <si>
    <t>13. Ajith(NZ) - 20000</t>
  </si>
  <si>
    <t>14. Ayaan(Pak) - 1000</t>
  </si>
  <si>
    <t>14. Vignesh(WI) - 1000</t>
  </si>
  <si>
    <t>14. Huzaifa(Qatar) - 1000</t>
  </si>
  <si>
    <t>14. Shukoor(Scot) - 6500</t>
  </si>
  <si>
    <t>14. Shiva(SA) - 1000</t>
  </si>
  <si>
    <t>14. Shaheen(Scot) - 15000</t>
  </si>
  <si>
    <t>14. Vaibhav(BD) - 10000</t>
  </si>
  <si>
    <t>14. Rahul(WI) - 3000</t>
  </si>
  <si>
    <t>26. Samir</t>
  </si>
  <si>
    <t>14. Saketh(SA) - 17000</t>
  </si>
  <si>
    <t>14. Yeshwanth(NZ) - 9000</t>
  </si>
  <si>
    <t>15. Saad (Qatar) - 15000</t>
  </si>
  <si>
    <t>15. Nihal(WI) - 9000</t>
  </si>
  <si>
    <t>15. Ashish(India) - 28500</t>
  </si>
  <si>
    <t>15. Damitha N (SL) - 21000</t>
  </si>
  <si>
    <t>15. Shibasis(SA) - 5000</t>
  </si>
  <si>
    <t>15. Adarsh(Scot) - 1000</t>
  </si>
  <si>
    <t>15. Huzaifa(BD) - 5000</t>
  </si>
  <si>
    <t>15. Hizbullah(Pak) - 25000</t>
  </si>
  <si>
    <t>15. Bhavin(SA) - 24000</t>
  </si>
  <si>
    <t>15. Nithin(NZ) - 19000</t>
  </si>
  <si>
    <t>16. Ahmed(Qatar) - 2000</t>
  </si>
  <si>
    <t>16. Azeem(NZ) - 1000</t>
  </si>
  <si>
    <t>16. Bhargab(BD) - 1000</t>
  </si>
  <si>
    <t>16. Rahman (IND) - 8500</t>
  </si>
  <si>
    <t>16. Thilanga(SL) - 12000</t>
  </si>
  <si>
    <t>16. Yadhu(Scot) - 1000</t>
  </si>
  <si>
    <t>16. Bibin (WI) - FA</t>
  </si>
  <si>
    <t>16. Aaiz(Pak) - 2000</t>
  </si>
  <si>
    <t>16. Srinidhi(SA) - 8500</t>
  </si>
  <si>
    <t>16. Hansana(SL) - 1000</t>
  </si>
  <si>
    <t>17. SV (Qatar) - 1000</t>
  </si>
  <si>
    <t>17. Ebad(Qatar) - 1000</t>
  </si>
  <si>
    <t>17. Ahsan(BD) - 29000</t>
  </si>
  <si>
    <t>17. Farhan(Pak) - 1000</t>
  </si>
  <si>
    <t>17. Gaurav(BD) - 1000</t>
  </si>
  <si>
    <t>17. Salimax(Scot) - 7000</t>
  </si>
  <si>
    <t>17. Shahzad(Aus) - FA</t>
  </si>
  <si>
    <t>17. Ans Sheikh(Qatar) - 14000</t>
  </si>
  <si>
    <t>17. Rahul(SA) - 8500</t>
  </si>
  <si>
    <t>17. Kavinda(SL) - 1000</t>
  </si>
  <si>
    <t>18. Ershad(Scot) - 1000</t>
  </si>
  <si>
    <t>18. Rohit Patel(Aus) - FA</t>
  </si>
  <si>
    <t>18. Princhi(BD) - 8500</t>
  </si>
  <si>
    <t>18. Mohd Ali(Pak) - 1000</t>
  </si>
  <si>
    <t>18. Sai(BD) - 30000</t>
  </si>
  <si>
    <t>18. Bhavesh(SA) - 20000</t>
  </si>
  <si>
    <t>18. Adarsh (NZ) - FA</t>
  </si>
  <si>
    <t>18. Rao Abul(Qatar) - 1000</t>
  </si>
  <si>
    <t>18. Meer(BD) - FA</t>
  </si>
  <si>
    <t>18. Sasith(SL) - 12000</t>
  </si>
  <si>
    <t>Franchise League BPL All TEAMS</t>
  </si>
  <si>
    <t>Credits Remaining: 900</t>
  </si>
  <si>
    <t>Credits Remaining: 0</t>
  </si>
  <si>
    <t>Credits Remaining: 400</t>
  </si>
  <si>
    <t>MI vs LSG</t>
  </si>
  <si>
    <t>Credits Remaining: 300</t>
  </si>
  <si>
    <t>5th July</t>
  </si>
  <si>
    <t>MI</t>
  </si>
  <si>
    <t>Bhavesh B (MI)</t>
  </si>
  <si>
    <t>Blesson Devassi (MI)</t>
  </si>
  <si>
    <t>1. Sai Naveen (C) - 80000</t>
  </si>
  <si>
    <t>1. Vaibhav Batra (C) - 80000</t>
  </si>
  <si>
    <t>1. Ahmed (C)</t>
  </si>
  <si>
    <t>1. Princhi Bora (C)</t>
  </si>
  <si>
    <t>1. Ebad Malik (C)</t>
  </si>
  <si>
    <t>1. Ahsan Siddiqui (C)</t>
  </si>
  <si>
    <t>1. Yasin Iqbal (C)</t>
  </si>
  <si>
    <t>1. Ashutosh Jha (C)</t>
  </si>
  <si>
    <t>CSK vs KKR</t>
  </si>
  <si>
    <t>1. Harsh Dubey (C)</t>
  </si>
  <si>
    <t>1. Arnab Sarkar (C-Aus)</t>
  </si>
  <si>
    <t>KKR</t>
  </si>
  <si>
    <t>Jana CP (KKR)</t>
  </si>
  <si>
    <t>Karthik Devadiga (CSK)</t>
  </si>
  <si>
    <t>2. Bhavin Kumar (M) - 30000</t>
  </si>
  <si>
    <t>2. Rakshith Raksh (M) - 30000</t>
  </si>
  <si>
    <t>2. Abdul Haseeb Siddiqui (M)</t>
  </si>
  <si>
    <t>2. Bhavesh B (M)</t>
  </si>
  <si>
    <t>2. Manan Irfan (M)</t>
  </si>
  <si>
    <t>2. Abrar Ahmed (M)</t>
  </si>
  <si>
    <t>2. Bhargab Kashyap (M)</t>
  </si>
  <si>
    <t>2. Ghamshad Kapri (M)</t>
  </si>
  <si>
    <t>2. Gaurav (M)</t>
  </si>
  <si>
    <t>2. Abrar Ali (M-Aus)</t>
  </si>
  <si>
    <t>RCB vs DC</t>
  </si>
  <si>
    <t>DC</t>
  </si>
  <si>
    <t>Keshav Shah (DC)</t>
  </si>
  <si>
    <t>Abin (DC)</t>
  </si>
  <si>
    <t>3. Ram Thakkar (DS-NZ) - 25000</t>
  </si>
  <si>
    <t>3. Donald Baghwar (DS-Aus-SA) - 25000</t>
  </si>
  <si>
    <t>3. Ans Sheikh (DS-Pak)</t>
  </si>
  <si>
    <t>3. Keshav Shah (DS-Aus)</t>
  </si>
  <si>
    <t>3. Karan Kumar (DS- BD)</t>
  </si>
  <si>
    <t>3. Rahees Ashiq (DS-BD)</t>
  </si>
  <si>
    <t>3. Zarnish Saira (DS - Pak)</t>
  </si>
  <si>
    <t>3. Adithya(DS-BD)</t>
  </si>
  <si>
    <t>3. Anurag Raj (DS-Aus)</t>
  </si>
  <si>
    <t>PBKS vs RR</t>
  </si>
  <si>
    <t>Sher-e-Punjab</t>
  </si>
  <si>
    <t>RR</t>
  </si>
  <si>
    <t>4. Rahul (SA) - 3000</t>
  </si>
  <si>
    <t>Ahmed Mughal</t>
  </si>
  <si>
    <t>4. Mahi (SA) - 4500</t>
  </si>
  <si>
    <t>Anand Ajikumar (RR)</t>
  </si>
  <si>
    <t>4. Tukaram (NZ) - 16000</t>
  </si>
  <si>
    <t>4. Huzaifa (NZ) - 600</t>
  </si>
  <si>
    <t>Harish Byndoor (PBKS)</t>
  </si>
  <si>
    <t>4. Sajjad (BD) - 1600</t>
  </si>
  <si>
    <t>4. Meer(BD) - 1100</t>
  </si>
  <si>
    <t>4. Asad (BD) - 900</t>
  </si>
  <si>
    <t>4. Rajab (BD) - 900</t>
  </si>
  <si>
    <t>4. Anu (BD) - 500</t>
  </si>
  <si>
    <t>4. Sanan(NZ) - 500</t>
  </si>
  <si>
    <t>5. Shiva (SA) - 4000</t>
  </si>
  <si>
    <t>SRH vs GT</t>
  </si>
  <si>
    <t>5. Rakesh (SA) - 12000</t>
  </si>
  <si>
    <t>5. Pratyush(NZ) - 1100</t>
  </si>
  <si>
    <t xml:space="preserve">Royal Deccan </t>
  </si>
  <si>
    <t>5. Mahesh (NZ) - 8500</t>
  </si>
  <si>
    <t>5. Alapan Das(BD) - 11000</t>
  </si>
  <si>
    <t>GT</t>
  </si>
  <si>
    <t>5. Ashith(Scot) - 1900</t>
  </si>
  <si>
    <t>5. Kaushik Kalita(SA) - 6000</t>
  </si>
  <si>
    <t>Kaushik Kalita (GT)</t>
  </si>
  <si>
    <t>5. Adarsh (NZ) - 500</t>
  </si>
  <si>
    <t>5. M Huzaifa (BD) - 500</t>
  </si>
  <si>
    <t>5. Noor(Aus) - 10000</t>
  </si>
  <si>
    <t>Toby Joseph (SRH)</t>
  </si>
  <si>
    <t>6. Saketh(SA) - 10000</t>
  </si>
  <si>
    <t>6. Parth (SA) - 8500</t>
  </si>
  <si>
    <t>6. Karthik(NZ) - 600</t>
  </si>
  <si>
    <t>6. Rohit(Aus) - 500</t>
  </si>
  <si>
    <t>6. Aniket (NZ) - 20000</t>
  </si>
  <si>
    <t>6. Huzain(Italy) - 500</t>
  </si>
  <si>
    <t>6. Kishore (NZ) - 15000</t>
  </si>
  <si>
    <t>6. Toby (NZ) - 13000</t>
  </si>
  <si>
    <t>6. Rizwan(Aus) - 20000</t>
  </si>
  <si>
    <t>6. Ashwini(Aus) - 2000</t>
  </si>
  <si>
    <t>MI vs KKR</t>
  </si>
  <si>
    <t>6th July</t>
  </si>
  <si>
    <t>Keshav Shah</t>
  </si>
  <si>
    <t>Damitha N (KKR)</t>
  </si>
  <si>
    <t>7. Gautam (NZ) - 21000</t>
  </si>
  <si>
    <t>Amal (MI)</t>
  </si>
  <si>
    <t>7. Manish (SA) - 3500</t>
  </si>
  <si>
    <t>7. Jishnu (Scot) - 8500</t>
  </si>
  <si>
    <t>7. Hari(Scot) - 500</t>
  </si>
  <si>
    <t>7. Vikas (NZ) - 500</t>
  </si>
  <si>
    <t>7. Shubaib(Italy) - 600</t>
  </si>
  <si>
    <t>7. Ramith(NZ) - 500</t>
  </si>
  <si>
    <t>7. Hashir(Scot) - 20000</t>
  </si>
  <si>
    <t>7. Anand(Aus) - 20000</t>
  </si>
  <si>
    <t>7. Waqas (Aus) - 35000</t>
  </si>
  <si>
    <t>PBKS vs LSG</t>
  </si>
  <si>
    <t>8. Hasan (NZ) - 16000</t>
  </si>
  <si>
    <t>8. Susheel (SA) - 500</t>
  </si>
  <si>
    <t>8. Ashi(Scot) - 21000</t>
  </si>
  <si>
    <t>8. Akhil(Italy) - 700</t>
  </si>
  <si>
    <t>LSG</t>
  </si>
  <si>
    <t>8. Nithin(NZ) - 8000</t>
  </si>
  <si>
    <t>8. Shivaji(Ind) - 31000</t>
  </si>
  <si>
    <t>8. Arjun(Aus) - 9500</t>
  </si>
  <si>
    <t>Sai Naveen (LSG)</t>
  </si>
  <si>
    <t>8. Subaida(Italy) - 27000</t>
  </si>
  <si>
    <t>8. Sali (Scot) - 3500</t>
  </si>
  <si>
    <t>Shibil (PBKS)</t>
  </si>
  <si>
    <t>8. Chiranjibi(Aus) - 26000</t>
  </si>
  <si>
    <t>Waqas Mughal (PKBS)</t>
  </si>
  <si>
    <t>9. Naveen (NZ) - 500</t>
  </si>
  <si>
    <t>9. K Srinidhi (SA) - 5000</t>
  </si>
  <si>
    <t>9. Haseeb(Italy) - 1100</t>
  </si>
  <si>
    <t>9. Hybi (Italy) - 800</t>
  </si>
  <si>
    <t>9. Zeeshan (Aus) - 1400</t>
  </si>
  <si>
    <t>9. Farhaan(Ind) - 7500</t>
  </si>
  <si>
    <t>9. Shaheen(Scot) - 700</t>
  </si>
  <si>
    <t>9. Karthik(Eng) - 900</t>
  </si>
  <si>
    <t>RCB vs GT</t>
  </si>
  <si>
    <t>9. Thaneem(Italy) - 1000</t>
  </si>
  <si>
    <t>9. Malaram(Aus) - 19000</t>
  </si>
  <si>
    <t>Arnab Sarkar</t>
  </si>
  <si>
    <t>Siddiqui Ahsan (GT)</t>
  </si>
  <si>
    <t>10. Yeshwanth (NZ) - 500</t>
  </si>
  <si>
    <t>10. Shibasis (SA) - 12200</t>
  </si>
  <si>
    <t>10. Ruwanga(SL) - 4500</t>
  </si>
  <si>
    <t>10. Sujith(Eng) - 19000</t>
  </si>
  <si>
    <t>10. Anik(Aus) - 5000</t>
  </si>
  <si>
    <t>10. Marami(Ned) - 9000</t>
  </si>
  <si>
    <t>10. Akshay(Scot) - 1100</t>
  </si>
  <si>
    <t>10. Nirmal(Ned) - 7500</t>
  </si>
  <si>
    <t>10. Jyothish(Eng) - 23000</t>
  </si>
  <si>
    <t>10. Asthu(Scot) - 500</t>
  </si>
  <si>
    <t>DC vs RR</t>
  </si>
  <si>
    <t>7th July</t>
  </si>
  <si>
    <t>Imperial Capital</t>
  </si>
  <si>
    <t>Ump: Jana, SC: Arnab</t>
  </si>
  <si>
    <t>Abrar Ali (RR)</t>
  </si>
  <si>
    <t>Ebad Malik (DC)</t>
  </si>
  <si>
    <t>Chiranjibi Samal (DC)</t>
  </si>
  <si>
    <t>11. Ankan (Aus) - 5000</t>
  </si>
  <si>
    <t>11. Hrushikesh (NZ) - 17000</t>
  </si>
  <si>
    <t>11. Sasith(SL) - 4500</t>
  </si>
  <si>
    <t>11. Achuz(Eng) - 10000</t>
  </si>
  <si>
    <t>11. Ajay(Scot) - 18000</t>
  </si>
  <si>
    <t>11. Anamika(Ned) - 500</t>
  </si>
  <si>
    <t>11. Blesson(Scot) - 1100</t>
  </si>
  <si>
    <t>11. Prabal (Ned) - 1700</t>
  </si>
  <si>
    <t>11. Biswajit (Ned) - 900</t>
  </si>
  <si>
    <t>11. Kebin(Scot) - 500</t>
  </si>
  <si>
    <t>CSK vs SRH</t>
  </si>
  <si>
    <t>CSK</t>
  </si>
  <si>
    <t>Ashwini Raam (CSK)</t>
  </si>
  <si>
    <t>Yeshwanth Chinni (SRH)</t>
  </si>
  <si>
    <t>Im Ameen (CSK)</t>
  </si>
  <si>
    <t>12. Irshad (Scot) - 21000</t>
  </si>
  <si>
    <t>12. Srajan (NZ) - 16000</t>
  </si>
  <si>
    <t>12. Ahmed Mahsoof(Pak) - 3500</t>
  </si>
  <si>
    <t>12. Hirak (Ned) - 3500</t>
  </si>
  <si>
    <t>12. Hizbullah(Pak) - 10000</t>
  </si>
  <si>
    <t>MI vs PBKS</t>
  </si>
  <si>
    <t>12. Bimal(Ned) - 1600</t>
  </si>
  <si>
    <t>12. Athif (Ind) - 7000</t>
  </si>
  <si>
    <t>PBKS</t>
  </si>
  <si>
    <t>12. Kavinda(SL) - 700</t>
  </si>
  <si>
    <t>Princhi Pratim Bora</t>
  </si>
  <si>
    <t>12. Damitha N(SL) - 20000</t>
  </si>
  <si>
    <t>Hasan Musabbir (PBKS)</t>
  </si>
  <si>
    <t>12. Rince (Italy) - 500</t>
  </si>
  <si>
    <t>Harsh Dubey (MI)</t>
  </si>
  <si>
    <t>13. Vishnu Vijay(Italy) - 10000</t>
  </si>
  <si>
    <t>13. Manish (Aus) - 11000</t>
  </si>
  <si>
    <t>CSK vs GT</t>
  </si>
  <si>
    <t>13. Jana (Ind) - 24000</t>
  </si>
  <si>
    <t>13. Kiran(Ned) - 1000</t>
  </si>
  <si>
    <t>13. Nouraiz(Pak) - 2500</t>
  </si>
  <si>
    <t>13. Jahirul(Ned) - 3500</t>
  </si>
  <si>
    <t>13. Rahul Seenu(Ind) - 7000</t>
  </si>
  <si>
    <t>8th July</t>
  </si>
  <si>
    <t>13. Thilina(SL) 700</t>
  </si>
  <si>
    <t>13. Miraj(SL) - 1100</t>
  </si>
  <si>
    <t>13. Sanazil (Italy) - 500</t>
  </si>
  <si>
    <t>Bhargab Kashyap (GT)</t>
  </si>
  <si>
    <t>Ahsan Siddiqui (GT)</t>
  </si>
  <si>
    <t>14. Vipin(Italy) - 1200</t>
  </si>
  <si>
    <t xml:space="preserve">14. Vishnu CV(Italy) - 900 </t>
  </si>
  <si>
    <t>RCB vs RR</t>
  </si>
  <si>
    <t>14. Robert John(Ind) - 2000</t>
  </si>
  <si>
    <t>14. Rahul (Ned) - 6000</t>
  </si>
  <si>
    <t>14. Ganesh(Pak) - 18000</t>
  </si>
  <si>
    <t>14. Muhammad Ahmad(Pak) - 19000</t>
  </si>
  <si>
    <t>14. Abhishek(Ind) - 1400</t>
  </si>
  <si>
    <t>Ashwini Verma (RR)</t>
  </si>
  <si>
    <t>14. Chalana(SL) - 900</t>
  </si>
  <si>
    <t>Asthu Mohammed (RCB)</t>
  </si>
  <si>
    <t>14. Kosala(SL) - 500</t>
  </si>
  <si>
    <t>14. Albin(Italy) - 4500</t>
  </si>
  <si>
    <t xml:space="preserve">KKR vs SRH </t>
  </si>
  <si>
    <t>15. Rajeev(Ind) - 500</t>
  </si>
  <si>
    <t>15. Gopi(Ind) - 2100</t>
  </si>
  <si>
    <t>15. Asru(Ind) - 2000</t>
  </si>
  <si>
    <t>SRH</t>
  </si>
  <si>
    <t>15. Aazi(Pak) - 19000</t>
  </si>
  <si>
    <t>Hizbullah Sahito</t>
  </si>
  <si>
    <t>15. Muhammad Ali(Pak) - 500</t>
  </si>
  <si>
    <t>Rahul Roy (SRH)</t>
  </si>
  <si>
    <t>15. Nasrullah(Pak) - 26000</t>
  </si>
  <si>
    <t>Sanazil (KKR)</t>
  </si>
  <si>
    <t>15. Safeer (Eng) - 14000</t>
  </si>
  <si>
    <t>Shamroz (KKR)</t>
  </si>
  <si>
    <t>15. Hasindu(SL) - 3200</t>
  </si>
  <si>
    <t>15. Damith(SL) - 500</t>
  </si>
  <si>
    <t>15. Afsal(Italy) - 600</t>
  </si>
  <si>
    <t>DC vs LSG</t>
  </si>
  <si>
    <t>9th July</t>
  </si>
  <si>
    <t>16. Peter(Ind) - 1200</t>
  </si>
  <si>
    <t>16. Debajit(Ned): 6500</t>
  </si>
  <si>
    <t>16. Abdullah Ishtiaq(Qatar) - 3500</t>
  </si>
  <si>
    <t>Rahul Seenu (DC)</t>
  </si>
  <si>
    <t>16. Usman(Pak) - 8000</t>
  </si>
  <si>
    <t>16. Summan(Pak) - 600</t>
  </si>
  <si>
    <t>16. Mian(Pak) - 500</t>
  </si>
  <si>
    <t>16. Dipankar(Ned) - 500</t>
  </si>
  <si>
    <t>16. Ayaan(Pak) - 8500</t>
  </si>
  <si>
    <t>16. Hansana(SL) - 1300</t>
  </si>
  <si>
    <t>16. Rahul Roy(Ind) - 2200</t>
  </si>
  <si>
    <t>KKR vs PBKS</t>
  </si>
  <si>
    <t>Srajan Poojari (PBKS)</t>
  </si>
  <si>
    <t>Rahman SN (KKR)</t>
  </si>
  <si>
    <t>17. Aash(Eng) - 5000</t>
  </si>
  <si>
    <t>17. Dhurbo(Ned) - 500</t>
  </si>
  <si>
    <t>17. Suman Pradhan(Qatar) - 2000</t>
  </si>
  <si>
    <t>17. Chintu Saikia(BD) - 2000</t>
  </si>
  <si>
    <t>17. Arslan(Pak) - 6000</t>
  </si>
  <si>
    <t>17. Wafa(Pak) - 500</t>
  </si>
  <si>
    <t>17. Thilanga(SL) - 4000</t>
  </si>
  <si>
    <t>17. Diljith(Eng) - 2000</t>
  </si>
  <si>
    <t>17. Uresh(SL) - 1300</t>
  </si>
  <si>
    <t>17. Rubesh(SL) - 500</t>
  </si>
  <si>
    <t xml:space="preserve">CSK vs RR </t>
  </si>
  <si>
    <t>Kishore Gowda (CSK)</t>
  </si>
  <si>
    <t>18. Mayank(Ned) - 1200</t>
  </si>
  <si>
    <t>18. Jiha (Ned) - 3000</t>
  </si>
  <si>
    <t>18. Zohaib Khan(Qaatr) - 500</t>
  </si>
  <si>
    <t>18. Kashif(Aus) - 600</t>
  </si>
  <si>
    <t>18. Ali Bangash(Pak) - 900</t>
  </si>
  <si>
    <t>18. Sri Vishnu(Eng) - 2000</t>
  </si>
  <si>
    <t>18. Shamroz(Pak) - 30000</t>
  </si>
  <si>
    <t>18. Rahees(Eng) - 2000</t>
  </si>
  <si>
    <t>18. Rao Abul(BD) - 1300</t>
  </si>
  <si>
    <t>18. Virendra(SL) - 1600</t>
  </si>
  <si>
    <t xml:space="preserve">RCB vs LSG </t>
  </si>
  <si>
    <t>10th July</t>
  </si>
  <si>
    <t>19. Veer Gupta(Ned) - 500</t>
  </si>
  <si>
    <t>Ashutosh Jha (LSG)</t>
  </si>
  <si>
    <t>19. Pinku(Ned) - 500</t>
  </si>
  <si>
    <t>19. Muzamil(Qatar) - 1100</t>
  </si>
  <si>
    <t>Bhavin Kumar (RCB)</t>
  </si>
  <si>
    <t>19. Midhun(WI) -2000</t>
  </si>
  <si>
    <t>19. Thebseer(Scot) - 4500</t>
  </si>
  <si>
    <t>19. Huzaifa Imran(Qatar) - 5500</t>
  </si>
  <si>
    <t>19. Deepjyothi(Ned) - 2000</t>
  </si>
  <si>
    <t>19. Rahul Gadia(Aus) - 2000</t>
  </si>
  <si>
    <t>20. Renjish(Eng) - 2000</t>
  </si>
  <si>
    <t>MI vs DC</t>
  </si>
  <si>
    <t>20. Rasith(SL) - 1300</t>
  </si>
  <si>
    <t>20. Sufyan Gujjar(Qatar) - 1100</t>
  </si>
  <si>
    <t>20. Umar Abbas(Pak) - 2000</t>
  </si>
  <si>
    <t>20. Mudasir Ali(Qatar) - 500</t>
  </si>
  <si>
    <t>20. Aneesh(Eng) - 2000</t>
  </si>
  <si>
    <t>Akshay Varnam (MI)</t>
  </si>
  <si>
    <t>20. Sachin(Eng) - 2000</t>
  </si>
  <si>
    <t>Hari M (MI)</t>
  </si>
  <si>
    <t>SRH vs PBKS</t>
  </si>
  <si>
    <t>Subaida Subi (SRH)</t>
  </si>
  <si>
    <t>Debajit (PBKS)</t>
  </si>
  <si>
    <t>MI vs CSK</t>
  </si>
  <si>
    <t>11th July</t>
  </si>
  <si>
    <t>Achuz Sukumaran (CSK)</t>
  </si>
  <si>
    <t>Mahesh Margol (CSK)</t>
  </si>
  <si>
    <t>Irshad Bekal (MI)</t>
  </si>
  <si>
    <t>RCB vs KKR</t>
  </si>
  <si>
    <t>RCB</t>
  </si>
  <si>
    <t>Shukoor (KKR)</t>
  </si>
  <si>
    <t>DC vs PBKS</t>
  </si>
  <si>
    <t>Anurag Raj (PBKS)</t>
  </si>
  <si>
    <t>Nihal (DC)</t>
  </si>
  <si>
    <t>Chandpur Illish Titans vs Sonargaon Royals</t>
  </si>
  <si>
    <t>15th June</t>
  </si>
  <si>
    <t>Hilsha</t>
  </si>
  <si>
    <t>Chandpur Illish Titans</t>
  </si>
  <si>
    <t>Srajan (CIT)</t>
  </si>
  <si>
    <t>Gopi (CIT)</t>
  </si>
  <si>
    <t>RR vs SRH</t>
  </si>
  <si>
    <t>Abhishek</t>
  </si>
  <si>
    <t>Hizbullah Sahito (RR)</t>
  </si>
  <si>
    <t>Cumila Falcons vs Rajshahi Mango Legion</t>
  </si>
  <si>
    <t>Padma</t>
  </si>
  <si>
    <t>Aash Mohammad (RR)</t>
  </si>
  <si>
    <t>Cumila Falcons</t>
  </si>
  <si>
    <t>Ahsan Siddiqui</t>
  </si>
  <si>
    <t>Rahul Gadia (CF)</t>
  </si>
  <si>
    <t>Arnab Sarkar (CF)</t>
  </si>
  <si>
    <t>GT vs LSG</t>
  </si>
  <si>
    <t>Barisal River Riders vs Dhaka Buriganga Blazers</t>
  </si>
  <si>
    <t>16th June</t>
  </si>
  <si>
    <t>Sylhet</t>
  </si>
  <si>
    <t>Barisal River Riders</t>
  </si>
  <si>
    <t>Aniket Gavit (GT)</t>
  </si>
  <si>
    <t>Aash (BRR)</t>
  </si>
  <si>
    <t>Vishnu Vijay (BRR)</t>
  </si>
  <si>
    <t>Anshad P (GT)</t>
  </si>
  <si>
    <t>Mainamati Titans vs Chittagong Mariners</t>
  </si>
  <si>
    <t>Chittagong Mariners</t>
  </si>
  <si>
    <t>Siddiqui Ahsan (CM)</t>
  </si>
  <si>
    <t>Blesson (MT)</t>
  </si>
  <si>
    <t>Marami (CM)</t>
  </si>
  <si>
    <t>MI vs RCB</t>
  </si>
  <si>
    <t>12th July</t>
  </si>
  <si>
    <t>Mymensingh Mavericks vs Dhaka Buriganga Blazers</t>
  </si>
  <si>
    <t>17th June</t>
  </si>
  <si>
    <t>Mymensingh Mavericks</t>
  </si>
  <si>
    <t>Adithya Mahajan (MM)</t>
  </si>
  <si>
    <t>Biswajit (MM)</t>
  </si>
  <si>
    <t>CSK vs PBKS</t>
  </si>
  <si>
    <t>Cumila Falcons vs Chandpur Illish Titans</t>
  </si>
  <si>
    <t>Debajit (CIT)</t>
  </si>
  <si>
    <t>Marami Ahmed (CSK)</t>
  </si>
  <si>
    <t>Abhishek (CSK)</t>
  </si>
  <si>
    <t>Rajshahi Mango Legion vs Sylhet Emerald Blades</t>
  </si>
  <si>
    <t>Mango</t>
  </si>
  <si>
    <t>Rajshahi Mango Legion</t>
  </si>
  <si>
    <t>DC vs SRH</t>
  </si>
  <si>
    <t>Athif Basheer</t>
  </si>
  <si>
    <t>Bhavesh B (RML)</t>
  </si>
  <si>
    <t>Ashiqui Ashi (SEB)</t>
  </si>
  <si>
    <t>RR vs LSG</t>
  </si>
  <si>
    <t>Robert John</t>
  </si>
  <si>
    <t>Sonargaon Royals vs Sylhet Emerald Blades</t>
  </si>
  <si>
    <t>Rahul Gadia (RR)</t>
  </si>
  <si>
    <t>18th June</t>
  </si>
  <si>
    <t>Karnaphuli</t>
  </si>
  <si>
    <t>Rao Abul (RR)</t>
  </si>
  <si>
    <t>Sylhet Emerald Blades</t>
  </si>
  <si>
    <t>Aniket Gavit</t>
  </si>
  <si>
    <t>Ans Sheikh (SEB)</t>
  </si>
  <si>
    <t>Ashutosh Jha (SR)</t>
  </si>
  <si>
    <t>DC vs GT</t>
  </si>
  <si>
    <t>13th July</t>
  </si>
  <si>
    <t>Mainamati Titans vs Barisal River Riders</t>
  </si>
  <si>
    <t>Ebad Malik (GT)</t>
  </si>
  <si>
    <t>Mainamati Titans</t>
  </si>
  <si>
    <t>Huzaifa Imran (MT)</t>
  </si>
  <si>
    <t>Shaheen (MT)</t>
  </si>
  <si>
    <t>CSK vs RCB</t>
  </si>
  <si>
    <t>Srinidhi K (RCB)</t>
  </si>
  <si>
    <t>Mymensingh Mavericks vs Chittagong Mariners</t>
  </si>
  <si>
    <t>Shivaji Prakash (CM)</t>
  </si>
  <si>
    <t>Jyothish S (MM)</t>
  </si>
  <si>
    <t>KKR vs LSG</t>
  </si>
  <si>
    <t>Mainamati Titans vs Cumila Falcons</t>
  </si>
  <si>
    <t>Mowglee (KKR)</t>
  </si>
  <si>
    <t>Ganesh Chunduru / Aniket Gavit</t>
  </si>
  <si>
    <t>Ashwini Verma (CF)</t>
  </si>
  <si>
    <t>Chandpur Illish Titans vs Dhaka Buriganga Blazers</t>
  </si>
  <si>
    <t>MI vs SRH</t>
  </si>
  <si>
    <t>14th July</t>
  </si>
  <si>
    <t>Dhaka Buriganga Blazers</t>
  </si>
  <si>
    <t>Manan Irfan (DBB)</t>
  </si>
  <si>
    <t>Shibasis (CIT)</t>
  </si>
  <si>
    <t>Sylhet Emerald Blades vs Chittagong Mariners</t>
  </si>
  <si>
    <t>GT vs RR</t>
  </si>
  <si>
    <t>Ahmed Mahsoof (SEB)</t>
  </si>
  <si>
    <t>Aash Muhammad (RR)</t>
  </si>
  <si>
    <t>Sujith CS Ctr (GT)</t>
  </si>
  <si>
    <t>Ashish Anandhu (GT)</t>
  </si>
  <si>
    <t>Sonargaon Royals vs Mainamati Titans</t>
  </si>
  <si>
    <t>CSK vs LSG</t>
  </si>
  <si>
    <t>Ahmed Mughal (CSK)</t>
  </si>
  <si>
    <t>Safeer Babu (MT)</t>
  </si>
  <si>
    <t>Yasin Iqbal (MT)</t>
  </si>
  <si>
    <t>Ashutosh (SR)</t>
  </si>
  <si>
    <t>MI vs GT</t>
  </si>
  <si>
    <t>15th July</t>
  </si>
  <si>
    <t>Dhaka Buriganga Blazers vs Sylhet Emerald Blades</t>
  </si>
  <si>
    <t>Shaheen (MI)</t>
  </si>
  <si>
    <t>Jishnu (SEB)</t>
  </si>
  <si>
    <t>RCB vs PBKS</t>
  </si>
  <si>
    <t>Farhan (RCB)</t>
  </si>
  <si>
    <t>Barisal River Riders vs Rajshahi Mango Legion</t>
  </si>
  <si>
    <t>Saketh Balne (RCB)</t>
  </si>
  <si>
    <t>Aaiz Khan (RML)</t>
  </si>
  <si>
    <t>Midhun Manilal (RML)</t>
  </si>
  <si>
    <t>KKR vs DC</t>
  </si>
  <si>
    <t>Raheem Ek (DC)</t>
  </si>
  <si>
    <t>Chandpur Illish Titans vs Chittagong Mariners</t>
  </si>
  <si>
    <t xml:space="preserve">Ganesh Chunduru  </t>
  </si>
  <si>
    <t>Meer Kamran (CM)</t>
  </si>
  <si>
    <t>MI vs RR</t>
  </si>
  <si>
    <t>16th July</t>
  </si>
  <si>
    <t>Sri Vishnu (RR)</t>
  </si>
  <si>
    <t>Arnab Sarkar (RR)</t>
  </si>
  <si>
    <t>Cumila Falcons vs Barisal River Riders</t>
  </si>
  <si>
    <t>Sai Naveen (BRR)</t>
  </si>
  <si>
    <t>Saketh Balne (BRR)</t>
  </si>
  <si>
    <t>CSK vs DC</t>
  </si>
  <si>
    <t>Renjish Punalur (DC)</t>
  </si>
  <si>
    <t>Rajshahi Mango Legion vs Mymensingh Mavericks</t>
  </si>
  <si>
    <t>Rizwan Mansoori (MM)</t>
  </si>
  <si>
    <t>Deepjyoti (MM)</t>
  </si>
  <si>
    <t>Mahesh Margol (RML)</t>
  </si>
  <si>
    <t>SRH vs LSG</t>
  </si>
  <si>
    <t>Adithya Mahajan (LSG)</t>
  </si>
  <si>
    <t>KKR vs GT</t>
  </si>
  <si>
    <t>Yasin Iqbal (GT)</t>
  </si>
  <si>
    <t>RCB vs SRH</t>
  </si>
  <si>
    <t>17th July</t>
  </si>
  <si>
    <t>Srinidhi (RCB)</t>
  </si>
  <si>
    <t>Ahmed (RCB)</t>
  </si>
  <si>
    <t>KKR vs RR</t>
  </si>
  <si>
    <t>GT vs PBKS</t>
  </si>
  <si>
    <t>K Rakesh (PBKS)</t>
  </si>
  <si>
    <t>Q1: RR vs CSK</t>
  </si>
  <si>
    <t>18th July</t>
  </si>
  <si>
    <t>Sree Padmanabha</t>
  </si>
  <si>
    <t>Athif Basheer (CSK)</t>
  </si>
  <si>
    <t>E: GT vs KKR</t>
  </si>
  <si>
    <t>Ethernal Coliseum</t>
  </si>
  <si>
    <t>Q2: CSK vs KKR</t>
  </si>
  <si>
    <t>19th July</t>
  </si>
  <si>
    <t>Final: RR vs KKR</t>
  </si>
  <si>
    <t>20th July</t>
  </si>
  <si>
    <t>Jannat Wadi</t>
  </si>
  <si>
    <t>IOCF Indian Premier League 2026 AWARDS</t>
  </si>
  <si>
    <t>West Indies (Home)</t>
  </si>
  <si>
    <t>1. Asru Ksd</t>
  </si>
  <si>
    <t xml:space="preserve">1. Aditya Mahajan </t>
  </si>
  <si>
    <t xml:space="preserve">1. Ans Sheikh </t>
  </si>
  <si>
    <t>1. Shahzad</t>
  </si>
  <si>
    <t>1. Hasan Musabbir</t>
  </si>
  <si>
    <t>1. Anadhan</t>
  </si>
  <si>
    <t>2. Abhishek Anil</t>
  </si>
  <si>
    <t>2. Suhyl Muhammad</t>
  </si>
  <si>
    <t>2. Harsh Dubey</t>
  </si>
  <si>
    <t>2. Daniyal Sheikh</t>
  </si>
  <si>
    <t>2. Amith Kumar</t>
  </si>
  <si>
    <t>2. Akshay Vernam</t>
  </si>
  <si>
    <t>2. Falah</t>
  </si>
  <si>
    <t>3. Akhil Viratian</t>
  </si>
  <si>
    <t>3. Hizbullah Sahito</t>
  </si>
  <si>
    <t>3. Ashwini Raam</t>
  </si>
  <si>
    <t>2. Bishwajit Dutta</t>
  </si>
  <si>
    <t>3. Josin Roy</t>
  </si>
  <si>
    <t>4. Ajith</t>
  </si>
  <si>
    <t>4. Jibin Althaf</t>
  </si>
  <si>
    <t>4. Sachin P</t>
  </si>
  <si>
    <t>4. Huzaifa Kaukawala</t>
  </si>
  <si>
    <t>4. Amjith</t>
  </si>
  <si>
    <t>3. Rittik Upadhyay</t>
  </si>
  <si>
    <t>4. Nayan S Kurup</t>
  </si>
  <si>
    <t>5. Abdul Rahman</t>
  </si>
  <si>
    <t>5. Kaushik Kalita</t>
  </si>
  <si>
    <t>5. Muhammad Ahmed</t>
  </si>
  <si>
    <t xml:space="preserve">5. Sadik Ksd </t>
  </si>
  <si>
    <t>5. Gokul G</t>
  </si>
  <si>
    <t>4. Jahirul Hoque</t>
  </si>
  <si>
    <t>5. Bharath Narayana</t>
  </si>
  <si>
    <t>6. Abhishek</t>
  </si>
  <si>
    <t>6. Kashif Ramzan</t>
  </si>
  <si>
    <t>6. Ashiqui Ashi</t>
  </si>
  <si>
    <t>5. Deepjyoti Talukdar</t>
  </si>
  <si>
    <t>6. Akhil Vijayan</t>
  </si>
  <si>
    <t>7. Ahmed Mahsoof (Machu)</t>
  </si>
  <si>
    <t>7. Saketh Balne</t>
  </si>
  <si>
    <t>7. Ebad Malik</t>
  </si>
  <si>
    <t>7. Ganesh Chunduru</t>
  </si>
  <si>
    <t>7. Ashith S</t>
  </si>
  <si>
    <t>6. Bimal Baral</t>
  </si>
  <si>
    <t>7. Frijo Thomas</t>
  </si>
  <si>
    <t>8. Pradeesh P Nair</t>
  </si>
  <si>
    <t>8. Shibasis Nayak</t>
  </si>
  <si>
    <t>8. Muzammil Zafar</t>
  </si>
  <si>
    <t>8. Shamroz</t>
  </si>
  <si>
    <t>8. Aashutosh Jha</t>
  </si>
  <si>
    <t>8. Asthu Mohammad</t>
  </si>
  <si>
    <t>7. Khagen Saikia</t>
  </si>
  <si>
    <t>8. Ashwin Thomas</t>
  </si>
  <si>
    <t>9. Aravind</t>
  </si>
  <si>
    <t>9. Farhan</t>
  </si>
  <si>
    <t>9. Shiva Teja</t>
  </si>
  <si>
    <t>9. Veer Gupta</t>
  </si>
  <si>
    <t>9. Nasrullah</t>
  </si>
  <si>
    <t>9. Azeem Muhammad</t>
  </si>
  <si>
    <t>9. Blesson Devassi</t>
  </si>
  <si>
    <t>8. Marami Ahmed</t>
  </si>
  <si>
    <t>9. Hari Krishnan</t>
  </si>
  <si>
    <t>10. Arjun</t>
  </si>
  <si>
    <t>10. Anshad P</t>
  </si>
  <si>
    <t>10. Siddharth V Jain</t>
  </si>
  <si>
    <t>10. Mudassir Ali</t>
  </si>
  <si>
    <t>10. Zarnish Saira</t>
  </si>
  <si>
    <t>10. Chappy MK</t>
  </si>
  <si>
    <t>9. Hirakjyoti Deka</t>
  </si>
  <si>
    <t>10. Arjun Raj R</t>
  </si>
  <si>
    <t>11. Haseeb</t>
  </si>
  <si>
    <t>11. Harish Byndoor</t>
  </si>
  <si>
    <t>11. Srinidhi K</t>
  </si>
  <si>
    <t>11. Suleman</t>
  </si>
  <si>
    <t>11. Taniya</t>
  </si>
  <si>
    <t>11. Srajan Poojary</t>
  </si>
  <si>
    <t>11. Ershad</t>
  </si>
  <si>
    <t>11. Anish Babu Koni</t>
  </si>
  <si>
    <t>12. Huzain</t>
  </si>
  <si>
    <t>12. Gopikrishnan SV</t>
  </si>
  <si>
    <t>12. Susheel Teja</t>
  </si>
  <si>
    <t>12. Iqra Batool</t>
  </si>
  <si>
    <t>12. Gautam Shankara Ram</t>
  </si>
  <si>
    <t>12. Hari M</t>
  </si>
  <si>
    <t>12. Jaseel</t>
  </si>
  <si>
    <t>13. Hybi Anil</t>
  </si>
  <si>
    <t>13. Rahul Roy</t>
  </si>
  <si>
    <t>13. Rakshith Shetty</t>
  </si>
  <si>
    <t>13. Sidra</t>
  </si>
  <si>
    <t>13. Ramith Acharya</t>
  </si>
  <si>
    <t>13. Hashir</t>
  </si>
  <si>
    <t>13. Madhav</t>
  </si>
  <si>
    <t>14. Sanazil</t>
  </si>
  <si>
    <t>14. Peter</t>
  </si>
  <si>
    <t>14. Ali Abbas Bangash</t>
  </si>
  <si>
    <t>14. Tukaram Parabat</t>
  </si>
  <si>
    <t>14. Huzain Muhammed</t>
  </si>
  <si>
    <t>14. Nazi</t>
  </si>
  <si>
    <t>15. Shuhaib</t>
  </si>
  <si>
    <t>15. Athif Basheer K</t>
  </si>
  <si>
    <t>15. Wafa Baloch</t>
  </si>
  <si>
    <t>15. Sanan Abrar</t>
  </si>
  <si>
    <t>15. Irshad Bekal</t>
  </si>
  <si>
    <t>15. Sachin</t>
  </si>
  <si>
    <t>16. Subaida Subi</t>
  </si>
  <si>
    <t>16. Raheem SN</t>
  </si>
  <si>
    <t>16. Jasheer V</t>
  </si>
  <si>
    <t>16. Abhishek</t>
  </si>
  <si>
    <t>17. Vipin Venu</t>
  </si>
  <si>
    <t>17. Kebin</t>
  </si>
  <si>
    <t>18. Vishnu CV</t>
  </si>
  <si>
    <t>18. Salimax</t>
  </si>
  <si>
    <t>19. Vishnu Vijay</t>
  </si>
  <si>
    <t>19. Shaheen</t>
  </si>
  <si>
    <t>20. Shinu</t>
  </si>
  <si>
    <t>21. Shukoor</t>
  </si>
  <si>
    <t>22. Sufaid</t>
  </si>
  <si>
    <t>23. Thebseer</t>
  </si>
  <si>
    <t>24. Vivek</t>
  </si>
  <si>
    <t>25. Yadhu</t>
  </si>
  <si>
    <t>26. Zuhair Mohd</t>
  </si>
  <si>
    <t>27. Jishnu CV</t>
  </si>
  <si>
    <t>Franchise League CPL All TEAMS</t>
  </si>
  <si>
    <t>Antigua &amp; Barbuda Falcons 🇦🇬</t>
  </si>
  <si>
    <t>Barbados Royals 🇧🇧</t>
  </si>
  <si>
    <t>Guyana Amazon Warriors 🇬🇾</t>
  </si>
  <si>
    <t>Jamaica Kingsmen 🇯🇲</t>
  </si>
  <si>
    <t>St Kitts &amp; Nevis Patriots 🇰🇳</t>
  </si>
  <si>
    <t>St Lucia Kings 🇱🇨</t>
  </si>
  <si>
    <t>St Vincent Volcanoes 🇻🇨</t>
  </si>
  <si>
    <t>Trinbago Knight Riders 🇹🇹</t>
  </si>
  <si>
    <t>1. Shibil (WI-C)</t>
  </si>
  <si>
    <t>1. Abhilash PA (WI-C)</t>
  </si>
  <si>
    <t>1. Sreeraj R Kaimal (WI-C)</t>
  </si>
  <si>
    <t>1. Arjun Raj (WI-C)</t>
  </si>
  <si>
    <t>1. George (WI-C)</t>
  </si>
  <si>
    <t>1. Ajmal (WI-C)</t>
  </si>
  <si>
    <t>1. Mahesh Margol (NZ-C)</t>
  </si>
  <si>
    <t>1. Rahul Suresh (WI-C)</t>
  </si>
  <si>
    <t>2. Bibin (WI-M)</t>
  </si>
  <si>
    <t>2. Ananthu M (WI-M)</t>
  </si>
  <si>
    <t>2. Kannan Balakrishna (WI-M)</t>
  </si>
  <si>
    <t>2. Midhun (WI-M)</t>
  </si>
  <si>
    <t>2. Mowglee (WI-M)</t>
  </si>
  <si>
    <t>2. Nihal (WI-M)</t>
  </si>
  <si>
    <t>2. Waqas (Aus-M)</t>
  </si>
  <si>
    <t>2. Diyoof (WI-M)</t>
  </si>
  <si>
    <t>3. Vignesh Suresh (WI-DS)</t>
  </si>
  <si>
    <t>3. Ananthu RG (WI-DS)</t>
  </si>
  <si>
    <t>3. Ameen (WI-DS)</t>
  </si>
  <si>
    <t>3. Vipin R (WI-DS)</t>
  </si>
  <si>
    <t>3. Jana CP (Ind-DS)</t>
  </si>
  <si>
    <t>3. Ajay Paul (WI-DS)</t>
  </si>
  <si>
    <t>3. Saad (Qatar-DS)</t>
  </si>
  <si>
    <t>3. Sterin Joseph (WI-DS)</t>
  </si>
  <si>
    <t>4. Madhav (WI) - 3000</t>
  </si>
  <si>
    <t>4. Nayan (WI) - 9000</t>
  </si>
  <si>
    <t>4. Bharath (WI) - 6000</t>
  </si>
  <si>
    <t>4. Falah (WI) - 6000</t>
  </si>
  <si>
    <t>4. Sanazil (Italy) - 3000</t>
  </si>
  <si>
    <t>4. Josin (WI) - 25000</t>
  </si>
  <si>
    <t>4. Arjun (WI) - 8000</t>
  </si>
  <si>
    <t>4. Anandha (WI) - 7000</t>
  </si>
  <si>
    <t>5. Nazir (WI) - 1000</t>
  </si>
  <si>
    <t>5. Akhil (WI) - 40000</t>
  </si>
  <si>
    <t>5. Hari (WI) - 35000</t>
  </si>
  <si>
    <t>5. Frijo (WI) - 1000</t>
  </si>
  <si>
    <t>5. Abhishek (Ind) - 4000</t>
  </si>
  <si>
    <t>5. Sachin (WI) - 80000</t>
  </si>
  <si>
    <t>5. Jaseel (WI) - 6000</t>
  </si>
  <si>
    <t>5. Ashwin (WI) - 35000</t>
  </si>
  <si>
    <t>6. Rince (Italy) - 1000</t>
  </si>
  <si>
    <t>6. Abhishek (WI) - 40000</t>
  </si>
  <si>
    <t>6. Arjun (Italy) - 1000</t>
  </si>
  <si>
    <t>6. Anish (WI) - 70000</t>
  </si>
  <si>
    <t>6. Anshad (Ind) - 60000</t>
  </si>
  <si>
    <t>6. Afsal (Italy) - 1000</t>
  </si>
  <si>
    <t>6. K Rakesh (SA) - 18000</t>
  </si>
  <si>
    <t>6. Albin (Italy) - 3000</t>
  </si>
  <si>
    <t>7. Akhil (Italy) - 1000</t>
  </si>
  <si>
    <t>7. Anantha U (WI) - 45000</t>
  </si>
  <si>
    <t>7. Huzain (Italy) - 1000</t>
  </si>
  <si>
    <t>7. Kaushik(SA) - 1000</t>
  </si>
  <si>
    <t>7. Athif (Ind) - 18000</t>
  </si>
  <si>
    <t>7. Anandhu R (Italy) - 2000</t>
  </si>
  <si>
    <t>7. Srinidhi (SA) - 4000</t>
  </si>
  <si>
    <t>7. Aravind (Italy) - 6000</t>
  </si>
  <si>
    <t>8. Akshay (Italy) - 1000</t>
  </si>
  <si>
    <t>8. Abhishek (Italy) - 1000</t>
  </si>
  <si>
    <t>8. Vipin (Italy) - 7000</t>
  </si>
  <si>
    <t>8. Shibasis (SA) - 8000</t>
  </si>
  <si>
    <t>8. Bhavesh (SA) - 9000</t>
  </si>
  <si>
    <t>8. Vishnu V (Italy) - 1000</t>
  </si>
  <si>
    <t>8. Ans Sheikh (Qatar) - 35000</t>
  </si>
  <si>
    <t>8. Hybi Anil(Italy) - 30000</t>
  </si>
  <si>
    <t>9. Shuhaib (Italy) - 1000</t>
  </si>
  <si>
    <t>9. Haseen (Italy) - 3000</t>
  </si>
  <si>
    <t>9. Shivaji (Ind) - 75000</t>
  </si>
  <si>
    <t>9. Ganesh (Pak) - 9000</t>
  </si>
  <si>
    <t>9. Bhavin (SA) - 18000</t>
  </si>
  <si>
    <t>9. Rahul Seenu(Ind) - 15000</t>
  </si>
  <si>
    <t>9. Hizbullah (Pak) - 1000</t>
  </si>
  <si>
    <t>9. Subaida (Italy) - 40000</t>
  </si>
  <si>
    <t>10. Asru (Ind) - 45000</t>
  </si>
  <si>
    <t>10. Suhyl (Qatar) - 2000</t>
  </si>
  <si>
    <t>10. Rahman (Ind) - 10000</t>
  </si>
  <si>
    <t>10. Amith (Eng) - 1000</t>
  </si>
  <si>
    <t>10. A Mughal (Qatar) - 5000</t>
  </si>
  <si>
    <t>10. Jibin (SA) - 1000</t>
  </si>
  <si>
    <t>10. Zarnish (Pak) - 40000</t>
  </si>
  <si>
    <t>10. Gopi (Ind) - 4000</t>
  </si>
  <si>
    <t>11. Farhan (Ind) - 25000</t>
  </si>
  <si>
    <t>11. Achuz (Eng) - 1000</t>
  </si>
  <si>
    <t>11. Ahmed M (Ind) - 14000</t>
  </si>
  <si>
    <t>11. Ashi (Scot) - 25000</t>
  </si>
  <si>
    <t>11. Aaiz (Pak) - 1000</t>
  </si>
  <si>
    <t>11. Ebad (Qatar) - 3000</t>
  </si>
  <si>
    <t>11. Harsh (Aus) - 14000</t>
  </si>
  <si>
    <t>11. Arjun (Aus) - 7000</t>
  </si>
  <si>
    <t>12. Harish (Ind) - 1000</t>
  </si>
  <si>
    <t>12. Akshay(Scot) - 1000</t>
  </si>
  <si>
    <t>12. Pradeesh (Ind) - 1000</t>
  </si>
  <si>
    <t>12. Asthu (Scot) - 2000</t>
  </si>
  <si>
    <t>12. Shamroz(Pak) - 2000</t>
  </si>
  <si>
    <t>12. Noor (Aus) - 50000</t>
  </si>
  <si>
    <t>12. Hasan (NZ) - 18000</t>
  </si>
  <si>
    <t>12. Veer (Qatar) - 1000</t>
  </si>
  <si>
    <t>13. Peter (Ind) - 3000</t>
  </si>
  <si>
    <t>13. Ashith (Scot) - 2000</t>
  </si>
  <si>
    <t>13. Rahul Roy(Ind) - 5000</t>
  </si>
  <si>
    <t>13. Blesson (Scot) - 1000</t>
  </si>
  <si>
    <t>13. Iqra (Pak) - 1000</t>
  </si>
  <si>
    <t>13. Adarsh (Scot) - 1000</t>
  </si>
  <si>
    <t>13. Kishore (NZ) - 10000</t>
  </si>
  <si>
    <t>13. Zuhair (Scot) - 12000</t>
  </si>
  <si>
    <t>14. Rakshith S (SA) - 1000</t>
  </si>
  <si>
    <t>14. Jasheer (Scot) - 1000</t>
  </si>
  <si>
    <t>14. Raheem (Ind) - 3000</t>
  </si>
  <si>
    <t>14. Chappy (Scot) - 1000</t>
  </si>
  <si>
    <t>14. Shukoor (Scot) - 12000</t>
  </si>
  <si>
    <t>14. Shaheen (Scot) - 1000</t>
  </si>
  <si>
    <t>14. Nithin (NZ) - 1000</t>
  </si>
  <si>
    <t>14. Chalana (SL) - 1000</t>
  </si>
  <si>
    <t>15. Mudasir Ali (Qatar) - 1000</t>
  </si>
  <si>
    <t>15. Shinu (Scot) - 1000</t>
  </si>
  <si>
    <t>15. Adithya (SA) - 8000</t>
  </si>
  <si>
    <t>15. Hari (Scot) - 1000</t>
  </si>
  <si>
    <t>15. Thilanga (SL) - 5000</t>
  </si>
  <si>
    <t>15. Kashif (Aus) - 1000</t>
  </si>
  <si>
    <t>15. Toby (NZ) - 8000</t>
  </si>
  <si>
    <t>15. Ram (NZ) - 35000</t>
  </si>
  <si>
    <t>16. Nasrullah(Pak) - 16000</t>
  </si>
  <si>
    <t>16. Thebseer (Scot) - 14000</t>
  </si>
  <si>
    <t>16. Ansar (Scot) - 20000</t>
  </si>
  <si>
    <t>16. Irshad (Scot) - 1000</t>
  </si>
  <si>
    <t>16. Ashwini (NZ) - 30000</t>
  </si>
  <si>
    <t>16. Rubesh (SL) - 1000</t>
  </si>
  <si>
    <t>16. Srajan (NZ) - 1000</t>
  </si>
  <si>
    <t>16. Rahul Sharma (Ned) - 1000</t>
  </si>
  <si>
    <t>17. Amjith (Scot) - 20000</t>
  </si>
  <si>
    <t>17. Yadhu (Scot) - 1000</t>
  </si>
  <si>
    <t>17. Jishnu (Scot) - 6000</t>
  </si>
  <si>
    <t>17. Sufaid (Scot) - 60000</t>
  </si>
  <si>
    <t>17. Ashutosh (NZ) - 1000</t>
  </si>
  <si>
    <t>17. Rasith (SL) - 1000</t>
  </si>
  <si>
    <t>17. Gautam (NZ) - 1000</t>
  </si>
  <si>
    <t>17. Deepjyoti (Ned) - 1000</t>
  </si>
  <si>
    <t>18. Kebin (Scot) - 2000</t>
  </si>
  <si>
    <t>18. Azeem (NZ) - 1000</t>
  </si>
  <si>
    <t>18. Sasith (SL) - 1000</t>
  </si>
  <si>
    <t>18. Damitha (SL) - 10000</t>
  </si>
  <si>
    <t>18. Marami (Ned) - 1000</t>
  </si>
  <si>
    <t>18. Hrushikesh (NZ) - 12000</t>
  </si>
  <si>
    <t>18. Tukaram (NZ) - 3000</t>
  </si>
  <si>
    <t>18. Sagar (Ned) - 10000</t>
  </si>
  <si>
    <t>St Lucia Kings vs Trinbago Knight Riders</t>
  </si>
  <si>
    <t>21st July</t>
  </si>
  <si>
    <t>Malayalipuram</t>
  </si>
  <si>
    <t>Sachin (Lucia)</t>
  </si>
  <si>
    <t>Sagar (Trinbago)</t>
  </si>
  <si>
    <t>Rahul Sharma (Trinbago)</t>
  </si>
  <si>
    <t>Jamaica Kingsmen vs Guyana Amazon Warriors</t>
  </si>
  <si>
    <t>Kingston</t>
  </si>
  <si>
    <t>Ump: Achuz, SC: Abhilash</t>
  </si>
  <si>
    <t>Shivaji Prakash (Guyana)</t>
  </si>
  <si>
    <t>Hari (Guyana)</t>
  </si>
  <si>
    <t xml:space="preserve">St Vincent Volcanoes vs St Kitts &amp; Nevis Patriots </t>
  </si>
  <si>
    <t>22nd July</t>
  </si>
  <si>
    <t>Kingstown</t>
  </si>
  <si>
    <t>St Kitts Nevis &amp; Patriots</t>
  </si>
  <si>
    <t>Abhishek (Kitts)</t>
  </si>
  <si>
    <t>Mahesh Margol (Vincent)</t>
  </si>
  <si>
    <t xml:space="preserve">Barbados Royals vs Antigua &amp; Barbuda Falcons </t>
  </si>
  <si>
    <t>Bridgetown</t>
  </si>
  <si>
    <t>Antigua Barbuda Falcons</t>
  </si>
  <si>
    <t>Peter John (Antigua)</t>
  </si>
  <si>
    <t>Asru (Antigua)</t>
  </si>
  <si>
    <t>Trinbago Knight Riders vs Guyana Amazon Warriors</t>
  </si>
  <si>
    <t>23rd July</t>
  </si>
  <si>
    <t>Knights Arena</t>
  </si>
  <si>
    <t>Shibil</t>
  </si>
  <si>
    <t>Rahul Suresh (Trinbago)</t>
  </si>
  <si>
    <t>Sterin (Trinbago)</t>
  </si>
  <si>
    <t xml:space="preserve">St Lucia Kings vs St Kitts &amp; Nevis Patriots </t>
  </si>
  <si>
    <t>Rasith Wijethunga ( Lucia )</t>
  </si>
  <si>
    <t>Aaiz Khan (Kitts)</t>
  </si>
  <si>
    <t xml:space="preserve">Jamaica Kingsmen vs Antigua &amp; Barbuda Falcons </t>
  </si>
  <si>
    <t>24th July</t>
  </si>
  <si>
    <t>Vipin R (Jamaica)</t>
  </si>
  <si>
    <t>Asthu (Jamaica)</t>
  </si>
  <si>
    <t>St Vincent Volcanoes vs Barbados Royals</t>
  </si>
  <si>
    <t>Ump: Mowgle, SC: Abhilash</t>
  </si>
  <si>
    <t>Srinidhi (Vincent)</t>
  </si>
  <si>
    <t>Waqas Mughal (Vincent)</t>
  </si>
  <si>
    <t xml:space="preserve">Trinbago Knight Riders vs St Kitts &amp; Nevis Patriots </t>
  </si>
  <si>
    <t>25th July</t>
  </si>
  <si>
    <t>Ump: Chiru, SC: Waqas</t>
  </si>
  <si>
    <t>Gopi SV (Trinbago)</t>
  </si>
  <si>
    <t xml:space="preserve">Guyana Amazon Warriors vs Antigua &amp; Barbuda Falcons </t>
  </si>
  <si>
    <t>Ajmal Sunaif</t>
  </si>
  <si>
    <t>Ameen (Guyana)</t>
  </si>
  <si>
    <t>Shuhaib (Antigua)</t>
  </si>
  <si>
    <t>St Lucia Kings vs Barbados Royals</t>
  </si>
  <si>
    <t>26th July</t>
  </si>
  <si>
    <t>Ump: Sreeraj, SC: Shibil</t>
  </si>
  <si>
    <t>Ajay (Lucia)</t>
  </si>
  <si>
    <t>Abhishek (Barbados)</t>
  </si>
  <si>
    <t>Jamaica Kingsmen vs St Vincent Volcanoes</t>
  </si>
  <si>
    <t>Ump: Ameen, SC: Sreeraj</t>
  </si>
  <si>
    <t>K Rakesh (Vincent)</t>
  </si>
  <si>
    <t>Saad Rizwan (Vincent)</t>
  </si>
  <si>
    <t xml:space="preserve">Trinbago Knight Riders vs Antigua &amp; Barbuda Falcons </t>
  </si>
  <si>
    <t>27th July</t>
  </si>
  <si>
    <t>Kebin (Antigua)</t>
  </si>
  <si>
    <t>Madav (Antigua)</t>
  </si>
  <si>
    <t>St Kitts &amp; Nevis Patriots vs Barbados Royals</t>
  </si>
  <si>
    <t>Basseterre</t>
  </si>
  <si>
    <t>Mowglee (Kitts)</t>
  </si>
  <si>
    <t>Guyana Amazon Warriors vs St Vincent Volcanoes</t>
  </si>
  <si>
    <t>28th July</t>
  </si>
  <si>
    <t>Toby Joseph (Vincent)</t>
  </si>
  <si>
    <t>Ans Sheikh (Vincent)</t>
  </si>
  <si>
    <t>Sreeraj (Guyana)</t>
  </si>
  <si>
    <t>St Lucia Kings vs Jamaica Kingsmen</t>
  </si>
  <si>
    <t>Anish Babu (Jamaica)</t>
  </si>
  <si>
    <t>Shibasis (Jamaica)</t>
  </si>
  <si>
    <t>Trinbago Knight Riders vs Barbodas Royals</t>
  </si>
  <si>
    <t>29th July</t>
  </si>
  <si>
    <t>Sreeraj</t>
  </si>
  <si>
    <t>Antigua &amp; Barbuda Falcons vs St Vincent Volcanoes</t>
  </si>
  <si>
    <t>St John</t>
  </si>
  <si>
    <t>Ump: Noor, SC: Kishore</t>
  </si>
  <si>
    <t>Harsh Dubey (Vincent)</t>
  </si>
  <si>
    <t>Nasrullah (Antigua)</t>
  </si>
  <si>
    <t>St Kitts &amp; Nevis Patriots vs Jamaica Kings</t>
  </si>
  <si>
    <t>30th July</t>
  </si>
  <si>
    <t>Kaushik (Jamaica)</t>
  </si>
  <si>
    <t>Jana CP (Kitts)</t>
  </si>
  <si>
    <t>Guyana Amazon Warriors vs St Lucia Kings</t>
  </si>
  <si>
    <t>Ump: Rahul, SC: Midhun</t>
  </si>
  <si>
    <t>Ajmal (Lucia)</t>
  </si>
  <si>
    <t>Nihal (Lucia)</t>
  </si>
  <si>
    <t>Rahul Seenu (Lucia)</t>
  </si>
  <si>
    <t>Trinbago Knight Riders vs St Vincent Volcanoes</t>
  </si>
  <si>
    <t>31st July</t>
  </si>
  <si>
    <t>Srajan (Vincent)</t>
  </si>
  <si>
    <t>Barbados Royals vs Jamaica Kingsmen</t>
  </si>
  <si>
    <t>Sufaid (Jamaica)</t>
  </si>
  <si>
    <t>Abhishek Anil (Barbados)</t>
  </si>
  <si>
    <t>Antigua &amp; Barbuda Falcons vs St Lucia Kings</t>
  </si>
  <si>
    <t>1st Aug</t>
  </si>
  <si>
    <t>Ump: Achuz, SC: Azeem</t>
  </si>
  <si>
    <t>Asru ksd(Antigua)</t>
  </si>
  <si>
    <t>St Kitts &amp; Nevis Patriots vs Guyana Amazon Warriors</t>
  </si>
  <si>
    <t>Kannan (Guyana)</t>
  </si>
  <si>
    <t>George (Kitts)</t>
  </si>
  <si>
    <t>Trinbago Knight Riders vs Jamaica Kingsmen</t>
  </si>
  <si>
    <t>2nd Aug</t>
  </si>
  <si>
    <t>Subaida (Trinbago)</t>
  </si>
  <si>
    <t xml:space="preserve">St Vincent Volcanoes vs St Lucia Kings </t>
  </si>
  <si>
    <t>Noor (Lucia)</t>
  </si>
  <si>
    <t>Harsh (Vincent)</t>
  </si>
  <si>
    <t>Barbodas Royals vs Guyana Amazon Warriors</t>
  </si>
  <si>
    <t>3rd Aug</t>
  </si>
  <si>
    <t>Azeem (Barbados)</t>
  </si>
  <si>
    <t>Rahul Roy (Guyana)</t>
  </si>
  <si>
    <t>Antigua &amp; Barbuda Falcons vs St Kitts &amp; Nevis Patriots</t>
  </si>
  <si>
    <t>Ump: Ashwin, SC: Rahul</t>
  </si>
  <si>
    <t>Shibil (Antigua)</t>
  </si>
  <si>
    <t>Aaiz (Kitts)</t>
  </si>
  <si>
    <t>Semifinal 1: St Lucia Kings vs Trinbago Knights Riders</t>
  </si>
  <si>
    <t>5th Aug</t>
  </si>
  <si>
    <t>Aravind (Trinbago)</t>
  </si>
  <si>
    <t>Semifinal 2: St Vincent Volcanoes vs Jamaica Kingsmen</t>
  </si>
  <si>
    <t>Final: Trinbago Knight Riders vs Jamaica Kingsmen</t>
  </si>
  <si>
    <t>6th Aug</t>
  </si>
  <si>
    <t>Arjun Raj (Jamaica)</t>
  </si>
  <si>
    <t>Amith (Jamaica)</t>
  </si>
  <si>
    <t>IOCF Caribbean Premier League 2026 AWARDS</t>
  </si>
  <si>
    <t>Franchise League Scottish Premier League Registration &amp; all team Players 2026</t>
  </si>
  <si>
    <t>Scotland (Home)</t>
  </si>
  <si>
    <t>1. Abhilash P. A.</t>
  </si>
  <si>
    <t xml:space="preserve">1. Muhammad Ahmed Mughal </t>
  </si>
  <si>
    <t xml:space="preserve">1. K Rakesh </t>
  </si>
  <si>
    <t xml:space="preserve">1. Keshav Shah </t>
  </si>
  <si>
    <t xml:space="preserve">1. Muhammad Ahmad </t>
  </si>
  <si>
    <t xml:space="preserve">1. Asiri Oshanga </t>
  </si>
  <si>
    <t xml:space="preserve">1. Toby Jospeh </t>
  </si>
  <si>
    <t>2.  Ebad Malik</t>
  </si>
  <si>
    <t>2. Binara Udayanga</t>
  </si>
  <si>
    <t>2. Ram Thakkar</t>
  </si>
  <si>
    <t>3.  Anas Asim</t>
  </si>
  <si>
    <t>3. sunaif</t>
  </si>
  <si>
    <t>3. Aditya Mahajan</t>
  </si>
  <si>
    <t>3. Hizbullah</t>
  </si>
  <si>
    <t>3. Ahsan Siddique</t>
  </si>
  <si>
    <t>3. Chalana Rukshan</t>
  </si>
  <si>
    <t>4. Anandha Krishnan (Anandhan)</t>
  </si>
  <si>
    <t>4. sachin</t>
  </si>
  <si>
    <t>4. Athif Basheer K</t>
  </si>
  <si>
    <t>4. Kishore Gowda</t>
  </si>
  <si>
    <t>4. Amal</t>
  </si>
  <si>
    <t>5. Ajmal Sunaif BP</t>
  </si>
  <si>
    <t>5. amith</t>
  </si>
  <si>
    <t>5. Gopikrishnan</t>
  </si>
  <si>
    <t>5. Lal krishna</t>
  </si>
  <si>
    <t>5. Sajjad Kapri</t>
  </si>
  <si>
    <t>5. Srajan Poojari</t>
  </si>
  <si>
    <t>5. Arshad</t>
  </si>
  <si>
    <t>6. Saketh Balne</t>
  </si>
  <si>
    <t>6. Asru KSD</t>
  </si>
  <si>
    <t>6. Ashfak Hosain</t>
  </si>
  <si>
    <t>6. Arshad N</t>
  </si>
  <si>
    <t>7. Falah Mancheri</t>
  </si>
  <si>
    <t>7. Abdul Muqeeth</t>
  </si>
  <si>
    <t>7. Ajin</t>
  </si>
  <si>
    <t>7. Shibasis Nayak</t>
  </si>
  <si>
    <t>7. Rahul Roy</t>
  </si>
  <si>
    <t>7. Anik Dey Shanto</t>
  </si>
  <si>
    <t>7. Wajdan</t>
  </si>
  <si>
    <t>7. Azeem Muhammad</t>
  </si>
  <si>
    <t>8. Georgekutty Abraham</t>
  </si>
  <si>
    <t>8. Suleman Haider</t>
  </si>
  <si>
    <t>8. Rahees</t>
  </si>
  <si>
    <t>8. Siddharth V Jain</t>
  </si>
  <si>
    <t>8. Anshad P</t>
  </si>
  <si>
    <t>8. Ankan Biswas</t>
  </si>
  <si>
    <t>8. Gokul G</t>
  </si>
  <si>
    <t xml:space="preserve">8. Athul </t>
  </si>
  <si>
    <t>9. Al Ameen</t>
  </si>
  <si>
    <t>9.  Aman Raj Singh</t>
  </si>
  <si>
    <t>9. Rashid</t>
  </si>
  <si>
    <t>9. Srinidhi K</t>
  </si>
  <si>
    <t>9. Jana CP</t>
  </si>
  <si>
    <t>9. Bhagrab Kashyap</t>
  </si>
  <si>
    <t>9. Gautam Shankara Ram</t>
  </si>
  <si>
    <t>9. Bijoy</t>
  </si>
  <si>
    <t>10. Raza Hassnsin</t>
  </si>
  <si>
    <t>10. Safeer</t>
  </si>
  <si>
    <t>10. Peter</t>
  </si>
  <si>
    <t>10. Ali Abbas Bangash</t>
  </si>
  <si>
    <t>10. Aashutosh Jha</t>
  </si>
  <si>
    <t>10. Dingan</t>
  </si>
  <si>
    <t>11. Muhammed Shibili M</t>
  </si>
  <si>
    <t>11. Rahul Mohapatra</t>
  </si>
  <si>
    <t>11. Nithin Poojary</t>
  </si>
  <si>
    <t>12. Muzammil Zafar</t>
  </si>
  <si>
    <t>12. Karthik varma</t>
  </si>
  <si>
    <t>12. Mahi Mahendra</t>
  </si>
  <si>
    <t>12. Abhishek</t>
  </si>
  <si>
    <t xml:space="preserve">12. Iqra Batool </t>
  </si>
  <si>
    <t>12. Rajab baloch</t>
  </si>
  <si>
    <t>12. Harishankar</t>
  </si>
  <si>
    <t>13. Nayan S. Kurup</t>
  </si>
  <si>
    <t>13. Abdullah ishtiaq</t>
  </si>
  <si>
    <t>13. Sanoop</t>
  </si>
  <si>
    <t>13. Abin</t>
  </si>
  <si>
    <t>13. Ganesh Chunduru</t>
  </si>
  <si>
    <t>13. Huzain Muhammad</t>
  </si>
  <si>
    <t>14. Arjun S. Kumar</t>
  </si>
  <si>
    <t>14. Shajahan</t>
  </si>
  <si>
    <t>14. Sidra</t>
  </si>
  <si>
    <t>14. Jasheer V</t>
  </si>
  <si>
    <t>15. Achuz Sukumaran</t>
  </si>
  <si>
    <t>15. Haniya</t>
  </si>
  <si>
    <t>15. Kailas</t>
  </si>
  <si>
    <t>16. Bharath Narayanan</t>
  </si>
  <si>
    <t>16. Rahees Ashiq</t>
  </si>
  <si>
    <t>16. Libin Thomas</t>
  </si>
  <si>
    <t>17. MS</t>
  </si>
  <si>
    <t>18. Nihal Maxk</t>
  </si>
  <si>
    <t>18. Sai Naveen Chowdary</t>
  </si>
  <si>
    <t>18. Sajith</t>
  </si>
  <si>
    <t>19. Sterin Joseph</t>
  </si>
  <si>
    <t>19. Salimax</t>
  </si>
  <si>
    <t>20. Krishnadev</t>
  </si>
  <si>
    <t>20. Shehinsha</t>
  </si>
  <si>
    <t>21. Ananthu Mohan</t>
  </si>
  <si>
    <t>21. Sufaid</t>
  </si>
  <si>
    <t>22. Thanvin</t>
  </si>
  <si>
    <t>23. Vivek</t>
  </si>
  <si>
    <t>24. Ajoy</t>
  </si>
  <si>
    <t>27. Ajay Paul</t>
  </si>
  <si>
    <t>28. Ananthu R. G.</t>
  </si>
  <si>
    <t>29. Jaseel Vavad</t>
  </si>
  <si>
    <t>32. Nazi Nazir</t>
  </si>
  <si>
    <t>34. Vignesh Suresh</t>
  </si>
  <si>
    <t>35. Abhishek Vava</t>
  </si>
  <si>
    <t>36. Anantha Krishnan U</t>
  </si>
  <si>
    <t>37. Midhun M</t>
  </si>
  <si>
    <t>Franchise League SPL All TEAMS</t>
  </si>
  <si>
    <t>1. Ashiqui Ashi (C - Scot) - 3L</t>
  </si>
  <si>
    <t>1. Ansar (C - Scot) - 3L</t>
  </si>
  <si>
    <t>1. Jishnu (C - Scot) - 3L</t>
  </si>
  <si>
    <t>1. Abhinand B (C - Scot) - 3L</t>
  </si>
  <si>
    <t>1. Kebin (C - Scot) - 3L</t>
  </si>
  <si>
    <t xml:space="preserve">1. Akshay Varnam (C - Scot) - 3L </t>
  </si>
  <si>
    <t>1. Hashir Fyrooz (C - Scot) - 3L</t>
  </si>
  <si>
    <t>1. Blesson (C - Scot) - 3L</t>
  </si>
  <si>
    <t>1. Rojo (C - Scot) - 3L</t>
  </si>
  <si>
    <t>1. Amjith (C - Scot) - 3L</t>
  </si>
  <si>
    <t>2. Shaheen (M - Scot) - 2L</t>
  </si>
  <si>
    <t>2. Asthu (M - Scot) - 2L</t>
  </si>
  <si>
    <t>2. Hari (M - Scot) - 2L</t>
  </si>
  <si>
    <t>2. Shafi Chappy (M - Scot) - 2L</t>
  </si>
  <si>
    <t>2. Shukoor (M - Scot) - 2L</t>
  </si>
  <si>
    <t>2. Ashith (M - Scot) - 2L</t>
  </si>
  <si>
    <t>2. Irshad Bekal (M - Scot) - 2L</t>
  </si>
  <si>
    <t>2. Zuhair (M - Scot) - 2L</t>
  </si>
  <si>
    <t>2. Thebseer (M - Scot) - 2L</t>
  </si>
  <si>
    <t>2. Shinu (M - Scot) - 2L</t>
  </si>
  <si>
    <t>3. Eng Ans (DS - Qatar) - 1L</t>
  </si>
  <si>
    <t>3. Mahsoof (DS - India) - 1L</t>
  </si>
  <si>
    <t>3. Diljith (DS - Eng) - 1L</t>
  </si>
  <si>
    <t>3. Huzain (Scot) - 1L</t>
  </si>
  <si>
    <t>3. Nasrullah (DS - Pak)  - 1L</t>
  </si>
  <si>
    <t>3. Subaida (DS- Italy) - 1L</t>
  </si>
  <si>
    <t>3. Yasin Iqbal (DS - BD)  - 1L</t>
  </si>
  <si>
    <t>3. Bhavesh (DS - SA)  - 1L</t>
  </si>
  <si>
    <t>3. Rahman (DS - India) - 1L</t>
  </si>
  <si>
    <t>3. Yadhu (DS - Scot) - 1L</t>
  </si>
  <si>
    <t>4. Sali (Scot) - 1.8L</t>
  </si>
  <si>
    <t>4. Vivek (Scot) - 1.3L</t>
  </si>
  <si>
    <t>4. Adarsh (Scot) - 1.8L</t>
  </si>
  <si>
    <t>4. Ajay (Scot) - 2.4L</t>
  </si>
  <si>
    <t>4. Harishankar(Scot) - 1.2L</t>
  </si>
  <si>
    <t>4. Amal (Scot) - 1.6L</t>
  </si>
  <si>
    <t>4. Afsal OCA(Scot) - 52K</t>
  </si>
  <si>
    <t>4. Ajoy (Scot) - 1.8L</t>
  </si>
  <si>
    <t>4. Sufaid (Scot) - 1.8L</t>
  </si>
  <si>
    <t>4. Libin (Scot) - 1.8L</t>
  </si>
  <si>
    <t>5. MS (Scot) - 90K</t>
  </si>
  <si>
    <t>5. Arshad (Scot) - 1.4L</t>
  </si>
  <si>
    <t>5. Ershad (Scot) - 1.1L</t>
  </si>
  <si>
    <t>5. Dingan (Scot) - 46K</t>
  </si>
  <si>
    <t>5. Shehinsha (Scot) - 1.2L</t>
  </si>
  <si>
    <t>5. Kailas (Scot) - 1.2L</t>
  </si>
  <si>
    <t>5. Thanvin (Scot) - 1.24L</t>
  </si>
  <si>
    <t>5. Bijoy (Scot) - 1.2L</t>
  </si>
  <si>
    <t>5. Jasheer (Scot) - 60K</t>
  </si>
  <si>
    <t>5. Anandhu (Scot) - 95K</t>
  </si>
  <si>
    <t>6. Muhammad Ali (Pak) - 2k</t>
  </si>
  <si>
    <t>6. Ayaan (Pak) - 2K</t>
  </si>
  <si>
    <t>6. Arjun (Aus) - 7K</t>
  </si>
  <si>
    <t>6. Ganesh C (Pak) - 28K</t>
  </si>
  <si>
    <t>6. Arshad N (Scot) - 67K</t>
  </si>
  <si>
    <t>6. Ajay (WI) - 2K</t>
  </si>
  <si>
    <t>6. Sajith (Scot) - 1.23L</t>
  </si>
  <si>
    <t>6. Vignesh(WI) - 2K</t>
  </si>
  <si>
    <t>6. Athul (Scot) - 71K</t>
  </si>
  <si>
    <t>6. Harsh (Aus) - 25K</t>
  </si>
  <si>
    <t>7. Vipin R (WI) - 17K</t>
  </si>
  <si>
    <t>7. Ameen (WI) - 25k</t>
  </si>
  <si>
    <t>7. Kannan(WI) - 30K</t>
  </si>
  <si>
    <t>7. Hizbullah (Pak) - 22K</t>
  </si>
  <si>
    <t>7. Lal Krishna (Aus) - 2K</t>
  </si>
  <si>
    <t>7. Sunaif (Eng) - 5K</t>
  </si>
  <si>
    <t>7. Chiranjibi (Aus) - 2K</t>
  </si>
  <si>
    <t>7. Achuz (Eng) - 15K</t>
  </si>
  <si>
    <t xml:space="preserve">7. Bharath(WI) - 25K </t>
  </si>
  <si>
    <t>7. Akhil (WI) - 2K</t>
  </si>
  <si>
    <t>8. Anandhan (WI) - 10K</t>
  </si>
  <si>
    <t>8. Midhun(WI) - 25K</t>
  </si>
  <si>
    <t>8. Sreeraj(WI) - 25K</t>
  </si>
  <si>
    <t>8. Ajmal (WI) - 2K</t>
  </si>
  <si>
    <t>8. Shamroz (Pak) - 25K</t>
  </si>
  <si>
    <t>8. Jyothish (Eng) - 22K</t>
  </si>
  <si>
    <t>8. Umar Abbas (Pak) - 2K</t>
  </si>
  <si>
    <t>8. Sujith CS Ctr(Eng) - 46K</t>
  </si>
  <si>
    <t>8. George (WI) - 16K</t>
  </si>
  <si>
    <t>8. Sterin (WI) - 2K</t>
  </si>
  <si>
    <t>9. Anantha Krishnan U(WI) - 2K</t>
  </si>
  <si>
    <t>9. Harikrishnan(WI) - 2K</t>
  </si>
  <si>
    <t>9. Shibil (WI) - 8K</t>
  </si>
  <si>
    <t>9. Hadi (WI) - 2K</t>
  </si>
  <si>
    <t>9. Ahmed (Pak) - 20K</t>
  </si>
  <si>
    <t>9. Renjish (Eng) - 8K</t>
  </si>
  <si>
    <t>9. Summan (Pak) - 2K</t>
  </si>
  <si>
    <t>9. Amith (Eng) - 36K</t>
  </si>
  <si>
    <t>9. Abhilash (WI) - 8K</t>
  </si>
  <si>
    <t>9. Madhav (WI) - 2K</t>
  </si>
  <si>
    <t>10. Karan (BD) - 2K</t>
  </si>
  <si>
    <t>10. Sachin (Eng) - 2K</t>
  </si>
  <si>
    <t>10. Nayan (WI) - 2K</t>
  </si>
  <si>
    <t>10. Falah (WI) - 9K</t>
  </si>
  <si>
    <t>10. Aaiz (Pak) - 40K</t>
  </si>
  <si>
    <t>10. Karthik (Eng) - 2k</t>
  </si>
  <si>
    <t>10. Haniya (Pak) - 2K</t>
  </si>
  <si>
    <t>10. Kishore (NZ) - 5K</t>
  </si>
  <si>
    <t>10. Josin (WI) - 2K</t>
  </si>
  <si>
    <t>10. Ananthu RG(WI) - 2K</t>
  </si>
  <si>
    <t>11. Manan (BD) - 2K</t>
  </si>
  <si>
    <t>11. Ajin (Eng) - 2K</t>
  </si>
  <si>
    <t>11. Rashid (Eng) - 2K</t>
  </si>
  <si>
    <t>11. Bibin (WI) - 2K</t>
  </si>
  <si>
    <t>11. Sidra (Pak) - 2K</t>
  </si>
  <si>
    <t>11. Rahees (Eng) - 16K</t>
  </si>
  <si>
    <t>11. Anish Babu(WI) - 25K</t>
  </si>
  <si>
    <t>11. Ashutosh (NZ) - 27K</t>
  </si>
  <si>
    <t>11. Frijo (WI) - 12K</t>
  </si>
  <si>
    <t>11. Sachin(WI) - 2K</t>
  </si>
  <si>
    <t>12. K Rakesh(SA) - 30K</t>
  </si>
  <si>
    <t>12. Sanoop (Eng) - 2K</t>
  </si>
  <si>
    <t>12. Safeer (Eng) - 90K</t>
  </si>
  <si>
    <t>12. Nihal (WI) - 2K</t>
  </si>
  <si>
    <t>12. Iqra (Pak) - 50K</t>
  </si>
  <si>
    <t>12. Shajahan (Eng) - 12K</t>
  </si>
  <si>
    <t>12. Ashwin (WI) - 2K</t>
  </si>
  <si>
    <t>12. Bhargab (BD) - 20K</t>
  </si>
  <si>
    <t>12. Ananthu M (WI) - 2K</t>
  </si>
  <si>
    <t>12. Toby (NZ) - 24K</t>
  </si>
  <si>
    <t>13. Mahi (SA) - 2K</t>
  </si>
  <si>
    <t>13. Athif(Ind) - 60K</t>
  </si>
  <si>
    <t>13. Aneesh (Eng) - 2K</t>
  </si>
  <si>
    <t>13. Arjun Raj (WI) - 21K</t>
  </si>
  <si>
    <t>13. Ali Abbas(Pak) - 2K</t>
  </si>
  <si>
    <t>13. Srajan (NZ) - 17K</t>
  </si>
  <si>
    <t>13. Ram (NZ) - 30K</t>
  </si>
  <si>
    <t>13. Bhavin(SA) - 25K</t>
  </si>
  <si>
    <t>13. Jaseel (WI) - 2K</t>
  </si>
  <si>
    <t>13. Sai Naveen(BD) - 32K</t>
  </si>
  <si>
    <t>14. Ahmed (Qatar) - 5k</t>
  </si>
  <si>
    <t>14. Abhishek(Ind) - 40k</t>
  </si>
  <si>
    <t>14. Nithin (NZ) - 2K</t>
  </si>
  <si>
    <t>14. Rahul Suresh(WI) - 60K</t>
  </si>
  <si>
    <t>14. Wafa(Pak) - 2K</t>
  </si>
  <si>
    <t>14. Ahsan (BD) - 5K</t>
  </si>
  <si>
    <t>14. Vaibhav (BD) - 2K</t>
  </si>
  <si>
    <t>14. Saketh(SA) - 76K</t>
  </si>
  <si>
    <t>14. Shivaji (Ind) - 55K</t>
  </si>
  <si>
    <t>14. Peter (Ind) - 1.55L</t>
  </si>
  <si>
    <t>15. Saad (Qatar) - 19K</t>
  </si>
  <si>
    <t>15. Appu(Italy) - 2k</t>
  </si>
  <si>
    <t>15. Partha (BD) - 2K</t>
  </si>
  <si>
    <t>15. Mowglee (WI) - 54K</t>
  </si>
  <si>
    <t>15. Abhishek (WI) - 50K</t>
  </si>
  <si>
    <t>15. Sajjad (BD) - 2K</t>
  </si>
  <si>
    <t>15. Farhan (Ind) - 42K</t>
  </si>
  <si>
    <t>15. Siddharth(SA) - 2K</t>
  </si>
  <si>
    <t>15. Rahul Seenu(Ind) - 21K</t>
  </si>
  <si>
    <t>15. Jibin (SA) - 2K</t>
  </si>
  <si>
    <t>16. Huzaifa (Qatar) - 2K</t>
  </si>
  <si>
    <t>16. Haseeb(Italy) - 2k</t>
  </si>
  <si>
    <t>16. Rahul Roy(Ind) - 90K</t>
  </si>
  <si>
    <t>16. Gautam(NZ) - 26K</t>
  </si>
  <si>
    <t>16. Aash (Eng) - 30K</t>
  </si>
  <si>
    <t>16. Princhi (BD) - 6K</t>
  </si>
  <si>
    <t>16. Srinidhi(SA) - 16K</t>
  </si>
  <si>
    <t>16. Shiva(SA) - 2K</t>
  </si>
  <si>
    <t>16. Asru (Ind) - 34K</t>
  </si>
  <si>
    <t>16. Hybi (Italy) - 24K</t>
  </si>
  <si>
    <t>17. A Muqeeth (Qatar) - 2k</t>
  </si>
  <si>
    <t>17. Akshay(Italy) - 2k</t>
  </si>
  <si>
    <t>17. Adithya(SA) - 15K</t>
  </si>
  <si>
    <t>17. Hasan (NZ) - 9K</t>
  </si>
  <si>
    <t>17. Gokul (NZ) - 2K</t>
  </si>
  <si>
    <t>17. Ashfak (BD) - 2K</t>
  </si>
  <si>
    <t>17. Rahul M(SA) - 2K</t>
  </si>
  <si>
    <t>17. Krishnadev(Italy) - 2k</t>
  </si>
  <si>
    <t>17. Shuhaib(Italy) - 2k</t>
  </si>
  <si>
    <t>17. Akhil Viratian(Italy) - 2k</t>
  </si>
  <si>
    <t>18. Aman (Qatar) - 2k</t>
  </si>
  <si>
    <t>18. Afsal (Italy) - 2k</t>
  </si>
  <si>
    <t>18. Vishnu Vijay(Italy) - 24K</t>
  </si>
  <si>
    <t>18. Mahesh (NZ) - 20K</t>
  </si>
  <si>
    <t>18. Abin (Ind) - 15K</t>
  </si>
  <si>
    <t>18. Gaurav (BD) - 2K</t>
  </si>
  <si>
    <t>18. Shibasis (SA) - 47K</t>
  </si>
  <si>
    <t>18. Suhyl (Qatar) - 27K</t>
  </si>
  <si>
    <t>18. Arjun(Italy) - 2k</t>
  </si>
  <si>
    <t>18. Anandhu(Italy) - 2k</t>
  </si>
  <si>
    <t>19. Huzain (Italy) - 2k</t>
  </si>
  <si>
    <t>19. Harish (Ind) - 8k</t>
  </si>
  <si>
    <t>19. Gopikrishnan (Ind) - 38K</t>
  </si>
  <si>
    <t>19. Ali Khan(BD) - 10K</t>
  </si>
  <si>
    <t>19. Kaushik(SA) - 47K</t>
  </si>
  <si>
    <t>19. Anas (Qatar) - 2k</t>
  </si>
  <si>
    <t>19. Albin (Italy) - 2k</t>
  </si>
  <si>
    <t>19. Vishnu CV(Italy) - 2k</t>
  </si>
  <si>
    <t>20. Rakshith S (SA) - 45K</t>
  </si>
  <si>
    <t>20. Vipin Venu (Italy) - 2k</t>
  </si>
  <si>
    <t>20. Anshad (Ind) - 55K</t>
  </si>
  <si>
    <t>20. Ebad (Qatar) - 16K</t>
  </si>
  <si>
    <t>20. Raza (Qatar) - 2k</t>
  </si>
  <si>
    <t>21. Abhishek Anil(Italy) - 2k</t>
  </si>
  <si>
    <t>21. Sanazil (Italy) - 16k</t>
  </si>
  <si>
    <t>21. Rince (Italy) - 15K</t>
  </si>
  <si>
    <t>21. Mudasir (Qatar) - 15k</t>
  </si>
  <si>
    <t>Completed Series</t>
  </si>
  <si>
    <t>Series Name</t>
  </si>
  <si>
    <t>Opponents</t>
  </si>
  <si>
    <t>Dates</t>
  </si>
  <si>
    <t>Runners</t>
  </si>
  <si>
    <t>Series Result</t>
  </si>
  <si>
    <t>Bet Amount</t>
  </si>
  <si>
    <t>Format</t>
  </si>
  <si>
    <t>January</t>
  </si>
  <si>
    <t xml:space="preserve">Pointing - Inzamam </t>
  </si>
  <si>
    <t>6th - 10th Jan</t>
  </si>
  <si>
    <t>Colombo Cup</t>
  </si>
  <si>
    <t>10th - 12th Jan</t>
  </si>
  <si>
    <t>Kangaroo - Protea Cup</t>
  </si>
  <si>
    <t>11th - 13th Jan</t>
  </si>
  <si>
    <t>3-0</t>
  </si>
  <si>
    <t>Crowe - Nabi Cup</t>
  </si>
  <si>
    <t>The Sir Vivian Richards Trophy</t>
  </si>
  <si>
    <t>Silk - Steel Trophy</t>
  </si>
  <si>
    <t>13th - 15th Jan</t>
  </si>
  <si>
    <t>Anderson - Tendulkar Trophy</t>
  </si>
  <si>
    <t>14th - 19th Jan</t>
  </si>
  <si>
    <t>0-3</t>
  </si>
  <si>
    <t>Carribian Tri Nation Cup</t>
  </si>
  <si>
    <t>Australia, Scotland</t>
  </si>
  <si>
    <t>14th - 17th Jan</t>
  </si>
  <si>
    <t>WI vs Aus | WI won
WI vs Scot | WI won
Aus vs Scot | Aus Won
Finals | WI vs Aus | Aus Champions</t>
  </si>
  <si>
    <t>Fleming Lara Cup</t>
  </si>
  <si>
    <t>15th - 17th Jan</t>
  </si>
  <si>
    <t>Revival Cup</t>
  </si>
  <si>
    <t>14th - 18th Jan</t>
  </si>
  <si>
    <t>Trans Tasman trophy</t>
  </si>
  <si>
    <t>18th - 20th Jan</t>
  </si>
  <si>
    <t>Gayle Devilliers Trophy</t>
  </si>
  <si>
    <t>The Blue Rivalry Cup</t>
  </si>
  <si>
    <t>19th - 21st Jan</t>
  </si>
  <si>
    <t>Anglo - Scotish Cup</t>
  </si>
  <si>
    <t>Freedom Trophy</t>
  </si>
  <si>
    <t>20th - 23rd Jan</t>
  </si>
  <si>
    <t>Akram Curtly Challenge</t>
  </si>
  <si>
    <t>20th - 22nd Jan</t>
  </si>
  <si>
    <t>Hadle Kallis Trophy</t>
  </si>
  <si>
    <t>21st - 23rd Jan</t>
  </si>
  <si>
    <t>Frank Worrell Trophy</t>
  </si>
  <si>
    <t>22nd - 24th Jan</t>
  </si>
  <si>
    <t>Mccullum Graveney Trophy</t>
  </si>
  <si>
    <t>Thistle Shaheen Trophy</t>
  </si>
  <si>
    <t>Emerald Isle Cup</t>
  </si>
  <si>
    <t>Kallis Rashid Trophy</t>
  </si>
  <si>
    <t>24th - 27th Jan</t>
  </si>
  <si>
    <t>Mcleod Bradman Trophy</t>
  </si>
  <si>
    <t xml:space="preserve">Australia </t>
  </si>
  <si>
    <t>25th - 27th Jan</t>
  </si>
  <si>
    <t>Commonwealth Crown</t>
  </si>
  <si>
    <t>25th - 29th Jan</t>
  </si>
  <si>
    <t>Coca Cola trophy</t>
  </si>
  <si>
    <t>Scotland, Pakistan &amp; West Indies</t>
  </si>
  <si>
    <t>26th - 29th Jan</t>
  </si>
  <si>
    <t>1. SL vs Pak 26th | Pak Won
2. Scot vs WI 26th | WI Won
3. SL vs Scot 27th | Scot Won
4. Pak vs WI 27th | Pak Won
5. SL vs WI 28th | WI Won
6. Pak vs Scot 28th | Scot Won
Final. Pak vs Scot 29th | Scot Won</t>
  </si>
  <si>
    <t>Power Punch Series</t>
  </si>
  <si>
    <t>28th - 1st Feb</t>
  </si>
  <si>
    <t>Aus-Afg power series</t>
  </si>
  <si>
    <t>29th - 1st Feb</t>
  </si>
  <si>
    <t>Crown series</t>
  </si>
  <si>
    <t>30th - 1st Feb</t>
  </si>
  <si>
    <t>March</t>
  </si>
  <si>
    <t>Van Ghani Trophy</t>
  </si>
  <si>
    <t>1st - 3rd March</t>
  </si>
  <si>
    <t>Carribbean Thunder Cup</t>
  </si>
  <si>
    <t>4th - 6th March</t>
  </si>
  <si>
    <t>Dutch - Gulf Trophy</t>
  </si>
  <si>
    <t>Eagles Trophy</t>
  </si>
  <si>
    <t>5th - 7th March</t>
  </si>
  <si>
    <t>The Ashes ( Test )</t>
  </si>
  <si>
    <t>2nd - 10th March</t>
  </si>
  <si>
    <t>Atlantic Arab Cup</t>
  </si>
  <si>
    <t>7th - 9th March</t>
  </si>
  <si>
    <t>Crescent Carnage Trophy</t>
  </si>
  <si>
    <t>5th - 9th March</t>
  </si>
  <si>
    <t>0-5</t>
  </si>
  <si>
    <t>Orange Black Clash</t>
  </si>
  <si>
    <t>Silver Emerald Trophy</t>
  </si>
  <si>
    <t>9th - 11th March</t>
  </si>
  <si>
    <t>American Challenge</t>
  </si>
  <si>
    <t>Yuvraj Flintoff</t>
  </si>
  <si>
    <t>10th - 12th March</t>
  </si>
  <si>
    <t>Dutch Carribbean Cup</t>
  </si>
  <si>
    <t>Desert Indus</t>
  </si>
  <si>
    <t>10th - 14th March</t>
  </si>
  <si>
    <t>Greater Asia Cup</t>
  </si>
  <si>
    <t>11th - 15th March</t>
  </si>
  <si>
    <t>Highland Lions Cup</t>
  </si>
  <si>
    <t>13th - 15th March</t>
  </si>
  <si>
    <t>Atlantic Smash</t>
  </si>
  <si>
    <t>Ashes Blitz</t>
  </si>
  <si>
    <t>Romo Carribbean Clash</t>
  </si>
  <si>
    <t>13th - 17th March</t>
  </si>
  <si>
    <t xml:space="preserve">Italy </t>
  </si>
  <si>
    <t>Ali Mccullum Trophy</t>
  </si>
  <si>
    <t>16th - 18th March</t>
  </si>
  <si>
    <t>Pak Afghan Cup</t>
  </si>
  <si>
    <t>17th - 19th March</t>
  </si>
  <si>
    <t>Falcon Kangaroo Cup</t>
  </si>
  <si>
    <t>16th - 20th March</t>
  </si>
  <si>
    <t>Euro Cricket Cup</t>
  </si>
  <si>
    <t>18th - 22nd March</t>
  </si>
  <si>
    <t>Rhine Indus</t>
  </si>
  <si>
    <t>24th - 26th March</t>
  </si>
  <si>
    <t>Boult Taskin</t>
  </si>
  <si>
    <t>Taylor Nabi Trophy</t>
  </si>
  <si>
    <t>27th - 29th March</t>
  </si>
  <si>
    <t>Southee Cummins Trophy</t>
  </si>
  <si>
    <t>April</t>
  </si>
  <si>
    <t>The Southern Challenge</t>
  </si>
  <si>
    <t>1st - 3rd April</t>
  </si>
  <si>
    <t>Roaring Island Trophy</t>
  </si>
  <si>
    <t>Zeus Trophy</t>
  </si>
  <si>
    <t xml:space="preserve">2nd - 3rd April </t>
  </si>
  <si>
    <t>Dutch Anglo</t>
  </si>
  <si>
    <t>Atlantic Shield</t>
  </si>
  <si>
    <t>4th - 6th April</t>
  </si>
  <si>
    <t>Roman Crown</t>
  </si>
  <si>
    <t>10th - 12th April</t>
  </si>
  <si>
    <t>Battle of Giants</t>
  </si>
  <si>
    <t>20th - 22nd April</t>
  </si>
  <si>
    <t>Zubeen Garg Rhine ODI</t>
  </si>
  <si>
    <t>28th April</t>
  </si>
  <si>
    <t>Netherland</t>
  </si>
  <si>
    <t>1 Match only</t>
  </si>
  <si>
    <t>Archipelago Series</t>
  </si>
  <si>
    <t>27th - 29th April</t>
  </si>
  <si>
    <t>May</t>
  </si>
  <si>
    <t>Kiwi Kangaroo</t>
  </si>
  <si>
    <t>1st - 3rd May</t>
  </si>
  <si>
    <t>Khyber Cup</t>
  </si>
  <si>
    <t>4th - 6th May</t>
  </si>
  <si>
    <t>Pollard Akhter</t>
  </si>
  <si>
    <t>7th - 11th May</t>
  </si>
  <si>
    <t>1- 4</t>
  </si>
  <si>
    <t>Khyber Dutch</t>
  </si>
  <si>
    <t>8th - 12th May</t>
  </si>
  <si>
    <t xml:space="preserve">Clash of the Neighbours </t>
  </si>
  <si>
    <t>13th - 15th May</t>
  </si>
  <si>
    <t>Dutch Caribbean</t>
  </si>
  <si>
    <t>1 Match Only</t>
  </si>
  <si>
    <t>Karachi London</t>
  </si>
  <si>
    <t>25th -27th May</t>
  </si>
  <si>
    <t>London Trophy</t>
  </si>
  <si>
    <t>28th - 30th May</t>
  </si>
  <si>
    <t>Dutch Bangla Battle</t>
  </si>
  <si>
    <t>26th - 30th May</t>
  </si>
  <si>
    <t>June</t>
  </si>
  <si>
    <t>Sons &amp; Daughters of Mother Trophy</t>
  </si>
  <si>
    <t>1st - 3rd June</t>
  </si>
  <si>
    <t>Northwave Trophy</t>
  </si>
  <si>
    <t>1st - 5th June</t>
  </si>
  <si>
    <t>Island Meets Desert Trophy</t>
  </si>
  <si>
    <t>4th - 8th June</t>
  </si>
  <si>
    <t>7o 5w</t>
  </si>
  <si>
    <t>Lords Clash</t>
  </si>
  <si>
    <t>7th - 9th June</t>
  </si>
  <si>
    <t>10o 8w</t>
  </si>
  <si>
    <t>Freedom Jalebi Trophy</t>
  </si>
  <si>
    <t>10o 10w</t>
  </si>
  <si>
    <t>Pookie-Pookie Cup</t>
  </si>
  <si>
    <t>ODI</t>
  </si>
  <si>
    <t>Kingfisher Cup</t>
  </si>
  <si>
    <t>Vellas Trophy</t>
  </si>
  <si>
    <t>8th - 10th June</t>
  </si>
  <si>
    <t>7o 6w</t>
  </si>
  <si>
    <t>European Beaver-Hedgehog Trophy</t>
  </si>
  <si>
    <t>10th June</t>
  </si>
  <si>
    <t>Desert Derby</t>
  </si>
  <si>
    <t>13th June</t>
  </si>
  <si>
    <t>T20</t>
  </si>
  <si>
    <t>The London Cup</t>
  </si>
  <si>
    <t>The Arabian Challenge</t>
  </si>
  <si>
    <t>14th June</t>
  </si>
  <si>
    <t>Sky Bound ODI Series</t>
  </si>
  <si>
    <t>27th June</t>
  </si>
  <si>
    <t>KFC T20 Cup</t>
  </si>
  <si>
    <t>26th - 28th June</t>
  </si>
  <si>
    <t>BANK AL-HABIB</t>
  </si>
  <si>
    <t>28th June</t>
  </si>
  <si>
    <t>Kingdom Trophy</t>
  </si>
  <si>
    <t>Paradise Trophy</t>
  </si>
  <si>
    <t>30th June</t>
  </si>
  <si>
    <t>July</t>
  </si>
  <si>
    <t>Anz ODI Clash</t>
  </si>
  <si>
    <t>1st July</t>
  </si>
  <si>
    <t>Coca Cola Cup</t>
  </si>
  <si>
    <t>The Royal Protea Trophy</t>
  </si>
  <si>
    <t>Summer Series</t>
  </si>
  <si>
    <t>Royal Anglo Trophy</t>
  </si>
  <si>
    <t>4th July</t>
  </si>
  <si>
    <t>ABD Trophy</t>
  </si>
  <si>
    <t>T10</t>
  </si>
  <si>
    <t>IPL Challenger Trophy</t>
  </si>
  <si>
    <t>The Global Four</t>
  </si>
  <si>
    <t>West Indies &amp; Netherlands</t>
  </si>
  <si>
    <t>BD vs Ned 8th | Ned Won
BD vs WI 9th | WI Won
Ned vs WI 10th | Ned Won
BD vs WI 11th | WI Won
BD vs Ned 12th | Ned Won
WI vs Ned 13th | WI Won
BD vs Ned 14th | BD Won
BD vs WI 15th | WI Won
Ned vs WI 16th | WI Won
Finals 18th | WI vs NED | WI Won</t>
  </si>
  <si>
    <t>7o 7w</t>
  </si>
  <si>
    <t>Unity T20 Cup</t>
  </si>
  <si>
    <t>21st - 23rd July</t>
  </si>
  <si>
    <t>Great Southern Dutch</t>
  </si>
  <si>
    <t>21st - 25th July</t>
  </si>
  <si>
    <t>Anglo Bengal ODI Trophy</t>
  </si>
  <si>
    <t>24th - 26th July</t>
  </si>
  <si>
    <t>Crescent Cup</t>
  </si>
  <si>
    <t>Highland Trophy</t>
  </si>
  <si>
    <t>August</t>
  </si>
  <si>
    <t>Caribbean &amp; Emirates Challenge Cup</t>
  </si>
  <si>
    <t>4th Aug</t>
  </si>
  <si>
    <t>Sir Gary Sobers Remembrance Trophy</t>
  </si>
  <si>
    <t>Tiger Orange Cup</t>
  </si>
  <si>
    <t>1st - 5th Aug</t>
  </si>
  <si>
    <t>Legacy Cup</t>
  </si>
  <si>
    <t>Falcon Cup</t>
  </si>
  <si>
    <t>Upcoming Series</t>
  </si>
  <si>
    <t>Upcoming IOCF World Test Championship Matches</t>
  </si>
  <si>
    <t>Test Name</t>
  </si>
  <si>
    <t xml:space="preserve">Winners </t>
  </si>
  <si>
    <t>Franchise Leagues</t>
  </si>
  <si>
    <t>Major Tournaments</t>
  </si>
  <si>
    <t>Start Date</t>
  </si>
  <si>
    <t>End Date</t>
  </si>
  <si>
    <t>Name</t>
  </si>
  <si>
    <t>Month</t>
  </si>
  <si>
    <t>Caribbean Premier League</t>
  </si>
  <si>
    <t>Asia Cup</t>
  </si>
  <si>
    <t>7th Aug</t>
  </si>
  <si>
    <t>14th Aug</t>
  </si>
  <si>
    <t>ODI-50 overs</t>
  </si>
  <si>
    <t>Scottish Premier League</t>
  </si>
  <si>
    <t>15th Aug</t>
  </si>
  <si>
    <t>31st Aug</t>
  </si>
  <si>
    <t>Euro Cup</t>
  </si>
  <si>
    <t>Oceania Cup</t>
  </si>
  <si>
    <t>ODI World CUP</t>
  </si>
  <si>
    <t>September</t>
  </si>
  <si>
    <t>-</t>
  </si>
  <si>
    <t>WTC Remaining Matches</t>
  </si>
  <si>
    <t>November &amp; December</t>
  </si>
  <si>
    <t>Test</t>
  </si>
  <si>
    <t>World Test Championship Completed Matches</t>
  </si>
  <si>
    <t>Guyana Cup</t>
  </si>
  <si>
    <t>18th - 20th March</t>
  </si>
  <si>
    <t>Arjun ( WI )</t>
  </si>
  <si>
    <t>Yasin ( BD )</t>
  </si>
  <si>
    <t>Ashwin ( WI )</t>
  </si>
  <si>
    <t>Forest Cup</t>
  </si>
  <si>
    <t>21st - 23rd March</t>
  </si>
  <si>
    <t>Midhun ( WI )</t>
  </si>
  <si>
    <t>Karan ( BD )</t>
  </si>
  <si>
    <t>Saltire Trophy</t>
  </si>
  <si>
    <t>Harikrishnan (WI)</t>
  </si>
  <si>
    <t>Irshad (Scot)</t>
  </si>
  <si>
    <t>Thesbeer (Scot)</t>
  </si>
  <si>
    <t>Palmyra Trophy</t>
  </si>
  <si>
    <t>Hashir (Scot)</t>
  </si>
  <si>
    <t>Ershad (Scot)</t>
  </si>
  <si>
    <t>Mediterranean Saltire</t>
  </si>
  <si>
    <t>31st - 2nd April</t>
  </si>
  <si>
    <t>Ashith (Scot)</t>
  </si>
  <si>
    <t>Afghan Indo Cup</t>
  </si>
  <si>
    <t>Waleed (Afg)</t>
  </si>
  <si>
    <t>Anas (Afg)</t>
  </si>
  <si>
    <t>Seenu (Ind)</t>
  </si>
  <si>
    <t>Royal Caribbean</t>
  </si>
  <si>
    <t>7th - 9th April</t>
  </si>
  <si>
    <t>Ashwin (WI)</t>
  </si>
  <si>
    <t>Aneesh (Eng)</t>
  </si>
  <si>
    <t>Royal Test</t>
  </si>
  <si>
    <t>13th - 15th April</t>
  </si>
  <si>
    <t>Jyothish(Eng)</t>
  </si>
  <si>
    <t>Toby (Eng)</t>
  </si>
  <si>
    <t>Benaud-Qadir</t>
  </si>
  <si>
    <t>21st - 23rd April</t>
  </si>
  <si>
    <t>Rizwan(Aus)</t>
  </si>
  <si>
    <t>Keshav(Aus)</t>
  </si>
  <si>
    <t>Kiwi Thistle</t>
  </si>
  <si>
    <t>Asthu (Scotland)</t>
  </si>
  <si>
    <t>Shibasis (NZ)</t>
  </si>
  <si>
    <t>Zubeen Garg Rhine A</t>
  </si>
  <si>
    <t>Farhan(Ind)</t>
  </si>
  <si>
    <t>Marami(ND)</t>
  </si>
  <si>
    <t>Redball War</t>
  </si>
  <si>
    <t>23rd - 25th April</t>
  </si>
  <si>
    <t>Yasin (BD)</t>
  </si>
  <si>
    <t>Harsh(BD)</t>
  </si>
  <si>
    <t>Valley Trophy A</t>
  </si>
  <si>
    <t>Huzaifa (Afg)</t>
  </si>
  <si>
    <t>Adithya (Afg)</t>
  </si>
  <si>
    <t>Celtic Kiwi</t>
  </si>
  <si>
    <t>24th - 26th April</t>
  </si>
  <si>
    <t>Nithin (NZ)</t>
  </si>
  <si>
    <t>Ram (NZ)</t>
  </si>
  <si>
    <t>Zubeen Gard Rhine B</t>
  </si>
  <si>
    <t>Nirmal (ND)</t>
  </si>
  <si>
    <t>Rahul (ND)</t>
  </si>
  <si>
    <t>War of Wills</t>
  </si>
  <si>
    <t>25th - 27th April</t>
  </si>
  <si>
    <t>Saubhagya (Aus)</t>
  </si>
  <si>
    <t>Arnab (Aus)</t>
  </si>
  <si>
    <t>North Sea-Bay Challenge</t>
  </si>
  <si>
    <t>Siddiqui Ahsan (BD)</t>
  </si>
  <si>
    <t>Salimax (Scot)</t>
  </si>
  <si>
    <t>Valley Trophy B</t>
  </si>
  <si>
    <t>Adithya Mahajan(Afg)</t>
  </si>
  <si>
    <t>Damitha N (SL)</t>
  </si>
  <si>
    <t>Royal Lion</t>
  </si>
  <si>
    <t>28th - 30th April</t>
  </si>
  <si>
    <t>Safeer Babu (Eng)</t>
  </si>
  <si>
    <t>Rahees (Eng)</t>
  </si>
  <si>
    <t>Highland Tigers</t>
  </si>
  <si>
    <t>Manan (BD)</t>
  </si>
  <si>
    <t>Hague Colombo</t>
  </si>
  <si>
    <t>Rasith (SL)</t>
  </si>
  <si>
    <t>Hirak (ND)</t>
  </si>
  <si>
    <t>Great Subcontinent Clash</t>
  </si>
  <si>
    <t>Kabul Trophy</t>
  </si>
  <si>
    <t>Farhan (Afg)</t>
  </si>
  <si>
    <t>Mallu Pak</t>
  </si>
  <si>
    <t>Nasrullah (Pak)</t>
  </si>
  <si>
    <t>Abhilash (WI)</t>
  </si>
  <si>
    <t>Northern Heritage</t>
  </si>
  <si>
    <t>18th - 20th May</t>
  </si>
  <si>
    <t>Debajit(ND)</t>
  </si>
  <si>
    <t xml:space="preserve">Island Trophy </t>
  </si>
  <si>
    <t>21st - 23rd May</t>
  </si>
  <si>
    <t>Sasith (SL)</t>
  </si>
  <si>
    <t>Nihal (WI)</t>
  </si>
  <si>
    <t>Soverign Crown</t>
  </si>
  <si>
    <t>Hasan (NZ)</t>
  </si>
  <si>
    <t>Molly (Eng)</t>
  </si>
  <si>
    <t>Bangladesh Shaheen</t>
  </si>
  <si>
    <t>Zarnish (Pak)</t>
  </si>
  <si>
    <t>Madsen Berrington</t>
  </si>
  <si>
    <t>22nd - 24th May</t>
  </si>
  <si>
    <t>Ajay (Scot)</t>
  </si>
  <si>
    <t>Asthu (Scot)</t>
  </si>
  <si>
    <t>Calypso Kabul Trophy</t>
  </si>
  <si>
    <t>10th - 12th June</t>
  </si>
  <si>
    <t>Scottish Wall</t>
  </si>
  <si>
    <t>Anand (Aus)</t>
  </si>
  <si>
    <t>Tiger Tulip</t>
  </si>
  <si>
    <t>11th - 13th June</t>
  </si>
  <si>
    <t>Adithya Mahajan(BD)</t>
  </si>
  <si>
    <t>Srilanka in England</t>
  </si>
  <si>
    <t>Ruwanga(SL)</t>
  </si>
  <si>
    <t>Rasith(SL)</t>
  </si>
  <si>
    <t>Kiwi Elephant</t>
  </si>
  <si>
    <t>Toby (NZ)</t>
  </si>
  <si>
    <t>Jana (Ind)</t>
  </si>
  <si>
    <t>Unity Nations Trophy</t>
  </si>
  <si>
    <t>Rince (Italy)</t>
  </si>
  <si>
    <t>K Rakesh(SA)</t>
  </si>
  <si>
    <t>Aussie Wall</t>
  </si>
  <si>
    <t>12th - 14th June</t>
  </si>
  <si>
    <t>Rahul (Aus)</t>
  </si>
  <si>
    <t>Kiwi Tiger</t>
  </si>
  <si>
    <t>13th - 15th June</t>
  </si>
  <si>
    <t>Srajan (NZ)</t>
  </si>
  <si>
    <t>PARTICIPATING TEAMS</t>
  </si>
  <si>
    <t>Fortress Cup</t>
  </si>
  <si>
    <t>22nd - 24th June</t>
  </si>
  <si>
    <t>Sujith Kumar (Eng)</t>
  </si>
  <si>
    <t>2. Pakistan</t>
  </si>
  <si>
    <t>3. Qatar</t>
  </si>
  <si>
    <t>Desert Tulip</t>
  </si>
  <si>
    <t>4. Bangladesh (Host)</t>
  </si>
  <si>
    <t>23rd - 25th June</t>
  </si>
  <si>
    <t>Mudasir Ali (Qatar)</t>
  </si>
  <si>
    <t>6. UAE</t>
  </si>
  <si>
    <t>Schedule and All Match Updates</t>
  </si>
  <si>
    <t>Tide Turners</t>
  </si>
  <si>
    <t>Bangladesh vs UAE</t>
  </si>
  <si>
    <t>Sky Bound</t>
  </si>
  <si>
    <t>Golden Sands</t>
  </si>
  <si>
    <t>K Rakesh (RSA)</t>
  </si>
  <si>
    <t>Kaushik (RSA)</t>
  </si>
  <si>
    <t>Qatar vs India</t>
  </si>
  <si>
    <t>Padma Meghna</t>
  </si>
  <si>
    <t>Legacy Trophy</t>
  </si>
  <si>
    <t>Jana CP (Ind)</t>
  </si>
  <si>
    <t>Mango Fortress</t>
  </si>
  <si>
    <t>Iqra (Pak)</t>
  </si>
  <si>
    <t>Bangladesh vs Qatar</t>
  </si>
  <si>
    <t>8th Aug</t>
  </si>
  <si>
    <t>24th - 26th June</t>
  </si>
  <si>
    <t>Pakistan vs UAE</t>
  </si>
  <si>
    <t>Karthik Verma (Eng)</t>
  </si>
  <si>
    <t>Bangladesh vs Pakistan</t>
  </si>
  <si>
    <t>9th Aug</t>
  </si>
  <si>
    <t>The Ravana Cup</t>
  </si>
  <si>
    <t>25th - 27th June</t>
  </si>
  <si>
    <t>India vs UAE</t>
  </si>
  <si>
    <t>Jishnu (Scot)</t>
  </si>
  <si>
    <t>Hari M (Scot)</t>
  </si>
  <si>
    <t>Srilanka vs Qatar</t>
  </si>
  <si>
    <t>Italio Kiwi</t>
  </si>
  <si>
    <t>Gautam (NZ)</t>
  </si>
  <si>
    <t>Bangladesh vs Srilanka</t>
  </si>
  <si>
    <t>Shuhaib(Italy)</t>
  </si>
  <si>
    <t>10th Aug</t>
  </si>
  <si>
    <t>Earth Bound</t>
  </si>
  <si>
    <t>Bhavin Kumar (RSA)</t>
  </si>
  <si>
    <t>Ameen (WI)</t>
  </si>
  <si>
    <t>UAE vs Qatar</t>
  </si>
  <si>
    <t>Bangladesh vs India</t>
  </si>
  <si>
    <t>Solidarity Cup</t>
  </si>
  <si>
    <t>11th Aug</t>
  </si>
  <si>
    <t>Bhargab (BD)</t>
  </si>
  <si>
    <t>Srilanka vs UAE</t>
  </si>
  <si>
    <t>Pakistan vs Qatar</t>
  </si>
  <si>
    <t>Tulip Desert</t>
  </si>
  <si>
    <t>Devasish (ND)</t>
  </si>
  <si>
    <t>Bimal (ND)</t>
  </si>
  <si>
    <t>Ans Sheikh (Qatar)</t>
  </si>
  <si>
    <t xml:space="preserve">Semifinal 1 </t>
  </si>
  <si>
    <t>12th Aug</t>
  </si>
  <si>
    <t>Latitude Clash</t>
  </si>
  <si>
    <t>Semifinal 2</t>
  </si>
  <si>
    <t>28th - 30th June</t>
  </si>
  <si>
    <t>Akhil(UAE)</t>
  </si>
  <si>
    <t>13th Aug</t>
  </si>
  <si>
    <t>Heritage Trophy</t>
  </si>
  <si>
    <t>29th - 1st July</t>
  </si>
  <si>
    <t>Asru (Ind)</t>
  </si>
  <si>
    <t>Shivaji(Ind)</t>
  </si>
  <si>
    <t>Keshav (Aus)</t>
  </si>
  <si>
    <t>Tasman Indus</t>
  </si>
  <si>
    <t>Kishore (NZ)</t>
  </si>
  <si>
    <t>Ahmed (Pak)</t>
  </si>
  <si>
    <t>Dunes Cup</t>
  </si>
  <si>
    <t>Ahmed (Qatar)</t>
  </si>
  <si>
    <t>Ajin (Eng)</t>
  </si>
  <si>
    <t>Highland Falcons</t>
  </si>
  <si>
    <t>1st - 3rd July</t>
  </si>
  <si>
    <t>Vishnu (UAE)</t>
  </si>
  <si>
    <t>Abhijith (UAE)</t>
  </si>
  <si>
    <t>2nd - 4th July</t>
  </si>
  <si>
    <t>Ali Khan (BD)</t>
  </si>
  <si>
    <t>Island Meets Island</t>
  </si>
  <si>
    <t>Mowglee (WI)</t>
  </si>
  <si>
    <t>Desert Kiwis</t>
  </si>
  <si>
    <t>Imperial Lords</t>
  </si>
  <si>
    <t>Aash (Eng)</t>
  </si>
  <si>
    <t>Diljith (Eng)</t>
  </si>
  <si>
    <t>Bungle in The Jungle</t>
  </si>
  <si>
    <t>Farhan (Ind)</t>
  </si>
  <si>
    <t>Yellow - Orange Trophy</t>
  </si>
  <si>
    <t>26th - 28th July</t>
  </si>
  <si>
    <t>RishiRaj (ND)</t>
  </si>
  <si>
    <t>Royal WTC Clash</t>
  </si>
  <si>
    <t>27th - 29th July</t>
  </si>
  <si>
    <t>29th - 31st July</t>
  </si>
  <si>
    <t>Dipankar (ND)</t>
  </si>
  <si>
    <t>WTC PENDING SCHEDULE</t>
  </si>
  <si>
    <t>Status</t>
  </si>
  <si>
    <t>Completed</t>
  </si>
  <si>
    <t>Pending</t>
  </si>
  <si>
    <t>27th April</t>
  </si>
  <si>
    <t>1st April</t>
  </si>
  <si>
    <t>11th June</t>
  </si>
  <si>
    <t>2. Scotland (Host)</t>
  </si>
  <si>
    <t>3. Netherlands</t>
  </si>
  <si>
    <t>4. Italy</t>
  </si>
  <si>
    <t>21st April</t>
  </si>
  <si>
    <t>England vs Italy</t>
  </si>
  <si>
    <t>Grange CS</t>
  </si>
  <si>
    <t>1st May</t>
  </si>
  <si>
    <t>Scotland vs Netherlands</t>
  </si>
  <si>
    <t>Scotba CG</t>
  </si>
  <si>
    <t>Netherlands vs England</t>
  </si>
  <si>
    <t>Seven Oaks</t>
  </si>
  <si>
    <t>Scotland vs Italy</t>
  </si>
  <si>
    <t>Italy vs Netherlands</t>
  </si>
  <si>
    <t>Scotland vs England</t>
  </si>
  <si>
    <t>Netherlands vs Scotland</t>
  </si>
  <si>
    <t>Italy vs England</t>
  </si>
  <si>
    <t>Netherlands vs Italy</t>
  </si>
  <si>
    <t>Italy vs Scotland</t>
  </si>
  <si>
    <t>Finals</t>
  </si>
  <si>
    <t xml:space="preserve">11th June  </t>
  </si>
  <si>
    <t>24th April</t>
  </si>
  <si>
    <t>23rd April</t>
  </si>
  <si>
    <t>1. Newzealand ( HOST )</t>
  </si>
  <si>
    <t>2. Australia</t>
  </si>
  <si>
    <t>3. West Indies</t>
  </si>
  <si>
    <t>4. South Africa</t>
  </si>
  <si>
    <t xml:space="preserve">Newzealand vs Australia </t>
  </si>
  <si>
    <t>12th June</t>
  </si>
  <si>
    <t>Eden Park</t>
  </si>
  <si>
    <t>Newzealand vs West Indies</t>
  </si>
  <si>
    <t>Australia vs South Africa</t>
  </si>
  <si>
    <t>West Indies vs South Africa</t>
  </si>
  <si>
    <t>West Indies vs Australia</t>
  </si>
  <si>
    <t>South Africa vs Australia</t>
  </si>
  <si>
    <t>25th April</t>
  </si>
  <si>
    <t xml:space="preserve">Official IOCF Board Ranking Systems </t>
  </si>
  <si>
    <t>Ranking System Calculation of Points</t>
  </si>
  <si>
    <t>Formats Available</t>
  </si>
  <si>
    <t>Match Performance</t>
  </si>
  <si>
    <t>Tournament Performance</t>
  </si>
  <si>
    <t>Wightage 60%</t>
  </si>
  <si>
    <t>Wightage 40%</t>
  </si>
  <si>
    <t>Club</t>
  </si>
  <si>
    <t>League score Formula= Win percentage * 6</t>
  </si>
  <si>
    <t>Major Tournament: Champion = 100 Points, Runner Up=50 Points</t>
  </si>
  <si>
    <t>Example: Matches Played=5, Matches Won=4, Win percentage 80%</t>
  </si>
  <si>
    <t>Minor Tournament: Champion = 50 Points, Runner Up=25 Points</t>
  </si>
  <si>
    <t>League Score : 80 * 6 = 480 Points</t>
  </si>
  <si>
    <t>Major Tournament Score Formula: (Champions * 100) + ( Runner up * 50)</t>
  </si>
  <si>
    <t>TEST</t>
  </si>
  <si>
    <t>Minor Tournament Score Formula: (Champions * 50) + ( Runner up * 25)</t>
  </si>
  <si>
    <t>Overall</t>
  </si>
  <si>
    <t>Final Tournament Score Formula = Major Tournament Score formula + Minor Tournament score Formula</t>
  </si>
  <si>
    <t>Example: Major Tournament Champions: 1 , Major Tournament Runner up: 1</t>
  </si>
  <si>
    <t>2nd July</t>
  </si>
  <si>
    <t>Tournament score: ( 1 * 100 ) + ( 1 * 70 ) = 170 points</t>
  </si>
  <si>
    <t>Final Ranking Calculation: League score + Tournament score = Final Ranking score</t>
  </si>
  <si>
    <t>Based on example: 480 points + 170 points = 650 Points</t>
  </si>
  <si>
    <t>T10 Ranking</t>
  </si>
  <si>
    <t>Matches Played</t>
  </si>
  <si>
    <t>Matches Won</t>
  </si>
  <si>
    <t>Champions/Runners up Details</t>
  </si>
  <si>
    <t>Winning Rate</t>
  </si>
  <si>
    <t>League Score</t>
  </si>
  <si>
    <t>Tournament Score</t>
  </si>
  <si>
    <t>NA</t>
  </si>
  <si>
    <t>T20 Ranking</t>
  </si>
  <si>
    <t>T20 World Cup Champions ( 100 )</t>
  </si>
  <si>
    <t>T20 World Cup Runners-up ( 70 )</t>
  </si>
  <si>
    <t>Total WTC Matches left</t>
  </si>
  <si>
    <t>Scheduled</t>
  </si>
  <si>
    <t>Club Ranking</t>
  </si>
  <si>
    <t>Emerging Talents League Runners Up ( 70 ) &amp; Lone Warrior Champion ( 50 )</t>
  </si>
  <si>
    <t>Emerging Talents League Champions ( 100 )</t>
  </si>
  <si>
    <t>Lone Warrior Runners up ( 25 )</t>
  </si>
  <si>
    <t>ODI Ranking</t>
  </si>
  <si>
    <t>100 Balls Format Ranking</t>
  </si>
  <si>
    <t>Test Ranking</t>
  </si>
  <si>
    <t>Overall Board Ranking</t>
  </si>
  <si>
    <t>T20 World Cup Champions ( 100 ) &amp; Emerging Talents League Champions ( 100 )</t>
  </si>
  <si>
    <t>T20 World Cup Runners-up ( 70 ), Emerging Talents League Runners Up ( 70 ) &amp; Lone Warrior Champion ( 50 )</t>
  </si>
  <si>
    <t>Chairman: Rahil Agarwal</t>
  </si>
  <si>
    <t>Credits left: 125700</t>
  </si>
  <si>
    <t>Stadium: -60000</t>
  </si>
  <si>
    <t>IOCF T20 WORLD CUP 🏆( No Participation): 20000</t>
  </si>
  <si>
    <t>International Series: 30000</t>
  </si>
  <si>
    <t>Umpires Credits : 23000</t>
  </si>
  <si>
    <t>1. Radheshyam Tripathi</t>
  </si>
  <si>
    <t>Dubai ( Level 3 )</t>
  </si>
  <si>
    <t>Fantasy League Runner</t>
  </si>
  <si>
    <t>1. Dutch Gulf ( Away )</t>
  </si>
  <si>
    <t>1. Rdx</t>
  </si>
  <si>
    <t>2. Arvind Kumar</t>
  </si>
  <si>
    <t>Sharjah ( Level 3 )</t>
  </si>
  <si>
    <t>Radheshyam: 20000</t>
  </si>
  <si>
    <t>2. Atlantic Arab ( Away )</t>
  </si>
  <si>
    <t>International Series: 10</t>
  </si>
  <si>
    <t>3. Prince Meghani</t>
  </si>
  <si>
    <t>Fantasy League 5th Place</t>
  </si>
  <si>
    <t>3. Desert Indus ( Home )</t>
  </si>
  <si>
    <t>Franchise League(100): 5</t>
  </si>
  <si>
    <t>4. Shahryar Hussain</t>
  </si>
  <si>
    <t>Prince Meghani: 5000</t>
  </si>
  <si>
    <t>4. Falcon Kangaroo ( Home )</t>
  </si>
  <si>
    <t>International Series(T10): 1</t>
  </si>
  <si>
    <t>5. Kamlesh Choudhary</t>
  </si>
  <si>
    <t>2. Arvind</t>
  </si>
  <si>
    <t>6. Naveen Gupta</t>
  </si>
  <si>
    <t>International Series: 7</t>
  </si>
  <si>
    <t>7. Pawan kothari</t>
  </si>
  <si>
    <t>International Series(T10): 2</t>
  </si>
  <si>
    <t>3. Prince</t>
  </si>
  <si>
    <t>9. Awinash Dwivedi</t>
  </si>
  <si>
    <t>International Series: 3</t>
  </si>
  <si>
    <t>10. Adithya Shashank</t>
  </si>
  <si>
    <t>4. Rahil Agarwal</t>
  </si>
  <si>
    <t>11. Abhijeet Singh</t>
  </si>
  <si>
    <t>International Series: 5</t>
  </si>
  <si>
    <t>12. Karthik Sharma</t>
  </si>
  <si>
    <t>13. Bhargab Kashyap</t>
  </si>
  <si>
    <t>14. Subaida Subi</t>
  </si>
  <si>
    <t>15. Ashutosh</t>
  </si>
  <si>
    <t>16. Rahul mahapatra</t>
  </si>
  <si>
    <t>17. Sri vishnu</t>
  </si>
  <si>
    <t>18. Praveen Kumar Mahanty</t>
  </si>
  <si>
    <t>19. Manish Kumar</t>
  </si>
  <si>
    <t>20. Maaz Khan</t>
  </si>
  <si>
    <t>All Franchise League Credits Updates : 24200</t>
  </si>
  <si>
    <t>THE HUNDRED : 9900</t>
  </si>
  <si>
    <t>Team Profit: 1700</t>
  </si>
  <si>
    <t>1. Prince Meghani</t>
  </si>
  <si>
    <t>1. Sidharth</t>
  </si>
  <si>
    <t>Man of the match: 2( 1000 )</t>
  </si>
  <si>
    <t>Best Batsman: 3 ( 600 )</t>
  </si>
  <si>
    <t>Pakistan Super League : 14300</t>
  </si>
  <si>
    <t>Team Profit: 11600</t>
  </si>
  <si>
    <t>Team Profit: 2700</t>
  </si>
  <si>
    <t>3. Naveen Gupta</t>
  </si>
  <si>
    <t>5. RDX</t>
  </si>
  <si>
    <t>Board: USA</t>
  </si>
  <si>
    <t>Chairman: Hafizul SK</t>
  </si>
  <si>
    <t>Credits left: 57500</t>
  </si>
  <si>
    <t>Stadium: -30000</t>
  </si>
  <si>
    <t>Umpires Credits : 500</t>
  </si>
  <si>
    <t>International Series: -20000</t>
  </si>
  <si>
    <t>Removed Players</t>
  </si>
  <si>
    <t>Traded Palyers: 6000</t>
  </si>
  <si>
    <t>1. Aahan Sharma</t>
  </si>
  <si>
    <t>Grand Texas ( Level 3 )</t>
  </si>
  <si>
    <t>1.Hafijul</t>
  </si>
  <si>
    <t>Away( Srilanka ): 5000 ( Lost )</t>
  </si>
  <si>
    <t>1. Harsh Rajput</t>
  </si>
  <si>
    <t>1. Ahsan Siddiqui to BD - 3k</t>
  </si>
  <si>
    <t>2. Ashfiya Nijhum</t>
  </si>
  <si>
    <t>International Series: 1</t>
  </si>
  <si>
    <t>Home ( West Indies ): 5000 ( Lost )</t>
  </si>
  <si>
    <t>2. Arun Sharma</t>
  </si>
  <si>
    <t>2. Harsha Dubey to BD - 3k</t>
  </si>
  <si>
    <t>3. Rajpari Ayat</t>
  </si>
  <si>
    <t>Away( Netherlands ): 5000 ( Lost )</t>
  </si>
  <si>
    <t>4. Rima Naskar</t>
  </si>
  <si>
    <t>Away ( Newzealand ): 5000 ( Lost )</t>
  </si>
  <si>
    <t>6. Saysha Malik</t>
  </si>
  <si>
    <t>7. Mostafa Islam</t>
  </si>
  <si>
    <t>8. Aryan</t>
  </si>
  <si>
    <t>9. Raj</t>
  </si>
  <si>
    <t>10. Ajay Thakur</t>
  </si>
  <si>
    <t>11. Prince Chettri</t>
  </si>
  <si>
    <t>13. Tabassum Khan</t>
  </si>
  <si>
    <t>14. Jishan</t>
  </si>
  <si>
    <t>15. Ariya</t>
  </si>
  <si>
    <t>All Franchise League Credits Updates : 1000</t>
  </si>
  <si>
    <t>THE HUNDRED : 1000</t>
  </si>
  <si>
    <t>Board: SOUTH AFRICA</t>
  </si>
  <si>
    <t>Chairman: Aashutosh</t>
  </si>
  <si>
    <t>Credits left: 58550</t>
  </si>
  <si>
    <t>International Series: 11000</t>
  </si>
  <si>
    <t>Whitewash Lose : -500</t>
  </si>
  <si>
    <t>Umpires Credits : 2250</t>
  </si>
  <si>
    <t>Removed players</t>
  </si>
  <si>
    <t>IOCF T20 WORLD CUP 🏆 : 12800</t>
  </si>
  <si>
    <t>1. Rahil</t>
  </si>
  <si>
    <t>Capetown ( Level 3 )</t>
  </si>
  <si>
    <t>Away( Australia ): 5000 bet ( Lost )</t>
  </si>
  <si>
    <t>1. Gayle Devilliers ( Away )</t>
  </si>
  <si>
    <t>Against Australia: 1</t>
  </si>
  <si>
    <t>1. Sagar</t>
  </si>
  <si>
    <t>2. Arvind kumar</t>
  </si>
  <si>
    <t>Johannesburg ( Level 3 )</t>
  </si>
  <si>
    <t>Away( West Indies): 5000 bet ( Won )</t>
  </si>
  <si>
    <t>2. Hadle Kallis ( Away )</t>
  </si>
  <si>
    <t>2. Marami</t>
  </si>
  <si>
    <t>Players Awards: 2800</t>
  </si>
  <si>
    <t>3. Nirmal</t>
  </si>
  <si>
    <t>Away( Newzealand): 5000 bet ( Won )</t>
  </si>
  <si>
    <t>3. Kallis Rashid ( Home )</t>
  </si>
  <si>
    <t>3. Dhurbo</t>
  </si>
  <si>
    <t>1. Aravind</t>
  </si>
  <si>
    <t>4. Bishwa</t>
  </si>
  <si>
    <t>Home ( Afghanistan): 6000 bet ( Won )</t>
  </si>
  <si>
    <t>4. Naresh</t>
  </si>
  <si>
    <t>Home ( West iNDIES): 6000 bet ( Lost )</t>
  </si>
  <si>
    <t>3. Aravind</t>
  </si>
  <si>
    <t>5. Akash Jyothi</t>
  </si>
  <si>
    <t>6. Pinku</t>
  </si>
  <si>
    <t>6. Debajit</t>
  </si>
  <si>
    <t>2. Siddiqui</t>
  </si>
  <si>
    <t>7. Mayank</t>
  </si>
  <si>
    <t>7. Devashish</t>
  </si>
  <si>
    <t>8. Biki Basistha</t>
  </si>
  <si>
    <t>8. Rishi</t>
  </si>
  <si>
    <t>9. Manav</t>
  </si>
  <si>
    <t>9. Rahul</t>
  </si>
  <si>
    <t>3. Biswajit</t>
  </si>
  <si>
    <t>10. Siddiqui</t>
  </si>
  <si>
    <t>10. Veer</t>
  </si>
  <si>
    <t>• Most Sixes: 1</t>
  </si>
  <si>
    <t>11. Prince Meghani</t>
  </si>
  <si>
    <t>11. Kiran</t>
  </si>
  <si>
    <t>12. Radheshyam Tripathi</t>
  </si>
  <si>
    <t>13. Hafijul SK</t>
  </si>
  <si>
    <t>Added players</t>
  </si>
  <si>
    <t>4. Subaida</t>
  </si>
  <si>
    <t>14. Harsh Dubey</t>
  </si>
  <si>
    <t>1. Manav</t>
  </si>
  <si>
    <t>16. Ayush Soni</t>
  </si>
  <si>
    <t>17. Rakshith Raksh</t>
  </si>
  <si>
    <t>4. Radhe</t>
  </si>
  <si>
    <t>18. Naveen Gupta</t>
  </si>
  <si>
    <t>5. Hafijul</t>
  </si>
  <si>
    <t>• vs WI: 300</t>
  </si>
  <si>
    <t>19. Bhargab Kashyap</t>
  </si>
  <si>
    <t>6. Harsh Dubey</t>
  </si>
  <si>
    <t>7. Ayush soni</t>
  </si>
  <si>
    <t>8. Bhargab Kashyap</t>
  </si>
  <si>
    <t>9. Naveen Gupta</t>
  </si>
  <si>
    <t>Eliminated in Super six: 15000</t>
  </si>
  <si>
    <t>10. Rakshith Raksh</t>
  </si>
  <si>
    <t>Traded Player: -7000</t>
  </si>
  <si>
    <t>1. Subaida from England: 7000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</si>
</sst>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h:mm am/pm"/>
    <numFmt numFmtId="165" formatCode="m-d"/>
  </numFmts>
  <fonts count="49">
    <font>
      <sz val="10.0"/>
      <color rgb="FF000000"/>
      <name val="Arial"/>
      <scheme val="minor"/>
    </font>
    <font>
      <b/>
      <color rgb="FFFFFFFF"/>
      <name val="Arial"/>
      <scheme val="minor"/>
    </font>
    <font>
      <b/>
      <color theme="1"/>
      <name val="Arial"/>
      <scheme val="minor"/>
    </font>
    <font>
      <b/>
      <color rgb="FF4C1130"/>
      <name val="Arial"/>
      <scheme val="minor"/>
    </font>
    <font>
      <color theme="1"/>
      <name val="Arial"/>
      <scheme val="minor"/>
    </font>
    <font>
      <color rgb="FFB7B7B7"/>
      <name val="Arial"/>
      <scheme val="minor"/>
    </font>
    <font>
      <color rgb="FF999999"/>
      <name val="Arial"/>
      <scheme val="minor"/>
    </font>
    <font>
      <b/>
      <color rgb="FF000000"/>
      <name val="Arial"/>
      <scheme val="minor"/>
    </font>
    <font>
      <b/>
      <color theme="1"/>
      <name val="Arial"/>
    </font>
    <font>
      <color rgb="FFFFFFFF"/>
      <name val="Arial"/>
      <scheme val="minor"/>
    </font>
    <font>
      <color rgb="FFFFFFFF"/>
      <name val="Arial"/>
    </font>
    <font>
      <color rgb="FF000000"/>
      <name val="Arial"/>
      <scheme val="minor"/>
    </font>
    <font>
      <color theme="1"/>
      <name val="Arial"/>
    </font>
    <font>
      <color rgb="FFEFEFEF"/>
      <name val="Arial"/>
      <scheme val="minor"/>
    </font>
    <font>
      <b/>
      <i/>
      <color theme="1"/>
      <name val="Arial"/>
      <scheme val="minor"/>
    </font>
    <font>
      <b/>
      <i/>
      <color rgb="FF000000"/>
      <name val="Arial"/>
      <scheme val="minor"/>
    </font>
    <font>
      <b/>
      <color rgb="FFB7B7B7"/>
      <name val="Arial"/>
      <scheme val="minor"/>
    </font>
    <font>
      <b/>
      <i/>
      <sz val="10.0"/>
      <color theme="1"/>
      <name val="Arial"/>
      <scheme val="minor"/>
    </font>
    <font>
      <b/>
      <i/>
      <color theme="1"/>
      <name val="Arial"/>
    </font>
    <font>
      <b/>
      <sz val="10.0"/>
      <color rgb="FFFFFFFF"/>
      <name val="Arial"/>
    </font>
    <font>
      <b/>
      <color rgb="FFD9D9D9"/>
      <name val="Arial"/>
      <scheme val="minor"/>
    </font>
    <font>
      <i/>
      <color theme="1"/>
      <name val="Arial"/>
      <scheme val="minor"/>
    </font>
    <font>
      <b/>
      <i/>
      <color rgb="FFFFFFFF"/>
      <name val="Arial"/>
      <scheme val="minor"/>
    </font>
    <font>
      <color rgb="FFD9D9D9"/>
      <name val="Arial"/>
      <scheme val="minor"/>
    </font>
    <font>
      <color rgb="FFEFEFEF"/>
      <name val="Arial"/>
    </font>
    <font>
      <color rgb="FFE6B8AF"/>
      <name val="Arial"/>
      <scheme val="minor"/>
    </font>
    <font>
      <b/>
      <color rgb="FFD9D9D9"/>
      <name val="Arial"/>
    </font>
    <font>
      <color rgb="FFF3F3F3"/>
      <name val="Arial"/>
      <scheme val="minor"/>
    </font>
    <font>
      <sz val="10.0"/>
      <color theme="1"/>
      <name val="Arial"/>
      <scheme val="minor"/>
    </font>
    <font>
      <b/>
      <color rgb="FFEFEFEF"/>
      <name val="Arial"/>
      <scheme val="minor"/>
    </font>
    <font>
      <color rgb="FFCCCCCC"/>
      <name val="Arial"/>
      <scheme val="minor"/>
    </font>
    <font>
      <sz val="10.0"/>
      <color rgb="FF000000"/>
      <name val="Arial"/>
    </font>
    <font>
      <sz val="11.0"/>
      <color rgb="FF000000"/>
      <name val="-apple-system-font"/>
    </font>
    <font>
      <sz val="10.0"/>
      <color rgb="FF000000"/>
      <name val="-apple-system-font"/>
    </font>
    <font>
      <b/>
      <color rgb="FFB7B7B7"/>
      <name val="Arial"/>
    </font>
    <font>
      <b/>
      <color rgb="FFFFE599"/>
      <name val="Arial"/>
      <scheme val="minor"/>
    </font>
    <font>
      <b/>
      <color rgb="FFEAD1DC"/>
      <name val="Arial"/>
      <scheme val="minor"/>
    </font>
    <font>
      <b/>
      <color rgb="FF741B47"/>
      <name val="Arial"/>
      <scheme val="minor"/>
    </font>
    <font>
      <b/>
      <color rgb="FFFFFF00"/>
      <name val="Arial"/>
      <scheme val="minor"/>
    </font>
    <font>
      <i/>
      <color rgb="FFFFFFFF"/>
      <name val="Arial"/>
      <scheme val="minor"/>
    </font>
    <font>
      <b/>
      <color theme="0"/>
      <name val="Arial"/>
      <scheme val="minor"/>
    </font>
    <font>
      <sz val="11.0"/>
      <color rgb="FF000000"/>
      <name val="Arial"/>
    </font>
    <font>
      <sz val="11.0"/>
      <color rgb="FFF5F5F5"/>
      <name val="Arial"/>
    </font>
    <font>
      <b/>
      <sz val="10.0"/>
      <color theme="1"/>
      <name val="Arial"/>
      <scheme val="minor"/>
    </font>
    <font>
      <sz val="10.0"/>
      <color theme="1"/>
      <name val="Arial"/>
    </font>
    <font>
      <color rgb="FF000000"/>
      <name val="Arial"/>
    </font>
    <font>
      <b/>
      <i/>
      <color rgb="FF000000"/>
      <name val="Arial"/>
    </font>
    <font>
      <sz val="10.0"/>
      <color rgb="FF0C1014"/>
      <name val="Arial"/>
      <scheme val="minor"/>
    </font>
    <font>
      <b/>
      <color rgb="FFF3F3F3"/>
      <name val="Arial"/>
      <scheme val="minor"/>
    </font>
  </fonts>
  <fills count="57">
    <fill>
      <patternFill patternType="none"/>
    </fill>
    <fill>
      <patternFill patternType="lightGray"/>
    </fill>
    <fill>
      <patternFill patternType="solid">
        <fgColor rgb="FF4C1130"/>
        <bgColor rgb="FF4C1130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D5A6BD"/>
        <bgColor rgb="FFD5A6BD"/>
      </patternFill>
    </fill>
    <fill>
      <patternFill patternType="solid">
        <fgColor rgb="FF274E13"/>
        <bgColor rgb="FF274E13"/>
      </patternFill>
    </fill>
    <fill>
      <patternFill patternType="solid">
        <fgColor rgb="FFB6D7A8"/>
        <bgColor rgb="FFB6D7A8"/>
      </patternFill>
    </fill>
    <fill>
      <patternFill patternType="solid">
        <fgColor rgb="FF7F6000"/>
        <bgColor rgb="FF7F6000"/>
      </patternFill>
    </fill>
    <fill>
      <patternFill patternType="solid">
        <fgColor rgb="FFE06666"/>
        <bgColor rgb="FFE06666"/>
      </patternFill>
    </fill>
    <fill>
      <patternFill patternType="solid">
        <fgColor rgb="FFFFFFFF"/>
        <bgColor rgb="FFFFFFFF"/>
      </patternFill>
    </fill>
    <fill>
      <patternFill patternType="solid">
        <fgColor rgb="FF990000"/>
        <bgColor rgb="FF990000"/>
      </patternFill>
    </fill>
    <fill>
      <patternFill patternType="solid">
        <fgColor rgb="FFD9D9D9"/>
        <bgColor rgb="FFD9D9D9"/>
      </patternFill>
    </fill>
    <fill>
      <patternFill patternType="solid">
        <fgColor rgb="FF6AA84F"/>
        <bgColor rgb="FF6AA84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F1C232"/>
        <bgColor rgb="FFF1C232"/>
      </patternFill>
    </fill>
    <fill>
      <patternFill patternType="solid">
        <fgColor rgb="FF38761D"/>
        <bgColor rgb="FF38761D"/>
      </patternFill>
    </fill>
    <fill>
      <patternFill patternType="solid">
        <fgColor rgb="FF3D85C6"/>
        <bgColor rgb="FF3D85C6"/>
      </patternFill>
    </fill>
    <fill>
      <patternFill patternType="solid">
        <fgColor rgb="FF073763"/>
        <bgColor rgb="FF073763"/>
      </patternFill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B7B7B7"/>
        <bgColor rgb="FFB7B7B7"/>
      </patternFill>
    </fill>
    <fill>
      <patternFill patternType="solid">
        <fgColor rgb="FF6FA8DC"/>
        <bgColor rgb="FF6FA8DC"/>
      </patternFill>
    </fill>
    <fill>
      <patternFill patternType="solid">
        <fgColor rgb="FFBF9000"/>
        <bgColor rgb="FFBF9000"/>
      </patternFill>
    </fill>
    <fill>
      <patternFill patternType="solid">
        <fgColor rgb="FFFFFF00"/>
        <bgColor rgb="FFFFFF00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999999"/>
        <bgColor rgb="FF999999"/>
      </patternFill>
    </fill>
    <fill>
      <patternFill patternType="solid">
        <fgColor rgb="FFC9DAF8"/>
        <bgColor rgb="FFC9DAF8"/>
      </patternFill>
    </fill>
    <fill>
      <patternFill patternType="solid">
        <fgColor rgb="FF1155CC"/>
        <bgColor rgb="FF1155CC"/>
      </patternFill>
    </fill>
    <fill>
      <patternFill patternType="solid">
        <fgColor rgb="FFCC4125"/>
        <bgColor rgb="FFCC4125"/>
      </patternFill>
    </fill>
    <fill>
      <patternFill patternType="solid">
        <fgColor rgb="FF0000FF"/>
        <bgColor rgb="FF0000FF"/>
      </patternFill>
    </fill>
    <fill>
      <patternFill patternType="solid">
        <fgColor rgb="FF0C343D"/>
        <bgColor rgb="FF0C343D"/>
      </patternFill>
    </fill>
    <fill>
      <patternFill patternType="solid">
        <fgColor rgb="FF6D9EEB"/>
        <bgColor rgb="FF6D9EEB"/>
      </patternFill>
    </fill>
    <fill>
      <patternFill patternType="solid">
        <fgColor rgb="FFC27BA0"/>
        <bgColor rgb="FFC27BA0"/>
      </patternFill>
    </fill>
    <fill>
      <patternFill patternType="solid">
        <fgColor rgb="FFDD7E6B"/>
        <bgColor rgb="FFDD7E6B"/>
      </patternFill>
    </fill>
    <fill>
      <patternFill patternType="solid">
        <fgColor rgb="FF5B0F00"/>
        <bgColor rgb="FF5B0F00"/>
      </patternFill>
    </fill>
    <fill>
      <patternFill patternType="solid">
        <fgColor rgb="FFE6B8AF"/>
        <bgColor rgb="FFE6B8AF"/>
      </patternFill>
    </fill>
    <fill>
      <patternFill patternType="solid">
        <fgColor rgb="FF8E7CC3"/>
        <bgColor rgb="FF8E7CC3"/>
      </patternFill>
    </fill>
    <fill>
      <patternFill patternType="solid">
        <fgColor rgb="FF20124D"/>
        <bgColor rgb="FF20124D"/>
      </patternFill>
    </fill>
    <fill>
      <patternFill patternType="solid">
        <fgColor rgb="FFD9D2E9"/>
        <bgColor rgb="FFD9D2E9"/>
      </patternFill>
    </fill>
    <fill>
      <patternFill patternType="solid">
        <fgColor rgb="FF76A5AF"/>
        <bgColor rgb="FF76A5AF"/>
      </patternFill>
    </fill>
    <fill>
      <patternFill patternType="solid">
        <fgColor rgb="FF45818E"/>
        <bgColor rgb="FF45818E"/>
      </patternFill>
    </fill>
    <fill>
      <patternFill patternType="solid">
        <fgColor theme="0"/>
        <bgColor theme="0"/>
      </patternFill>
    </fill>
    <fill>
      <patternFill patternType="solid">
        <fgColor rgb="FFEA9999"/>
        <bgColor rgb="FFEA9999"/>
      </patternFill>
    </fill>
    <fill>
      <patternFill patternType="solid">
        <fgColor rgb="FF741B47"/>
        <bgColor rgb="FF741B47"/>
      </patternFill>
    </fill>
    <fill>
      <patternFill patternType="solid">
        <fgColor rgb="FFF6B26B"/>
        <bgColor rgb="FFF6B26B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</fills>
  <borders count="1">
    <border/>
  </borders>
  <cellStyleXfs count="1">
    <xf borderId="0" fillId="0" fontId="0" numFmtId="0" applyAlignment="1" applyFont="1"/>
  </cellStyleXfs>
  <cellXfs count="28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3" numFmtId="0" xfId="0" applyAlignment="1" applyFill="1" applyFont="1">
      <alignment horizontal="center" readingOrder="0"/>
    </xf>
    <xf borderId="0" fillId="3" fontId="4" numFmtId="0" xfId="0" applyAlignment="1" applyFont="1">
      <alignment horizontal="center" readingOrder="0"/>
    </xf>
    <xf borderId="0" fillId="6" fontId="3" numFmtId="0" xfId="0" applyAlignment="1" applyFill="1" applyFont="1">
      <alignment horizontal="center" readingOrder="0"/>
    </xf>
    <xf borderId="0" fillId="4" fontId="4" numFmtId="0" xfId="0" applyAlignment="1" applyFont="1">
      <alignment horizontal="center" readingOrder="0"/>
    </xf>
    <xf borderId="0" fillId="7" fontId="5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8" fontId="2" numFmtId="0" xfId="0" applyAlignment="1" applyFont="1">
      <alignment readingOrder="0"/>
    </xf>
    <xf borderId="0" fillId="9" fontId="6" numFmtId="0" xfId="0" applyAlignment="1" applyFill="1" applyFont="1">
      <alignment horizontal="center"/>
    </xf>
    <xf borderId="0" fillId="10" fontId="4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8" fontId="7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10" fontId="2" numFmtId="0" xfId="0" applyAlignment="1" applyFont="1">
      <alignment horizontal="center" readingOrder="0"/>
    </xf>
    <xf borderId="0" fillId="11" fontId="2" numFmtId="0" xfId="0" applyAlignment="1" applyFill="1" applyFont="1">
      <alignment horizontal="center" readingOrder="0"/>
    </xf>
    <xf borderId="0" fillId="0" fontId="4" numFmtId="0" xfId="0" applyAlignment="1" applyFont="1">
      <alignment readingOrder="0"/>
    </xf>
    <xf borderId="0" fillId="8" fontId="4" numFmtId="0" xfId="0" applyAlignment="1" applyFont="1">
      <alignment readingOrder="0"/>
    </xf>
    <xf borderId="0" fillId="12" fontId="5" numFmtId="0" xfId="0" applyAlignment="1" applyFill="1" applyFont="1">
      <alignment horizontal="center" readingOrder="0"/>
    </xf>
    <xf borderId="0" fillId="0" fontId="8" numFmtId="0" xfId="0" applyAlignment="1" applyFont="1">
      <alignment horizontal="center" readingOrder="0" vertical="bottom"/>
    </xf>
    <xf borderId="0" fillId="7" fontId="9" numFmtId="0" xfId="0" applyAlignment="1" applyFont="1">
      <alignment horizontal="center" readingOrder="0"/>
    </xf>
    <xf borderId="0" fillId="9" fontId="6" numFmtId="0" xfId="0" applyAlignment="1" applyFont="1">
      <alignment horizontal="center" readingOrder="0"/>
    </xf>
    <xf borderId="0" fillId="7" fontId="6" numFmtId="0" xfId="0" applyAlignment="1" applyFont="1">
      <alignment horizontal="center" readingOrder="0"/>
    </xf>
    <xf borderId="0" fillId="11" fontId="5" numFmtId="0" xfId="0" applyAlignment="1" applyFont="1">
      <alignment horizontal="center" readingOrder="0"/>
    </xf>
    <xf borderId="0" fillId="13" fontId="2" numFmtId="0" xfId="0" applyAlignment="1" applyFill="1" applyFont="1">
      <alignment horizontal="center"/>
    </xf>
    <xf borderId="0" fillId="11" fontId="4" numFmtId="0" xfId="0" applyAlignment="1" applyFont="1">
      <alignment readingOrder="0"/>
    </xf>
    <xf borderId="0" fillId="9" fontId="10" numFmtId="0" xfId="0" applyAlignment="1" applyFont="1">
      <alignment horizontal="center" vertical="bottom"/>
    </xf>
    <xf borderId="0" fillId="8" fontId="4" numFmtId="0" xfId="0" applyAlignment="1" applyFont="1">
      <alignment horizontal="center" readingOrder="0"/>
    </xf>
    <xf borderId="0" fillId="8" fontId="4" numFmtId="0" xfId="0" applyAlignment="1" applyFont="1">
      <alignment readingOrder="0" vertical="center"/>
    </xf>
    <xf borderId="0" fillId="9" fontId="9" numFmtId="0" xfId="0" applyAlignment="1" applyFont="1">
      <alignment horizontal="center" readingOrder="0"/>
    </xf>
    <xf borderId="0" fillId="8" fontId="4" numFmtId="0" xfId="0" applyAlignment="1" applyFont="1">
      <alignment horizontal="center"/>
    </xf>
    <xf borderId="0" fillId="3" fontId="4" numFmtId="0" xfId="0" applyAlignment="1" applyFont="1">
      <alignment readingOrder="0"/>
    </xf>
    <xf borderId="0" fillId="8" fontId="11" numFmtId="0" xfId="0" applyAlignment="1" applyFont="1">
      <alignment horizontal="center" readingOrder="0"/>
    </xf>
    <xf borderId="0" fillId="14" fontId="4" numFmtId="0" xfId="0" applyAlignment="1" applyFill="1" applyFont="1">
      <alignment horizontal="center" readingOrder="0"/>
    </xf>
    <xf borderId="0" fillId="14" fontId="4" numFmtId="0" xfId="0" applyAlignment="1" applyFont="1">
      <alignment horizontal="center"/>
    </xf>
    <xf borderId="0" fillId="0" fontId="8" numFmtId="0" xfId="0" applyAlignment="1" applyFont="1">
      <alignment horizontal="center" vertical="bottom"/>
    </xf>
    <xf borderId="0" fillId="15" fontId="2" numFmtId="0" xfId="0" applyAlignment="1" applyFill="1" applyFont="1">
      <alignment horizontal="center" readingOrder="0"/>
    </xf>
    <xf borderId="0" fillId="11" fontId="11" numFmtId="0" xfId="0" applyAlignment="1" applyFont="1">
      <alignment horizontal="center" readingOrder="0"/>
    </xf>
    <xf borderId="0" fillId="15" fontId="12" numFmtId="0" xfId="0" applyAlignment="1" applyFont="1">
      <alignment horizontal="center" vertical="bottom"/>
    </xf>
    <xf borderId="0" fillId="15" fontId="4" numFmtId="0" xfId="0" applyAlignment="1" applyFont="1">
      <alignment horizontal="center" readingOrder="0" vertical="center"/>
    </xf>
    <xf borderId="0" fillId="15" fontId="4" numFmtId="0" xfId="0" applyAlignment="1" applyFont="1">
      <alignment horizontal="center" readingOrder="0"/>
    </xf>
    <xf borderId="0" fillId="15" fontId="4" numFmtId="0" xfId="0" applyAlignment="1" applyFont="1">
      <alignment horizontal="center"/>
    </xf>
    <xf borderId="0" fillId="11" fontId="11" numFmtId="0" xfId="0" applyAlignment="1" applyFont="1">
      <alignment readingOrder="0"/>
    </xf>
    <xf borderId="0" fillId="16" fontId="4" numFmtId="0" xfId="0" applyAlignment="1" applyFill="1" applyFont="1">
      <alignment readingOrder="0"/>
    </xf>
    <xf borderId="0" fillId="17" fontId="4" numFmtId="0" xfId="0" applyAlignment="1" applyFill="1" applyFont="1">
      <alignment horizontal="center" readingOrder="0"/>
    </xf>
    <xf borderId="0" fillId="17" fontId="4" numFmtId="0" xfId="0" applyAlignment="1" applyFont="1">
      <alignment horizontal="center"/>
    </xf>
    <xf borderId="0" fillId="18" fontId="5" numFmtId="0" xfId="0" applyAlignment="1" applyFill="1" applyFont="1">
      <alignment horizontal="center" readingOrder="0"/>
    </xf>
    <xf borderId="0" fillId="19" fontId="2" numFmtId="0" xfId="0" applyAlignment="1" applyFill="1" applyFont="1">
      <alignment horizontal="center" readingOrder="0"/>
    </xf>
    <xf borderId="0" fillId="15" fontId="4" numFmtId="0" xfId="0" applyAlignment="1" applyFont="1">
      <alignment readingOrder="0" vertical="center"/>
    </xf>
    <xf borderId="0" fillId="19" fontId="4" numFmtId="0" xfId="0" applyAlignment="1" applyFont="1">
      <alignment horizontal="center" readingOrder="0"/>
    </xf>
    <xf borderId="0" fillId="11" fontId="4" numFmtId="0" xfId="0" applyAlignment="1" applyFont="1">
      <alignment horizontal="center"/>
    </xf>
    <xf borderId="0" fillId="20" fontId="13" numFmtId="0" xfId="0" applyAlignment="1" applyFill="1" applyFont="1">
      <alignment horizontal="center" readingOrder="0"/>
    </xf>
    <xf borderId="0" fillId="21" fontId="7" numFmtId="0" xfId="0" applyAlignment="1" applyFill="1" applyFont="1">
      <alignment horizontal="center" readingOrder="0"/>
    </xf>
    <xf borderId="0" fillId="22" fontId="2" numFmtId="0" xfId="0" applyAlignment="1" applyFill="1" applyFont="1">
      <alignment horizontal="center"/>
    </xf>
    <xf borderId="0" fillId="20" fontId="10" numFmtId="0" xfId="0" applyAlignment="1" applyFont="1">
      <alignment horizontal="center" vertical="bottom"/>
    </xf>
    <xf borderId="0" fillId="20" fontId="6" numFmtId="0" xfId="0" applyAlignment="1" applyFont="1">
      <alignment horizontal="center" readingOrder="0"/>
    </xf>
    <xf borderId="0" fillId="11" fontId="13" numFmtId="0" xfId="0" applyAlignment="1" applyFont="1">
      <alignment horizontal="center" readingOrder="0"/>
    </xf>
    <xf borderId="0" fillId="0" fontId="4" numFmtId="0" xfId="0" applyAlignment="1" applyFont="1">
      <alignment horizontal="left" readingOrder="0"/>
    </xf>
    <xf borderId="0" fillId="23" fontId="2" numFmtId="0" xfId="0" applyAlignment="1" applyFill="1" applyFont="1">
      <alignment horizontal="center" readingOrder="0"/>
    </xf>
    <xf borderId="0" fillId="3" fontId="4" numFmtId="0" xfId="0" applyFont="1"/>
    <xf borderId="0" fillId="0" fontId="14" numFmtId="0" xfId="0" applyAlignment="1" applyFont="1">
      <alignment readingOrder="0"/>
    </xf>
    <xf borderId="0" fillId="24" fontId="2" numFmtId="0" xfId="0" applyAlignment="1" applyFill="1" applyFont="1">
      <alignment horizontal="center" readingOrder="0"/>
    </xf>
    <xf borderId="0" fillId="25" fontId="12" numFmtId="0" xfId="0" applyAlignment="1" applyFill="1" applyFont="1">
      <alignment horizontal="center" vertical="bottom"/>
    </xf>
    <xf borderId="0" fillId="18" fontId="13" numFmtId="0" xfId="0" applyAlignment="1" applyFont="1">
      <alignment horizontal="center" readingOrder="0"/>
    </xf>
    <xf borderId="0" fillId="24" fontId="4" numFmtId="0" xfId="0" applyAlignment="1" applyFont="1">
      <alignment readingOrder="0" vertical="center"/>
    </xf>
    <xf borderId="0" fillId="24" fontId="4" numFmtId="0" xfId="0" applyAlignment="1" applyFont="1">
      <alignment horizontal="center" readingOrder="0"/>
    </xf>
    <xf borderId="0" fillId="24" fontId="4" numFmtId="0" xfId="0" applyAlignment="1" applyFont="1">
      <alignment horizontal="center"/>
    </xf>
    <xf borderId="0" fillId="26" fontId="2" numFmtId="0" xfId="0" applyAlignment="1" applyFill="1" applyFont="1">
      <alignment horizontal="center"/>
    </xf>
    <xf borderId="0" fillId="0" fontId="4" numFmtId="0" xfId="0" applyAlignment="1" applyFont="1">
      <alignment horizontal="left"/>
    </xf>
    <xf borderId="0" fillId="27" fontId="4" numFmtId="0" xfId="0" applyAlignment="1" applyFill="1" applyFont="1">
      <alignment horizontal="center" readingOrder="0"/>
    </xf>
    <xf borderId="0" fillId="11" fontId="4" numFmtId="0" xfId="0" applyFont="1"/>
    <xf borderId="0" fillId="27" fontId="4" numFmtId="0" xfId="0" applyAlignment="1" applyFont="1">
      <alignment horizontal="center"/>
    </xf>
    <xf borderId="0" fillId="0" fontId="4" numFmtId="0" xfId="0" applyFont="1"/>
    <xf borderId="0" fillId="20" fontId="9" numFmtId="0" xfId="0" applyAlignment="1" applyFont="1">
      <alignment horizontal="center" readingOrder="0"/>
    </xf>
    <xf borderId="0" fillId="28" fontId="1" numFmtId="0" xfId="0" applyAlignment="1" applyFill="1" applyFont="1">
      <alignment horizontal="center" readingOrder="0" vertical="center"/>
    </xf>
    <xf borderId="0" fillId="11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29" fontId="14" numFmtId="0" xfId="0" applyAlignment="1" applyFill="1" applyFont="1">
      <alignment horizontal="center" readingOrder="0" vertical="center"/>
    </xf>
    <xf borderId="0" fillId="29" fontId="2" numFmtId="0" xfId="0" applyAlignment="1" applyFont="1">
      <alignment horizontal="center" readingOrder="0"/>
    </xf>
    <xf borderId="0" fillId="29" fontId="14" numFmtId="0" xfId="0" applyAlignment="1" applyFont="1">
      <alignment horizontal="center" readingOrder="0"/>
    </xf>
    <xf borderId="0" fillId="29" fontId="2" numFmtId="0" xfId="0" applyAlignment="1" applyFont="1">
      <alignment horizontal="center"/>
    </xf>
    <xf borderId="0" fillId="30" fontId="2" numFmtId="0" xfId="0" applyAlignment="1" applyFill="1" applyFont="1">
      <alignment horizontal="center" readingOrder="0"/>
    </xf>
    <xf borderId="0" fillId="31" fontId="2" numFmtId="0" xfId="0" applyAlignment="1" applyFill="1" applyFont="1">
      <alignment horizontal="center" readingOrder="0" vertical="center"/>
    </xf>
    <xf borderId="0" fillId="0" fontId="14" numFmtId="0" xfId="0" applyAlignment="1" applyFont="1">
      <alignment horizontal="center" readingOrder="0"/>
    </xf>
    <xf borderId="0" fillId="32" fontId="4" numFmtId="0" xfId="0" applyFill="1" applyFont="1"/>
    <xf borderId="0" fillId="33" fontId="2" numFmtId="0" xfId="0" applyAlignment="1" applyFill="1" applyFont="1">
      <alignment horizontal="center" readingOrder="0"/>
    </xf>
    <xf borderId="0" fillId="34" fontId="2" numFmtId="0" xfId="0" applyAlignment="1" applyFill="1" applyFont="1">
      <alignment horizontal="center" readingOrder="0"/>
    </xf>
    <xf borderId="0" fillId="3" fontId="14" numFmtId="0" xfId="0" applyAlignment="1" applyFont="1">
      <alignment readingOrder="0"/>
    </xf>
    <xf borderId="0" fillId="15" fontId="2" numFmtId="0" xfId="0" applyAlignment="1" applyFont="1">
      <alignment horizontal="center" readingOrder="0" vertical="center"/>
    </xf>
    <xf borderId="0" fillId="15" fontId="14" numFmtId="0" xfId="0" applyAlignment="1" applyFont="1">
      <alignment horizontal="center" readingOrder="0"/>
    </xf>
    <xf borderId="0" fillId="3" fontId="2" numFmtId="0" xfId="0" applyAlignment="1" applyFont="1">
      <alignment horizontal="center" readingOrder="0" vertical="center"/>
    </xf>
    <xf borderId="0" fillId="35" fontId="7" numFmtId="0" xfId="0" applyAlignment="1" applyFill="1" applyFont="1">
      <alignment horizontal="center" readingOrder="0"/>
    </xf>
    <xf borderId="0" fillId="15" fontId="2" numFmtId="0" xfId="0" applyAlignment="1" applyFont="1">
      <alignment readingOrder="0" vertical="center"/>
    </xf>
    <xf borderId="0" fillId="4" fontId="7" numFmtId="0" xfId="0" applyAlignment="1" applyFont="1">
      <alignment horizontal="center" readingOrder="0"/>
    </xf>
    <xf borderId="0" fillId="4" fontId="15" numFmtId="0" xfId="0" applyAlignment="1" applyFont="1">
      <alignment horizontal="center" readingOrder="0"/>
    </xf>
    <xf borderId="0" fillId="18" fontId="16" numFmtId="0" xfId="0" applyAlignment="1" applyFont="1">
      <alignment horizontal="center" readingOrder="0"/>
    </xf>
    <xf borderId="0" fillId="0" fontId="17" numFmtId="0" xfId="0" applyAlignment="1" applyFont="1">
      <alignment horizontal="left" readingOrder="0" shrinkToFit="0" vertical="bottom" wrapText="0"/>
    </xf>
    <xf borderId="0" fillId="0" fontId="18" numFmtId="0" xfId="0" applyAlignment="1" applyFont="1">
      <alignment horizontal="center" vertical="bottom"/>
    </xf>
    <xf borderId="0" fillId="0" fontId="18" numFmtId="0" xfId="0" applyAlignment="1" applyFont="1">
      <alignment vertical="bottom"/>
    </xf>
    <xf borderId="0" fillId="0" fontId="18" numFmtId="0" xfId="0" applyAlignment="1" applyFont="1">
      <alignment horizontal="center" readingOrder="0" vertical="bottom"/>
    </xf>
    <xf borderId="0" fillId="32" fontId="19" numFmtId="0" xfId="0" applyAlignment="1" applyFont="1">
      <alignment horizontal="center" readingOrder="0"/>
    </xf>
    <xf borderId="0" fillId="36" fontId="7" numFmtId="0" xfId="0" applyAlignment="1" applyFill="1" applyFont="1">
      <alignment horizontal="center" readingOrder="0"/>
    </xf>
    <xf borderId="0" fillId="37" fontId="20" numFmtId="0" xfId="0" applyAlignment="1" applyFill="1" applyFont="1">
      <alignment horizontal="center" readingOrder="0"/>
    </xf>
    <xf borderId="0" fillId="11" fontId="11" numFmtId="0" xfId="0" applyFont="1"/>
    <xf borderId="0" fillId="15" fontId="4" numFmtId="0" xfId="0" applyAlignment="1" applyFont="1">
      <alignment horizontal="left" readingOrder="0" vertical="center"/>
    </xf>
    <xf borderId="0" fillId="30" fontId="14" numFmtId="0" xfId="0" applyAlignment="1" applyFont="1">
      <alignment horizontal="center" readingOrder="0"/>
    </xf>
    <xf borderId="0" fillId="0" fontId="17" numFmtId="0" xfId="0" applyAlignment="1" applyFont="1">
      <alignment horizontal="center" readingOrder="0" shrinkToFit="0" vertical="bottom" wrapText="0"/>
    </xf>
    <xf borderId="0" fillId="38" fontId="7" numFmtId="0" xfId="0" applyAlignment="1" applyFill="1" applyFont="1">
      <alignment horizontal="center" readingOrder="0"/>
    </xf>
    <xf borderId="0" fillId="38" fontId="4" numFmtId="0" xfId="0" applyAlignment="1" applyFont="1">
      <alignment readingOrder="0"/>
    </xf>
    <xf borderId="0" fillId="0" fontId="21" numFmtId="0" xfId="0" applyAlignment="1" applyFont="1">
      <alignment horizontal="center" readingOrder="0"/>
    </xf>
    <xf borderId="0" fillId="24" fontId="7" numFmtId="0" xfId="0" applyAlignment="1" applyFont="1">
      <alignment horizontal="center" readingOrder="0"/>
    </xf>
    <xf borderId="0" fillId="39" fontId="20" numFmtId="0" xfId="0" applyAlignment="1" applyFill="1" applyFont="1">
      <alignment horizontal="center" readingOrder="0"/>
    </xf>
    <xf borderId="0" fillId="40" fontId="22" numFmtId="0" xfId="0" applyAlignment="1" applyFill="1" applyFont="1">
      <alignment horizontal="center" readingOrder="0"/>
    </xf>
    <xf borderId="0" fillId="7" fontId="16" numFmtId="0" xfId="0" applyAlignment="1" applyFont="1">
      <alignment horizontal="center" readingOrder="0"/>
    </xf>
    <xf borderId="0" fillId="41" fontId="4" numFmtId="0" xfId="0" applyAlignment="1" applyFill="1" applyFont="1">
      <alignment horizontal="center" readingOrder="0"/>
    </xf>
    <xf borderId="0" fillId="37" fontId="23" numFmtId="0" xfId="0" applyAlignment="1" applyFont="1">
      <alignment horizontal="center" readingOrder="0"/>
    </xf>
    <xf borderId="0" fillId="42" fontId="2" numFmtId="0" xfId="0" applyAlignment="1" applyFill="1" applyFont="1">
      <alignment horizontal="center" readingOrder="0"/>
    </xf>
    <xf borderId="0" fillId="37" fontId="9" numFmtId="0" xfId="0" applyAlignment="1" applyFont="1">
      <alignment horizontal="center" readingOrder="0"/>
    </xf>
    <xf borderId="0" fillId="42" fontId="4" numFmtId="0" xfId="0" applyAlignment="1" applyFont="1">
      <alignment horizontal="center" readingOrder="0"/>
    </xf>
    <xf borderId="0" fillId="37" fontId="6" numFmtId="0" xfId="0" applyAlignment="1" applyFont="1">
      <alignment horizontal="center" readingOrder="0"/>
    </xf>
    <xf borderId="0" fillId="36" fontId="2" numFmtId="0" xfId="0" applyAlignment="1" applyFont="1">
      <alignment horizontal="center" readingOrder="0"/>
    </xf>
    <xf borderId="0" fillId="11" fontId="23" numFmtId="0" xfId="0" applyAlignment="1" applyFont="1">
      <alignment horizontal="center" readingOrder="0"/>
    </xf>
    <xf borderId="0" fillId="2" fontId="9" numFmtId="0" xfId="0" applyAlignment="1" applyFont="1">
      <alignment horizontal="center" readingOrder="0"/>
    </xf>
    <xf borderId="0" fillId="30" fontId="11" numFmtId="0" xfId="0" applyAlignment="1" applyFont="1">
      <alignment horizontal="center" readingOrder="0"/>
    </xf>
    <xf borderId="0" fillId="2" fontId="10" numFmtId="0" xfId="0" applyAlignment="1" applyFont="1">
      <alignment horizontal="center" vertical="bottom"/>
    </xf>
    <xf borderId="0" fillId="5" fontId="12" numFmtId="0" xfId="0" applyAlignment="1" applyFont="1">
      <alignment horizontal="center" vertical="bottom"/>
    </xf>
    <xf borderId="0" fillId="21" fontId="4" numFmtId="0" xfId="0" applyAlignment="1" applyFont="1">
      <alignment horizontal="center" readingOrder="0"/>
    </xf>
    <xf borderId="0" fillId="21" fontId="4" numFmtId="0" xfId="0" applyAlignment="1" applyFont="1">
      <alignment horizontal="center"/>
    </xf>
    <xf borderId="0" fillId="37" fontId="24" numFmtId="0" xfId="0" applyAlignment="1" applyFont="1">
      <alignment horizontal="center" readingOrder="0" vertical="bottom"/>
    </xf>
    <xf borderId="0" fillId="0" fontId="12" numFmtId="0" xfId="0" applyAlignment="1" applyFont="1">
      <alignment horizontal="center" readingOrder="0" vertical="bottom"/>
    </xf>
    <xf borderId="0" fillId="43" fontId="2" numFmtId="0" xfId="0" applyAlignment="1" applyFill="1" applyFont="1">
      <alignment horizontal="center" readingOrder="0"/>
    </xf>
    <xf borderId="0" fillId="43" fontId="4" numFmtId="0" xfId="0" applyAlignment="1" applyFont="1">
      <alignment horizontal="center" readingOrder="0"/>
    </xf>
    <xf borderId="0" fillId="44" fontId="25" numFmtId="0" xfId="0" applyAlignment="1" applyFill="1" applyFont="1">
      <alignment horizontal="center" readingOrder="0"/>
    </xf>
    <xf borderId="0" fillId="45" fontId="7" numFmtId="0" xfId="0" applyAlignment="1" applyFill="1" applyFont="1">
      <alignment horizontal="center" readingOrder="0"/>
    </xf>
    <xf borderId="0" fillId="44" fontId="10" numFmtId="0" xfId="0" applyAlignment="1" applyFont="1">
      <alignment horizontal="center" vertical="bottom"/>
    </xf>
    <xf borderId="0" fillId="44" fontId="6" numFmtId="0" xfId="0" applyAlignment="1" applyFont="1">
      <alignment horizontal="center" readingOrder="0"/>
    </xf>
    <xf borderId="0" fillId="11" fontId="25" numFmtId="0" xfId="0" applyAlignment="1" applyFont="1">
      <alignment horizontal="center" readingOrder="0"/>
    </xf>
    <xf borderId="0" fillId="36" fontId="15" numFmtId="0" xfId="0" applyAlignment="1" applyFont="1">
      <alignment horizontal="center" readingOrder="0"/>
    </xf>
    <xf borderId="0" fillId="45" fontId="2" numFmtId="0" xfId="0" applyAlignment="1" applyFont="1">
      <alignment horizontal="center" readingOrder="0"/>
    </xf>
    <xf borderId="0" fillId="45" fontId="12" numFmtId="0" xfId="0" applyAlignment="1" applyFont="1">
      <alignment horizontal="center" vertical="bottom"/>
    </xf>
    <xf borderId="0" fillId="45" fontId="4" numFmtId="0" xfId="0" applyAlignment="1" applyFont="1">
      <alignment readingOrder="0" vertical="center"/>
    </xf>
    <xf borderId="0" fillId="45" fontId="4" numFmtId="0" xfId="0" applyAlignment="1" applyFont="1">
      <alignment horizontal="center" readingOrder="0"/>
    </xf>
    <xf borderId="0" fillId="45" fontId="4" numFmtId="0" xfId="0" applyAlignment="1" applyFont="1">
      <alignment horizontal="center"/>
    </xf>
    <xf borderId="0" fillId="43" fontId="4" numFmtId="0" xfId="0" applyAlignment="1" applyFont="1">
      <alignment horizontal="center"/>
    </xf>
    <xf borderId="0" fillId="35" fontId="4" numFmtId="0" xfId="0" applyAlignment="1" applyFont="1">
      <alignment horizontal="center" readingOrder="0"/>
    </xf>
    <xf borderId="0" fillId="35" fontId="2" numFmtId="0" xfId="0" applyAlignment="1" applyFont="1">
      <alignment horizontal="center" readingOrder="0"/>
    </xf>
    <xf borderId="0" fillId="32" fontId="9" numFmtId="0" xfId="0" applyAlignment="1" applyFont="1">
      <alignment horizontal="center" readingOrder="0"/>
    </xf>
    <xf borderId="0" fillId="26" fontId="2" numFmtId="0" xfId="0" applyAlignment="1" applyFont="1">
      <alignment horizontal="center" readingOrder="0"/>
    </xf>
    <xf borderId="0" fillId="22" fontId="2" numFmtId="0" xfId="0" applyAlignment="1" applyFont="1">
      <alignment horizontal="center" readingOrder="0"/>
    </xf>
    <xf borderId="0" fillId="13" fontId="7" numFmtId="0" xfId="0" applyAlignment="1" applyFont="1">
      <alignment horizontal="center" readingOrder="0"/>
    </xf>
    <xf borderId="0" fillId="34" fontId="7" numFmtId="0" xfId="0" applyAlignment="1" applyFont="1">
      <alignment horizontal="center" readingOrder="0"/>
    </xf>
    <xf borderId="0" fillId="32" fontId="13" numFmtId="0" xfId="0" applyAlignment="1" applyFont="1">
      <alignment horizontal="center" readingOrder="0"/>
    </xf>
    <xf borderId="0" fillId="18" fontId="9" numFmtId="0" xfId="0" applyAlignment="1" applyFont="1">
      <alignment horizontal="center" readingOrder="0"/>
    </xf>
    <xf borderId="0" fillId="13" fontId="2" numFmtId="0" xfId="0" applyAlignment="1" applyFont="1">
      <alignment horizontal="center" readingOrder="0"/>
    </xf>
    <xf borderId="0" fillId="11" fontId="9" numFmtId="0" xfId="0" applyAlignment="1" applyFont="1">
      <alignment horizontal="center" readingOrder="0"/>
    </xf>
    <xf borderId="0" fillId="13" fontId="4" numFmtId="0" xfId="0" applyAlignment="1" applyFont="1">
      <alignment readingOrder="0" vertical="center"/>
    </xf>
    <xf borderId="0" fillId="22" fontId="4" numFmtId="0" xfId="0" applyAlignment="1" applyFont="1">
      <alignment horizontal="center" readingOrder="0"/>
    </xf>
    <xf borderId="0" fillId="22" fontId="4" numFmtId="0" xfId="0" applyAlignment="1" applyFont="1">
      <alignment horizontal="center"/>
    </xf>
    <xf borderId="0" fillId="35" fontId="4" numFmtId="0" xfId="0" applyAlignment="1" applyFont="1">
      <alignment horizontal="center"/>
    </xf>
    <xf borderId="0" fillId="13" fontId="4" numFmtId="0" xfId="0" applyAlignment="1" applyFont="1">
      <alignment horizontal="center" readingOrder="0"/>
    </xf>
    <xf borderId="0" fillId="24" fontId="8" numFmtId="0" xfId="0" applyAlignment="1" applyFont="1">
      <alignment horizontal="center" vertical="bottom"/>
    </xf>
    <xf borderId="0" fillId="13" fontId="4" numFmtId="0" xfId="0" applyAlignment="1" applyFont="1">
      <alignment horizontal="center"/>
    </xf>
    <xf borderId="0" fillId="39" fontId="26" numFmtId="0" xfId="0" applyAlignment="1" applyFont="1">
      <alignment horizontal="center" vertical="bottom"/>
    </xf>
    <xf borderId="0" fillId="11" fontId="14" numFmtId="0" xfId="0" applyAlignment="1" applyFont="1">
      <alignment horizontal="center" readingOrder="0"/>
    </xf>
    <xf borderId="0" fillId="32" fontId="1" numFmtId="0" xfId="0" applyAlignment="1" applyFont="1">
      <alignment horizontal="center" readingOrder="0"/>
    </xf>
    <xf borderId="0" fillId="44" fontId="13" numFmtId="0" xfId="0" applyAlignment="1" applyFont="1">
      <alignment horizontal="center" readingOrder="0"/>
    </xf>
    <xf borderId="0" fillId="44" fontId="23" numFmtId="0" xfId="0" applyAlignment="1" applyFont="1">
      <alignment horizontal="center" readingOrder="0"/>
    </xf>
    <xf borderId="0" fillId="44" fontId="9" numFmtId="0" xfId="0" applyAlignment="1" applyFont="1">
      <alignment horizontal="center" readingOrder="0"/>
    </xf>
    <xf borderId="0" fillId="45" fontId="11" numFmtId="0" xfId="0" applyAlignment="1" applyFont="1">
      <alignment horizontal="center" readingOrder="0"/>
    </xf>
    <xf borderId="0" fillId="13" fontId="4" numFmtId="0" xfId="0" applyAlignment="1" applyFont="1">
      <alignment horizontal="left" readingOrder="0" vertical="center"/>
    </xf>
    <xf borderId="0" fillId="38" fontId="4" numFmtId="0" xfId="0" applyAlignment="1" applyFont="1">
      <alignment horizontal="center" readingOrder="0"/>
    </xf>
    <xf borderId="0" fillId="38" fontId="4" numFmtId="0" xfId="0" applyAlignment="1" applyFont="1">
      <alignment horizontal="center"/>
    </xf>
    <xf borderId="0" fillId="0" fontId="21" numFmtId="0" xfId="0" applyAlignment="1" applyFont="1">
      <alignment readingOrder="0"/>
    </xf>
    <xf borderId="0" fillId="10" fontId="4" numFmtId="0" xfId="0" applyAlignment="1" applyFont="1">
      <alignment readingOrder="0"/>
    </xf>
    <xf borderId="0" fillId="34" fontId="14" numFmtId="0" xfId="0" applyAlignment="1" applyFont="1">
      <alignment horizontal="center" readingOrder="0"/>
    </xf>
    <xf borderId="0" fillId="46" fontId="4" numFmtId="0" xfId="0" applyAlignment="1" applyFill="1" applyFont="1">
      <alignment horizontal="center" readingOrder="0"/>
    </xf>
    <xf borderId="0" fillId="46" fontId="2" numFmtId="0" xfId="0" applyAlignment="1" applyFont="1">
      <alignment horizontal="center" readingOrder="0"/>
    </xf>
    <xf borderId="0" fillId="47" fontId="27" numFmtId="0" xfId="0" applyAlignment="1" applyFill="1" applyFont="1">
      <alignment horizontal="center" readingOrder="0"/>
    </xf>
    <xf borderId="0" fillId="48" fontId="7" numFmtId="0" xfId="0" applyAlignment="1" applyFill="1" applyFont="1">
      <alignment horizontal="center" readingOrder="0"/>
    </xf>
    <xf borderId="0" fillId="47" fontId="13" numFmtId="0" xfId="0" applyAlignment="1" applyFont="1">
      <alignment horizontal="center" readingOrder="0"/>
    </xf>
    <xf borderId="0" fillId="47" fontId="9" numFmtId="0" xfId="0" applyAlignment="1" applyFont="1">
      <alignment horizontal="center" readingOrder="0"/>
    </xf>
    <xf borderId="0" fillId="48" fontId="2" numFmtId="0" xfId="0" applyAlignment="1" applyFont="1">
      <alignment horizontal="center" readingOrder="0"/>
    </xf>
    <xf borderId="0" fillId="11" fontId="27" numFmtId="0" xfId="0" applyAlignment="1" applyFont="1">
      <alignment horizontal="center" readingOrder="0"/>
    </xf>
    <xf borderId="0" fillId="5" fontId="4" numFmtId="0" xfId="0" applyAlignment="1" applyFont="1">
      <alignment readingOrder="0" vertical="center"/>
    </xf>
    <xf borderId="0" fillId="35" fontId="15" numFmtId="0" xfId="0" applyAlignment="1" applyFont="1">
      <alignment horizontal="center" readingOrder="0"/>
    </xf>
    <xf borderId="0" fillId="5" fontId="4" numFmtId="0" xfId="0" applyAlignment="1" applyFont="1">
      <alignment horizontal="center" readingOrder="0"/>
    </xf>
    <xf borderId="0" fillId="5" fontId="4" numFmtId="0" xfId="0" applyAlignment="1" applyFont="1">
      <alignment horizontal="center"/>
    </xf>
    <xf borderId="0" fillId="42" fontId="4" numFmtId="0" xfId="0" applyAlignment="1" applyFont="1">
      <alignment horizontal="center"/>
    </xf>
    <xf borderId="0" fillId="47" fontId="24" numFmtId="0" xfId="0" applyAlignment="1" applyFont="1">
      <alignment horizontal="center" readingOrder="0" vertical="bottom"/>
    </xf>
    <xf borderId="0" fillId="0" fontId="28" numFmtId="0" xfId="0" applyAlignment="1" applyFont="1">
      <alignment horizontal="left" readingOrder="0" shrinkToFit="0" vertical="bottom" wrapText="0"/>
    </xf>
    <xf borderId="0" fillId="11" fontId="7" numFmtId="0" xfId="0" applyAlignment="1" applyFont="1">
      <alignment horizontal="center" readingOrder="0"/>
    </xf>
    <xf borderId="0" fillId="4" fontId="14" numFmtId="0" xfId="0" applyAlignment="1" applyFont="1">
      <alignment horizontal="center" readingOrder="0"/>
    </xf>
    <xf borderId="0" fillId="11" fontId="4" numFmtId="0" xfId="0" applyAlignment="1" applyFont="1">
      <alignment horizontal="left" readingOrder="0"/>
    </xf>
    <xf borderId="0" fillId="11" fontId="29" numFmtId="0" xfId="0" applyAlignment="1" applyFont="1">
      <alignment horizontal="center" readingOrder="0"/>
    </xf>
    <xf borderId="0" fillId="35" fontId="8" numFmtId="0" xfId="0" applyAlignment="1" applyFont="1">
      <alignment horizontal="center" vertical="bottom"/>
    </xf>
    <xf borderId="0" fillId="24" fontId="15" numFmtId="0" xfId="0" applyAlignment="1" applyFont="1">
      <alignment horizontal="center" readingOrder="0"/>
    </xf>
    <xf borderId="0" fillId="21" fontId="2" numFmtId="0" xfId="0" applyAlignment="1" applyFont="1">
      <alignment horizontal="center" readingOrder="0"/>
    </xf>
    <xf borderId="0" fillId="7" fontId="10" numFmtId="0" xfId="0" applyAlignment="1" applyFont="1">
      <alignment horizontal="center" vertical="bottom"/>
    </xf>
    <xf borderId="0" fillId="40" fontId="30" numFmtId="0" xfId="0" applyAlignment="1" applyFont="1">
      <alignment horizontal="center" readingOrder="0"/>
    </xf>
    <xf borderId="0" fillId="25" fontId="7" numFmtId="0" xfId="0" applyAlignment="1" applyFont="1">
      <alignment horizontal="center" readingOrder="0"/>
    </xf>
    <xf borderId="0" fillId="34" fontId="12" numFmtId="0" xfId="0" applyAlignment="1" applyFont="1">
      <alignment horizontal="center" vertical="bottom"/>
    </xf>
    <xf borderId="0" fillId="8" fontId="4" numFmtId="0" xfId="0" applyAlignment="1" applyFont="1">
      <alignment horizontal="left" readingOrder="0" vertical="center"/>
    </xf>
    <xf borderId="0" fillId="49" fontId="4" numFmtId="0" xfId="0" applyAlignment="1" applyFill="1" applyFont="1">
      <alignment horizontal="center" readingOrder="0"/>
    </xf>
    <xf borderId="0" fillId="40" fontId="9" numFmtId="0" xfId="0" applyAlignment="1" applyFont="1">
      <alignment horizontal="center" readingOrder="0"/>
    </xf>
    <xf borderId="0" fillId="49" fontId="2" numFmtId="0" xfId="0" applyAlignment="1" applyFont="1">
      <alignment horizontal="center" readingOrder="0"/>
    </xf>
    <xf borderId="0" fillId="11" fontId="30" numFmtId="0" xfId="0" applyAlignment="1" applyFont="1">
      <alignment horizontal="center" readingOrder="0"/>
    </xf>
    <xf borderId="0" fillId="40" fontId="5" numFmtId="0" xfId="0" applyAlignment="1" applyFont="1">
      <alignment horizontal="center" readingOrder="0"/>
    </xf>
    <xf borderId="0" fillId="0" fontId="31" numFmtId="0" xfId="0" applyAlignment="1" applyFont="1">
      <alignment readingOrder="0"/>
    </xf>
    <xf borderId="0" fillId="25" fontId="2" numFmtId="0" xfId="0" applyAlignment="1" applyFont="1">
      <alignment horizontal="center" readingOrder="0"/>
    </xf>
    <xf borderId="0" fillId="40" fontId="27" numFmtId="0" xfId="0" applyAlignment="1" applyFont="1">
      <alignment horizontal="center" readingOrder="0"/>
    </xf>
    <xf borderId="0" fillId="0" fontId="32" numFmtId="0" xfId="0" applyAlignment="1" applyFont="1">
      <alignment readingOrder="0"/>
    </xf>
    <xf borderId="0" fillId="25" fontId="11" numFmtId="0" xfId="0" applyAlignment="1" applyFont="1">
      <alignment horizontal="center" readingOrder="0"/>
    </xf>
    <xf borderId="0" fillId="40" fontId="10" numFmtId="0" xfId="0" applyAlignment="1" applyFont="1">
      <alignment horizontal="center" vertical="bottom"/>
    </xf>
    <xf borderId="0" fillId="25" fontId="4" numFmtId="0" xfId="0" applyAlignment="1" applyFont="1">
      <alignment readingOrder="0" vertical="center"/>
    </xf>
    <xf borderId="0" fillId="25" fontId="4" numFmtId="0" xfId="0" applyAlignment="1" applyFont="1">
      <alignment horizontal="center" readingOrder="0"/>
    </xf>
    <xf borderId="0" fillId="0" fontId="33" numFmtId="0" xfId="0" applyAlignment="1" applyFont="1">
      <alignment readingOrder="0"/>
    </xf>
    <xf borderId="0" fillId="25" fontId="4" numFmtId="0" xfId="0" applyAlignment="1" applyFont="1">
      <alignment horizontal="center"/>
    </xf>
    <xf borderId="0" fillId="50" fontId="4" numFmtId="0" xfId="0" applyAlignment="1" applyFill="1" applyFont="1">
      <alignment horizontal="center" readingOrder="0"/>
    </xf>
    <xf borderId="0" fillId="50" fontId="4" numFmtId="0" xfId="0" applyAlignment="1" applyFont="1">
      <alignment horizontal="center"/>
    </xf>
    <xf borderId="0" fillId="29" fontId="14" numFmtId="0" xfId="0" applyAlignment="1" applyFont="1">
      <alignment horizontal="center"/>
    </xf>
    <xf borderId="0" fillId="0" fontId="18" numFmtId="0" xfId="0" applyAlignment="1" applyFont="1">
      <alignment horizontal="center" vertical="bottom"/>
    </xf>
    <xf borderId="0" fillId="4" fontId="8" numFmtId="0" xfId="0" applyAlignment="1" applyFont="1">
      <alignment horizontal="center" vertical="bottom"/>
    </xf>
    <xf borderId="0" fillId="7" fontId="34" numFmtId="0" xfId="0" applyAlignment="1" applyFont="1">
      <alignment horizontal="center" vertical="bottom"/>
    </xf>
    <xf borderId="0" fillId="4" fontId="8" numFmtId="0" xfId="0" applyAlignment="1" applyFont="1">
      <alignment horizontal="center" vertical="bottom"/>
    </xf>
    <xf borderId="0" fillId="7" fontId="34" numFmtId="0" xfId="0" applyAlignment="1" applyFont="1">
      <alignment horizontal="center" vertical="bottom"/>
    </xf>
    <xf borderId="0" fillId="0" fontId="8" numFmtId="0" xfId="0" applyAlignment="1" applyFont="1">
      <alignment horizontal="center" vertical="bottom"/>
    </xf>
    <xf borderId="0" fillId="5" fontId="21" numFmtId="0" xfId="0" applyAlignment="1" applyFont="1">
      <alignment horizontal="center" readingOrder="0"/>
    </xf>
    <xf borderId="0" fillId="51" fontId="4" numFmtId="0" xfId="0" applyAlignment="1" applyFill="1" applyFont="1">
      <alignment horizontal="center"/>
    </xf>
    <xf borderId="0" fillId="45" fontId="4" numFmtId="0" xfId="0" applyAlignment="1" applyFont="1">
      <alignment horizontal="left" readingOrder="0" vertical="center"/>
    </xf>
    <xf borderId="0" fillId="52" fontId="4" numFmtId="0" xfId="0" applyAlignment="1" applyFill="1" applyFont="1">
      <alignment readingOrder="0"/>
    </xf>
    <xf borderId="0" fillId="53" fontId="35" numFmtId="0" xfId="0" applyAlignment="1" applyFill="1" applyFont="1">
      <alignment horizontal="center" readingOrder="0"/>
    </xf>
    <xf borderId="0" fillId="31" fontId="14" numFmtId="0" xfId="0" applyAlignment="1" applyFont="1">
      <alignment horizontal="center" readingOrder="0"/>
    </xf>
    <xf borderId="0" fillId="14" fontId="4" numFmtId="0" xfId="0" applyAlignment="1" applyFont="1">
      <alignment readingOrder="0"/>
    </xf>
    <xf borderId="0" fillId="17" fontId="2" numFmtId="0" xfId="0" applyAlignment="1" applyFont="1">
      <alignment horizontal="center" readingOrder="0"/>
    </xf>
    <xf borderId="0" fillId="53" fontId="36" numFmtId="0" xfId="0" applyAlignment="1" applyFont="1">
      <alignment horizontal="center" readingOrder="0"/>
    </xf>
    <xf borderId="0" fillId="5" fontId="37" numFmtId="0" xfId="0" applyAlignment="1" applyFont="1">
      <alignment horizontal="center" readingOrder="0"/>
    </xf>
    <xf borderId="0" fillId="52" fontId="4" numFmtId="0" xfId="0" applyAlignment="1" applyFont="1">
      <alignment horizontal="center" readingOrder="0"/>
    </xf>
    <xf borderId="0" fillId="38" fontId="15" numFmtId="0" xfId="0" applyAlignment="1" applyFont="1">
      <alignment horizontal="center" readingOrder="0"/>
    </xf>
    <xf borderId="0" fillId="0" fontId="4" numFmtId="164" xfId="0" applyAlignment="1" applyFont="1" applyNumberFormat="1">
      <alignment readingOrder="0"/>
    </xf>
    <xf borderId="0" fillId="0" fontId="4" numFmtId="164" xfId="0" applyAlignment="1" applyFont="1" applyNumberFormat="1">
      <alignment horizontal="center" readingOrder="0"/>
    </xf>
    <xf borderId="0" fillId="54" fontId="2" numFmtId="0" xfId="0" applyAlignment="1" applyFill="1" applyFont="1">
      <alignment horizontal="center" readingOrder="0"/>
    </xf>
    <xf borderId="0" fillId="32" fontId="38" numFmtId="0" xfId="0" applyAlignment="1" applyFont="1">
      <alignment horizontal="center" readingOrder="0"/>
    </xf>
    <xf borderId="0" fillId="32" fontId="39" numFmtId="0" xfId="0" applyAlignment="1" applyFont="1">
      <alignment horizontal="center" readingOrder="0"/>
    </xf>
    <xf borderId="0" fillId="55" fontId="2" numFmtId="0" xfId="0" applyAlignment="1" applyFill="1" applyFont="1">
      <alignment horizontal="center" readingOrder="0"/>
    </xf>
    <xf borderId="0" fillId="43" fontId="4" numFmtId="0" xfId="0" applyAlignment="1" applyFont="1">
      <alignment readingOrder="0"/>
    </xf>
    <xf borderId="0" fillId="32" fontId="40" numFmtId="0" xfId="0" applyAlignment="1" applyFont="1">
      <alignment horizontal="center" readingOrder="0"/>
    </xf>
    <xf borderId="0" fillId="56" fontId="2" numFmtId="0" xfId="0" applyAlignment="1" applyFill="1" applyFont="1">
      <alignment horizontal="center" readingOrder="0"/>
    </xf>
    <xf borderId="0" fillId="14" fontId="2" numFmtId="0" xfId="0" applyAlignment="1" applyFont="1">
      <alignment horizontal="center" readingOrder="0"/>
    </xf>
    <xf borderId="0" fillId="11" fontId="41" numFmtId="0" xfId="0" applyAlignment="1" applyFont="1">
      <alignment readingOrder="0"/>
    </xf>
    <xf borderId="0" fillId="11" fontId="42" numFmtId="0" xfId="0" applyAlignment="1" applyFont="1">
      <alignment readingOrder="0"/>
    </xf>
    <xf borderId="0" fillId="8" fontId="43" numFmtId="0" xfId="0" applyAlignment="1" applyFont="1">
      <alignment horizontal="center" readingOrder="0" shrinkToFit="0" vertical="bottom" wrapText="0"/>
    </xf>
    <xf borderId="0" fillId="0" fontId="28" numFmtId="0" xfId="0" applyAlignment="1" applyFont="1">
      <alignment horizontal="left" shrinkToFit="0" vertical="bottom" wrapText="0"/>
    </xf>
    <xf borderId="0" fillId="0" fontId="43" numFmtId="0" xfId="0" applyAlignment="1" applyFont="1">
      <alignment horizontal="center" readingOrder="0" shrinkToFit="0" vertical="bottom" wrapText="0"/>
    </xf>
    <xf borderId="0" fillId="30" fontId="43" numFmtId="0" xfId="0" applyAlignment="1" applyFont="1">
      <alignment horizontal="center" readingOrder="0" shrinkToFit="0" vertical="bottom" wrapText="0"/>
    </xf>
    <xf borderId="0" fillId="11" fontId="0" numFmtId="0" xfId="0" applyAlignment="1" applyFont="1">
      <alignment horizontal="left" readingOrder="0" shrinkToFit="0" vertical="bottom" wrapText="0"/>
    </xf>
    <xf borderId="0" fillId="11" fontId="31" numFmtId="0" xfId="0" applyAlignment="1" applyFont="1">
      <alignment readingOrder="0"/>
    </xf>
    <xf borderId="0" fillId="11" fontId="0" numFmtId="0" xfId="0" applyAlignment="1" applyFont="1">
      <alignment horizontal="left" readingOrder="0"/>
    </xf>
    <xf borderId="0" fillId="0" fontId="12" numFmtId="0" xfId="0" applyAlignment="1" applyFont="1">
      <alignment readingOrder="0" vertical="bottom"/>
    </xf>
    <xf borderId="0" fillId="0" fontId="44" numFmtId="0" xfId="0" applyAlignment="1" applyFont="1">
      <alignment readingOrder="0"/>
    </xf>
    <xf borderId="0" fillId="0" fontId="28" numFmtId="0" xfId="0" applyAlignment="1" applyFont="1">
      <alignment horizontal="center" readingOrder="0" shrinkToFit="0" vertical="bottom" wrapText="0"/>
    </xf>
    <xf borderId="0" fillId="0" fontId="28" numFmtId="0" xfId="0" applyAlignment="1" applyFont="1">
      <alignment horizontal="center" shrinkToFit="0" vertical="bottom" wrapText="0"/>
    </xf>
    <xf borderId="0" fillId="0" fontId="45" numFmtId="0" xfId="0" applyAlignment="1" applyFont="1">
      <alignment horizontal="center" readingOrder="0"/>
    </xf>
    <xf borderId="0" fillId="0" fontId="31" numFmtId="0" xfId="0" applyAlignment="1" applyFont="1">
      <alignment horizontal="center" readingOrder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33" numFmtId="0" xfId="0" applyAlignment="1" applyFont="1">
      <alignment horizontal="center"/>
    </xf>
    <xf borderId="0" fillId="0" fontId="0" numFmtId="0" xfId="0" applyAlignment="1" applyFont="1">
      <alignment horizontal="center" shrinkToFit="0" vertical="bottom" wrapText="0"/>
    </xf>
    <xf borderId="0" fillId="0" fontId="11" numFmtId="0" xfId="0" applyAlignment="1" applyFont="1">
      <alignment horizontal="center"/>
    </xf>
    <xf borderId="0" fillId="0" fontId="31" numFmtId="0" xfId="0" applyAlignment="1" applyFont="1">
      <alignment horizontal="center"/>
    </xf>
    <xf borderId="0" fillId="41" fontId="2" numFmtId="0" xfId="0" applyAlignment="1" applyFont="1">
      <alignment horizontal="center" readingOrder="0"/>
    </xf>
    <xf borderId="0" fillId="0" fontId="46" numFmtId="0" xfId="0" applyAlignment="1" applyFont="1">
      <alignment horizontal="center" readingOrder="0"/>
    </xf>
    <xf borderId="0" fillId="0" fontId="46" numFmtId="0" xfId="0" applyAlignment="1" applyFont="1">
      <alignment horizontal="center"/>
    </xf>
    <xf borderId="0" fillId="0" fontId="28" numFmtId="0" xfId="0" applyAlignment="1" applyFont="1">
      <alignment readingOrder="0"/>
    </xf>
    <xf borderId="0" fillId="0" fontId="4" numFmtId="165" xfId="0" applyAlignment="1" applyFont="1" applyNumberFormat="1">
      <alignment horizontal="center" readingOrder="0"/>
    </xf>
    <xf borderId="0" fillId="11" fontId="47" numFmtId="0" xfId="0" applyAlignment="1" applyFont="1">
      <alignment horizontal="center" readingOrder="0"/>
    </xf>
    <xf borderId="0" fillId="47" fontId="48" numFmtId="0" xfId="0" applyAlignment="1" applyFont="1">
      <alignment horizontal="center" readingOrder="0"/>
    </xf>
    <xf borderId="0" fillId="5" fontId="4" numFmtId="0" xfId="0" applyAlignment="1" applyFont="1">
      <alignment horizontal="center" readingOrder="0" vertical="center"/>
    </xf>
    <xf borderId="0" fillId="2" fontId="9" numFmtId="0" xfId="0" applyAlignment="1" applyFont="1">
      <alignment readingOrder="0"/>
    </xf>
    <xf borderId="0" fillId="2" fontId="9" numFmtId="0" xfId="0" applyFont="1"/>
    <xf borderId="0" fillId="2" fontId="36" numFmtId="0" xfId="0" applyAlignment="1" applyFont="1">
      <alignment horizontal="center" readingOrder="0"/>
    </xf>
    <xf borderId="0" fillId="0" fontId="4" numFmtId="1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30.25"/>
    <col customWidth="1" min="3" max="3" width="13.5"/>
    <col customWidth="1" min="4" max="5" width="46.25"/>
    <col customWidth="1" min="6" max="6" width="36.0"/>
    <col customWidth="1" min="7" max="7" width="42.75"/>
    <col customWidth="1" min="8" max="8" width="26.13"/>
    <col customWidth="1" min="9" max="9" width="23.88"/>
    <col customWidth="1" min="10" max="10" width="34.75"/>
    <col customWidth="1" min="11" max="11" width="46.13"/>
    <col customWidth="1" min="12" max="12" width="23.75"/>
    <col customWidth="1" min="13" max="13" width="20.5"/>
    <col customWidth="1" min="14" max="14" width="26.0"/>
    <col customWidth="1" min="15" max="15" width="25.75"/>
    <col customWidth="1" min="16" max="16" width="23.75"/>
    <col customWidth="1" min="17" max="17" width="59.13"/>
  </cols>
  <sheetData>
    <row r="1">
      <c r="A1" s="1" t="s">
        <v>0</v>
      </c>
      <c r="D1" s="1" t="s">
        <v>2</v>
      </c>
    </row>
    <row r="2">
      <c r="A2" s="4" t="s">
        <v>4</v>
      </c>
      <c r="B2" s="4" t="s">
        <v>8</v>
      </c>
      <c r="D2" s="6" t="s">
        <v>9</v>
      </c>
      <c r="E2" s="6" t="s">
        <v>11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6" t="s">
        <v>18</v>
      </c>
      <c r="M2" s="6" t="s">
        <v>19</v>
      </c>
      <c r="N2" s="6" t="s">
        <v>20</v>
      </c>
      <c r="O2" s="6" t="s">
        <v>21</v>
      </c>
      <c r="P2" s="6" t="s">
        <v>22</v>
      </c>
      <c r="Q2" s="6" t="s">
        <v>23</v>
      </c>
    </row>
    <row r="3">
      <c r="A3" s="9" t="s">
        <v>19</v>
      </c>
      <c r="B3" s="16">
        <f>Scotland!A4</f>
        <v>8707840</v>
      </c>
      <c r="D3" s="27" t="str">
        <f t="array" ref="D3:D15">Australia!B7:B19</f>
        <v>Level 3 Stadiums</v>
      </c>
      <c r="E3" s="27" t="str">
        <f t="array" ref="E3:E15">Bangladesh!B7:B19</f>
        <v>Level 3 Stadiums</v>
      </c>
      <c r="F3" s="27" t="str">
        <f t="array" ref="F3:F21">England!B8:B26</f>
        <v>Level 3 Stadiums</v>
      </c>
      <c r="G3" s="27" t="str">
        <f t="array" ref="G3:G12">India!B7:B16</f>
        <v>Level 3 Stadiums</v>
      </c>
      <c r="H3" s="27" t="str">
        <f t="array" ref="H3:H11">Italy!B7:B15</f>
        <v>Level 3 Stadiums</v>
      </c>
      <c r="I3" s="27" t="str">
        <f t="array" ref="I3:I13">Netherlands!B7:B17</f>
        <v>Level 3 Stadiums</v>
      </c>
      <c r="J3" s="27" t="str">
        <f t="array" ref="J3:J14">Newzealand!B7:B18</f>
        <v>Level 3 Stadiums</v>
      </c>
      <c r="K3" s="27" t="str">
        <f t="array" ref="K3:K15">Pakistan!B7:B19</f>
        <v>Level 3 Stadiums</v>
      </c>
      <c r="L3" s="27" t="str">
        <f t="array" ref="L3:L14">Qatar!B7:B18</f>
        <v>Level 3 Stadiums</v>
      </c>
      <c r="M3" s="27" t="str">
        <f t="array" ref="M3:M14">Scotland!C7:C18</f>
        <v>Level 3 Stadiums</v>
      </c>
      <c r="N3" s="27" t="str">
        <f t="array" ref="N3:N14">SA!B7:B18</f>
        <v>Level 3 Stadiums</v>
      </c>
      <c r="O3" s="27" t="str">
        <f t="array" ref="O3:O14">Srilanka!B7:B18</f>
        <v>Level 3 Stadiums</v>
      </c>
      <c r="P3" s="27" t="str">
        <f t="array" ref="P3:P14">UAE!B7:B18</f>
        <v>Level 3 Stadiums</v>
      </c>
      <c r="Q3" s="27" t="str">
        <f t="array" ref="Q3:Q15">WestIndies!B7:B19</f>
        <v>Level 3 Stadiums</v>
      </c>
    </row>
    <row r="4">
      <c r="A4" s="9" t="s">
        <v>9</v>
      </c>
      <c r="B4" s="16">
        <f>Australia!A4</f>
        <v>2705735</v>
      </c>
      <c r="D4" s="16" t="s">
        <v>105</v>
      </c>
      <c r="E4" s="16" t="s">
        <v>69</v>
      </c>
      <c r="F4" s="16" t="s">
        <v>178</v>
      </c>
      <c r="G4" s="16" t="s">
        <v>182</v>
      </c>
      <c r="H4" s="16" t="s">
        <v>186</v>
      </c>
      <c r="I4" s="16" t="s">
        <v>190</v>
      </c>
      <c r="J4" s="16" t="s">
        <v>192</v>
      </c>
      <c r="K4" s="16" t="s">
        <v>197</v>
      </c>
      <c r="L4" s="16" t="s">
        <v>200</v>
      </c>
      <c r="M4" s="16" t="s">
        <v>202</v>
      </c>
      <c r="N4" s="16" t="s">
        <v>204</v>
      </c>
      <c r="O4" s="16" t="s">
        <v>207</v>
      </c>
      <c r="P4" s="16" t="s">
        <v>209</v>
      </c>
      <c r="Q4" s="16" t="s">
        <v>210</v>
      </c>
    </row>
    <row r="5">
      <c r="A5" s="9" t="s">
        <v>16</v>
      </c>
      <c r="B5" s="16">
        <f>Newzealand!A4</f>
        <v>2170385</v>
      </c>
      <c r="D5" s="16" t="s">
        <v>132</v>
      </c>
      <c r="E5" s="16" t="s">
        <v>85</v>
      </c>
      <c r="F5" s="16" t="s">
        <v>213</v>
      </c>
      <c r="G5" s="16" t="s">
        <v>214</v>
      </c>
      <c r="H5" s="27" t="s">
        <v>170</v>
      </c>
      <c r="I5" s="16" t="s">
        <v>217</v>
      </c>
      <c r="J5" s="16" t="s">
        <v>218</v>
      </c>
      <c r="K5" s="16" t="s">
        <v>220</v>
      </c>
      <c r="L5" s="16" t="s">
        <v>223</v>
      </c>
      <c r="M5" s="53" t="s">
        <v>224</v>
      </c>
      <c r="N5" s="16" t="s">
        <v>229</v>
      </c>
      <c r="O5" s="16" t="s">
        <v>230</v>
      </c>
      <c r="P5" s="27" t="s">
        <v>170</v>
      </c>
      <c r="Q5" s="16" t="s">
        <v>232</v>
      </c>
    </row>
    <row r="6">
      <c r="A6" s="9" t="s">
        <v>11</v>
      </c>
      <c r="B6" s="16">
        <f>Bangladesh!A4</f>
        <v>1590870</v>
      </c>
      <c r="D6" s="16" t="s">
        <v>158</v>
      </c>
      <c r="E6" s="16" t="s">
        <v>96</v>
      </c>
      <c r="F6" s="16" t="s">
        <v>235</v>
      </c>
      <c r="G6" s="53" t="s">
        <v>238</v>
      </c>
      <c r="H6" s="16" t="s">
        <v>177</v>
      </c>
      <c r="I6" s="27" t="s">
        <v>170</v>
      </c>
      <c r="J6" s="16" t="s">
        <v>243</v>
      </c>
      <c r="K6" s="16" t="s">
        <v>245</v>
      </c>
      <c r="L6" s="27" t="s">
        <v>170</v>
      </c>
      <c r="M6" s="16" t="s">
        <v>249</v>
      </c>
      <c r="N6" s="27" t="s">
        <v>170</v>
      </c>
      <c r="O6" s="27" t="s">
        <v>170</v>
      </c>
      <c r="P6" s="16" t="s">
        <v>177</v>
      </c>
      <c r="Q6" s="53" t="s">
        <v>251</v>
      </c>
    </row>
    <row r="7">
      <c r="A7" s="9" t="s">
        <v>13</v>
      </c>
      <c r="B7" s="16">
        <f>India!A4</f>
        <v>2620410</v>
      </c>
      <c r="D7" s="16" t="s">
        <v>183</v>
      </c>
      <c r="E7" s="16" t="s">
        <v>108</v>
      </c>
      <c r="F7" s="16" t="s">
        <v>261</v>
      </c>
      <c r="G7" s="56" t="s">
        <v>170</v>
      </c>
      <c r="H7" s="27" t="s">
        <v>196</v>
      </c>
      <c r="I7" s="16" t="s">
        <v>177</v>
      </c>
      <c r="J7" s="16" t="s">
        <v>272</v>
      </c>
      <c r="K7" s="16" t="s">
        <v>273</v>
      </c>
      <c r="L7" s="16" t="s">
        <v>177</v>
      </c>
      <c r="M7" s="27" t="s">
        <v>170</v>
      </c>
      <c r="N7" s="16" t="s">
        <v>177</v>
      </c>
      <c r="O7" s="16" t="s">
        <v>177</v>
      </c>
      <c r="P7" s="27" t="s">
        <v>196</v>
      </c>
      <c r="Q7" s="16" t="s">
        <v>278</v>
      </c>
    </row>
    <row r="8">
      <c r="A8" s="9" t="s">
        <v>17</v>
      </c>
      <c r="B8" s="16">
        <f>Pakistan!A4</f>
        <v>1846550</v>
      </c>
      <c r="D8" s="16" t="s">
        <v>225</v>
      </c>
      <c r="E8" s="16" t="s">
        <v>122</v>
      </c>
      <c r="F8" s="16" t="s">
        <v>289</v>
      </c>
      <c r="G8" s="53" t="s">
        <v>177</v>
      </c>
      <c r="H8" s="16" t="s">
        <v>177</v>
      </c>
      <c r="I8" s="27" t="s">
        <v>196</v>
      </c>
      <c r="J8" s="27" t="s">
        <v>170</v>
      </c>
      <c r="K8" s="53" t="s">
        <v>296</v>
      </c>
      <c r="L8" s="27" t="s">
        <v>196</v>
      </c>
      <c r="M8" s="16" t="s">
        <v>177</v>
      </c>
      <c r="N8" s="27" t="s">
        <v>196</v>
      </c>
      <c r="O8" s="27" t="s">
        <v>196</v>
      </c>
      <c r="P8" s="16" t="s">
        <v>177</v>
      </c>
      <c r="Q8" s="53" t="s">
        <v>299</v>
      </c>
    </row>
    <row r="9">
      <c r="A9" s="9" t="s">
        <v>12</v>
      </c>
      <c r="B9" s="16">
        <f>England!A5</f>
        <v>1716285</v>
      </c>
      <c r="D9" s="16" t="s">
        <v>259</v>
      </c>
      <c r="E9" s="53" t="s">
        <v>131</v>
      </c>
      <c r="F9" s="16" t="s">
        <v>316</v>
      </c>
      <c r="G9" s="56" t="s">
        <v>196</v>
      </c>
      <c r="H9" s="16"/>
      <c r="I9" s="16" t="s">
        <v>177</v>
      </c>
      <c r="J9" s="16" t="s">
        <v>321</v>
      </c>
      <c r="K9" s="16" t="s">
        <v>323</v>
      </c>
      <c r="L9" s="16" t="s">
        <v>177</v>
      </c>
      <c r="M9" s="56" t="s">
        <v>196</v>
      </c>
      <c r="N9" s="16" t="s">
        <v>177</v>
      </c>
      <c r="O9" s="16" t="s">
        <v>177</v>
      </c>
      <c r="P9" s="16"/>
      <c r="Q9" s="16" t="s">
        <v>326</v>
      </c>
    </row>
    <row r="10">
      <c r="A10" s="9" t="s">
        <v>21</v>
      </c>
      <c r="B10" s="16">
        <f>Srilanka!A4</f>
        <v>584300</v>
      </c>
      <c r="D10" s="16" t="s">
        <v>275</v>
      </c>
      <c r="E10" s="53" t="s">
        <v>147</v>
      </c>
      <c r="F10" s="53" t="s">
        <v>336</v>
      </c>
      <c r="G10" s="16" t="s">
        <v>339</v>
      </c>
      <c r="H10" s="16"/>
      <c r="I10" s="16"/>
      <c r="J10" s="27" t="s">
        <v>196</v>
      </c>
      <c r="K10" s="53" t="s">
        <v>344</v>
      </c>
      <c r="L10" s="16"/>
      <c r="M10" s="16" t="s">
        <v>177</v>
      </c>
      <c r="N10" s="16"/>
      <c r="O10" s="16"/>
      <c r="P10" s="16"/>
      <c r="Q10" s="16" t="s">
        <v>347</v>
      </c>
    </row>
    <row r="11">
      <c r="A11" s="9" t="s">
        <v>18</v>
      </c>
      <c r="B11" s="16">
        <f>Qatar!A4</f>
        <v>915735</v>
      </c>
      <c r="D11" s="16" t="s">
        <v>309</v>
      </c>
      <c r="E11" s="56" t="s">
        <v>154</v>
      </c>
      <c r="F11" s="16" t="s">
        <v>353</v>
      </c>
      <c r="G11" s="16" t="s">
        <v>356</v>
      </c>
      <c r="H11" s="16"/>
      <c r="I11" s="16"/>
      <c r="J11" s="16" t="s">
        <v>359</v>
      </c>
      <c r="K11" s="16" t="s">
        <v>361</v>
      </c>
      <c r="L11" s="16"/>
      <c r="M11" s="16"/>
      <c r="N11" s="16"/>
      <c r="O11" s="16"/>
      <c r="P11" s="16"/>
      <c r="Q11" s="16" t="s">
        <v>369</v>
      </c>
    </row>
    <row r="12">
      <c r="A12" s="9" t="s">
        <v>23</v>
      </c>
      <c r="B12" s="16">
        <f>WestIndies!A4</f>
        <v>3040750</v>
      </c>
      <c r="D12" s="56" t="s">
        <v>170</v>
      </c>
      <c r="E12" s="53" t="s">
        <v>170</v>
      </c>
      <c r="F12" s="56" t="s">
        <v>170</v>
      </c>
      <c r="G12" s="16" t="s">
        <v>376</v>
      </c>
      <c r="H12" s="16"/>
      <c r="I12" s="16"/>
      <c r="J12" s="16" t="s">
        <v>379</v>
      </c>
      <c r="K12" s="56" t="s">
        <v>170</v>
      </c>
      <c r="L12" s="16"/>
      <c r="M12" s="16"/>
      <c r="N12" s="16"/>
      <c r="O12" s="16"/>
      <c r="P12" s="16"/>
      <c r="Q12" s="56" t="s">
        <v>170</v>
      </c>
    </row>
    <row r="13">
      <c r="A13" s="9" t="s">
        <v>14</v>
      </c>
      <c r="B13" s="16">
        <f>Italy!A4</f>
        <v>618500</v>
      </c>
      <c r="D13" s="16" t="s">
        <v>177</v>
      </c>
      <c r="E13" s="56" t="s">
        <v>177</v>
      </c>
      <c r="F13" s="16" t="s">
        <v>397</v>
      </c>
      <c r="G13" s="16"/>
      <c r="H13" s="16"/>
      <c r="I13" s="16"/>
      <c r="J13" s="16" t="s">
        <v>406</v>
      </c>
      <c r="K13" s="16" t="s">
        <v>177</v>
      </c>
      <c r="L13" s="16"/>
      <c r="M13" s="16"/>
      <c r="N13" s="16"/>
      <c r="O13" s="16"/>
      <c r="P13" s="16"/>
      <c r="Q13" s="16" t="s">
        <v>177</v>
      </c>
    </row>
    <row r="14">
      <c r="A14" s="9" t="s">
        <v>15</v>
      </c>
      <c r="B14" s="16">
        <f>Netherlands!A4</f>
        <v>392490</v>
      </c>
      <c r="D14" s="56" t="s">
        <v>196</v>
      </c>
      <c r="E14" s="16" t="s">
        <v>196</v>
      </c>
      <c r="F14" s="16" t="s">
        <v>419</v>
      </c>
      <c r="G14" s="16"/>
      <c r="H14" s="16"/>
      <c r="I14" s="16"/>
      <c r="J14" s="16"/>
      <c r="K14" s="56" t="s">
        <v>196</v>
      </c>
      <c r="L14" s="16"/>
      <c r="M14" s="16"/>
      <c r="N14" s="16"/>
      <c r="O14" s="16"/>
      <c r="P14" s="16"/>
      <c r="Q14" s="56" t="s">
        <v>196</v>
      </c>
    </row>
    <row r="15">
      <c r="A15" s="9" t="s">
        <v>20</v>
      </c>
      <c r="B15" s="16">
        <f>SA!A4</f>
        <v>901550</v>
      </c>
      <c r="D15" s="16" t="s">
        <v>177</v>
      </c>
      <c r="E15" s="16" t="s">
        <v>177</v>
      </c>
      <c r="F15" s="70" t="s">
        <v>196</v>
      </c>
      <c r="G15" s="16"/>
      <c r="H15" s="16"/>
      <c r="I15" s="16"/>
      <c r="J15" s="16"/>
      <c r="K15" s="16" t="s">
        <v>177</v>
      </c>
      <c r="L15" s="16"/>
      <c r="M15" s="16"/>
      <c r="N15" s="16"/>
      <c r="O15" s="16"/>
      <c r="P15" s="16"/>
      <c r="Q15" s="16" t="s">
        <v>177</v>
      </c>
    </row>
    <row r="16">
      <c r="A16" s="9" t="s">
        <v>22</v>
      </c>
      <c r="B16" s="16">
        <f>UAE!A4</f>
        <v>51500</v>
      </c>
      <c r="D16" s="16"/>
      <c r="E16" s="16"/>
      <c r="F16" s="16" t="s">
        <v>177</v>
      </c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</row>
    <row r="17">
      <c r="A17" s="9" t="s">
        <v>452</v>
      </c>
      <c r="B17" s="16">
        <f>Zimbabwe!A4</f>
        <v>90000</v>
      </c>
      <c r="F17" s="75"/>
      <c r="K17" s="16"/>
      <c r="L17" s="16"/>
      <c r="M17" s="16"/>
      <c r="N17" s="16"/>
      <c r="O17" s="16"/>
      <c r="P17" s="16"/>
      <c r="Q17" s="16"/>
    </row>
    <row r="18">
      <c r="A18" s="9" t="s">
        <v>457</v>
      </c>
      <c r="B18" s="16">
        <f>Canada!A4</f>
        <v>100000</v>
      </c>
      <c r="F18" s="75"/>
      <c r="K18" s="16"/>
      <c r="L18" s="16"/>
      <c r="M18" s="16"/>
      <c r="N18" s="16"/>
      <c r="O18" s="16"/>
      <c r="P18" s="16"/>
      <c r="Q18" s="16"/>
    </row>
    <row r="19">
      <c r="F19" s="75"/>
      <c r="K19" s="16"/>
      <c r="L19" s="16"/>
      <c r="M19" s="16"/>
      <c r="N19" s="16"/>
      <c r="O19" s="16"/>
      <c r="P19" s="16"/>
      <c r="Q19" s="16"/>
    </row>
    <row r="20">
      <c r="D20" s="19">
        <v>4.0</v>
      </c>
      <c r="F20" s="75"/>
      <c r="K20" s="16"/>
      <c r="L20" s="16"/>
      <c r="M20" s="16"/>
      <c r="N20" s="16"/>
      <c r="O20" s="16"/>
      <c r="P20" s="16"/>
      <c r="Q20" s="16"/>
    </row>
    <row r="21">
      <c r="F21" s="75"/>
      <c r="K21" s="16"/>
      <c r="L21" s="16"/>
      <c r="M21" s="16"/>
      <c r="N21" s="16"/>
      <c r="O21" s="16"/>
      <c r="P21" s="16"/>
      <c r="Q21" s="16"/>
    </row>
    <row r="22">
      <c r="A22" s="16"/>
      <c r="B22" s="16"/>
      <c r="D22" s="16"/>
      <c r="E22" s="16"/>
      <c r="F22" s="16"/>
      <c r="G22" s="16"/>
      <c r="H22" s="16"/>
      <c r="I22" s="16"/>
      <c r="J22" s="16"/>
      <c r="L22" s="16"/>
      <c r="M22" s="16"/>
      <c r="N22" s="16"/>
      <c r="O22" s="16"/>
      <c r="P22" s="16"/>
      <c r="Q22" s="16"/>
    </row>
    <row r="23">
      <c r="A23" s="77" t="s">
        <v>484</v>
      </c>
      <c r="E23" s="78"/>
      <c r="F23" s="77" t="s">
        <v>488</v>
      </c>
      <c r="L23" s="16"/>
      <c r="M23" s="16"/>
      <c r="N23" s="16"/>
      <c r="O23" s="16"/>
      <c r="P23" s="16"/>
      <c r="Q23" s="16"/>
    </row>
    <row r="24">
      <c r="A24" s="80" t="s">
        <v>497</v>
      </c>
      <c r="B24" s="80" t="s">
        <v>499</v>
      </c>
      <c r="C24" s="80" t="s">
        <v>298</v>
      </c>
      <c r="D24" s="80" t="s">
        <v>503</v>
      </c>
      <c r="F24" s="80" t="s">
        <v>506</v>
      </c>
      <c r="G24" s="82" t="s">
        <v>509</v>
      </c>
      <c r="H24" s="82" t="s">
        <v>511</v>
      </c>
      <c r="I24" s="82" t="s">
        <v>512</v>
      </c>
      <c r="J24" s="82" t="s">
        <v>513</v>
      </c>
      <c r="L24" s="16"/>
      <c r="M24" s="16"/>
      <c r="N24" s="16"/>
      <c r="O24" s="16"/>
      <c r="P24" s="16"/>
      <c r="Q24" s="16"/>
    </row>
    <row r="25">
      <c r="A25" s="85" t="s">
        <v>519</v>
      </c>
      <c r="B25" s="42" t="s">
        <v>524</v>
      </c>
      <c r="C25" s="42" t="s">
        <v>525</v>
      </c>
      <c r="D25" s="42" t="s">
        <v>12</v>
      </c>
      <c r="F25" s="85" t="s">
        <v>527</v>
      </c>
      <c r="G25" s="43" t="s">
        <v>530</v>
      </c>
      <c r="H25" s="43" t="s">
        <v>534</v>
      </c>
      <c r="I25" s="43" t="s">
        <v>528</v>
      </c>
      <c r="J25" s="43" t="s">
        <v>12</v>
      </c>
      <c r="L25" s="16"/>
      <c r="M25" s="16"/>
      <c r="N25" s="16"/>
      <c r="O25" s="16"/>
      <c r="P25" s="16"/>
      <c r="Q25" s="16"/>
    </row>
    <row r="26">
      <c r="B26" s="42" t="s">
        <v>540</v>
      </c>
      <c r="C26" s="42" t="s">
        <v>542</v>
      </c>
      <c r="D26" s="42" t="s">
        <v>9</v>
      </c>
      <c r="G26" s="43" t="s">
        <v>545</v>
      </c>
      <c r="H26" s="43" t="s">
        <v>547</v>
      </c>
      <c r="I26" s="43" t="s">
        <v>528</v>
      </c>
      <c r="J26" s="43" t="s">
        <v>549</v>
      </c>
      <c r="L26" s="16"/>
      <c r="M26" s="16"/>
      <c r="N26" s="16"/>
      <c r="O26" s="16"/>
      <c r="P26" s="16"/>
      <c r="Q26" s="16"/>
    </row>
    <row r="27">
      <c r="B27" s="42" t="s">
        <v>558</v>
      </c>
      <c r="C27" s="42" t="s">
        <v>562</v>
      </c>
      <c r="D27" s="42" t="s">
        <v>21</v>
      </c>
      <c r="G27" s="43" t="s">
        <v>565</v>
      </c>
      <c r="H27" s="43" t="s">
        <v>566</v>
      </c>
      <c r="I27" s="43" t="s">
        <v>531</v>
      </c>
      <c r="J27" s="43" t="s">
        <v>16</v>
      </c>
      <c r="L27" s="16"/>
      <c r="M27" s="16"/>
      <c r="N27" s="16"/>
      <c r="O27" s="16"/>
      <c r="P27" s="16"/>
      <c r="Q27" s="16"/>
    </row>
    <row r="28">
      <c r="B28" s="42" t="s">
        <v>575</v>
      </c>
      <c r="C28" s="42" t="s">
        <v>577</v>
      </c>
      <c r="D28" s="42" t="s">
        <v>17</v>
      </c>
      <c r="G28" s="43" t="s">
        <v>579</v>
      </c>
      <c r="H28" s="43" t="s">
        <v>582</v>
      </c>
      <c r="I28" s="43" t="s">
        <v>533</v>
      </c>
      <c r="J28" s="43" t="s">
        <v>12</v>
      </c>
    </row>
    <row r="29">
      <c r="B29" s="42" t="s">
        <v>585</v>
      </c>
      <c r="C29" s="42" t="s">
        <v>586</v>
      </c>
      <c r="D29" s="42" t="s">
        <v>12</v>
      </c>
      <c r="G29" s="43" t="s">
        <v>587</v>
      </c>
      <c r="H29" s="43" t="s">
        <v>589</v>
      </c>
      <c r="I29" s="43" t="s">
        <v>533</v>
      </c>
      <c r="J29" s="43" t="s">
        <v>15</v>
      </c>
    </row>
    <row r="30">
      <c r="B30" s="42" t="s">
        <v>594</v>
      </c>
      <c r="C30" s="42" t="s">
        <v>596</v>
      </c>
      <c r="D30" s="42" t="s">
        <v>12</v>
      </c>
      <c r="G30" s="43" t="s">
        <v>600</v>
      </c>
      <c r="H30" s="43" t="s">
        <v>601</v>
      </c>
      <c r="I30" s="43" t="s">
        <v>529</v>
      </c>
      <c r="J30" s="43" t="s">
        <v>13</v>
      </c>
    </row>
    <row r="31">
      <c r="B31" s="42" t="s">
        <v>609</v>
      </c>
      <c r="C31" s="42" t="s">
        <v>586</v>
      </c>
      <c r="D31" s="42" t="s">
        <v>12</v>
      </c>
      <c r="G31" s="39" t="s">
        <v>613</v>
      </c>
      <c r="H31" s="39" t="s">
        <v>533</v>
      </c>
    </row>
    <row r="32">
      <c r="B32" s="42" t="s">
        <v>565</v>
      </c>
      <c r="C32" s="42" t="s">
        <v>617</v>
      </c>
      <c r="D32" s="42" t="s">
        <v>19</v>
      </c>
      <c r="G32" s="39" t="s">
        <v>620</v>
      </c>
      <c r="H32" s="39" t="s">
        <v>531</v>
      </c>
    </row>
    <row r="33">
      <c r="B33" s="42" t="s">
        <v>627</v>
      </c>
      <c r="C33" s="42" t="s">
        <v>629</v>
      </c>
      <c r="D33" s="42" t="s">
        <v>19</v>
      </c>
      <c r="F33" s="91" t="s">
        <v>631</v>
      </c>
      <c r="G33" s="5" t="s">
        <v>530</v>
      </c>
      <c r="H33" s="5" t="s">
        <v>637</v>
      </c>
      <c r="I33" s="5" t="s">
        <v>639</v>
      </c>
      <c r="J33" s="5" t="s">
        <v>17</v>
      </c>
    </row>
    <row r="34">
      <c r="B34" s="42" t="s">
        <v>644</v>
      </c>
      <c r="C34" s="42" t="s">
        <v>645</v>
      </c>
      <c r="D34" s="42" t="s">
        <v>9</v>
      </c>
      <c r="G34" s="5" t="s">
        <v>565</v>
      </c>
      <c r="H34" s="5" t="s">
        <v>650</v>
      </c>
      <c r="I34" s="5" t="s">
        <v>639</v>
      </c>
      <c r="J34" s="5" t="s">
        <v>17</v>
      </c>
    </row>
    <row r="35">
      <c r="B35" s="42" t="s">
        <v>656</v>
      </c>
      <c r="C35" s="42" t="s">
        <v>658</v>
      </c>
      <c r="D35" s="42" t="s">
        <v>17</v>
      </c>
      <c r="G35" s="5" t="s">
        <v>659</v>
      </c>
      <c r="H35" s="5" t="s">
        <v>660</v>
      </c>
      <c r="I35" s="5" t="s">
        <v>639</v>
      </c>
      <c r="J35" s="5" t="s">
        <v>549</v>
      </c>
    </row>
    <row r="36">
      <c r="B36" s="42" t="s">
        <v>666</v>
      </c>
      <c r="C36" s="42" t="s">
        <v>349</v>
      </c>
      <c r="D36" s="42" t="s">
        <v>9</v>
      </c>
      <c r="G36" s="5" t="s">
        <v>587</v>
      </c>
      <c r="H36" s="5" t="s">
        <v>672</v>
      </c>
      <c r="I36" s="5" t="s">
        <v>673</v>
      </c>
      <c r="J36" s="5" t="s">
        <v>23</v>
      </c>
    </row>
    <row r="37">
      <c r="B37" s="42" t="s">
        <v>679</v>
      </c>
      <c r="C37" s="42" t="s">
        <v>681</v>
      </c>
      <c r="D37" s="42" t="s">
        <v>23</v>
      </c>
      <c r="G37" s="5" t="s">
        <v>600</v>
      </c>
      <c r="H37" s="5" t="s">
        <v>660</v>
      </c>
      <c r="I37" s="5" t="s">
        <v>639</v>
      </c>
      <c r="J37" s="5" t="s">
        <v>549</v>
      </c>
    </row>
    <row r="38">
      <c r="B38" s="42" t="s">
        <v>659</v>
      </c>
      <c r="C38" s="42" t="s">
        <v>692</v>
      </c>
      <c r="D38" s="42" t="s">
        <v>19</v>
      </c>
      <c r="G38" s="5" t="s">
        <v>696</v>
      </c>
      <c r="H38" s="5" t="s">
        <v>673</v>
      </c>
    </row>
    <row r="39">
      <c r="B39" s="42" t="s">
        <v>587</v>
      </c>
      <c r="C39" s="42" t="s">
        <v>586</v>
      </c>
      <c r="D39" s="42" t="s">
        <v>12</v>
      </c>
      <c r="G39" s="2" t="s">
        <v>705</v>
      </c>
      <c r="H39" s="2" t="s">
        <v>706</v>
      </c>
    </row>
    <row r="40">
      <c r="B40" s="42" t="s">
        <v>709</v>
      </c>
      <c r="C40" s="42" t="s">
        <v>692</v>
      </c>
      <c r="D40" s="42" t="s">
        <v>19</v>
      </c>
      <c r="G40" s="2" t="s">
        <v>620</v>
      </c>
      <c r="H40" s="2" t="s">
        <v>639</v>
      </c>
    </row>
    <row r="41">
      <c r="B41" s="91" t="s">
        <v>613</v>
      </c>
      <c r="D41" s="91" t="s">
        <v>12</v>
      </c>
      <c r="F41" s="93" t="s">
        <v>716</v>
      </c>
      <c r="G41" s="43" t="s">
        <v>717</v>
      </c>
      <c r="H41" s="43" t="s">
        <v>718</v>
      </c>
      <c r="I41" s="43" t="s">
        <v>655</v>
      </c>
      <c r="J41" s="43" t="s">
        <v>9</v>
      </c>
    </row>
    <row r="42">
      <c r="B42" s="91" t="s">
        <v>620</v>
      </c>
      <c r="D42" s="91" t="s">
        <v>19</v>
      </c>
      <c r="G42" s="43" t="s">
        <v>565</v>
      </c>
      <c r="H42" s="43" t="s">
        <v>721</v>
      </c>
      <c r="I42" s="43" t="s">
        <v>655</v>
      </c>
      <c r="J42" s="43" t="s">
        <v>723</v>
      </c>
    </row>
    <row r="43">
      <c r="A43" s="95" t="s">
        <v>725</v>
      </c>
      <c r="B43" s="5" t="s">
        <v>679</v>
      </c>
      <c r="C43" s="5" t="s">
        <v>729</v>
      </c>
      <c r="D43" s="5" t="s">
        <v>19</v>
      </c>
      <c r="G43" s="43" t="s">
        <v>730</v>
      </c>
      <c r="H43" s="43" t="s">
        <v>732</v>
      </c>
      <c r="I43" s="43" t="s">
        <v>653</v>
      </c>
      <c r="J43" s="43" t="s">
        <v>17</v>
      </c>
    </row>
    <row r="44">
      <c r="B44" s="5" t="s">
        <v>579</v>
      </c>
      <c r="C44" s="5" t="s">
        <v>739</v>
      </c>
      <c r="D44" s="5" t="s">
        <v>23</v>
      </c>
      <c r="G44" s="43" t="s">
        <v>743</v>
      </c>
      <c r="H44" s="43" t="s">
        <v>745</v>
      </c>
      <c r="I44" s="43" t="s">
        <v>655</v>
      </c>
      <c r="J44" s="43" t="s">
        <v>9</v>
      </c>
    </row>
    <row r="45">
      <c r="B45" s="5" t="s">
        <v>587</v>
      </c>
      <c r="C45" s="5" t="s">
        <v>746</v>
      </c>
      <c r="D45" s="5" t="s">
        <v>12</v>
      </c>
      <c r="G45" s="43" t="s">
        <v>600</v>
      </c>
      <c r="H45" s="43" t="s">
        <v>745</v>
      </c>
      <c r="I45" s="43" t="s">
        <v>655</v>
      </c>
      <c r="J45" s="43" t="s">
        <v>9</v>
      </c>
    </row>
    <row r="46">
      <c r="B46" s="5" t="s">
        <v>600</v>
      </c>
      <c r="C46" s="5" t="s">
        <v>746</v>
      </c>
      <c r="D46" s="5" t="s">
        <v>12</v>
      </c>
      <c r="G46" s="43" t="s">
        <v>696</v>
      </c>
      <c r="H46" s="43" t="s">
        <v>647</v>
      </c>
    </row>
    <row r="47">
      <c r="B47" s="5" t="s">
        <v>761</v>
      </c>
      <c r="C47" s="5" t="s">
        <v>763</v>
      </c>
      <c r="G47" s="39" t="s">
        <v>705</v>
      </c>
      <c r="H47" s="39" t="s">
        <v>653</v>
      </c>
    </row>
    <row r="48">
      <c r="B48" s="5" t="s">
        <v>768</v>
      </c>
      <c r="C48" s="5" t="s">
        <v>769</v>
      </c>
      <c r="G48" s="39" t="s">
        <v>620</v>
      </c>
      <c r="H48" s="39" t="s">
        <v>655</v>
      </c>
    </row>
    <row r="49">
      <c r="B49" s="5" t="s">
        <v>772</v>
      </c>
      <c r="C49" s="5" t="s">
        <v>773</v>
      </c>
      <c r="F49" s="91" t="s">
        <v>777</v>
      </c>
      <c r="G49" s="5" t="s">
        <v>779</v>
      </c>
      <c r="H49" s="5" t="s">
        <v>780</v>
      </c>
      <c r="I49" s="5" t="s">
        <v>782</v>
      </c>
      <c r="J49" s="5" t="s">
        <v>16</v>
      </c>
    </row>
    <row r="50">
      <c r="B50" s="2" t="s">
        <v>613</v>
      </c>
      <c r="C50" s="2" t="s">
        <v>12</v>
      </c>
      <c r="G50" s="5" t="s">
        <v>784</v>
      </c>
      <c r="H50" s="5" t="s">
        <v>786</v>
      </c>
      <c r="I50" s="5" t="s">
        <v>737</v>
      </c>
      <c r="J50" s="5" t="s">
        <v>14</v>
      </c>
    </row>
    <row r="51">
      <c r="B51" s="2" t="s">
        <v>620</v>
      </c>
      <c r="C51" s="2" t="s">
        <v>19</v>
      </c>
      <c r="G51" s="5" t="s">
        <v>788</v>
      </c>
      <c r="H51" s="5" t="s">
        <v>789</v>
      </c>
      <c r="I51" s="5" t="s">
        <v>741</v>
      </c>
      <c r="J51" s="5" t="s">
        <v>9</v>
      </c>
    </row>
    <row r="52">
      <c r="A52" s="93" t="s">
        <v>790</v>
      </c>
      <c r="B52" s="43" t="s">
        <v>791</v>
      </c>
      <c r="C52" s="43" t="s">
        <v>792</v>
      </c>
      <c r="D52" s="43" t="s">
        <v>793</v>
      </c>
      <c r="G52" s="5" t="s">
        <v>795</v>
      </c>
      <c r="H52" s="5" t="s">
        <v>786</v>
      </c>
      <c r="I52" s="5" t="s">
        <v>737</v>
      </c>
      <c r="J52" s="5" t="s">
        <v>14</v>
      </c>
    </row>
    <row r="53">
      <c r="B53" s="39" t="s">
        <v>796</v>
      </c>
      <c r="C53" s="39" t="s">
        <v>797</v>
      </c>
      <c r="D53" s="39" t="s">
        <v>17</v>
      </c>
      <c r="G53" s="5" t="s">
        <v>798</v>
      </c>
      <c r="H53" s="5" t="s">
        <v>660</v>
      </c>
      <c r="I53" s="5" t="s">
        <v>737</v>
      </c>
      <c r="J53" s="5" t="s">
        <v>549</v>
      </c>
    </row>
    <row r="54">
      <c r="B54" s="39" t="s">
        <v>800</v>
      </c>
      <c r="C54" s="39" t="s">
        <v>596</v>
      </c>
      <c r="D54" s="39" t="s">
        <v>12</v>
      </c>
      <c r="G54" s="5" t="s">
        <v>802</v>
      </c>
      <c r="H54" s="5" t="s">
        <v>735</v>
      </c>
    </row>
    <row r="55">
      <c r="G55" s="2" t="s">
        <v>705</v>
      </c>
      <c r="H55" s="2" t="s">
        <v>741</v>
      </c>
    </row>
    <row r="56">
      <c r="G56" s="2" t="s">
        <v>620</v>
      </c>
      <c r="H56" s="2" t="s">
        <v>737</v>
      </c>
    </row>
    <row r="57">
      <c r="F57" s="93" t="s">
        <v>806</v>
      </c>
      <c r="G57" s="43" t="s">
        <v>530</v>
      </c>
      <c r="H57" s="43" t="s">
        <v>807</v>
      </c>
      <c r="I57" s="43" t="s">
        <v>808</v>
      </c>
      <c r="J57" s="43" t="s">
        <v>13</v>
      </c>
    </row>
    <row r="58">
      <c r="G58" s="43" t="s">
        <v>565</v>
      </c>
      <c r="H58" s="43" t="s">
        <v>566</v>
      </c>
      <c r="I58" s="43" t="s">
        <v>809</v>
      </c>
      <c r="J58" s="43" t="s">
        <v>16</v>
      </c>
    </row>
    <row r="59">
      <c r="G59" s="43" t="s">
        <v>810</v>
      </c>
      <c r="H59" s="43" t="s">
        <v>797</v>
      </c>
      <c r="I59" s="43" t="s">
        <v>808</v>
      </c>
      <c r="J59" s="43" t="s">
        <v>17</v>
      </c>
    </row>
    <row r="60">
      <c r="G60" s="43" t="s">
        <v>811</v>
      </c>
      <c r="H60" s="43" t="s">
        <v>813</v>
      </c>
      <c r="I60" s="43" t="s">
        <v>808</v>
      </c>
      <c r="J60" s="43" t="s">
        <v>19</v>
      </c>
    </row>
    <row r="61">
      <c r="G61" s="43" t="s">
        <v>600</v>
      </c>
      <c r="H61" s="43" t="s">
        <v>818</v>
      </c>
      <c r="I61" s="43" t="s">
        <v>820</v>
      </c>
      <c r="J61" s="43" t="s">
        <v>13</v>
      </c>
    </row>
    <row r="62">
      <c r="G62" s="43" t="s">
        <v>696</v>
      </c>
      <c r="H62" s="43" t="s">
        <v>824</v>
      </c>
    </row>
    <row r="63">
      <c r="G63" s="39" t="s">
        <v>705</v>
      </c>
      <c r="H63" s="39" t="s">
        <v>808</v>
      </c>
    </row>
    <row r="64">
      <c r="G64" s="39" t="s">
        <v>620</v>
      </c>
      <c r="H64" s="39" t="s">
        <v>828</v>
      </c>
    </row>
    <row r="65">
      <c r="F65" s="91" t="s">
        <v>830</v>
      </c>
      <c r="G65" s="5" t="s">
        <v>530</v>
      </c>
      <c r="H65" s="5" t="s">
        <v>832</v>
      </c>
      <c r="I65" s="5" t="s">
        <v>833</v>
      </c>
      <c r="J65" s="5" t="s">
        <v>23</v>
      </c>
    </row>
    <row r="66">
      <c r="G66" s="5" t="s">
        <v>565</v>
      </c>
      <c r="H66" s="5" t="s">
        <v>601</v>
      </c>
      <c r="I66" s="5" t="s">
        <v>834</v>
      </c>
      <c r="J66" s="5" t="s">
        <v>13</v>
      </c>
    </row>
    <row r="67">
      <c r="G67" s="5" t="s">
        <v>579</v>
      </c>
      <c r="H67" s="5" t="s">
        <v>835</v>
      </c>
      <c r="I67" s="5" t="s">
        <v>836</v>
      </c>
      <c r="J67" s="5" t="s">
        <v>23</v>
      </c>
    </row>
    <row r="68">
      <c r="G68" s="5" t="s">
        <v>587</v>
      </c>
      <c r="H68" s="5" t="s">
        <v>837</v>
      </c>
      <c r="I68" s="5" t="s">
        <v>838</v>
      </c>
      <c r="J68" s="5" t="s">
        <v>23</v>
      </c>
    </row>
    <row r="69">
      <c r="G69" s="5" t="s">
        <v>600</v>
      </c>
      <c r="H69" s="5" t="s">
        <v>789</v>
      </c>
      <c r="I69" s="5" t="s">
        <v>844</v>
      </c>
      <c r="J69" s="5" t="s">
        <v>9</v>
      </c>
    </row>
    <row r="70">
      <c r="G70" s="5" t="s">
        <v>696</v>
      </c>
      <c r="H70" s="5" t="s">
        <v>834</v>
      </c>
    </row>
    <row r="71">
      <c r="G71" s="5" t="s">
        <v>705</v>
      </c>
      <c r="H71" s="5" t="s">
        <v>838</v>
      </c>
    </row>
    <row r="72">
      <c r="G72" s="5" t="s">
        <v>620</v>
      </c>
      <c r="H72" s="5" t="s">
        <v>836</v>
      </c>
    </row>
    <row r="74">
      <c r="F74" s="16"/>
      <c r="G74" s="16"/>
      <c r="H74" s="16"/>
      <c r="I74" s="16"/>
      <c r="J74" s="16"/>
    </row>
    <row r="75">
      <c r="F75" s="16"/>
      <c r="G75" s="16"/>
      <c r="H75" s="16"/>
      <c r="I75" s="16"/>
      <c r="J75" s="16"/>
    </row>
    <row r="76">
      <c r="F76" s="16"/>
      <c r="G76" s="16"/>
      <c r="H76" s="16"/>
      <c r="I76" s="16"/>
      <c r="J76" s="16"/>
    </row>
    <row r="77">
      <c r="F77" s="16"/>
      <c r="G77" s="16"/>
      <c r="H77" s="16"/>
      <c r="I77" s="16"/>
      <c r="J77" s="16"/>
    </row>
    <row r="78">
      <c r="F78" s="16"/>
      <c r="G78" s="16"/>
      <c r="H78" s="16"/>
      <c r="I78" s="16"/>
      <c r="J78" s="16"/>
    </row>
    <row r="79">
      <c r="F79" s="16"/>
      <c r="G79" s="16"/>
      <c r="H79" s="16"/>
      <c r="I79" s="16"/>
      <c r="J79" s="16"/>
    </row>
    <row r="80">
      <c r="F80" s="16"/>
      <c r="G80" s="16"/>
      <c r="H80" s="16"/>
      <c r="I80" s="16"/>
      <c r="J80" s="16"/>
    </row>
    <row r="81">
      <c r="F81" s="16"/>
      <c r="G81" s="16"/>
      <c r="H81" s="16"/>
      <c r="I81" s="16"/>
      <c r="J81" s="16"/>
    </row>
    <row r="82">
      <c r="F82" s="16"/>
      <c r="G82" s="16"/>
      <c r="H82" s="16"/>
      <c r="I82" s="16"/>
      <c r="J82" s="16"/>
    </row>
    <row r="83">
      <c r="F83" s="16"/>
      <c r="G83" s="16"/>
      <c r="H83" s="16"/>
      <c r="I83" s="16"/>
      <c r="J83" s="16"/>
    </row>
    <row r="84">
      <c r="F84" s="16"/>
      <c r="G84" s="16"/>
      <c r="H84" s="16"/>
      <c r="I84" s="16"/>
      <c r="J84" s="16"/>
    </row>
    <row r="85">
      <c r="F85" s="16"/>
      <c r="G85" s="16"/>
      <c r="H85" s="16"/>
      <c r="I85" s="16"/>
      <c r="J85" s="16"/>
    </row>
    <row r="86">
      <c r="F86" s="16"/>
      <c r="G86" s="16"/>
      <c r="H86" s="16"/>
      <c r="I86" s="16"/>
      <c r="J86" s="16"/>
    </row>
    <row r="87">
      <c r="F87" s="16"/>
      <c r="G87" s="16"/>
      <c r="H87" s="16"/>
      <c r="I87" s="16"/>
      <c r="J87" s="16"/>
    </row>
    <row r="88">
      <c r="F88" s="16"/>
      <c r="G88" s="16"/>
      <c r="H88" s="16"/>
      <c r="I88" s="16"/>
      <c r="J88" s="16"/>
    </row>
    <row r="89">
      <c r="F89" s="16"/>
      <c r="G89" s="16"/>
      <c r="H89" s="16"/>
      <c r="I89" s="16"/>
      <c r="J89" s="16"/>
    </row>
    <row r="90">
      <c r="F90" s="16"/>
      <c r="G90" s="16"/>
      <c r="H90" s="16"/>
      <c r="I90" s="16"/>
      <c r="J90" s="16"/>
    </row>
    <row r="91">
      <c r="F91" s="16"/>
      <c r="G91" s="16"/>
      <c r="H91" s="16"/>
      <c r="I91" s="16"/>
      <c r="J91" s="16"/>
    </row>
    <row r="92">
      <c r="F92" s="16"/>
      <c r="G92" s="16"/>
      <c r="H92" s="16"/>
      <c r="I92" s="16"/>
      <c r="J92" s="16"/>
    </row>
    <row r="93">
      <c r="F93" s="16"/>
      <c r="G93" s="16"/>
      <c r="H93" s="16"/>
      <c r="I93" s="16"/>
      <c r="J93" s="16"/>
    </row>
    <row r="94">
      <c r="F94" s="16"/>
      <c r="G94" s="16"/>
      <c r="H94" s="16"/>
      <c r="I94" s="16"/>
      <c r="J94" s="16"/>
    </row>
    <row r="95">
      <c r="F95" s="16"/>
      <c r="G95" s="16"/>
      <c r="H95" s="16"/>
      <c r="I95" s="16"/>
      <c r="J95" s="16"/>
    </row>
    <row r="96">
      <c r="F96" s="16"/>
      <c r="G96" s="16"/>
      <c r="H96" s="16"/>
      <c r="I96" s="16"/>
      <c r="J96" s="16"/>
    </row>
    <row r="97">
      <c r="F97" s="16"/>
      <c r="G97" s="16"/>
      <c r="H97" s="16"/>
      <c r="I97" s="16"/>
      <c r="J97" s="16"/>
    </row>
  </sheetData>
  <mergeCells count="37">
    <mergeCell ref="F25:F32"/>
    <mergeCell ref="F33:F40"/>
    <mergeCell ref="F41:F48"/>
    <mergeCell ref="F49:F56"/>
    <mergeCell ref="F57:F64"/>
    <mergeCell ref="F65:F72"/>
    <mergeCell ref="H38:J38"/>
    <mergeCell ref="H39:J39"/>
    <mergeCell ref="A1:B1"/>
    <mergeCell ref="D1:Q1"/>
    <mergeCell ref="A23:D23"/>
    <mergeCell ref="F23:J23"/>
    <mergeCell ref="A25:A42"/>
    <mergeCell ref="H31:J31"/>
    <mergeCell ref="H32:J32"/>
    <mergeCell ref="B42:C42"/>
    <mergeCell ref="C48:D48"/>
    <mergeCell ref="C49:D49"/>
    <mergeCell ref="C50:D50"/>
    <mergeCell ref="C51:D51"/>
    <mergeCell ref="A52:A54"/>
    <mergeCell ref="H40:J40"/>
    <mergeCell ref="B41:C41"/>
    <mergeCell ref="A43:A51"/>
    <mergeCell ref="H46:J46"/>
    <mergeCell ref="C47:D47"/>
    <mergeCell ref="H47:J47"/>
    <mergeCell ref="H48:J48"/>
    <mergeCell ref="H71:J71"/>
    <mergeCell ref="H72:J72"/>
    <mergeCell ref="H54:J54"/>
    <mergeCell ref="H55:J55"/>
    <mergeCell ref="H56:J56"/>
    <mergeCell ref="H62:J62"/>
    <mergeCell ref="H63:J63"/>
    <mergeCell ref="H64:J64"/>
    <mergeCell ref="H70:J7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52.38"/>
    <col customWidth="1" min="3" max="3" width="34.13"/>
    <col customWidth="1" min="4" max="4" width="22.88"/>
    <col customWidth="1" min="5" max="5" width="30.25"/>
    <col customWidth="1" min="6" max="6" width="30.75"/>
    <col customWidth="1" min="7" max="7" width="27.25"/>
    <col customWidth="1" min="8" max="8" width="30.75"/>
    <col customWidth="1" min="9" max="9" width="25.25"/>
    <col customWidth="1" min="10" max="10" width="26.0"/>
    <col customWidth="1" min="11" max="11" width="25.38"/>
    <col customWidth="1" min="12" max="12" width="22.25"/>
    <col customWidth="1" min="15" max="15" width="17.0"/>
    <col customWidth="1" min="16" max="16" width="16.5"/>
  </cols>
  <sheetData>
    <row r="1">
      <c r="A1" s="2" t="s">
        <v>1</v>
      </c>
    </row>
    <row r="2">
      <c r="A2" s="2" t="s">
        <v>5</v>
      </c>
    </row>
    <row r="3">
      <c r="A3" s="5" t="s">
        <v>6</v>
      </c>
    </row>
    <row r="4">
      <c r="A4" s="12">
        <f>100000+B6+C6+D6+D14+F6+G6+H6+I6+A65+L6+O6</f>
        <v>2705735</v>
      </c>
    </row>
    <row r="5">
      <c r="A5" s="2" t="s">
        <v>24</v>
      </c>
      <c r="B5" s="2" t="s">
        <v>35</v>
      </c>
      <c r="C5" s="2" t="s">
        <v>27</v>
      </c>
      <c r="D5" s="2" t="s">
        <v>36</v>
      </c>
      <c r="E5" s="2" t="s">
        <v>37</v>
      </c>
      <c r="F5" s="2" t="s">
        <v>39</v>
      </c>
      <c r="G5" s="2" t="s">
        <v>40</v>
      </c>
      <c r="H5" s="2" t="s">
        <v>42</v>
      </c>
      <c r="I5" s="2" t="s">
        <v>43</v>
      </c>
      <c r="L5" s="22" t="s">
        <v>44</v>
      </c>
      <c r="O5" s="2" t="s">
        <v>33</v>
      </c>
    </row>
    <row r="6">
      <c r="A6" s="19" t="s">
        <v>49</v>
      </c>
      <c r="B6" s="24">
        <v>-190000.0</v>
      </c>
      <c r="C6" s="24">
        <v>81000.0</v>
      </c>
      <c r="D6" s="24">
        <v>6000.0</v>
      </c>
      <c r="E6" s="19" t="s">
        <v>54</v>
      </c>
      <c r="F6" s="24">
        <v>-36000.0</v>
      </c>
      <c r="G6" s="24">
        <v>15300.0</v>
      </c>
      <c r="H6" s="24">
        <v>-10000.0</v>
      </c>
      <c r="I6" s="24">
        <v>37000.0</v>
      </c>
      <c r="L6" s="29">
        <f>L8</f>
        <v>0</v>
      </c>
      <c r="O6" s="32">
        <f>R10+R16+R28+R31+R43+R47+R53+R56+R63+R68+R47</f>
        <v>368250</v>
      </c>
    </row>
    <row r="7">
      <c r="A7" s="19" t="s">
        <v>80</v>
      </c>
      <c r="B7" s="2" t="s">
        <v>55</v>
      </c>
      <c r="C7" s="19" t="s">
        <v>81</v>
      </c>
      <c r="D7" s="34" t="s">
        <v>82</v>
      </c>
      <c r="E7" s="19" t="s">
        <v>84</v>
      </c>
      <c r="F7" s="19" t="s">
        <v>56</v>
      </c>
      <c r="G7" s="34" t="s">
        <v>89</v>
      </c>
      <c r="H7" s="19" t="s">
        <v>62</v>
      </c>
      <c r="I7" s="34" t="s">
        <v>59</v>
      </c>
      <c r="J7" s="34" t="s">
        <v>93</v>
      </c>
      <c r="K7" s="34" t="s">
        <v>61</v>
      </c>
      <c r="L7" s="38" t="s">
        <v>77</v>
      </c>
      <c r="O7" s="39" t="s">
        <v>64</v>
      </c>
      <c r="P7" s="39" t="s">
        <v>65</v>
      </c>
      <c r="Q7" s="39" t="s">
        <v>66</v>
      </c>
      <c r="R7" s="39" t="s">
        <v>0</v>
      </c>
      <c r="S7" s="39" t="s">
        <v>67</v>
      </c>
      <c r="T7" s="40"/>
    </row>
    <row r="8">
      <c r="A8" s="19" t="s">
        <v>104</v>
      </c>
      <c r="B8" s="5" t="s">
        <v>105</v>
      </c>
      <c r="C8" s="19" t="s">
        <v>106</v>
      </c>
      <c r="D8" s="34" t="s">
        <v>109</v>
      </c>
      <c r="E8" s="19" t="s">
        <v>112</v>
      </c>
      <c r="F8" s="19" t="s">
        <v>70</v>
      </c>
      <c r="G8" s="34" t="s">
        <v>59</v>
      </c>
      <c r="I8" s="34" t="s">
        <v>118</v>
      </c>
      <c r="J8" s="34" t="s">
        <v>119</v>
      </c>
      <c r="K8" s="5" t="s">
        <v>120</v>
      </c>
      <c r="L8" s="41">
        <v>0.0</v>
      </c>
      <c r="O8" s="42" t="s">
        <v>90</v>
      </c>
      <c r="P8" s="43" t="s">
        <v>79</v>
      </c>
      <c r="Q8" s="43">
        <v>16.0</v>
      </c>
      <c r="R8" s="43">
        <f>Q8*1000</f>
        <v>16000</v>
      </c>
      <c r="S8" s="44">
        <f>Q8*20</f>
        <v>320</v>
      </c>
      <c r="T8" s="45"/>
    </row>
    <row r="9">
      <c r="A9" s="19" t="s">
        <v>129</v>
      </c>
      <c r="B9" s="5" t="s">
        <v>132</v>
      </c>
      <c r="C9" s="19" t="s">
        <v>134</v>
      </c>
      <c r="D9" s="34" t="s">
        <v>135</v>
      </c>
      <c r="E9" s="19" t="s">
        <v>137</v>
      </c>
      <c r="F9" s="19" t="s">
        <v>86</v>
      </c>
      <c r="G9" s="34" t="s">
        <v>140</v>
      </c>
      <c r="I9" s="34" t="s">
        <v>142</v>
      </c>
      <c r="J9" s="34" t="s">
        <v>143</v>
      </c>
      <c r="K9" s="34" t="s">
        <v>144</v>
      </c>
      <c r="P9" s="43" t="s">
        <v>145</v>
      </c>
      <c r="Q9" s="43">
        <v>7.0</v>
      </c>
      <c r="R9" s="43">
        <f>Q9*6000</f>
        <v>42000</v>
      </c>
      <c r="S9" s="44">
        <f>Q9*60</f>
        <v>420</v>
      </c>
      <c r="T9" s="45"/>
    </row>
    <row r="10">
      <c r="A10" s="19" t="s">
        <v>155</v>
      </c>
      <c r="B10" s="5" t="s">
        <v>158</v>
      </c>
      <c r="C10" s="19" t="s">
        <v>161</v>
      </c>
      <c r="D10" s="34" t="s">
        <v>163</v>
      </c>
      <c r="E10" s="19" t="s">
        <v>164</v>
      </c>
      <c r="F10" s="19" t="s">
        <v>97</v>
      </c>
      <c r="G10" s="34" t="s">
        <v>165</v>
      </c>
      <c r="I10" s="34" t="s">
        <v>166</v>
      </c>
      <c r="J10" s="34" t="s">
        <v>167</v>
      </c>
      <c r="K10" s="34" t="s">
        <v>168</v>
      </c>
      <c r="P10" s="47" t="s">
        <v>94</v>
      </c>
      <c r="R10" s="48">
        <f t="shared" ref="R10:S10" si="1">R8+R9</f>
        <v>58000</v>
      </c>
      <c r="S10" s="48">
        <f t="shared" si="1"/>
        <v>740</v>
      </c>
      <c r="T10" s="45"/>
    </row>
    <row r="11">
      <c r="A11" s="19" t="s">
        <v>179</v>
      </c>
      <c r="B11" s="5" t="s">
        <v>183</v>
      </c>
      <c r="C11" s="19" t="s">
        <v>185</v>
      </c>
      <c r="E11" s="19" t="s">
        <v>188</v>
      </c>
      <c r="F11" s="19" t="s">
        <v>110</v>
      </c>
      <c r="G11" s="34" t="s">
        <v>193</v>
      </c>
      <c r="I11" s="34" t="s">
        <v>195</v>
      </c>
      <c r="J11" s="34" t="s">
        <v>198</v>
      </c>
      <c r="K11" s="34" t="s">
        <v>201</v>
      </c>
      <c r="O11" s="51" t="s">
        <v>205</v>
      </c>
      <c r="P11" s="43" t="s">
        <v>79</v>
      </c>
      <c r="Q11" s="43">
        <v>6.0</v>
      </c>
      <c r="R11" s="43">
        <f>Q11*1000</f>
        <v>6000</v>
      </c>
      <c r="S11" s="44">
        <f>Q11*20</f>
        <v>120</v>
      </c>
      <c r="T11" s="45"/>
    </row>
    <row r="12">
      <c r="A12" s="19" t="s">
        <v>222</v>
      </c>
      <c r="B12" s="5" t="s">
        <v>225</v>
      </c>
      <c r="C12" s="19" t="s">
        <v>227</v>
      </c>
      <c r="E12" s="19" t="s">
        <v>228</v>
      </c>
      <c r="F12" s="19" t="s">
        <v>123</v>
      </c>
      <c r="G12" s="34" t="s">
        <v>231</v>
      </c>
      <c r="I12" s="34" t="s">
        <v>233</v>
      </c>
      <c r="J12" s="34" t="s">
        <v>234</v>
      </c>
      <c r="K12" s="34" t="s">
        <v>236</v>
      </c>
      <c r="P12" s="43" t="s">
        <v>145</v>
      </c>
      <c r="Q12" s="43">
        <v>4.0</v>
      </c>
      <c r="R12" s="43">
        <f>Q12*6000</f>
        <v>24000</v>
      </c>
      <c r="S12" s="44">
        <f>Q12*60</f>
        <v>240</v>
      </c>
      <c r="T12" s="45"/>
    </row>
    <row r="13">
      <c r="A13" s="19" t="s">
        <v>257</v>
      </c>
      <c r="B13" s="5" t="s">
        <v>259</v>
      </c>
      <c r="C13" s="19" t="s">
        <v>260</v>
      </c>
      <c r="D13" s="2" t="s">
        <v>184</v>
      </c>
      <c r="E13" s="19" t="s">
        <v>263</v>
      </c>
      <c r="F13" s="19" t="s">
        <v>264</v>
      </c>
      <c r="G13" s="34" t="s">
        <v>266</v>
      </c>
      <c r="I13" s="34" t="s">
        <v>268</v>
      </c>
      <c r="J13" s="34" t="s">
        <v>269</v>
      </c>
      <c r="K13" s="34" t="s">
        <v>271</v>
      </c>
      <c r="P13" s="43" t="s">
        <v>152</v>
      </c>
      <c r="T13" s="45"/>
    </row>
    <row r="14">
      <c r="A14" s="19" t="s">
        <v>274</v>
      </c>
      <c r="B14" s="5" t="s">
        <v>275</v>
      </c>
      <c r="C14" s="19" t="s">
        <v>276</v>
      </c>
      <c r="D14" s="24">
        <v>-1000.0</v>
      </c>
      <c r="E14" s="19" t="s">
        <v>280</v>
      </c>
      <c r="F14" s="60" t="s">
        <v>282</v>
      </c>
      <c r="G14" s="34" t="s">
        <v>284</v>
      </c>
      <c r="I14" s="34" t="s">
        <v>195</v>
      </c>
      <c r="J14" s="34" t="s">
        <v>286</v>
      </c>
      <c r="K14" s="62"/>
      <c r="P14" s="43">
        <v>100.0</v>
      </c>
      <c r="Q14" s="43">
        <v>1.0</v>
      </c>
      <c r="R14" s="44">
        <f t="shared" ref="R14:R15" si="2">Q14*1500</f>
        <v>1500</v>
      </c>
      <c r="S14" s="44">
        <f t="shared" ref="S14:S15" si="3">Q14*60</f>
        <v>60</v>
      </c>
      <c r="T14" s="45"/>
    </row>
    <row r="15">
      <c r="A15" s="19" t="s">
        <v>305</v>
      </c>
      <c r="B15" s="5" t="s">
        <v>309</v>
      </c>
      <c r="C15" s="19" t="s">
        <v>313</v>
      </c>
      <c r="D15" s="34" t="s">
        <v>317</v>
      </c>
      <c r="E15" s="19" t="s">
        <v>319</v>
      </c>
      <c r="F15" s="60" t="s">
        <v>320</v>
      </c>
      <c r="G15" s="34" t="s">
        <v>322</v>
      </c>
      <c r="I15" s="34" t="s">
        <v>324</v>
      </c>
      <c r="J15" s="34" t="s">
        <v>325</v>
      </c>
      <c r="K15" s="62"/>
      <c r="P15" s="43" t="s">
        <v>327</v>
      </c>
      <c r="Q15" s="43">
        <v>4.0</v>
      </c>
      <c r="R15" s="44">
        <f t="shared" si="2"/>
        <v>6000</v>
      </c>
      <c r="S15" s="44">
        <f t="shared" si="3"/>
        <v>240</v>
      </c>
      <c r="T15" s="45"/>
    </row>
    <row r="16">
      <c r="A16" s="19" t="s">
        <v>334</v>
      </c>
      <c r="B16" s="2" t="s">
        <v>170</v>
      </c>
      <c r="C16" s="19" t="s">
        <v>338</v>
      </c>
      <c r="D16" s="34" t="s">
        <v>341</v>
      </c>
      <c r="E16" s="19" t="s">
        <v>342</v>
      </c>
      <c r="F16" s="60" t="s">
        <v>343</v>
      </c>
      <c r="G16" s="34" t="s">
        <v>266</v>
      </c>
      <c r="I16" s="34" t="s">
        <v>345</v>
      </c>
      <c r="J16" s="34" t="s">
        <v>346</v>
      </c>
      <c r="K16" s="62"/>
      <c r="P16" s="47" t="s">
        <v>94</v>
      </c>
      <c r="R16" s="48">
        <f t="shared" ref="R16:S16" si="4">R11+R12+R14+R15</f>
        <v>37500</v>
      </c>
      <c r="S16" s="48">
        <f t="shared" si="4"/>
        <v>660</v>
      </c>
      <c r="T16" s="45"/>
    </row>
    <row r="17">
      <c r="A17" s="19" t="s">
        <v>364</v>
      </c>
      <c r="B17" s="5" t="s">
        <v>177</v>
      </c>
      <c r="C17" s="19" t="s">
        <v>71</v>
      </c>
      <c r="F17" s="60" t="s">
        <v>370</v>
      </c>
      <c r="G17" s="34" t="s">
        <v>371</v>
      </c>
      <c r="I17" s="34" t="s">
        <v>372</v>
      </c>
      <c r="J17" s="34" t="s">
        <v>373</v>
      </c>
      <c r="K17" s="62"/>
      <c r="O17" s="51" t="s">
        <v>375</v>
      </c>
      <c r="P17" s="43" t="s">
        <v>79</v>
      </c>
      <c r="Q17" s="43">
        <v>4.0</v>
      </c>
      <c r="R17" s="43">
        <f>Q17*1000</f>
        <v>4000</v>
      </c>
      <c r="S17" s="44">
        <f>Q17*20</f>
        <v>80</v>
      </c>
      <c r="T17" s="45"/>
    </row>
    <row r="18">
      <c r="A18" s="19" t="s">
        <v>385</v>
      </c>
      <c r="B18" s="2" t="s">
        <v>196</v>
      </c>
      <c r="C18" s="19" t="s">
        <v>388</v>
      </c>
      <c r="F18" s="60" t="s">
        <v>390</v>
      </c>
      <c r="G18" s="34" t="s">
        <v>391</v>
      </c>
      <c r="I18" s="34" t="s">
        <v>392</v>
      </c>
      <c r="J18" s="62"/>
      <c r="K18" s="62"/>
      <c r="P18" s="43" t="s">
        <v>145</v>
      </c>
      <c r="Q18" s="43">
        <v>4.0</v>
      </c>
      <c r="R18" s="43">
        <f>Q18*6000</f>
        <v>24000</v>
      </c>
      <c r="S18" s="44">
        <f>Q18*60</f>
        <v>240</v>
      </c>
      <c r="T18" s="45"/>
    </row>
    <row r="19">
      <c r="A19" s="19" t="s">
        <v>405</v>
      </c>
      <c r="B19" s="5" t="s">
        <v>177</v>
      </c>
      <c r="C19" s="19" t="s">
        <v>407</v>
      </c>
      <c r="F19" s="60" t="s">
        <v>409</v>
      </c>
      <c r="G19" s="34" t="s">
        <v>266</v>
      </c>
      <c r="I19" s="34" t="s">
        <v>195</v>
      </c>
      <c r="J19" s="62"/>
      <c r="K19" s="62"/>
      <c r="P19" s="43" t="s">
        <v>117</v>
      </c>
      <c r="Q19" s="43">
        <v>1.0</v>
      </c>
      <c r="R19" s="44">
        <f>Q19*2000</f>
        <v>2000</v>
      </c>
      <c r="S19" s="44">
        <f>Q19*40</f>
        <v>40</v>
      </c>
      <c r="T19" s="45"/>
    </row>
    <row r="20">
      <c r="A20" s="19" t="s">
        <v>420</v>
      </c>
      <c r="C20" s="19" t="s">
        <v>422</v>
      </c>
      <c r="F20" s="19" t="s">
        <v>424</v>
      </c>
      <c r="G20" s="34" t="s">
        <v>371</v>
      </c>
      <c r="I20" s="34" t="s">
        <v>372</v>
      </c>
      <c r="J20" s="62"/>
      <c r="K20" s="62"/>
      <c r="P20" s="43" t="s">
        <v>79</v>
      </c>
      <c r="Q20" s="43">
        <v>1.0</v>
      </c>
      <c r="R20" s="43">
        <f>Q20*1000</f>
        <v>1000</v>
      </c>
      <c r="S20" s="44">
        <f>Q20*20</f>
        <v>20</v>
      </c>
      <c r="T20" s="45"/>
    </row>
    <row r="21">
      <c r="A21" s="19" t="s">
        <v>440</v>
      </c>
      <c r="C21" s="19" t="s">
        <v>442</v>
      </c>
      <c r="F21" s="71"/>
      <c r="G21" s="34" t="s">
        <v>445</v>
      </c>
      <c r="I21" s="34" t="s">
        <v>268</v>
      </c>
      <c r="J21" s="62"/>
      <c r="K21" s="62"/>
      <c r="P21" s="43" t="s">
        <v>152</v>
      </c>
      <c r="T21" s="45"/>
    </row>
    <row r="22">
      <c r="A22" s="19" t="s">
        <v>448</v>
      </c>
      <c r="C22" s="19" t="s">
        <v>449</v>
      </c>
      <c r="G22" s="34" t="s">
        <v>441</v>
      </c>
      <c r="I22" s="34" t="s">
        <v>372</v>
      </c>
      <c r="J22" s="62"/>
      <c r="K22" s="62"/>
      <c r="P22" s="43" t="s">
        <v>327</v>
      </c>
      <c r="Q22" s="43">
        <v>8.0</v>
      </c>
      <c r="R22" s="44">
        <f t="shared" ref="R22:R27" si="5">Q22*1500</f>
        <v>12000</v>
      </c>
      <c r="S22" s="44">
        <f t="shared" ref="S22:S27" si="6">Q22*60</f>
        <v>480</v>
      </c>
      <c r="T22" s="45"/>
    </row>
    <row r="23">
      <c r="A23" s="19" t="s">
        <v>461</v>
      </c>
      <c r="C23" s="19" t="s">
        <v>463</v>
      </c>
      <c r="G23" s="34" t="s">
        <v>464</v>
      </c>
      <c r="I23" s="34" t="s">
        <v>466</v>
      </c>
      <c r="J23" s="62"/>
      <c r="K23" s="62"/>
      <c r="P23" s="43" t="s">
        <v>175</v>
      </c>
      <c r="Q23" s="43">
        <v>2.0</v>
      </c>
      <c r="R23" s="44">
        <f t="shared" si="5"/>
        <v>3000</v>
      </c>
      <c r="S23" s="44">
        <f t="shared" si="6"/>
        <v>120</v>
      </c>
      <c r="T23" s="45"/>
    </row>
    <row r="24">
      <c r="A24" s="19" t="s">
        <v>469</v>
      </c>
      <c r="C24" s="19" t="s">
        <v>470</v>
      </c>
      <c r="G24" s="34" t="s">
        <v>445</v>
      </c>
      <c r="I24" s="34" t="s">
        <v>345</v>
      </c>
      <c r="J24" s="62"/>
      <c r="K24" s="62"/>
      <c r="P24" s="43" t="s">
        <v>191</v>
      </c>
      <c r="Q24" s="43">
        <v>2.5</v>
      </c>
      <c r="R24" s="44">
        <f t="shared" si="5"/>
        <v>3750</v>
      </c>
      <c r="S24" s="44">
        <f t="shared" si="6"/>
        <v>150</v>
      </c>
      <c r="T24" s="45"/>
    </row>
    <row r="25">
      <c r="A25" s="19" t="s">
        <v>481</v>
      </c>
      <c r="C25" s="19" t="s">
        <v>483</v>
      </c>
      <c r="G25" s="34" t="s">
        <v>371</v>
      </c>
      <c r="I25" s="34" t="s">
        <v>195</v>
      </c>
      <c r="J25" s="62"/>
      <c r="K25" s="62"/>
      <c r="P25" s="43" t="s">
        <v>485</v>
      </c>
      <c r="Q25" s="43">
        <v>1.0</v>
      </c>
      <c r="R25" s="44">
        <f t="shared" si="5"/>
        <v>1500</v>
      </c>
      <c r="S25" s="44">
        <f t="shared" si="6"/>
        <v>60</v>
      </c>
      <c r="T25" s="45"/>
    </row>
    <row r="26">
      <c r="A26" s="19" t="s">
        <v>487</v>
      </c>
      <c r="C26" s="19" t="s">
        <v>489</v>
      </c>
      <c r="G26" s="34" t="s">
        <v>492</v>
      </c>
      <c r="I26" s="34" t="s">
        <v>268</v>
      </c>
      <c r="J26" s="62"/>
      <c r="K26" s="62"/>
      <c r="P26" s="43" t="s">
        <v>191</v>
      </c>
      <c r="Q26" s="43">
        <v>1.0</v>
      </c>
      <c r="R26" s="44">
        <f t="shared" si="5"/>
        <v>1500</v>
      </c>
      <c r="S26" s="44">
        <f t="shared" si="6"/>
        <v>60</v>
      </c>
      <c r="T26" s="45"/>
    </row>
    <row r="27">
      <c r="A27" s="19" t="s">
        <v>501</v>
      </c>
      <c r="G27" s="34" t="s">
        <v>266</v>
      </c>
      <c r="I27" s="34" t="s">
        <v>195</v>
      </c>
      <c r="J27" s="62"/>
      <c r="K27" s="62"/>
      <c r="P27" s="43" t="s">
        <v>510</v>
      </c>
      <c r="Q27" s="43">
        <v>1.0</v>
      </c>
      <c r="R27" s="44">
        <f t="shared" si="5"/>
        <v>1500</v>
      </c>
      <c r="S27" s="44">
        <f t="shared" si="6"/>
        <v>60</v>
      </c>
      <c r="T27" s="45"/>
    </row>
    <row r="28">
      <c r="A28" s="19" t="s">
        <v>514</v>
      </c>
      <c r="G28" s="34" t="s">
        <v>441</v>
      </c>
      <c r="I28" s="34" t="s">
        <v>517</v>
      </c>
      <c r="J28" s="62"/>
      <c r="K28" s="62"/>
      <c r="P28" s="47" t="s">
        <v>94</v>
      </c>
      <c r="R28" s="48">
        <f t="shared" ref="R28:S28" si="7">R17+R18+R19+R22+R23+R24+R25+R26+R20+R27</f>
        <v>54250</v>
      </c>
      <c r="S28" s="48">
        <f t="shared" si="7"/>
        <v>1310</v>
      </c>
      <c r="T28" s="45"/>
    </row>
    <row r="29">
      <c r="A29" s="19" t="s">
        <v>548</v>
      </c>
      <c r="G29" s="34" t="s">
        <v>553</v>
      </c>
      <c r="I29" s="34" t="s">
        <v>556</v>
      </c>
      <c r="J29" s="62"/>
      <c r="K29" s="62"/>
      <c r="O29" s="51" t="s">
        <v>563</v>
      </c>
      <c r="P29" s="43" t="s">
        <v>79</v>
      </c>
      <c r="Q29" s="43">
        <v>1.0</v>
      </c>
      <c r="R29" s="43">
        <f>Q29*1000</f>
        <v>1000</v>
      </c>
      <c r="S29" s="44">
        <f>Q29*20</f>
        <v>20</v>
      </c>
      <c r="T29" s="45"/>
    </row>
    <row r="30">
      <c r="A30" s="19" t="s">
        <v>583</v>
      </c>
      <c r="G30" s="62"/>
      <c r="I30" s="34" t="s">
        <v>233</v>
      </c>
      <c r="J30" s="62"/>
      <c r="K30" s="62"/>
      <c r="P30" s="43" t="s">
        <v>145</v>
      </c>
      <c r="Q30" s="43">
        <v>0.5</v>
      </c>
      <c r="R30" s="43">
        <f>Q30*6000</f>
        <v>3000</v>
      </c>
      <c r="S30" s="44">
        <f>Q30*60</f>
        <v>30</v>
      </c>
      <c r="T30" s="45"/>
    </row>
    <row r="31">
      <c r="A31" s="19" t="s">
        <v>602</v>
      </c>
      <c r="G31" s="90" t="s">
        <v>604</v>
      </c>
      <c r="I31" s="34" t="s">
        <v>372</v>
      </c>
      <c r="J31" s="62"/>
      <c r="K31" s="62"/>
      <c r="P31" s="47" t="s">
        <v>94</v>
      </c>
      <c r="R31" s="48">
        <f t="shared" ref="R31:S31" si="8">R29+R30</f>
        <v>4000</v>
      </c>
      <c r="S31" s="48">
        <f t="shared" si="8"/>
        <v>50</v>
      </c>
      <c r="T31" s="45"/>
    </row>
    <row r="32">
      <c r="G32" s="34" t="s">
        <v>625</v>
      </c>
      <c r="I32" s="19" t="s">
        <v>626</v>
      </c>
      <c r="J32" s="62"/>
      <c r="K32" s="62"/>
      <c r="O32" s="51" t="s">
        <v>630</v>
      </c>
      <c r="P32" s="43" t="s">
        <v>79</v>
      </c>
      <c r="Q32" s="43">
        <v>8.0</v>
      </c>
      <c r="R32" s="43">
        <f>Q32*1000</f>
        <v>8000</v>
      </c>
      <c r="S32" s="44">
        <f>Q32*20</f>
        <v>160</v>
      </c>
      <c r="T32" s="45"/>
    </row>
    <row r="33">
      <c r="G33" s="34" t="s">
        <v>649</v>
      </c>
      <c r="I33" s="34" t="s">
        <v>652</v>
      </c>
      <c r="J33" s="62"/>
      <c r="K33" s="62"/>
      <c r="P33" s="43" t="s">
        <v>145</v>
      </c>
      <c r="Q33" s="43">
        <v>2.5</v>
      </c>
      <c r="R33" s="43">
        <f>Q33*6000</f>
        <v>15000</v>
      </c>
      <c r="S33" s="44">
        <f>Q33*60</f>
        <v>150</v>
      </c>
      <c r="T33" s="45"/>
    </row>
    <row r="34">
      <c r="G34" s="34" t="s">
        <v>103</v>
      </c>
      <c r="I34" s="34" t="s">
        <v>195</v>
      </c>
      <c r="J34" s="62"/>
      <c r="K34" s="62"/>
      <c r="P34" s="43" t="s">
        <v>117</v>
      </c>
      <c r="Q34" s="43">
        <v>2.0</v>
      </c>
      <c r="R34" s="44">
        <f>Q34*2000</f>
        <v>4000</v>
      </c>
      <c r="S34" s="44">
        <f>Q34*40</f>
        <v>80</v>
      </c>
      <c r="T34" s="45"/>
    </row>
    <row r="35">
      <c r="G35" s="34" t="s">
        <v>699</v>
      </c>
      <c r="I35" s="34" t="s">
        <v>701</v>
      </c>
      <c r="J35" s="62"/>
      <c r="K35" s="62"/>
      <c r="P35" s="43" t="s">
        <v>270</v>
      </c>
      <c r="Q35" s="43">
        <v>4.0</v>
      </c>
      <c r="R35" s="44">
        <f>Q35*3000</f>
        <v>12000</v>
      </c>
      <c r="S35" s="44">
        <f>Q35*60</f>
        <v>240</v>
      </c>
      <c r="T35" s="45"/>
    </row>
    <row r="36">
      <c r="G36" s="34" t="s">
        <v>226</v>
      </c>
      <c r="I36" s="34" t="s">
        <v>233</v>
      </c>
      <c r="J36" s="62"/>
      <c r="K36" s="62"/>
      <c r="P36" s="43" t="s">
        <v>141</v>
      </c>
      <c r="Q36" s="43">
        <v>2.5</v>
      </c>
      <c r="R36" s="44">
        <f>Q36*5000</f>
        <v>12500</v>
      </c>
      <c r="S36" s="44">
        <f>Q36*100</f>
        <v>250</v>
      </c>
      <c r="T36" s="45"/>
    </row>
    <row r="37">
      <c r="G37" s="34" t="s">
        <v>720</v>
      </c>
      <c r="I37" s="34" t="s">
        <v>372</v>
      </c>
      <c r="J37" s="62"/>
      <c r="K37" s="62"/>
      <c r="P37" s="43" t="s">
        <v>128</v>
      </c>
      <c r="Q37" s="43">
        <v>7.0</v>
      </c>
      <c r="R37" s="44">
        <f>Q37*8000</f>
        <v>56000</v>
      </c>
      <c r="S37" s="44">
        <f>Q37*80</f>
        <v>560</v>
      </c>
      <c r="T37" s="45"/>
    </row>
    <row r="38">
      <c r="G38" s="62"/>
      <c r="I38" s="34" t="s">
        <v>728</v>
      </c>
      <c r="J38" s="62"/>
      <c r="K38" s="62"/>
      <c r="P38" s="43" t="s">
        <v>152</v>
      </c>
      <c r="T38" s="45"/>
    </row>
    <row r="39">
      <c r="G39" s="90" t="s">
        <v>734</v>
      </c>
      <c r="I39" s="34" t="s">
        <v>652</v>
      </c>
      <c r="J39" s="62"/>
      <c r="K39" s="62"/>
      <c r="P39" s="43" t="s">
        <v>327</v>
      </c>
      <c r="Q39" s="43">
        <v>7.0</v>
      </c>
      <c r="R39" s="44">
        <f t="shared" ref="R39:R42" si="9">Q39*1500</f>
        <v>10500</v>
      </c>
      <c r="S39" s="44">
        <f t="shared" ref="S39:S42" si="10">Q39*60</f>
        <v>420</v>
      </c>
      <c r="T39" s="45"/>
    </row>
    <row r="40">
      <c r="G40" s="62"/>
      <c r="I40" s="34" t="s">
        <v>233</v>
      </c>
      <c r="J40" s="62"/>
      <c r="K40" s="62"/>
      <c r="P40" s="43" t="s">
        <v>162</v>
      </c>
      <c r="Q40" s="43">
        <v>3.0</v>
      </c>
      <c r="R40" s="44">
        <f t="shared" si="9"/>
        <v>4500</v>
      </c>
      <c r="S40" s="44">
        <f t="shared" si="10"/>
        <v>180</v>
      </c>
      <c r="T40" s="45"/>
    </row>
    <row r="41">
      <c r="G41" s="90" t="s">
        <v>754</v>
      </c>
      <c r="I41" s="34" t="s">
        <v>757</v>
      </c>
      <c r="J41" s="62"/>
      <c r="K41" s="62"/>
      <c r="P41" s="43" t="s">
        <v>175</v>
      </c>
      <c r="Q41" s="43">
        <v>1.0</v>
      </c>
      <c r="R41" s="44">
        <f t="shared" si="9"/>
        <v>1500</v>
      </c>
      <c r="S41" s="44">
        <f t="shared" si="10"/>
        <v>60</v>
      </c>
      <c r="T41" s="45"/>
    </row>
    <row r="42">
      <c r="I42" s="34" t="s">
        <v>652</v>
      </c>
      <c r="J42" s="62"/>
      <c r="K42" s="62"/>
      <c r="P42" s="43" t="s">
        <v>191</v>
      </c>
      <c r="Q42" s="43">
        <v>1.0</v>
      </c>
      <c r="R42" s="44">
        <f t="shared" si="9"/>
        <v>1500</v>
      </c>
      <c r="S42" s="44">
        <f t="shared" si="10"/>
        <v>60</v>
      </c>
      <c r="T42" s="45"/>
    </row>
    <row r="43">
      <c r="I43" s="34" t="s">
        <v>233</v>
      </c>
      <c r="P43" s="47" t="s">
        <v>94</v>
      </c>
      <c r="R43" s="48">
        <f t="shared" ref="R43:S43" si="11">R32+R33+R34+R35+R36+R37+R39+R40+R41+R42</f>
        <v>125500</v>
      </c>
      <c r="S43" s="48">
        <f t="shared" si="11"/>
        <v>2160</v>
      </c>
      <c r="T43" s="45"/>
    </row>
    <row r="44">
      <c r="O44" s="51" t="s">
        <v>803</v>
      </c>
      <c r="P44" s="43" t="s">
        <v>145</v>
      </c>
      <c r="Q44" s="43">
        <v>0.5</v>
      </c>
      <c r="R44" s="43">
        <f>Q44*6000</f>
        <v>3000</v>
      </c>
      <c r="S44" s="44">
        <f>Q44*60</f>
        <v>30</v>
      </c>
      <c r="T44" s="45"/>
    </row>
    <row r="45">
      <c r="P45" s="43" t="s">
        <v>128</v>
      </c>
      <c r="Q45" s="43">
        <v>0.5</v>
      </c>
      <c r="R45" s="44">
        <f>Q45*8000</f>
        <v>4000</v>
      </c>
      <c r="S45" s="44">
        <f>Q45*80</f>
        <v>40</v>
      </c>
      <c r="T45" s="45"/>
    </row>
    <row r="46">
      <c r="P46" s="43" t="s">
        <v>141</v>
      </c>
      <c r="Q46" s="43">
        <v>2.5</v>
      </c>
      <c r="R46" s="44">
        <f>Q46*5000</f>
        <v>12500</v>
      </c>
      <c r="S46" s="44">
        <f>Q46*100</f>
        <v>250</v>
      </c>
      <c r="T46" s="45"/>
    </row>
    <row r="47">
      <c r="P47" s="47" t="s">
        <v>94</v>
      </c>
      <c r="R47" s="48">
        <f t="shared" ref="R47:S47" si="12">R44+R45+R46</f>
        <v>19500</v>
      </c>
      <c r="S47" s="48">
        <f t="shared" si="12"/>
        <v>320</v>
      </c>
      <c r="T47" s="45"/>
    </row>
    <row r="48">
      <c r="O48" s="51" t="s">
        <v>839</v>
      </c>
      <c r="P48" s="43" t="s">
        <v>152</v>
      </c>
      <c r="T48" s="45"/>
    </row>
    <row r="49">
      <c r="P49" s="43" t="s">
        <v>327</v>
      </c>
      <c r="Q49" s="43">
        <v>2.0</v>
      </c>
      <c r="R49" s="44">
        <f t="shared" ref="R49:R52" si="13">Q49*1500</f>
        <v>3000</v>
      </c>
      <c r="S49" s="44">
        <f t="shared" ref="S49:S52" si="14">Q49*60</f>
        <v>120</v>
      </c>
      <c r="T49" s="45"/>
    </row>
    <row r="50">
      <c r="P50" s="43" t="s">
        <v>162</v>
      </c>
      <c r="Q50" s="43">
        <v>1.0</v>
      </c>
      <c r="R50" s="44">
        <f t="shared" si="13"/>
        <v>1500</v>
      </c>
      <c r="S50" s="44">
        <f t="shared" si="14"/>
        <v>60</v>
      </c>
      <c r="T50" s="45"/>
    </row>
    <row r="51">
      <c r="P51" s="43" t="s">
        <v>485</v>
      </c>
      <c r="Q51" s="43">
        <v>1.0</v>
      </c>
      <c r="R51" s="44">
        <f t="shared" si="13"/>
        <v>1500</v>
      </c>
      <c r="S51" s="44">
        <f t="shared" si="14"/>
        <v>60</v>
      </c>
      <c r="T51" s="45"/>
    </row>
    <row r="52">
      <c r="P52" s="43" t="s">
        <v>496</v>
      </c>
      <c r="Q52" s="43">
        <v>0.5</v>
      </c>
      <c r="R52" s="44">
        <f t="shared" si="13"/>
        <v>750</v>
      </c>
      <c r="S52" s="44">
        <f t="shared" si="14"/>
        <v>30</v>
      </c>
      <c r="T52" s="45"/>
    </row>
    <row r="53">
      <c r="P53" s="47" t="s">
        <v>94</v>
      </c>
      <c r="R53" s="48">
        <f t="shared" ref="R53:S53" si="15">R49+R50+R51+R52</f>
        <v>6750</v>
      </c>
      <c r="S53" s="48">
        <f t="shared" si="15"/>
        <v>270</v>
      </c>
      <c r="T53" s="45"/>
    </row>
    <row r="54">
      <c r="O54" s="51" t="s">
        <v>883</v>
      </c>
      <c r="P54" s="43" t="s">
        <v>152</v>
      </c>
      <c r="T54" s="45"/>
    </row>
    <row r="55">
      <c r="P55" s="43" t="s">
        <v>327</v>
      </c>
      <c r="Q55" s="43">
        <v>3.0</v>
      </c>
      <c r="R55" s="44">
        <f>Q55*1500</f>
        <v>4500</v>
      </c>
      <c r="S55" s="44">
        <f>Q55*60</f>
        <v>180</v>
      </c>
      <c r="T55" s="45"/>
    </row>
    <row r="56">
      <c r="P56" s="47" t="s">
        <v>94</v>
      </c>
      <c r="R56" s="48">
        <f t="shared" ref="R56:S56" si="16">R55</f>
        <v>4500</v>
      </c>
      <c r="S56" s="48">
        <f t="shared" si="16"/>
        <v>180</v>
      </c>
      <c r="T56" s="106"/>
    </row>
    <row r="57">
      <c r="O57" s="107" t="s">
        <v>889</v>
      </c>
      <c r="P57" s="43" t="s">
        <v>117</v>
      </c>
      <c r="Q57" s="43">
        <v>1.0</v>
      </c>
      <c r="R57" s="44">
        <f>Q57*2000</f>
        <v>2000</v>
      </c>
      <c r="S57" s="44">
        <f>Q57*40</f>
        <v>40</v>
      </c>
    </row>
    <row r="58">
      <c r="P58" s="43" t="s">
        <v>128</v>
      </c>
      <c r="Q58" s="43">
        <v>2.5</v>
      </c>
      <c r="R58" s="44">
        <f>Q58*8000</f>
        <v>20000</v>
      </c>
      <c r="S58" s="44">
        <f>Q58*80</f>
        <v>200</v>
      </c>
      <c r="T58" s="106"/>
    </row>
    <row r="59">
      <c r="P59" s="43" t="s">
        <v>152</v>
      </c>
    </row>
    <row r="60">
      <c r="P60" s="43" t="s">
        <v>327</v>
      </c>
      <c r="Q60" s="43">
        <v>1.0</v>
      </c>
      <c r="R60" s="44">
        <f t="shared" ref="R60:R62" si="17">Q60*1500</f>
        <v>1500</v>
      </c>
      <c r="S60" s="44">
        <f t="shared" ref="S60:S62" si="18">Q60*60</f>
        <v>60</v>
      </c>
    </row>
    <row r="61">
      <c r="P61" s="43" t="s">
        <v>191</v>
      </c>
      <c r="Q61" s="43">
        <v>1.0</v>
      </c>
      <c r="R61" s="44">
        <f t="shared" si="17"/>
        <v>1500</v>
      </c>
      <c r="S61" s="44">
        <f t="shared" si="18"/>
        <v>60</v>
      </c>
    </row>
    <row r="62">
      <c r="P62" s="43" t="s">
        <v>496</v>
      </c>
      <c r="Q62" s="43">
        <v>0.5</v>
      </c>
      <c r="R62" s="44">
        <f t="shared" si="17"/>
        <v>750</v>
      </c>
      <c r="S62" s="44">
        <f t="shared" si="18"/>
        <v>30</v>
      </c>
    </row>
    <row r="63">
      <c r="P63" s="47" t="s">
        <v>94</v>
      </c>
      <c r="R63" s="48">
        <f t="shared" ref="R63:S63" si="19">R57+R58+R60+R61+R62</f>
        <v>25750</v>
      </c>
      <c r="S63" s="48">
        <f t="shared" si="19"/>
        <v>390</v>
      </c>
    </row>
    <row r="64">
      <c r="A64" s="81" t="s">
        <v>504</v>
      </c>
      <c r="O64" s="51" t="s">
        <v>959</v>
      </c>
      <c r="P64" s="43" t="s">
        <v>128</v>
      </c>
      <c r="Q64" s="43">
        <v>1.0</v>
      </c>
      <c r="R64" s="44">
        <f>Q64*8000</f>
        <v>8000</v>
      </c>
      <c r="S64" s="44">
        <f>Q64*80</f>
        <v>80</v>
      </c>
    </row>
    <row r="65">
      <c r="A65" s="81">
        <f>A67+A89+A115+A137+A165+A196+A240+A259</f>
        <v>2335185</v>
      </c>
      <c r="P65" s="43" t="s">
        <v>141</v>
      </c>
      <c r="Q65" s="43">
        <v>1.0</v>
      </c>
      <c r="R65" s="44">
        <f>Q65*5000</f>
        <v>5000</v>
      </c>
      <c r="S65" s="44">
        <f>Q65*100</f>
        <v>100</v>
      </c>
    </row>
    <row r="66">
      <c r="A66" s="84" t="s">
        <v>977</v>
      </c>
      <c r="P66" s="43" t="s">
        <v>152</v>
      </c>
    </row>
    <row r="67">
      <c r="A67" s="84">
        <v>42400.0</v>
      </c>
      <c r="P67" s="43" t="s">
        <v>496</v>
      </c>
      <c r="Q67" s="43">
        <v>1.5</v>
      </c>
      <c r="R67" s="44">
        <f>Q67*1500</f>
        <v>2250</v>
      </c>
      <c r="S67" s="44">
        <f>Q67*60</f>
        <v>90</v>
      </c>
    </row>
    <row r="68">
      <c r="A68" s="84">
        <v>2026.0</v>
      </c>
      <c r="P68" s="47" t="s">
        <v>94</v>
      </c>
      <c r="R68" s="48">
        <f t="shared" ref="R68:S68" si="20">R64+R65</f>
        <v>13000</v>
      </c>
      <c r="S68" s="48">
        <f t="shared" si="20"/>
        <v>180</v>
      </c>
    </row>
    <row r="69">
      <c r="A69" s="86" t="s">
        <v>526</v>
      </c>
      <c r="B69" s="86" t="s">
        <v>528</v>
      </c>
      <c r="C69" s="86" t="s">
        <v>529</v>
      </c>
      <c r="D69" s="86" t="s">
        <v>531</v>
      </c>
      <c r="E69" s="86" t="s">
        <v>533</v>
      </c>
    </row>
    <row r="70">
      <c r="A70" s="63" t="s">
        <v>668</v>
      </c>
      <c r="B70" s="63" t="s">
        <v>1001</v>
      </c>
      <c r="C70" s="63" t="s">
        <v>1002</v>
      </c>
      <c r="D70" s="63" t="s">
        <v>1003</v>
      </c>
    </row>
    <row r="71">
      <c r="A71" s="19" t="s">
        <v>1004</v>
      </c>
      <c r="B71" s="19" t="s">
        <v>165</v>
      </c>
      <c r="C71" s="19" t="s">
        <v>1006</v>
      </c>
      <c r="D71" s="19" t="s">
        <v>1007</v>
      </c>
    </row>
    <row r="72">
      <c r="A72" s="19" t="s">
        <v>683</v>
      </c>
      <c r="B72" s="19" t="s">
        <v>1008</v>
      </c>
      <c r="C72" s="19" t="s">
        <v>1008</v>
      </c>
      <c r="D72" s="19" t="s">
        <v>1009</v>
      </c>
    </row>
    <row r="73">
      <c r="B73" s="19" t="s">
        <v>1011</v>
      </c>
      <c r="C73" s="19" t="s">
        <v>1014</v>
      </c>
      <c r="D73" s="19" t="s">
        <v>932</v>
      </c>
    </row>
    <row r="74">
      <c r="B74" s="19" t="s">
        <v>573</v>
      </c>
      <c r="D74" s="19" t="s">
        <v>922</v>
      </c>
    </row>
    <row r="75">
      <c r="B75" s="19" t="s">
        <v>1020</v>
      </c>
      <c r="D75" s="19" t="s">
        <v>950</v>
      </c>
    </row>
    <row r="76">
      <c r="B76" s="19" t="s">
        <v>573</v>
      </c>
      <c r="D76" s="19" t="s">
        <v>324</v>
      </c>
    </row>
    <row r="77">
      <c r="D77" s="19" t="s">
        <v>1008</v>
      </c>
    </row>
    <row r="78">
      <c r="D78" s="19" t="s">
        <v>999</v>
      </c>
    </row>
    <row r="79">
      <c r="D79" s="19" t="s">
        <v>922</v>
      </c>
    </row>
    <row r="80">
      <c r="D80" s="19" t="s">
        <v>950</v>
      </c>
    </row>
    <row r="81">
      <c r="D81" s="19" t="s">
        <v>1026</v>
      </c>
    </row>
    <row r="82">
      <c r="D82" s="19" t="s">
        <v>1027</v>
      </c>
    </row>
    <row r="83">
      <c r="D83" s="19" t="s">
        <v>950</v>
      </c>
    </row>
    <row r="84">
      <c r="D84" s="19" t="s">
        <v>563</v>
      </c>
    </row>
    <row r="85">
      <c r="D85" s="19" t="s">
        <v>610</v>
      </c>
    </row>
    <row r="86">
      <c r="D86" s="19" t="s">
        <v>950</v>
      </c>
    </row>
    <row r="87">
      <c r="A87" s="87"/>
      <c r="B87" s="87"/>
      <c r="C87" s="87"/>
      <c r="D87" s="87"/>
      <c r="E87" s="87"/>
      <c r="F87" s="87"/>
    </row>
    <row r="88">
      <c r="A88" s="88" t="s">
        <v>978</v>
      </c>
    </row>
    <row r="89">
      <c r="A89" s="88">
        <v>47360.0</v>
      </c>
    </row>
    <row r="90">
      <c r="A90" s="89">
        <v>2026.0</v>
      </c>
    </row>
    <row r="91">
      <c r="A91" s="86" t="s">
        <v>550</v>
      </c>
      <c r="B91" s="86" t="s">
        <v>551</v>
      </c>
      <c r="C91" s="86" t="s">
        <v>552</v>
      </c>
      <c r="D91" s="86" t="s">
        <v>554</v>
      </c>
      <c r="E91" s="86" t="s">
        <v>555</v>
      </c>
      <c r="F91" s="86" t="s">
        <v>557</v>
      </c>
    </row>
    <row r="92">
      <c r="A92" s="63" t="s">
        <v>744</v>
      </c>
      <c r="B92" s="63" t="s">
        <v>1030</v>
      </c>
      <c r="C92" s="63" t="s">
        <v>1031</v>
      </c>
      <c r="D92" s="63" t="s">
        <v>1032</v>
      </c>
      <c r="E92" s="63" t="s">
        <v>744</v>
      </c>
      <c r="F92" s="63" t="s">
        <v>1033</v>
      </c>
    </row>
    <row r="93">
      <c r="B93" s="19" t="s">
        <v>1035</v>
      </c>
      <c r="C93" s="19" t="s">
        <v>1007</v>
      </c>
      <c r="D93" s="19" t="s">
        <v>1036</v>
      </c>
      <c r="F93" s="19" t="s">
        <v>1037</v>
      </c>
    </row>
    <row r="94">
      <c r="B94" s="19" t="s">
        <v>1038</v>
      </c>
      <c r="C94" s="19" t="s">
        <v>574</v>
      </c>
      <c r="D94" s="19" t="s">
        <v>572</v>
      </c>
      <c r="F94" s="19" t="s">
        <v>947</v>
      </c>
    </row>
    <row r="95">
      <c r="B95" s="19" t="s">
        <v>205</v>
      </c>
      <c r="C95" s="19" t="s">
        <v>581</v>
      </c>
      <c r="D95" s="19" t="s">
        <v>1040</v>
      </c>
      <c r="F95" s="19" t="s">
        <v>581</v>
      </c>
    </row>
    <row r="96">
      <c r="B96" s="19" t="s">
        <v>1043</v>
      </c>
      <c r="C96" s="19" t="s">
        <v>1044</v>
      </c>
      <c r="D96" s="19" t="s">
        <v>1046</v>
      </c>
      <c r="F96" s="19" t="s">
        <v>1047</v>
      </c>
    </row>
    <row r="97">
      <c r="B97" s="19" t="s">
        <v>1049</v>
      </c>
      <c r="C97" s="19" t="s">
        <v>1047</v>
      </c>
      <c r="D97" s="19" t="s">
        <v>1050</v>
      </c>
      <c r="F97" s="19" t="s">
        <v>595</v>
      </c>
    </row>
    <row r="98">
      <c r="B98" s="19" t="s">
        <v>1053</v>
      </c>
      <c r="C98" s="19" t="s">
        <v>324</v>
      </c>
      <c r="D98" s="19" t="s">
        <v>581</v>
      </c>
      <c r="F98" s="19" t="s">
        <v>1056</v>
      </c>
    </row>
    <row r="99">
      <c r="B99" s="19" t="s">
        <v>581</v>
      </c>
      <c r="C99" s="19" t="s">
        <v>1058</v>
      </c>
      <c r="D99" s="19" t="s">
        <v>1059</v>
      </c>
      <c r="F99" s="19" t="s">
        <v>590</v>
      </c>
    </row>
    <row r="100">
      <c r="B100" s="19" t="s">
        <v>588</v>
      </c>
      <c r="C100" s="19" t="s">
        <v>581</v>
      </c>
      <c r="D100" s="19" t="s">
        <v>1047</v>
      </c>
      <c r="F100" s="19" t="s">
        <v>581</v>
      </c>
    </row>
    <row r="101">
      <c r="B101" s="19" t="s">
        <v>1061</v>
      </c>
      <c r="C101" s="19" t="s">
        <v>1047</v>
      </c>
      <c r="D101" s="19" t="s">
        <v>1062</v>
      </c>
      <c r="F101" s="19" t="s">
        <v>1040</v>
      </c>
    </row>
    <row r="102">
      <c r="B102" s="19" t="s">
        <v>573</v>
      </c>
      <c r="C102" s="19" t="s">
        <v>1063</v>
      </c>
      <c r="D102" s="19" t="s">
        <v>1038</v>
      </c>
      <c r="F102" s="19" t="s">
        <v>1047</v>
      </c>
    </row>
    <row r="103">
      <c r="C103" s="19" t="s">
        <v>1064</v>
      </c>
      <c r="F103" s="19" t="s">
        <v>595</v>
      </c>
    </row>
    <row r="104">
      <c r="C104" s="19" t="s">
        <v>1065</v>
      </c>
    </row>
    <row r="105">
      <c r="C105" s="19" t="s">
        <v>572</v>
      </c>
    </row>
    <row r="106">
      <c r="C106" s="19" t="s">
        <v>1066</v>
      </c>
    </row>
    <row r="107">
      <c r="C107" s="19" t="s">
        <v>572</v>
      </c>
    </row>
    <row r="108">
      <c r="C108" s="19" t="s">
        <v>1067</v>
      </c>
    </row>
    <row r="109">
      <c r="C109" s="19" t="s">
        <v>1068</v>
      </c>
    </row>
    <row r="110">
      <c r="C110" s="19" t="s">
        <v>1069</v>
      </c>
    </row>
    <row r="111">
      <c r="C111" s="19" t="s">
        <v>870</v>
      </c>
    </row>
    <row r="112">
      <c r="C112" s="19" t="s">
        <v>580</v>
      </c>
    </row>
    <row r="113">
      <c r="A113" s="87"/>
    </row>
    <row r="114">
      <c r="A114" s="2" t="s">
        <v>1075</v>
      </c>
    </row>
    <row r="115">
      <c r="A115" s="2">
        <v>467300.0</v>
      </c>
    </row>
    <row r="116">
      <c r="A116" s="39">
        <v>2026.0</v>
      </c>
    </row>
    <row r="117">
      <c r="A117" s="92" t="s">
        <v>1080</v>
      </c>
    </row>
    <row r="118">
      <c r="A118" s="39" t="s">
        <v>1082</v>
      </c>
    </row>
    <row r="119">
      <c r="A119" s="86" t="s">
        <v>646</v>
      </c>
      <c r="B119" s="86" t="s">
        <v>647</v>
      </c>
      <c r="C119" s="86" t="s">
        <v>648</v>
      </c>
      <c r="D119" s="86" t="s">
        <v>651</v>
      </c>
      <c r="E119" s="86" t="s">
        <v>653</v>
      </c>
      <c r="F119" s="86" t="s">
        <v>654</v>
      </c>
      <c r="G119" s="86" t="s">
        <v>655</v>
      </c>
      <c r="H119" s="86" t="s">
        <v>657</v>
      </c>
    </row>
    <row r="120">
      <c r="A120" s="79" t="s">
        <v>1083</v>
      </c>
      <c r="B120" s="79" t="s">
        <v>1084</v>
      </c>
      <c r="C120" s="79" t="s">
        <v>1085</v>
      </c>
      <c r="D120" s="79" t="s">
        <v>1086</v>
      </c>
      <c r="E120" s="79" t="s">
        <v>1087</v>
      </c>
      <c r="F120" s="79" t="s">
        <v>1034</v>
      </c>
      <c r="G120" s="79" t="s">
        <v>1088</v>
      </c>
      <c r="H120" s="79" t="s">
        <v>1089</v>
      </c>
    </row>
    <row r="121">
      <c r="A121" s="19" t="s">
        <v>1090</v>
      </c>
      <c r="B121" s="19" t="s">
        <v>1091</v>
      </c>
      <c r="C121" s="19" t="s">
        <v>1092</v>
      </c>
      <c r="D121" s="19" t="s">
        <v>1037</v>
      </c>
      <c r="E121" s="19" t="s">
        <v>49</v>
      </c>
      <c r="F121" s="19" t="s">
        <v>1093</v>
      </c>
      <c r="G121" s="19" t="s">
        <v>1007</v>
      </c>
      <c r="H121" s="19" t="s">
        <v>1006</v>
      </c>
    </row>
    <row r="122">
      <c r="A122" s="19" t="s">
        <v>1094</v>
      </c>
      <c r="B122" s="19" t="s">
        <v>1094</v>
      </c>
      <c r="C122" s="19" t="s">
        <v>1094</v>
      </c>
      <c r="D122" s="19" t="s">
        <v>1094</v>
      </c>
      <c r="E122" s="19" t="s">
        <v>1094</v>
      </c>
      <c r="F122" s="19" t="s">
        <v>1094</v>
      </c>
      <c r="G122" s="19" t="s">
        <v>1094</v>
      </c>
      <c r="H122" s="19" t="s">
        <v>1094</v>
      </c>
    </row>
    <row r="123">
      <c r="A123" s="19" t="s">
        <v>652</v>
      </c>
      <c r="B123" s="19" t="s">
        <v>1095</v>
      </c>
      <c r="C123" s="19" t="s">
        <v>1096</v>
      </c>
      <c r="D123" s="19" t="s">
        <v>205</v>
      </c>
      <c r="E123" s="19" t="s">
        <v>1097</v>
      </c>
      <c r="F123" s="19" t="s">
        <v>1098</v>
      </c>
      <c r="G123" s="19" t="s">
        <v>1099</v>
      </c>
      <c r="H123" s="19" t="s">
        <v>1100</v>
      </c>
    </row>
    <row r="124">
      <c r="A124" s="19" t="s">
        <v>1101</v>
      </c>
      <c r="B124" s="19" t="s">
        <v>701</v>
      </c>
      <c r="C124" s="19" t="s">
        <v>1102</v>
      </c>
      <c r="D124" s="19" t="s">
        <v>1102</v>
      </c>
      <c r="E124" s="19" t="s">
        <v>652</v>
      </c>
      <c r="F124" s="19" t="s">
        <v>1102</v>
      </c>
      <c r="G124" s="19" t="s">
        <v>1104</v>
      </c>
      <c r="H124" s="19" t="s">
        <v>1102</v>
      </c>
    </row>
    <row r="125">
      <c r="A125" s="19" t="s">
        <v>1102</v>
      </c>
      <c r="B125" s="19" t="s">
        <v>1109</v>
      </c>
      <c r="C125" s="19" t="s">
        <v>1110</v>
      </c>
      <c r="D125" s="19" t="s">
        <v>1095</v>
      </c>
      <c r="E125" s="19" t="s">
        <v>268</v>
      </c>
      <c r="F125" s="19" t="s">
        <v>1111</v>
      </c>
      <c r="G125" s="19" t="s">
        <v>268</v>
      </c>
    </row>
    <row r="126">
      <c r="A126" s="19" t="s">
        <v>1113</v>
      </c>
      <c r="B126" s="19" t="s">
        <v>1115</v>
      </c>
      <c r="C126" s="19" t="s">
        <v>684</v>
      </c>
      <c r="D126" s="19" t="s">
        <v>268</v>
      </c>
      <c r="E126" s="19" t="s">
        <v>1117</v>
      </c>
      <c r="F126" s="19" t="s">
        <v>989</v>
      </c>
      <c r="G126" s="19" t="s">
        <v>1120</v>
      </c>
    </row>
    <row r="127">
      <c r="A127" s="19" t="s">
        <v>683</v>
      </c>
      <c r="B127" s="19" t="s">
        <v>1102</v>
      </c>
      <c r="C127" s="19" t="s">
        <v>685</v>
      </c>
      <c r="D127" s="19" t="s">
        <v>1124</v>
      </c>
      <c r="E127" s="19" t="s">
        <v>80</v>
      </c>
      <c r="G127" s="19" t="s">
        <v>1127</v>
      </c>
    </row>
    <row r="128">
      <c r="B128" s="19" t="s">
        <v>690</v>
      </c>
      <c r="C128" s="19" t="s">
        <v>1129</v>
      </c>
      <c r="D128" s="19" t="s">
        <v>573</v>
      </c>
      <c r="E128" s="19" t="s">
        <v>1102</v>
      </c>
      <c r="G128" s="19" t="s">
        <v>1130</v>
      </c>
    </row>
    <row r="129">
      <c r="B129" s="19" t="s">
        <v>1131</v>
      </c>
      <c r="C129" s="19" t="s">
        <v>1009</v>
      </c>
      <c r="D129" s="19" t="s">
        <v>1132</v>
      </c>
      <c r="E129" s="19" t="s">
        <v>1095</v>
      </c>
      <c r="G129" s="19" t="s">
        <v>1133</v>
      </c>
    </row>
    <row r="130">
      <c r="B130" s="19" t="s">
        <v>1048</v>
      </c>
      <c r="D130" s="19" t="s">
        <v>599</v>
      </c>
      <c r="E130" s="19" t="s">
        <v>652</v>
      </c>
      <c r="G130" s="19" t="s">
        <v>1134</v>
      </c>
    </row>
    <row r="131">
      <c r="B131" s="19" t="s">
        <v>690</v>
      </c>
      <c r="E131" s="19" t="s">
        <v>1135</v>
      </c>
      <c r="G131" s="19" t="s">
        <v>1102</v>
      </c>
    </row>
    <row r="132">
      <c r="B132" s="19" t="s">
        <v>1136</v>
      </c>
      <c r="G132" s="19" t="s">
        <v>1095</v>
      </c>
    </row>
    <row r="133">
      <c r="B133" s="19" t="s">
        <v>947</v>
      </c>
      <c r="G133" s="19" t="s">
        <v>652</v>
      </c>
    </row>
    <row r="134">
      <c r="B134" s="19" t="s">
        <v>690</v>
      </c>
      <c r="G134" s="19" t="s">
        <v>1140</v>
      </c>
    </row>
    <row r="135">
      <c r="A135" s="115" t="s">
        <v>1142</v>
      </c>
      <c r="G135" s="19" t="s">
        <v>695</v>
      </c>
    </row>
    <row r="136">
      <c r="A136" s="94" t="s">
        <v>1028</v>
      </c>
    </row>
    <row r="137">
      <c r="A137" s="94">
        <f>A140</f>
        <v>316025</v>
      </c>
    </row>
    <row r="138">
      <c r="A138" s="94">
        <v>2026.0</v>
      </c>
    </row>
    <row r="139">
      <c r="A139" s="94" t="s">
        <v>1152</v>
      </c>
    </row>
    <row r="140">
      <c r="A140" s="94">
        <f>A143+B143+C143+D143+E143+F143+G143+H143</f>
        <v>316025</v>
      </c>
    </row>
    <row r="141">
      <c r="A141" s="86" t="s">
        <v>731</v>
      </c>
      <c r="B141" s="86" t="s">
        <v>733</v>
      </c>
      <c r="C141" s="86" t="s">
        <v>735</v>
      </c>
      <c r="D141" s="86" t="s">
        <v>736</v>
      </c>
      <c r="E141" s="86" t="s">
        <v>737</v>
      </c>
      <c r="F141" s="86" t="s">
        <v>738</v>
      </c>
      <c r="G141" s="86" t="s">
        <v>740</v>
      </c>
      <c r="H141" s="86" t="s">
        <v>741</v>
      </c>
    </row>
    <row r="142">
      <c r="A142" s="14" t="s">
        <v>667</v>
      </c>
      <c r="B142" s="14" t="s">
        <v>667</v>
      </c>
      <c r="C142" s="14" t="s">
        <v>667</v>
      </c>
      <c r="D142" s="14" t="s">
        <v>744</v>
      </c>
      <c r="E142" s="14" t="s">
        <v>667</v>
      </c>
      <c r="F142" s="14" t="s">
        <v>667</v>
      </c>
      <c r="G142" s="14" t="s">
        <v>744</v>
      </c>
      <c r="H142" s="14" t="s">
        <v>667</v>
      </c>
    </row>
    <row r="143">
      <c r="A143" s="86">
        <v>0.0</v>
      </c>
      <c r="B143" s="86">
        <v>2000.0</v>
      </c>
      <c r="C143" s="86">
        <v>66275.0</v>
      </c>
      <c r="D143" s="86">
        <v>74250.0</v>
      </c>
      <c r="E143" s="86">
        <v>69550.0</v>
      </c>
      <c r="F143" s="86">
        <v>18250.0</v>
      </c>
      <c r="G143" s="86">
        <v>26500.0</v>
      </c>
      <c r="H143" s="86">
        <v>59200.0</v>
      </c>
    </row>
    <row r="144">
      <c r="B144" s="19" t="s">
        <v>1179</v>
      </c>
      <c r="C144" s="19" t="s">
        <v>1035</v>
      </c>
      <c r="D144" s="19" t="s">
        <v>1007</v>
      </c>
      <c r="E144" s="19" t="s">
        <v>1006</v>
      </c>
      <c r="F144" s="46" t="s">
        <v>1186</v>
      </c>
      <c r="G144" s="19" t="s">
        <v>912</v>
      </c>
      <c r="H144" s="19" t="s">
        <v>49</v>
      </c>
    </row>
    <row r="145">
      <c r="B145" s="19" t="s">
        <v>753</v>
      </c>
      <c r="C145" s="19" t="s">
        <v>1197</v>
      </c>
      <c r="D145" s="19" t="s">
        <v>756</v>
      </c>
      <c r="E145" s="19" t="s">
        <v>1200</v>
      </c>
      <c r="F145" s="46" t="s">
        <v>1202</v>
      </c>
      <c r="G145" s="19" t="s">
        <v>756</v>
      </c>
      <c r="H145" s="19" t="s">
        <v>947</v>
      </c>
    </row>
    <row r="146">
      <c r="C146" s="19" t="s">
        <v>759</v>
      </c>
      <c r="D146" s="19" t="s">
        <v>1052</v>
      </c>
      <c r="E146" s="19" t="s">
        <v>1052</v>
      </c>
      <c r="F146" s="19" t="s">
        <v>1056</v>
      </c>
      <c r="G146" s="46" t="s">
        <v>1215</v>
      </c>
      <c r="H146" s="19" t="s">
        <v>1216</v>
      </c>
    </row>
    <row r="147">
      <c r="C147" s="19" t="s">
        <v>760</v>
      </c>
      <c r="D147" s="19" t="s">
        <v>1051</v>
      </c>
      <c r="E147" s="19" t="s">
        <v>1051</v>
      </c>
      <c r="F147" s="19" t="s">
        <v>1220</v>
      </c>
      <c r="G147" s="46" t="s">
        <v>1223</v>
      </c>
      <c r="H147" s="19" t="s">
        <v>1226</v>
      </c>
    </row>
    <row r="148">
      <c r="C148" s="19" t="s">
        <v>1054</v>
      </c>
      <c r="D148" s="19" t="s">
        <v>760</v>
      </c>
      <c r="E148" s="19" t="s">
        <v>760</v>
      </c>
      <c r="F148" s="19" t="s">
        <v>759</v>
      </c>
      <c r="H148" s="19" t="s">
        <v>760</v>
      </c>
    </row>
    <row r="149">
      <c r="C149" s="19" t="s">
        <v>1232</v>
      </c>
      <c r="D149" s="19" t="s">
        <v>324</v>
      </c>
      <c r="E149" s="19" t="s">
        <v>764</v>
      </c>
      <c r="F149" s="19" t="s">
        <v>1051</v>
      </c>
      <c r="H149" s="19" t="s">
        <v>1236</v>
      </c>
    </row>
    <row r="150">
      <c r="C150" s="19" t="s">
        <v>1239</v>
      </c>
      <c r="D150" s="19" t="s">
        <v>1240</v>
      </c>
      <c r="E150" s="19" t="s">
        <v>205</v>
      </c>
      <c r="F150" s="19" t="s">
        <v>1131</v>
      </c>
      <c r="H150" s="19" t="s">
        <v>766</v>
      </c>
    </row>
    <row r="151">
      <c r="C151" s="19" t="s">
        <v>759</v>
      </c>
      <c r="D151" s="19" t="s">
        <v>1052</v>
      </c>
      <c r="E151" s="19" t="s">
        <v>775</v>
      </c>
      <c r="F151" s="19" t="s">
        <v>758</v>
      </c>
    </row>
    <row r="152">
      <c r="C152" s="19" t="s">
        <v>1051</v>
      </c>
      <c r="D152" s="19" t="s">
        <v>1049</v>
      </c>
      <c r="E152" s="19" t="s">
        <v>1051</v>
      </c>
      <c r="F152" s="19" t="s">
        <v>1051</v>
      </c>
    </row>
    <row r="153">
      <c r="C153" s="19" t="s">
        <v>1054</v>
      </c>
      <c r="D153" s="19" t="s">
        <v>693</v>
      </c>
      <c r="E153" s="19" t="s">
        <v>764</v>
      </c>
    </row>
    <row r="154">
      <c r="C154" s="19" t="s">
        <v>1063</v>
      </c>
      <c r="D154" s="19" t="s">
        <v>1051</v>
      </c>
    </row>
    <row r="155">
      <c r="C155" s="19" t="s">
        <v>1260</v>
      </c>
      <c r="D155" s="19" t="s">
        <v>1262</v>
      </c>
    </row>
    <row r="156">
      <c r="C156" s="19" t="s">
        <v>1054</v>
      </c>
      <c r="D156" s="19" t="s">
        <v>1264</v>
      </c>
    </row>
    <row r="157">
      <c r="C157" s="19" t="s">
        <v>1266</v>
      </c>
      <c r="D157" s="19" t="s">
        <v>1268</v>
      </c>
    </row>
    <row r="158">
      <c r="C158" s="19" t="s">
        <v>572</v>
      </c>
      <c r="D158" s="19" t="s">
        <v>624</v>
      </c>
    </row>
    <row r="159">
      <c r="C159" s="19" t="s">
        <v>1054</v>
      </c>
    </row>
    <row r="160">
      <c r="C160" s="19" t="s">
        <v>1275</v>
      </c>
    </row>
    <row r="161">
      <c r="C161" s="19" t="s">
        <v>1279</v>
      </c>
    </row>
    <row r="162">
      <c r="C162" s="19" t="s">
        <v>1054</v>
      </c>
    </row>
    <row r="164">
      <c r="A164" s="96" t="s">
        <v>1060</v>
      </c>
    </row>
    <row r="165">
      <c r="A165" s="96">
        <f>A168</f>
        <v>360000</v>
      </c>
    </row>
    <row r="166">
      <c r="A166" s="96">
        <v>2026.0</v>
      </c>
    </row>
    <row r="167">
      <c r="A167" s="96" t="s">
        <v>724</v>
      </c>
    </row>
    <row r="168">
      <c r="A168" s="116">
        <f>A171+B171+C171+D171+E171+F171+G171+H171+I171+J171</f>
        <v>360000</v>
      </c>
    </row>
    <row r="169">
      <c r="A169" s="109" t="s">
        <v>812</v>
      </c>
      <c r="B169" s="109" t="s">
        <v>815</v>
      </c>
      <c r="C169" s="109" t="s">
        <v>817</v>
      </c>
      <c r="D169" s="109" t="s">
        <v>819</v>
      </c>
      <c r="E169" s="109" t="s">
        <v>821</v>
      </c>
      <c r="F169" s="109" t="s">
        <v>822</v>
      </c>
      <c r="G169" s="109" t="s">
        <v>823</v>
      </c>
      <c r="H169" s="109" t="s">
        <v>825</v>
      </c>
      <c r="I169" s="99" t="s">
        <v>827</v>
      </c>
      <c r="J169" s="99" t="s">
        <v>829</v>
      </c>
    </row>
    <row r="170">
      <c r="A170" s="14" t="s">
        <v>667</v>
      </c>
      <c r="B170" s="14" t="s">
        <v>667</v>
      </c>
      <c r="C170" s="14" t="s">
        <v>667</v>
      </c>
      <c r="D170" s="14" t="s">
        <v>667</v>
      </c>
      <c r="E170" s="14" t="s">
        <v>667</v>
      </c>
      <c r="F170" s="14" t="s">
        <v>667</v>
      </c>
      <c r="G170" s="14" t="s">
        <v>667</v>
      </c>
      <c r="H170" s="14" t="s">
        <v>667</v>
      </c>
      <c r="I170" s="14" t="s">
        <v>667</v>
      </c>
      <c r="J170" s="14" t="s">
        <v>667</v>
      </c>
    </row>
    <row r="171">
      <c r="A171" s="86">
        <v>5000.0</v>
      </c>
      <c r="B171" s="86">
        <v>36000.0</v>
      </c>
      <c r="C171" s="86">
        <v>0.0</v>
      </c>
      <c r="D171" s="86">
        <v>26100.0</v>
      </c>
      <c r="E171" s="86">
        <v>6400.0</v>
      </c>
      <c r="F171" s="86">
        <v>0.0</v>
      </c>
      <c r="G171" s="86">
        <v>9500.0</v>
      </c>
      <c r="H171" s="86">
        <v>0.0</v>
      </c>
      <c r="I171" s="86">
        <v>42000.0</v>
      </c>
      <c r="J171" s="86">
        <v>235000.0</v>
      </c>
    </row>
    <row r="172">
      <c r="A172" s="19" t="s">
        <v>1309</v>
      </c>
      <c r="B172" s="46" t="s">
        <v>1312</v>
      </c>
      <c r="D172" s="19" t="s">
        <v>1091</v>
      </c>
      <c r="E172" s="19" t="s">
        <v>1314</v>
      </c>
      <c r="G172" s="19" t="s">
        <v>1316</v>
      </c>
      <c r="I172" s="19" t="s">
        <v>142</v>
      </c>
      <c r="J172" s="19" t="s">
        <v>1007</v>
      </c>
    </row>
    <row r="173">
      <c r="A173" s="19" t="s">
        <v>711</v>
      </c>
      <c r="B173" s="46" t="s">
        <v>871</v>
      </c>
      <c r="D173" s="19" t="s">
        <v>871</v>
      </c>
      <c r="E173" s="19" t="s">
        <v>1320</v>
      </c>
      <c r="G173" s="19" t="s">
        <v>1057</v>
      </c>
      <c r="I173" s="19" t="s">
        <v>984</v>
      </c>
      <c r="J173" s="19" t="s">
        <v>850</v>
      </c>
    </row>
    <row r="174">
      <c r="B174" s="19" t="s">
        <v>1324</v>
      </c>
      <c r="D174" s="19" t="s">
        <v>1325</v>
      </c>
      <c r="E174" s="19" t="s">
        <v>1326</v>
      </c>
      <c r="I174" s="19" t="s">
        <v>1328</v>
      </c>
      <c r="J174" s="19" t="s">
        <v>865</v>
      </c>
    </row>
    <row r="175">
      <c r="B175" s="19" t="s">
        <v>878</v>
      </c>
      <c r="D175" s="19" t="s">
        <v>572</v>
      </c>
      <c r="E175" s="19" t="s">
        <v>711</v>
      </c>
      <c r="I175" s="19" t="s">
        <v>1331</v>
      </c>
      <c r="J175" s="19" t="s">
        <v>80</v>
      </c>
    </row>
    <row r="176">
      <c r="D176" s="19" t="s">
        <v>1332</v>
      </c>
      <c r="I176" s="19" t="s">
        <v>984</v>
      </c>
      <c r="J176" s="19" t="s">
        <v>1333</v>
      </c>
    </row>
    <row r="177">
      <c r="D177" s="19" t="s">
        <v>1334</v>
      </c>
      <c r="J177" s="19" t="s">
        <v>1335</v>
      </c>
    </row>
    <row r="178">
      <c r="J178" s="19" t="s">
        <v>871</v>
      </c>
    </row>
    <row r="179">
      <c r="J179" s="19" t="s">
        <v>1337</v>
      </c>
    </row>
    <row r="180">
      <c r="J180" s="19" t="s">
        <v>693</v>
      </c>
    </row>
    <row r="181">
      <c r="J181" s="19" t="s">
        <v>1338</v>
      </c>
    </row>
    <row r="182">
      <c r="J182" s="19" t="s">
        <v>624</v>
      </c>
    </row>
    <row r="183">
      <c r="J183" s="19" t="s">
        <v>865</v>
      </c>
    </row>
    <row r="184">
      <c r="J184" s="19" t="s">
        <v>1339</v>
      </c>
    </row>
    <row r="185">
      <c r="J185" s="19" t="s">
        <v>1340</v>
      </c>
    </row>
    <row r="186">
      <c r="J186" s="19" t="s">
        <v>1341</v>
      </c>
    </row>
    <row r="187">
      <c r="J187" s="19" t="s">
        <v>1343</v>
      </c>
    </row>
    <row r="188">
      <c r="J188" s="19" t="s">
        <v>1344</v>
      </c>
    </row>
    <row r="189">
      <c r="J189" s="19" t="s">
        <v>1076</v>
      </c>
    </row>
    <row r="190">
      <c r="J190" s="19" t="s">
        <v>1347</v>
      </c>
    </row>
    <row r="191">
      <c r="J191" s="19" t="s">
        <v>624</v>
      </c>
    </row>
    <row r="192">
      <c r="J192" s="19" t="s">
        <v>1328</v>
      </c>
    </row>
    <row r="193">
      <c r="J193" s="19" t="s">
        <v>1349</v>
      </c>
    </row>
    <row r="194">
      <c r="A194" s="103" t="s">
        <v>882</v>
      </c>
    </row>
    <row r="195">
      <c r="A195" s="104" t="s">
        <v>884</v>
      </c>
    </row>
    <row r="196">
      <c r="A196" s="104">
        <f>A199</f>
        <v>712100</v>
      </c>
    </row>
    <row r="197">
      <c r="A197" s="104">
        <v>2026.0</v>
      </c>
    </row>
    <row r="198">
      <c r="A198" s="104" t="s">
        <v>724</v>
      </c>
    </row>
    <row r="199">
      <c r="A199" s="105">
        <f>A202+B202+C202+D202+E202+F202+G202+H202+I202+J202</f>
        <v>712100</v>
      </c>
    </row>
    <row r="200">
      <c r="A200" s="86" t="s">
        <v>887</v>
      </c>
      <c r="B200" s="86" t="s">
        <v>888</v>
      </c>
      <c r="C200" s="86" t="s">
        <v>891</v>
      </c>
      <c r="D200" s="86" t="s">
        <v>892</v>
      </c>
      <c r="E200" s="86" t="s">
        <v>893</v>
      </c>
      <c r="F200" s="86" t="s">
        <v>894</v>
      </c>
      <c r="G200" s="109" t="s">
        <v>895</v>
      </c>
      <c r="H200" s="102" t="s">
        <v>896</v>
      </c>
      <c r="I200" s="102" t="s">
        <v>897</v>
      </c>
      <c r="J200" s="102" t="s">
        <v>899</v>
      </c>
    </row>
    <row r="201">
      <c r="A201" s="14" t="s">
        <v>667</v>
      </c>
      <c r="B201" s="14" t="s">
        <v>667</v>
      </c>
      <c r="C201" s="14" t="s">
        <v>667</v>
      </c>
      <c r="D201" s="14" t="s">
        <v>667</v>
      </c>
      <c r="E201" s="14" t="s">
        <v>667</v>
      </c>
      <c r="F201" s="14" t="s">
        <v>667</v>
      </c>
      <c r="G201" s="14" t="s">
        <v>667</v>
      </c>
      <c r="H201" s="38" t="s">
        <v>667</v>
      </c>
      <c r="I201" s="38" t="s">
        <v>667</v>
      </c>
      <c r="J201" s="38" t="s">
        <v>667</v>
      </c>
    </row>
    <row r="202">
      <c r="A202" s="86">
        <v>17000.0</v>
      </c>
      <c r="B202" s="86">
        <v>101000.0</v>
      </c>
      <c r="C202" s="86">
        <v>20000.0</v>
      </c>
      <c r="D202" s="86"/>
      <c r="E202" s="86">
        <v>41000.0</v>
      </c>
      <c r="F202" s="86">
        <v>22500.0</v>
      </c>
      <c r="G202" s="86">
        <v>62500.0</v>
      </c>
      <c r="H202" s="86">
        <f>176500+271600</f>
        <v>448100</v>
      </c>
      <c r="I202" s="86"/>
      <c r="J202" s="86"/>
    </row>
    <row r="203">
      <c r="A203" s="60" t="s">
        <v>1309</v>
      </c>
      <c r="B203" s="60" t="s">
        <v>912</v>
      </c>
      <c r="C203" s="19" t="s">
        <v>1376</v>
      </c>
      <c r="E203" s="19" t="s">
        <v>1179</v>
      </c>
      <c r="F203" s="19" t="s">
        <v>849</v>
      </c>
      <c r="G203" s="19" t="s">
        <v>625</v>
      </c>
      <c r="H203" s="19" t="s">
        <v>1007</v>
      </c>
    </row>
    <row r="204">
      <c r="A204" s="19" t="s">
        <v>989</v>
      </c>
      <c r="B204" s="19" t="s">
        <v>878</v>
      </c>
      <c r="C204" s="19" t="s">
        <v>984</v>
      </c>
      <c r="E204" s="19" t="s">
        <v>573</v>
      </c>
      <c r="F204" s="19" t="s">
        <v>1045</v>
      </c>
      <c r="G204" s="19" t="s">
        <v>1119</v>
      </c>
      <c r="H204" s="19" t="s">
        <v>1380</v>
      </c>
    </row>
    <row r="205">
      <c r="A205" s="19" t="s">
        <v>1121</v>
      </c>
      <c r="B205" s="60" t="s">
        <v>1381</v>
      </c>
      <c r="E205" s="19" t="s">
        <v>1046</v>
      </c>
      <c r="F205" s="19" t="s">
        <v>909</v>
      </c>
      <c r="G205" s="19" t="s">
        <v>909</v>
      </c>
      <c r="H205" s="19" t="s">
        <v>909</v>
      </c>
    </row>
    <row r="206">
      <c r="B206" s="19" t="s">
        <v>1343</v>
      </c>
      <c r="E206" s="19" t="s">
        <v>1384</v>
      </c>
      <c r="F206" s="19" t="s">
        <v>1112</v>
      </c>
      <c r="G206" s="19" t="s">
        <v>1387</v>
      </c>
      <c r="H206" s="19" t="s">
        <v>1112</v>
      </c>
    </row>
    <row r="207">
      <c r="B207" s="60" t="s">
        <v>1389</v>
      </c>
      <c r="G207" s="19" t="s">
        <v>1391</v>
      </c>
      <c r="H207" s="19" t="s">
        <v>1126</v>
      </c>
    </row>
    <row r="208">
      <c r="B208" s="19" t="s">
        <v>984</v>
      </c>
      <c r="G208" s="19" t="s">
        <v>1126</v>
      </c>
      <c r="H208" s="19" t="s">
        <v>1116</v>
      </c>
    </row>
    <row r="209">
      <c r="B209" s="19" t="s">
        <v>909</v>
      </c>
      <c r="H209" s="19" t="s">
        <v>1100</v>
      </c>
    </row>
    <row r="210">
      <c r="B210" s="19" t="s">
        <v>924</v>
      </c>
      <c r="H210" s="19" t="s">
        <v>1384</v>
      </c>
    </row>
    <row r="211">
      <c r="B211" s="60" t="s">
        <v>1404</v>
      </c>
      <c r="H211" s="19" t="s">
        <v>933</v>
      </c>
    </row>
    <row r="212">
      <c r="B212" s="19" t="s">
        <v>1394</v>
      </c>
      <c r="H212" s="19" t="s">
        <v>1116</v>
      </c>
    </row>
    <row r="213">
      <c r="B213" s="19" t="s">
        <v>924</v>
      </c>
      <c r="H213" s="19" t="s">
        <v>1408</v>
      </c>
    </row>
    <row r="214">
      <c r="B214" s="19" t="s">
        <v>934</v>
      </c>
      <c r="H214" s="19" t="s">
        <v>1340</v>
      </c>
    </row>
    <row r="215">
      <c r="B215" s="60" t="s">
        <v>1411</v>
      </c>
      <c r="H215" s="19" t="s">
        <v>909</v>
      </c>
    </row>
    <row r="216">
      <c r="B216" s="19" t="s">
        <v>1048</v>
      </c>
      <c r="H216" s="19" t="s">
        <v>1116</v>
      </c>
    </row>
    <row r="217">
      <c r="B217" s="19" t="s">
        <v>1412</v>
      </c>
      <c r="H217" s="19" t="s">
        <v>1413</v>
      </c>
    </row>
    <row r="218">
      <c r="B218" s="19" t="s">
        <v>907</v>
      </c>
      <c r="H218" s="19" t="s">
        <v>698</v>
      </c>
    </row>
    <row r="219">
      <c r="H219" s="19" t="s">
        <v>933</v>
      </c>
    </row>
    <row r="220">
      <c r="H220" s="19" t="s">
        <v>1415</v>
      </c>
    </row>
    <row r="221">
      <c r="H221" s="19" t="s">
        <v>1116</v>
      </c>
    </row>
    <row r="222">
      <c r="H222" s="19" t="s">
        <v>1416</v>
      </c>
    </row>
    <row r="223">
      <c r="H223" s="19" t="s">
        <v>1417</v>
      </c>
    </row>
    <row r="224">
      <c r="H224" s="19" t="s">
        <v>1116</v>
      </c>
    </row>
    <row r="225">
      <c r="H225" s="19" t="s">
        <v>1418</v>
      </c>
    </row>
    <row r="226">
      <c r="H226" s="19" t="s">
        <v>573</v>
      </c>
    </row>
    <row r="227">
      <c r="H227" s="19" t="s">
        <v>1116</v>
      </c>
    </row>
    <row r="228">
      <c r="H228" s="19" t="s">
        <v>1419</v>
      </c>
    </row>
    <row r="229">
      <c r="H229" s="19" t="s">
        <v>1420</v>
      </c>
    </row>
    <row r="230">
      <c r="H230" s="19" t="s">
        <v>909</v>
      </c>
    </row>
    <row r="231">
      <c r="H231" s="19" t="s">
        <v>1112</v>
      </c>
    </row>
    <row r="232">
      <c r="H232" s="19" t="s">
        <v>1116</v>
      </c>
    </row>
    <row r="239">
      <c r="A239" s="110" t="s">
        <v>943</v>
      </c>
    </row>
    <row r="240">
      <c r="A240" s="110">
        <f>A243</f>
        <v>354000</v>
      </c>
    </row>
    <row r="241">
      <c r="A241" s="110">
        <v>2026.0</v>
      </c>
    </row>
    <row r="242">
      <c r="A242" s="110" t="s">
        <v>724</v>
      </c>
    </row>
    <row r="243">
      <c r="A243" s="110">
        <f>A246+B246+C246+D246+E246+F246+G246+H246</f>
        <v>354000</v>
      </c>
    </row>
    <row r="244">
      <c r="A244" s="86" t="s">
        <v>953</v>
      </c>
      <c r="B244" s="86" t="s">
        <v>833</v>
      </c>
      <c r="C244" s="86" t="s">
        <v>834</v>
      </c>
      <c r="D244" s="86" t="s">
        <v>836</v>
      </c>
      <c r="E244" s="86" t="s">
        <v>956</v>
      </c>
      <c r="F244" s="86" t="s">
        <v>958</v>
      </c>
      <c r="G244" s="86" t="s">
        <v>844</v>
      </c>
      <c r="H244" s="86" t="s">
        <v>838</v>
      </c>
    </row>
    <row r="245">
      <c r="A245" s="14" t="s">
        <v>667</v>
      </c>
      <c r="B245" s="14" t="s">
        <v>667</v>
      </c>
      <c r="C245" s="14" t="s">
        <v>667</v>
      </c>
      <c r="D245" s="14" t="s">
        <v>667</v>
      </c>
      <c r="E245" s="14" t="s">
        <v>667</v>
      </c>
      <c r="F245" s="14" t="s">
        <v>667</v>
      </c>
      <c r="G245" s="14" t="s">
        <v>667</v>
      </c>
      <c r="H245" s="14" t="s">
        <v>667</v>
      </c>
    </row>
    <row r="246">
      <c r="A246" s="86">
        <v>0.0</v>
      </c>
      <c r="B246" s="86">
        <v>0.0</v>
      </c>
      <c r="C246" s="86">
        <v>0.0</v>
      </c>
      <c r="D246" s="86">
        <v>0.0</v>
      </c>
      <c r="E246" s="86">
        <v>0.0</v>
      </c>
      <c r="F246" s="86">
        <v>57000.0</v>
      </c>
      <c r="G246" s="86">
        <v>268000.0</v>
      </c>
      <c r="H246" s="86">
        <f>7000+22000</f>
        <v>29000</v>
      </c>
    </row>
    <row r="247">
      <c r="F247" s="19" t="s">
        <v>1443</v>
      </c>
      <c r="G247" s="19" t="s">
        <v>49</v>
      </c>
      <c r="H247" s="19" t="s">
        <v>912</v>
      </c>
    </row>
    <row r="248">
      <c r="F248" s="19" t="s">
        <v>1445</v>
      </c>
      <c r="G248" s="19" t="s">
        <v>1447</v>
      </c>
      <c r="H248" s="19" t="s">
        <v>684</v>
      </c>
    </row>
    <row r="249">
      <c r="F249" s="19" t="s">
        <v>1449</v>
      </c>
      <c r="G249" s="19" t="s">
        <v>1449</v>
      </c>
      <c r="H249" s="19" t="s">
        <v>1450</v>
      </c>
    </row>
    <row r="250">
      <c r="F250" s="19" t="s">
        <v>1453</v>
      </c>
      <c r="G250" s="19" t="s">
        <v>1453</v>
      </c>
    </row>
    <row r="251">
      <c r="F251" s="19" t="s">
        <v>1454</v>
      </c>
      <c r="G251" s="19" t="s">
        <v>1455</v>
      </c>
    </row>
    <row r="252">
      <c r="F252" s="19" t="s">
        <v>573</v>
      </c>
      <c r="G252" s="19" t="s">
        <v>689</v>
      </c>
    </row>
    <row r="253">
      <c r="G253" s="19" t="s">
        <v>682</v>
      </c>
    </row>
    <row r="254">
      <c r="G254" s="19" t="s">
        <v>1449</v>
      </c>
    </row>
    <row r="255">
      <c r="G255" s="19" t="s">
        <v>1457</v>
      </c>
    </row>
    <row r="258">
      <c r="A258" s="113" t="s">
        <v>963</v>
      </c>
    </row>
    <row r="259">
      <c r="A259" s="113">
        <f>A262</f>
        <v>36000</v>
      </c>
    </row>
    <row r="260">
      <c r="A260" s="113">
        <v>2026.0</v>
      </c>
    </row>
    <row r="261">
      <c r="A261" s="113" t="s">
        <v>724</v>
      </c>
    </row>
    <row r="262">
      <c r="A262" s="114">
        <f>A265+B265+C265+D265+E265+F265+G265+H265+I265+J265</f>
        <v>36000</v>
      </c>
    </row>
    <row r="263">
      <c r="A263" s="86" t="s">
        <v>965</v>
      </c>
      <c r="B263" s="86" t="s">
        <v>966</v>
      </c>
      <c r="C263" s="86" t="s">
        <v>968</v>
      </c>
      <c r="D263" s="86" t="s">
        <v>969</v>
      </c>
      <c r="E263" s="86" t="s">
        <v>970</v>
      </c>
      <c r="F263" s="86" t="s">
        <v>971</v>
      </c>
      <c r="G263" s="86" t="s">
        <v>972</v>
      </c>
      <c r="H263" s="86" t="s">
        <v>973</v>
      </c>
      <c r="I263" s="86" t="s">
        <v>974</v>
      </c>
      <c r="J263" s="86" t="s">
        <v>975</v>
      </c>
    </row>
    <row r="264">
      <c r="A264" s="14" t="s">
        <v>667</v>
      </c>
      <c r="B264" s="14" t="s">
        <v>667</v>
      </c>
      <c r="C264" s="14" t="s">
        <v>667</v>
      </c>
      <c r="D264" s="14" t="s">
        <v>667</v>
      </c>
      <c r="E264" s="14" t="s">
        <v>667</v>
      </c>
      <c r="F264" s="14" t="s">
        <v>667</v>
      </c>
      <c r="G264" s="14" t="s">
        <v>667</v>
      </c>
      <c r="H264" s="38" t="s">
        <v>667</v>
      </c>
      <c r="I264" s="38" t="s">
        <v>667</v>
      </c>
      <c r="J264" s="38" t="s">
        <v>667</v>
      </c>
    </row>
    <row r="265">
      <c r="A265" s="86">
        <v>0.0</v>
      </c>
      <c r="B265" s="86">
        <v>0.0</v>
      </c>
      <c r="C265" s="86">
        <v>7000.0</v>
      </c>
      <c r="D265" s="86">
        <v>0.0</v>
      </c>
      <c r="E265" s="86">
        <v>2000.0</v>
      </c>
      <c r="F265" s="86">
        <v>0.0</v>
      </c>
      <c r="G265" s="86">
        <v>2000.0</v>
      </c>
      <c r="H265" s="86">
        <v>0.0</v>
      </c>
      <c r="I265" s="86">
        <v>0.0</v>
      </c>
      <c r="J265" s="86">
        <v>25000.0</v>
      </c>
    </row>
    <row r="266">
      <c r="C266" s="19" t="s">
        <v>1496</v>
      </c>
      <c r="E266" s="19" t="s">
        <v>1498</v>
      </c>
      <c r="G266" s="19" t="s">
        <v>1037</v>
      </c>
      <c r="J266" s="19" t="s">
        <v>849</v>
      </c>
    </row>
    <row r="267">
      <c r="C267" s="19" t="s">
        <v>684</v>
      </c>
      <c r="E267" s="19" t="s">
        <v>624</v>
      </c>
      <c r="G267" s="19" t="s">
        <v>624</v>
      </c>
      <c r="J267" s="19" t="s">
        <v>1426</v>
      </c>
    </row>
  </sheetData>
  <mergeCells count="80">
    <mergeCell ref="A64:E64"/>
    <mergeCell ref="A65:E65"/>
    <mergeCell ref="A66:E66"/>
    <mergeCell ref="A67:E67"/>
    <mergeCell ref="A68:E68"/>
    <mergeCell ref="A88:F88"/>
    <mergeCell ref="A89:F89"/>
    <mergeCell ref="A90:F90"/>
    <mergeCell ref="A113:H113"/>
    <mergeCell ref="A114:H114"/>
    <mergeCell ref="A115:H115"/>
    <mergeCell ref="A116:H116"/>
    <mergeCell ref="A117:H117"/>
    <mergeCell ref="A118:H118"/>
    <mergeCell ref="A135:F135"/>
    <mergeCell ref="A136:H136"/>
    <mergeCell ref="A137:H137"/>
    <mergeCell ref="A138:H138"/>
    <mergeCell ref="A139:H139"/>
    <mergeCell ref="A140:H140"/>
    <mergeCell ref="A164:J164"/>
    <mergeCell ref="A165:J165"/>
    <mergeCell ref="A166:J166"/>
    <mergeCell ref="A167:J167"/>
    <mergeCell ref="A168:J168"/>
    <mergeCell ref="A194:J194"/>
    <mergeCell ref="A195:J195"/>
    <mergeCell ref="A196:J196"/>
    <mergeCell ref="A243:H243"/>
    <mergeCell ref="A258:J258"/>
    <mergeCell ref="A259:J259"/>
    <mergeCell ref="A260:J260"/>
    <mergeCell ref="A261:J261"/>
    <mergeCell ref="A262:J262"/>
    <mergeCell ref="A197:J197"/>
    <mergeCell ref="A198:J198"/>
    <mergeCell ref="A199:J199"/>
    <mergeCell ref="A239:H239"/>
    <mergeCell ref="A240:H240"/>
    <mergeCell ref="A241:H241"/>
    <mergeCell ref="A242:H242"/>
    <mergeCell ref="A1:S1"/>
    <mergeCell ref="A2:S2"/>
    <mergeCell ref="A3:S3"/>
    <mergeCell ref="A4:S4"/>
    <mergeCell ref="I5:K5"/>
    <mergeCell ref="L5:N5"/>
    <mergeCell ref="O5:S5"/>
    <mergeCell ref="I6:K6"/>
    <mergeCell ref="L6:N6"/>
    <mergeCell ref="O6:S6"/>
    <mergeCell ref="L7:N7"/>
    <mergeCell ref="L8:N8"/>
    <mergeCell ref="O8:O10"/>
    <mergeCell ref="O11:O16"/>
    <mergeCell ref="P16:Q16"/>
    <mergeCell ref="P31:Q31"/>
    <mergeCell ref="P38:S38"/>
    <mergeCell ref="O32:O43"/>
    <mergeCell ref="O44:O47"/>
    <mergeCell ref="O48:O53"/>
    <mergeCell ref="O54:O56"/>
    <mergeCell ref="O57:O63"/>
    <mergeCell ref="O64:O68"/>
    <mergeCell ref="P10:Q10"/>
    <mergeCell ref="P13:S13"/>
    <mergeCell ref="O17:O28"/>
    <mergeCell ref="P21:S21"/>
    <mergeCell ref="P28:Q28"/>
    <mergeCell ref="O29:O31"/>
    <mergeCell ref="P43:Q43"/>
    <mergeCell ref="P66:S66"/>
    <mergeCell ref="P68:Q68"/>
    <mergeCell ref="P47:Q47"/>
    <mergeCell ref="P48:S48"/>
    <mergeCell ref="P53:Q53"/>
    <mergeCell ref="P54:S54"/>
    <mergeCell ref="P56:Q56"/>
    <mergeCell ref="P59:S59"/>
    <mergeCell ref="P63:Q6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46.0"/>
    <col customWidth="1" min="3" max="3" width="27.63"/>
    <col customWidth="1" min="4" max="4" width="30.75"/>
    <col customWidth="1" min="5" max="5" width="36.13"/>
    <col customWidth="1" min="6" max="6" width="30.38"/>
    <col customWidth="1" min="7" max="7" width="31.13"/>
    <col customWidth="1" min="8" max="8" width="31.63"/>
    <col customWidth="1" min="9" max="9" width="22.75"/>
    <col customWidth="1" min="10" max="10" width="28.5"/>
    <col customWidth="1" min="13" max="13" width="14.38"/>
    <col customWidth="1" min="14" max="14" width="16.0"/>
    <col customWidth="1" min="19" max="19" width="32.5"/>
  </cols>
  <sheetData>
    <row r="1">
      <c r="A1" s="3" t="s">
        <v>3</v>
      </c>
    </row>
    <row r="2">
      <c r="A2" s="3" t="s">
        <v>7</v>
      </c>
    </row>
    <row r="3">
      <c r="A3" s="7" t="s">
        <v>10</v>
      </c>
    </row>
    <row r="4">
      <c r="A4" s="8">
        <f>100000+B6+C6+D6+F6+I6+A83+E18+D27+J6+M6</f>
        <v>1590870</v>
      </c>
    </row>
    <row r="5">
      <c r="A5" s="10" t="s">
        <v>24</v>
      </c>
      <c r="B5" s="10" t="s">
        <v>25</v>
      </c>
      <c r="C5" s="11" t="s">
        <v>26</v>
      </c>
      <c r="D5" s="10" t="s">
        <v>27</v>
      </c>
      <c r="E5" s="10" t="s">
        <v>28</v>
      </c>
      <c r="F5" s="10" t="s">
        <v>29</v>
      </c>
      <c r="I5" s="10" t="s">
        <v>30</v>
      </c>
      <c r="J5" s="14" t="s">
        <v>32</v>
      </c>
      <c r="M5" s="15" t="s">
        <v>33</v>
      </c>
      <c r="S5" s="18"/>
    </row>
    <row r="6">
      <c r="A6" s="19" t="s">
        <v>38</v>
      </c>
      <c r="B6" s="8">
        <v>-230000.0</v>
      </c>
      <c r="C6" s="8">
        <v>8000.0</v>
      </c>
      <c r="D6" s="8">
        <v>31000.0</v>
      </c>
      <c r="E6" s="20" t="s">
        <v>41</v>
      </c>
      <c r="F6" s="8">
        <v>-15000.0</v>
      </c>
      <c r="I6" s="8">
        <v>-20000.0</v>
      </c>
      <c r="J6" s="23">
        <f>-60000+J9</f>
        <v>-60000</v>
      </c>
      <c r="M6" s="25">
        <f>P9+P18+P31+P36+P39+P45</f>
        <v>125250</v>
      </c>
      <c r="S6" s="26"/>
    </row>
    <row r="7">
      <c r="A7" s="19" t="s">
        <v>53</v>
      </c>
      <c r="B7" s="10" t="s">
        <v>55</v>
      </c>
      <c r="C7" s="19" t="s">
        <v>56</v>
      </c>
      <c r="D7" s="19" t="s">
        <v>57</v>
      </c>
      <c r="E7" s="20" t="s">
        <v>58</v>
      </c>
      <c r="F7" s="19" t="s">
        <v>59</v>
      </c>
      <c r="G7" s="28" t="s">
        <v>60</v>
      </c>
      <c r="H7" s="19" t="s">
        <v>61</v>
      </c>
      <c r="I7" s="20" t="s">
        <v>62</v>
      </c>
      <c r="J7" s="14" t="s">
        <v>63</v>
      </c>
      <c r="M7" s="10" t="s">
        <v>64</v>
      </c>
      <c r="N7" s="10" t="s">
        <v>65</v>
      </c>
      <c r="O7" s="10" t="s">
        <v>66</v>
      </c>
      <c r="P7" s="10" t="s">
        <v>0</v>
      </c>
      <c r="Q7" s="10" t="s">
        <v>67</v>
      </c>
      <c r="S7" s="28"/>
    </row>
    <row r="8">
      <c r="A8" s="19" t="s">
        <v>68</v>
      </c>
      <c r="B8" s="30" t="s">
        <v>69</v>
      </c>
      <c r="C8" s="19" t="s">
        <v>70</v>
      </c>
      <c r="D8" s="19" t="s">
        <v>71</v>
      </c>
      <c r="E8" s="20" t="s">
        <v>72</v>
      </c>
      <c r="F8" s="19" t="s">
        <v>73</v>
      </c>
      <c r="G8" s="28" t="s">
        <v>74</v>
      </c>
      <c r="H8" s="19" t="s">
        <v>75</v>
      </c>
      <c r="I8" s="20" t="s">
        <v>76</v>
      </c>
      <c r="J8" s="14" t="s">
        <v>77</v>
      </c>
      <c r="M8" s="31" t="s">
        <v>78</v>
      </c>
      <c r="N8" s="30" t="s">
        <v>79</v>
      </c>
      <c r="O8" s="30">
        <v>0.5</v>
      </c>
      <c r="P8" s="30">
        <f>O8*1000</f>
        <v>500</v>
      </c>
      <c r="Q8" s="33">
        <f>O8*20</f>
        <v>10</v>
      </c>
      <c r="S8" s="28"/>
    </row>
    <row r="9">
      <c r="A9" s="19" t="s">
        <v>83</v>
      </c>
      <c r="B9" s="30" t="s">
        <v>85</v>
      </c>
      <c r="C9" s="19" t="s">
        <v>86</v>
      </c>
      <c r="D9" s="19" t="s">
        <v>87</v>
      </c>
      <c r="E9" s="20" t="s">
        <v>88</v>
      </c>
      <c r="F9" s="19" t="s">
        <v>90</v>
      </c>
      <c r="G9" s="28" t="s">
        <v>91</v>
      </c>
      <c r="H9" s="19" t="s">
        <v>92</v>
      </c>
      <c r="J9" s="35">
        <v>0.0</v>
      </c>
      <c r="N9" s="36" t="s">
        <v>94</v>
      </c>
      <c r="P9" s="37">
        <f t="shared" ref="P9:Q9" si="1">P8</f>
        <v>500</v>
      </c>
      <c r="Q9" s="37">
        <f t="shared" si="1"/>
        <v>10</v>
      </c>
      <c r="S9" s="28"/>
    </row>
    <row r="10">
      <c r="A10" s="19" t="s">
        <v>95</v>
      </c>
      <c r="B10" s="30" t="s">
        <v>96</v>
      </c>
      <c r="C10" s="19" t="s">
        <v>97</v>
      </c>
      <c r="D10" s="19" t="s">
        <v>98</v>
      </c>
      <c r="E10" s="20" t="s">
        <v>99</v>
      </c>
      <c r="F10" s="19" t="s">
        <v>100</v>
      </c>
      <c r="G10" s="28" t="s">
        <v>101</v>
      </c>
      <c r="H10" s="19" t="s">
        <v>102</v>
      </c>
      <c r="M10" s="31" t="s">
        <v>103</v>
      </c>
      <c r="N10" s="30" t="s">
        <v>79</v>
      </c>
      <c r="O10" s="30">
        <v>1.5</v>
      </c>
      <c r="P10" s="30">
        <f>O10*1000</f>
        <v>1500</v>
      </c>
      <c r="Q10" s="33">
        <f>O10*20</f>
        <v>30</v>
      </c>
      <c r="S10" s="28"/>
    </row>
    <row r="11">
      <c r="A11" s="19" t="s">
        <v>107</v>
      </c>
      <c r="B11" s="30" t="s">
        <v>108</v>
      </c>
      <c r="C11" s="19" t="s">
        <v>110</v>
      </c>
      <c r="D11" s="19" t="s">
        <v>111</v>
      </c>
      <c r="E11" s="20" t="s">
        <v>113</v>
      </c>
      <c r="F11" s="19" t="s">
        <v>114</v>
      </c>
      <c r="G11" s="28" t="s">
        <v>115</v>
      </c>
      <c r="H11" s="19" t="s">
        <v>116</v>
      </c>
      <c r="N11" s="30" t="s">
        <v>117</v>
      </c>
      <c r="O11" s="30">
        <v>1.5</v>
      </c>
      <c r="P11" s="33">
        <f>O11*2000</f>
        <v>3000</v>
      </c>
      <c r="Q11" s="33">
        <f>O11*40</f>
        <v>60</v>
      </c>
      <c r="S11" s="28"/>
    </row>
    <row r="12">
      <c r="A12" s="19" t="s">
        <v>121</v>
      </c>
      <c r="B12" s="30" t="s">
        <v>122</v>
      </c>
      <c r="C12" s="19" t="s">
        <v>123</v>
      </c>
      <c r="D12" s="19" t="s">
        <v>124</v>
      </c>
      <c r="E12" s="19" t="s">
        <v>125</v>
      </c>
      <c r="F12" s="19" t="s">
        <v>126</v>
      </c>
      <c r="G12" s="28" t="s">
        <v>127</v>
      </c>
      <c r="H12" s="19"/>
      <c r="N12" s="30" t="s">
        <v>128</v>
      </c>
      <c r="O12" s="30">
        <v>4.5</v>
      </c>
      <c r="P12" s="33">
        <f>O12*8000</f>
        <v>36000</v>
      </c>
      <c r="Q12" s="33">
        <f>O12*80</f>
        <v>360</v>
      </c>
      <c r="S12" s="28"/>
    </row>
    <row r="13">
      <c r="A13" s="19" t="s">
        <v>130</v>
      </c>
      <c r="B13" s="30" t="s">
        <v>131</v>
      </c>
      <c r="C13" s="46" t="s">
        <v>133</v>
      </c>
      <c r="D13" s="19" t="s">
        <v>136</v>
      </c>
      <c r="E13" s="19" t="s">
        <v>138</v>
      </c>
      <c r="F13" s="19" t="s">
        <v>139</v>
      </c>
      <c r="G13" s="28" t="s">
        <v>124</v>
      </c>
      <c r="N13" s="30" t="s">
        <v>141</v>
      </c>
      <c r="O13" s="30">
        <v>1.0</v>
      </c>
      <c r="P13" s="33">
        <f>O13*5000</f>
        <v>5000</v>
      </c>
      <c r="Q13" s="33">
        <f>O13*100</f>
        <v>100</v>
      </c>
      <c r="S13" s="28"/>
    </row>
    <row r="14">
      <c r="A14" s="19" t="s">
        <v>146</v>
      </c>
      <c r="B14" s="30" t="s">
        <v>147</v>
      </c>
      <c r="C14" s="19" t="s">
        <v>148</v>
      </c>
      <c r="D14" s="19" t="s">
        <v>149</v>
      </c>
      <c r="F14" s="19" t="s">
        <v>150</v>
      </c>
      <c r="G14" s="28" t="s">
        <v>151</v>
      </c>
      <c r="N14" s="30" t="s">
        <v>152</v>
      </c>
      <c r="S14" s="28"/>
    </row>
    <row r="15">
      <c r="A15" s="19" t="s">
        <v>153</v>
      </c>
      <c r="B15" s="30" t="s">
        <v>154</v>
      </c>
      <c r="C15" s="19" t="s">
        <v>156</v>
      </c>
      <c r="D15" s="19" t="s">
        <v>157</v>
      </c>
      <c r="F15" s="19" t="s">
        <v>159</v>
      </c>
      <c r="G15" s="28" t="s">
        <v>160</v>
      </c>
      <c r="N15" s="30" t="s">
        <v>162</v>
      </c>
      <c r="O15" s="30">
        <v>1.0</v>
      </c>
      <c r="P15" s="33">
        <f t="shared" ref="P15:P17" si="2">O15*1500</f>
        <v>1500</v>
      </c>
      <c r="Q15" s="33">
        <f t="shared" ref="Q15:Q17" si="3">O15*60</f>
        <v>60</v>
      </c>
      <c r="S15" s="28"/>
    </row>
    <row r="16">
      <c r="A16" s="19" t="s">
        <v>169</v>
      </c>
      <c r="B16" s="10" t="s">
        <v>170</v>
      </c>
      <c r="C16" s="19" t="s">
        <v>171</v>
      </c>
      <c r="D16" s="19" t="s">
        <v>172</v>
      </c>
      <c r="F16" s="19" t="s">
        <v>173</v>
      </c>
      <c r="G16" s="28" t="s">
        <v>174</v>
      </c>
      <c r="N16" s="30" t="s">
        <v>175</v>
      </c>
      <c r="O16" s="30">
        <v>2.0</v>
      </c>
      <c r="P16" s="33">
        <f t="shared" si="2"/>
        <v>3000</v>
      </c>
      <c r="Q16" s="33">
        <f t="shared" si="3"/>
        <v>120</v>
      </c>
      <c r="S16" s="28"/>
    </row>
    <row r="17">
      <c r="A17" s="19" t="s">
        <v>176</v>
      </c>
      <c r="B17" s="30" t="s">
        <v>177</v>
      </c>
      <c r="C17" s="19" t="s">
        <v>180</v>
      </c>
      <c r="D17" s="19" t="s">
        <v>181</v>
      </c>
      <c r="E17" s="10" t="s">
        <v>184</v>
      </c>
      <c r="F17" s="19" t="s">
        <v>187</v>
      </c>
      <c r="G17" s="28" t="s">
        <v>189</v>
      </c>
      <c r="N17" s="30" t="s">
        <v>191</v>
      </c>
      <c r="O17" s="30">
        <v>1.0</v>
      </c>
      <c r="P17" s="33">
        <f t="shared" si="2"/>
        <v>1500</v>
      </c>
      <c r="Q17" s="33">
        <f t="shared" si="3"/>
        <v>60</v>
      </c>
      <c r="S17" s="28"/>
    </row>
    <row r="18">
      <c r="A18" s="19" t="s">
        <v>194</v>
      </c>
      <c r="B18" s="10" t="s">
        <v>196</v>
      </c>
      <c r="C18" s="19" t="s">
        <v>199</v>
      </c>
      <c r="D18" s="19" t="s">
        <v>172</v>
      </c>
      <c r="E18" s="49">
        <v>-500.0</v>
      </c>
      <c r="F18" s="19" t="s">
        <v>206</v>
      </c>
      <c r="G18" s="28" t="s">
        <v>208</v>
      </c>
      <c r="N18" s="36" t="s">
        <v>94</v>
      </c>
      <c r="P18" s="37">
        <f t="shared" ref="P18:Q18" si="4">P10+P11+P12+P15+P16+P17+P13</f>
        <v>51500</v>
      </c>
      <c r="Q18" s="37">
        <f t="shared" si="4"/>
        <v>790</v>
      </c>
      <c r="S18" s="28"/>
    </row>
    <row r="19">
      <c r="A19" s="19" t="s">
        <v>215</v>
      </c>
      <c r="B19" s="30" t="s">
        <v>177</v>
      </c>
      <c r="C19" s="19" t="s">
        <v>216</v>
      </c>
      <c r="D19" s="19" t="s">
        <v>136</v>
      </c>
      <c r="E19" s="20" t="s">
        <v>219</v>
      </c>
      <c r="F19" s="19" t="s">
        <v>173</v>
      </c>
      <c r="G19" s="28" t="s">
        <v>221</v>
      </c>
      <c r="M19" s="31" t="s">
        <v>226</v>
      </c>
      <c r="N19" s="30" t="s">
        <v>79</v>
      </c>
      <c r="O19" s="30">
        <v>1.0</v>
      </c>
      <c r="P19" s="30">
        <f>O19*1000</f>
        <v>1000</v>
      </c>
      <c r="Q19" s="33">
        <f t="shared" ref="Q19:Q20" si="5">O19*20</f>
        <v>20</v>
      </c>
      <c r="S19" s="28"/>
    </row>
    <row r="20">
      <c r="A20" s="19" t="s">
        <v>237</v>
      </c>
      <c r="C20" s="19" t="s">
        <v>239</v>
      </c>
      <c r="D20" s="19" t="s">
        <v>240</v>
      </c>
      <c r="F20" s="19" t="s">
        <v>241</v>
      </c>
      <c r="G20" s="19" t="s">
        <v>244</v>
      </c>
      <c r="N20" s="30" t="s">
        <v>246</v>
      </c>
      <c r="O20" s="30">
        <v>1.0</v>
      </c>
      <c r="P20" s="30">
        <f t="shared" ref="P20:P21" si="6">O20*2000</f>
        <v>2000</v>
      </c>
      <c r="Q20" s="33">
        <f t="shared" si="5"/>
        <v>20</v>
      </c>
      <c r="S20" s="28"/>
    </row>
    <row r="21">
      <c r="A21" s="19" t="s">
        <v>253</v>
      </c>
      <c r="C21" s="19" t="s">
        <v>254</v>
      </c>
      <c r="D21" s="19" t="s">
        <v>255</v>
      </c>
      <c r="F21" s="19" t="s">
        <v>256</v>
      </c>
      <c r="N21" s="30" t="s">
        <v>117</v>
      </c>
      <c r="O21" s="30">
        <v>1.0</v>
      </c>
      <c r="P21" s="33">
        <f t="shared" si="6"/>
        <v>2000</v>
      </c>
      <c r="Q21" s="33">
        <f>O21*40</f>
        <v>40</v>
      </c>
      <c r="S21" s="28"/>
    </row>
    <row r="22">
      <c r="A22" s="19" t="s">
        <v>265</v>
      </c>
      <c r="C22" s="19" t="s">
        <v>267</v>
      </c>
      <c r="F22" s="19" t="s">
        <v>150</v>
      </c>
      <c r="N22" s="30" t="s">
        <v>270</v>
      </c>
      <c r="O22" s="30">
        <v>1.0</v>
      </c>
      <c r="P22" s="33">
        <f>O22*3000</f>
        <v>3000</v>
      </c>
      <c r="Q22" s="33">
        <f>O22*60</f>
        <v>60</v>
      </c>
      <c r="S22" s="28"/>
    </row>
    <row r="23">
      <c r="A23" s="19" t="s">
        <v>277</v>
      </c>
      <c r="C23" s="19" t="s">
        <v>279</v>
      </c>
      <c r="F23" s="19" t="s">
        <v>281</v>
      </c>
      <c r="N23" s="30" t="s">
        <v>141</v>
      </c>
      <c r="O23" s="30">
        <v>3.0</v>
      </c>
      <c r="P23" s="33">
        <f>O23*5000</f>
        <v>15000</v>
      </c>
      <c r="Q23" s="33">
        <f>O23*100</f>
        <v>300</v>
      </c>
      <c r="S23" s="28"/>
    </row>
    <row r="24">
      <c r="A24" s="19" t="s">
        <v>291</v>
      </c>
      <c r="C24" s="19" t="s">
        <v>293</v>
      </c>
      <c r="F24" s="19" t="s">
        <v>294</v>
      </c>
      <c r="N24" s="30" t="s">
        <v>128</v>
      </c>
      <c r="O24" s="30">
        <v>1.5</v>
      </c>
      <c r="P24" s="33">
        <f>O24*8000</f>
        <v>12000</v>
      </c>
      <c r="Q24" s="33">
        <f>O24*80</f>
        <v>120</v>
      </c>
      <c r="S24" s="28"/>
    </row>
    <row r="25">
      <c r="A25" s="19" t="s">
        <v>300</v>
      </c>
      <c r="C25" s="19" t="s">
        <v>301</v>
      </c>
      <c r="F25" s="19" t="s">
        <v>303</v>
      </c>
      <c r="N25" s="30" t="s">
        <v>152</v>
      </c>
      <c r="S25" s="28"/>
    </row>
    <row r="26">
      <c r="A26" s="19" t="s">
        <v>308</v>
      </c>
      <c r="C26" s="19" t="s">
        <v>311</v>
      </c>
      <c r="D26" s="10" t="s">
        <v>314</v>
      </c>
      <c r="F26" s="19" t="s">
        <v>173</v>
      </c>
      <c r="N26" s="30">
        <v>100.0</v>
      </c>
      <c r="O26" s="30">
        <v>1.5</v>
      </c>
      <c r="P26" s="33">
        <f t="shared" ref="P26:P30" si="7">O26*1500</f>
        <v>2250</v>
      </c>
      <c r="Q26" s="33">
        <f t="shared" ref="Q26:Q30" si="8">O26*60</f>
        <v>90</v>
      </c>
      <c r="S26" s="28"/>
    </row>
    <row r="27">
      <c r="A27" s="19" t="s">
        <v>332</v>
      </c>
      <c r="C27" s="19" t="s">
        <v>333</v>
      </c>
      <c r="D27" s="66">
        <v>50000.0</v>
      </c>
      <c r="F27" s="19" t="s">
        <v>337</v>
      </c>
      <c r="N27" s="30" t="s">
        <v>340</v>
      </c>
      <c r="O27" s="30">
        <v>2.0</v>
      </c>
      <c r="P27" s="33">
        <f t="shared" si="7"/>
        <v>3000</v>
      </c>
      <c r="Q27" s="33">
        <f t="shared" si="8"/>
        <v>120</v>
      </c>
      <c r="S27" s="28"/>
    </row>
    <row r="28">
      <c r="A28" s="19" t="s">
        <v>348</v>
      </c>
      <c r="D28" s="9" t="s">
        <v>349</v>
      </c>
      <c r="F28" s="19" t="s">
        <v>350</v>
      </c>
      <c r="N28" s="30" t="s">
        <v>162</v>
      </c>
      <c r="O28" s="30">
        <v>2.0</v>
      </c>
      <c r="P28" s="33">
        <f t="shared" si="7"/>
        <v>3000</v>
      </c>
      <c r="Q28" s="33">
        <f t="shared" si="8"/>
        <v>120</v>
      </c>
      <c r="S28" s="28"/>
    </row>
    <row r="29">
      <c r="D29" s="9" t="s">
        <v>354</v>
      </c>
      <c r="F29" s="19" t="s">
        <v>193</v>
      </c>
      <c r="N29" s="30" t="s">
        <v>175</v>
      </c>
      <c r="O29" s="30">
        <v>1.0</v>
      </c>
      <c r="P29" s="33">
        <f t="shared" si="7"/>
        <v>1500</v>
      </c>
      <c r="Q29" s="33">
        <f t="shared" si="8"/>
        <v>60</v>
      </c>
      <c r="S29" s="28"/>
    </row>
    <row r="30">
      <c r="A30" s="19"/>
      <c r="F30" s="19" t="s">
        <v>368</v>
      </c>
      <c r="N30" s="30" t="s">
        <v>191</v>
      </c>
      <c r="O30" s="30">
        <v>1.0</v>
      </c>
      <c r="P30" s="33">
        <f t="shared" si="7"/>
        <v>1500</v>
      </c>
      <c r="Q30" s="33">
        <f t="shared" si="8"/>
        <v>60</v>
      </c>
      <c r="S30" s="28"/>
    </row>
    <row r="31">
      <c r="F31" s="19" t="s">
        <v>374</v>
      </c>
      <c r="N31" s="36" t="s">
        <v>94</v>
      </c>
      <c r="P31" s="37">
        <f t="shared" ref="P31:Q31" si="9">P19+P20+P21+P22+P23+P24+P26+P27+P28+P29+P30</f>
        <v>46250</v>
      </c>
      <c r="Q31" s="37">
        <f t="shared" si="9"/>
        <v>1010</v>
      </c>
      <c r="S31" s="28"/>
    </row>
    <row r="32">
      <c r="F32" s="19" t="s">
        <v>281</v>
      </c>
      <c r="M32" s="31" t="s">
        <v>389</v>
      </c>
      <c r="N32" s="30" t="s">
        <v>270</v>
      </c>
      <c r="O32" s="30">
        <v>1.0</v>
      </c>
      <c r="P32" s="33">
        <f>O32*3000</f>
        <v>3000</v>
      </c>
      <c r="Q32" s="33">
        <f>O32*60</f>
        <v>60</v>
      </c>
      <c r="S32" s="28"/>
    </row>
    <row r="33">
      <c r="F33" s="19" t="s">
        <v>400</v>
      </c>
      <c r="N33" s="30" t="s">
        <v>152</v>
      </c>
      <c r="S33" s="28"/>
    </row>
    <row r="34">
      <c r="F34" s="19" t="s">
        <v>139</v>
      </c>
      <c r="N34" s="30" t="s">
        <v>340</v>
      </c>
      <c r="O34" s="30">
        <v>0.5</v>
      </c>
      <c r="P34" s="33">
        <f t="shared" ref="P34:P35" si="10">O34*1500</f>
        <v>750</v>
      </c>
      <c r="Q34" s="33">
        <f t="shared" ref="Q34:Q35" si="11">O34*60</f>
        <v>30</v>
      </c>
      <c r="S34" s="28"/>
    </row>
    <row r="35">
      <c r="F35" s="19" t="s">
        <v>281</v>
      </c>
      <c r="N35" s="30" t="s">
        <v>327</v>
      </c>
      <c r="O35" s="30">
        <v>0.5</v>
      </c>
      <c r="P35" s="33">
        <f t="shared" si="10"/>
        <v>750</v>
      </c>
      <c r="Q35" s="33">
        <f t="shared" si="11"/>
        <v>30</v>
      </c>
      <c r="S35" s="28"/>
    </row>
    <row r="36">
      <c r="F36" s="19" t="s">
        <v>421</v>
      </c>
      <c r="N36" s="36" t="s">
        <v>94</v>
      </c>
      <c r="P36" s="37">
        <f t="shared" ref="P36:Q36" si="12">P32+P34+P35</f>
        <v>4500</v>
      </c>
      <c r="Q36" s="37">
        <f t="shared" si="12"/>
        <v>120</v>
      </c>
      <c r="S36" s="28"/>
    </row>
    <row r="37">
      <c r="F37" s="19" t="s">
        <v>193</v>
      </c>
      <c r="M37" s="31" t="s">
        <v>427</v>
      </c>
      <c r="N37" s="30" t="s">
        <v>152</v>
      </c>
      <c r="S37" s="28"/>
    </row>
    <row r="38">
      <c r="F38" s="19" t="s">
        <v>435</v>
      </c>
      <c r="N38" s="30" t="s">
        <v>175</v>
      </c>
      <c r="O38" s="30">
        <v>3.0</v>
      </c>
      <c r="P38" s="33">
        <f>O38*1500</f>
        <v>4500</v>
      </c>
      <c r="Q38" s="33">
        <f>O38*60</f>
        <v>180</v>
      </c>
      <c r="S38" s="28"/>
    </row>
    <row r="39">
      <c r="F39" s="19" t="s">
        <v>374</v>
      </c>
      <c r="N39" s="36" t="s">
        <v>94</v>
      </c>
      <c r="P39" s="37">
        <f t="shared" ref="P39:Q39" si="13">P38</f>
        <v>4500</v>
      </c>
      <c r="Q39" s="37">
        <f t="shared" si="13"/>
        <v>180</v>
      </c>
      <c r="S39" s="73"/>
    </row>
    <row r="40">
      <c r="F40" s="19" t="s">
        <v>450</v>
      </c>
      <c r="M40" s="31" t="s">
        <v>451</v>
      </c>
      <c r="N40" s="30" t="s">
        <v>117</v>
      </c>
      <c r="O40" s="30">
        <v>2.0</v>
      </c>
      <c r="P40" s="33">
        <f>O40*2000</f>
        <v>4000</v>
      </c>
      <c r="Q40" s="33">
        <f>O40*40</f>
        <v>80</v>
      </c>
      <c r="S40" s="73"/>
    </row>
    <row r="41">
      <c r="F41" s="19" t="s">
        <v>455</v>
      </c>
      <c r="N41" s="30" t="s">
        <v>128</v>
      </c>
      <c r="O41" s="30">
        <v>1.0</v>
      </c>
      <c r="P41" s="33">
        <f>O41*8000</f>
        <v>8000</v>
      </c>
      <c r="Q41" s="33">
        <f>O41*80</f>
        <v>80</v>
      </c>
      <c r="S41" s="73"/>
    </row>
    <row r="42">
      <c r="F42" s="19" t="s">
        <v>139</v>
      </c>
      <c r="N42" s="30" t="s">
        <v>152</v>
      </c>
      <c r="S42" s="73"/>
    </row>
    <row r="43">
      <c r="F43" s="19" t="s">
        <v>206</v>
      </c>
      <c r="N43" s="30" t="s">
        <v>175</v>
      </c>
      <c r="O43" s="30">
        <v>3.0</v>
      </c>
      <c r="P43" s="33">
        <f t="shared" ref="P43:P44" si="14">O43*1500</f>
        <v>4500</v>
      </c>
      <c r="Q43" s="33">
        <f t="shared" ref="Q43:Q44" si="15">O43*60</f>
        <v>180</v>
      </c>
      <c r="S43" s="73"/>
    </row>
    <row r="44">
      <c r="F44" s="19" t="s">
        <v>467</v>
      </c>
      <c r="N44" s="30" t="s">
        <v>191</v>
      </c>
      <c r="O44" s="30">
        <v>1.0</v>
      </c>
      <c r="P44" s="33">
        <f t="shared" si="14"/>
        <v>1500</v>
      </c>
      <c r="Q44" s="33">
        <f t="shared" si="15"/>
        <v>60</v>
      </c>
      <c r="S44" s="73"/>
    </row>
    <row r="45">
      <c r="F45" s="19" t="s">
        <v>471</v>
      </c>
      <c r="N45" s="36" t="s">
        <v>94</v>
      </c>
      <c r="P45" s="37">
        <f t="shared" ref="P45:Q45" si="16">P40+P41+P43+P44</f>
        <v>18000</v>
      </c>
      <c r="Q45" s="37">
        <f t="shared" si="16"/>
        <v>400</v>
      </c>
      <c r="S45" s="73"/>
    </row>
    <row r="46">
      <c r="F46" s="19" t="s">
        <v>477</v>
      </c>
      <c r="S46" s="73"/>
    </row>
    <row r="47">
      <c r="S47" s="73"/>
    </row>
    <row r="48">
      <c r="S48" s="73"/>
    </row>
    <row r="49">
      <c r="S49" s="73"/>
    </row>
    <row r="50">
      <c r="S50" s="73"/>
    </row>
    <row r="51">
      <c r="S51" s="73"/>
    </row>
    <row r="52">
      <c r="S52" s="73"/>
    </row>
    <row r="53">
      <c r="S53" s="73"/>
    </row>
    <row r="54">
      <c r="S54" s="73"/>
    </row>
    <row r="55">
      <c r="S55" s="73"/>
    </row>
    <row r="56">
      <c r="S56" s="73"/>
    </row>
    <row r="57">
      <c r="S57" s="73"/>
    </row>
    <row r="58">
      <c r="S58" s="73"/>
    </row>
    <row r="59">
      <c r="S59" s="73"/>
    </row>
    <row r="60">
      <c r="S60" s="73"/>
    </row>
    <row r="61">
      <c r="S61" s="73"/>
    </row>
    <row r="62">
      <c r="S62" s="73"/>
    </row>
    <row r="63">
      <c r="S63" s="73"/>
    </row>
    <row r="64">
      <c r="S64" s="73"/>
    </row>
    <row r="82">
      <c r="A82" s="81" t="s">
        <v>504</v>
      </c>
    </row>
    <row r="83">
      <c r="A83" s="83">
        <f>A85+A92+A121+A150+A172+A198+A228</f>
        <v>1602120</v>
      </c>
    </row>
    <row r="84">
      <c r="A84" s="84" t="s">
        <v>520</v>
      </c>
    </row>
    <row r="85">
      <c r="A85" s="84">
        <v>-15000.0</v>
      </c>
    </row>
    <row r="86">
      <c r="A86" s="84">
        <v>2026.0</v>
      </c>
    </row>
    <row r="87">
      <c r="A87" s="86" t="s">
        <v>526</v>
      </c>
      <c r="B87" s="86" t="s">
        <v>528</v>
      </c>
      <c r="C87" s="86" t="s">
        <v>529</v>
      </c>
      <c r="D87" s="86" t="s">
        <v>531</v>
      </c>
      <c r="E87" s="86" t="s">
        <v>533</v>
      </c>
    </row>
    <row r="88">
      <c r="A88" s="14" t="s">
        <v>537</v>
      </c>
    </row>
    <row r="89">
      <c r="A89" s="9" t="s">
        <v>539</v>
      </c>
    </row>
    <row r="90">
      <c r="A90" s="87"/>
    </row>
    <row r="91">
      <c r="A91" s="88" t="s">
        <v>541</v>
      </c>
    </row>
    <row r="92">
      <c r="A92" s="88">
        <v>51070.0</v>
      </c>
    </row>
    <row r="93">
      <c r="A93" s="89">
        <v>2026.0</v>
      </c>
    </row>
    <row r="94">
      <c r="A94" s="86" t="s">
        <v>550</v>
      </c>
      <c r="B94" s="86" t="s">
        <v>551</v>
      </c>
      <c r="C94" s="86" t="s">
        <v>552</v>
      </c>
      <c r="D94" s="86" t="s">
        <v>554</v>
      </c>
      <c r="E94" s="86" t="s">
        <v>555</v>
      </c>
      <c r="F94" s="86" t="s">
        <v>557</v>
      </c>
    </row>
    <row r="95">
      <c r="A95" s="63" t="s">
        <v>559</v>
      </c>
      <c r="B95" s="63" t="s">
        <v>561</v>
      </c>
      <c r="D95" s="63" t="s">
        <v>564</v>
      </c>
      <c r="F95" s="63" t="s">
        <v>567</v>
      </c>
    </row>
    <row r="96">
      <c r="A96" s="19" t="s">
        <v>569</v>
      </c>
      <c r="B96" s="19" t="s">
        <v>78</v>
      </c>
      <c r="D96" s="19" t="s">
        <v>90</v>
      </c>
      <c r="F96" s="19" t="s">
        <v>165</v>
      </c>
    </row>
    <row r="97">
      <c r="A97" s="19" t="s">
        <v>572</v>
      </c>
      <c r="B97" s="19" t="s">
        <v>573</v>
      </c>
      <c r="D97" s="19" t="s">
        <v>574</v>
      </c>
      <c r="F97" s="19" t="s">
        <v>576</v>
      </c>
    </row>
    <row r="98">
      <c r="A98" s="19" t="s">
        <v>578</v>
      </c>
      <c r="B98" s="19" t="s">
        <v>580</v>
      </c>
      <c r="D98" s="19" t="s">
        <v>581</v>
      </c>
      <c r="F98" s="19" t="s">
        <v>581</v>
      </c>
    </row>
    <row r="99">
      <c r="D99" s="19" t="s">
        <v>584</v>
      </c>
      <c r="F99" s="19" t="s">
        <v>580</v>
      </c>
    </row>
    <row r="100">
      <c r="D100" s="19" t="s">
        <v>241</v>
      </c>
      <c r="F100" s="19" t="s">
        <v>588</v>
      </c>
    </row>
    <row r="101">
      <c r="D101" s="19" t="s">
        <v>590</v>
      </c>
      <c r="F101" s="19" t="s">
        <v>595</v>
      </c>
    </row>
    <row r="102">
      <c r="D102" s="19" t="s">
        <v>597</v>
      </c>
      <c r="F102" s="19" t="s">
        <v>598</v>
      </c>
    </row>
    <row r="103">
      <c r="D103" s="19" t="s">
        <v>599</v>
      </c>
      <c r="F103" s="19" t="s">
        <v>573</v>
      </c>
    </row>
    <row r="104">
      <c r="D104" s="19" t="s">
        <v>581</v>
      </c>
      <c r="F104" s="19" t="s">
        <v>595</v>
      </c>
    </row>
    <row r="105">
      <c r="D105" s="19" t="s">
        <v>603</v>
      </c>
      <c r="F105" s="19" t="s">
        <v>605</v>
      </c>
    </row>
    <row r="106">
      <c r="D106" s="19" t="s">
        <v>608</v>
      </c>
      <c r="F106" s="19" t="s">
        <v>572</v>
      </c>
    </row>
    <row r="107">
      <c r="D107" s="19" t="s">
        <v>610</v>
      </c>
      <c r="F107" s="19" t="s">
        <v>595</v>
      </c>
    </row>
    <row r="108">
      <c r="D108" s="19" t="s">
        <v>611</v>
      </c>
      <c r="F108" s="19" t="s">
        <v>612</v>
      </c>
    </row>
    <row r="109">
      <c r="D109" s="19" t="s">
        <v>572</v>
      </c>
      <c r="F109" s="19" t="s">
        <v>572</v>
      </c>
    </row>
    <row r="110">
      <c r="D110" s="19" t="s">
        <v>614</v>
      </c>
      <c r="F110" s="19" t="s">
        <v>595</v>
      </c>
    </row>
    <row r="111">
      <c r="D111" s="19" t="s">
        <v>572</v>
      </c>
      <c r="F111" s="19" t="s">
        <v>615</v>
      </c>
    </row>
    <row r="112">
      <c r="D112" s="19" t="s">
        <v>616</v>
      </c>
      <c r="F112" s="19" t="s">
        <v>572</v>
      </c>
    </row>
    <row r="113">
      <c r="D113" s="19" t="s">
        <v>572</v>
      </c>
      <c r="F113" s="19" t="s">
        <v>595</v>
      </c>
    </row>
    <row r="114">
      <c r="D114" s="19" t="s">
        <v>621</v>
      </c>
      <c r="F114" s="19" t="s">
        <v>622</v>
      </c>
    </row>
    <row r="115">
      <c r="D115" s="19" t="s">
        <v>624</v>
      </c>
      <c r="F115" s="19" t="s">
        <v>572</v>
      </c>
    </row>
    <row r="116">
      <c r="D116" s="19" t="s">
        <v>628</v>
      </c>
      <c r="F116" s="19" t="s">
        <v>595</v>
      </c>
    </row>
    <row r="117">
      <c r="D117" s="19" t="s">
        <v>572</v>
      </c>
    </row>
    <row r="118">
      <c r="D118" s="19" t="s">
        <v>581</v>
      </c>
    </row>
    <row r="119">
      <c r="A119" s="87"/>
    </row>
    <row r="120">
      <c r="A120" s="2" t="s">
        <v>635</v>
      </c>
    </row>
    <row r="121">
      <c r="A121" s="2">
        <v>145800.0</v>
      </c>
    </row>
    <row r="122">
      <c r="A122" s="39">
        <v>2026.0</v>
      </c>
    </row>
    <row r="123">
      <c r="A123" s="92" t="s">
        <v>642</v>
      </c>
    </row>
    <row r="124">
      <c r="A124" s="86" t="s">
        <v>646</v>
      </c>
      <c r="B124" s="86" t="s">
        <v>647</v>
      </c>
      <c r="C124" s="86" t="s">
        <v>648</v>
      </c>
      <c r="D124" s="86" t="s">
        <v>651</v>
      </c>
      <c r="E124" s="86" t="s">
        <v>653</v>
      </c>
      <c r="F124" s="86" t="s">
        <v>654</v>
      </c>
      <c r="G124" s="86" t="s">
        <v>655</v>
      </c>
      <c r="H124" s="86" t="s">
        <v>657</v>
      </c>
    </row>
    <row r="125">
      <c r="A125" s="79" t="s">
        <v>663</v>
      </c>
      <c r="B125" s="79" t="s">
        <v>665</v>
      </c>
      <c r="C125" s="79" t="s">
        <v>667</v>
      </c>
      <c r="D125" s="79" t="s">
        <v>668</v>
      </c>
      <c r="E125" s="79" t="s">
        <v>667</v>
      </c>
      <c r="F125" s="79" t="s">
        <v>669</v>
      </c>
      <c r="G125" s="79" t="s">
        <v>670</v>
      </c>
      <c r="H125" s="79" t="s">
        <v>671</v>
      </c>
    </row>
    <row r="126">
      <c r="A126" s="19" t="s">
        <v>674</v>
      </c>
      <c r="B126" s="19" t="s">
        <v>165</v>
      </c>
      <c r="D126" s="19" t="s">
        <v>675</v>
      </c>
      <c r="F126" s="19" t="s">
        <v>677</v>
      </c>
      <c r="G126" s="19" t="s">
        <v>90</v>
      </c>
      <c r="H126" s="19" t="s">
        <v>680</v>
      </c>
    </row>
    <row r="127">
      <c r="A127" s="19" t="s">
        <v>574</v>
      </c>
      <c r="B127" s="19" t="s">
        <v>682</v>
      </c>
      <c r="D127" s="19" t="s">
        <v>683</v>
      </c>
      <c r="F127" s="19" t="s">
        <v>684</v>
      </c>
      <c r="G127" s="19" t="s">
        <v>574</v>
      </c>
      <c r="H127" s="19" t="s">
        <v>624</v>
      </c>
    </row>
    <row r="128">
      <c r="A128" s="19" t="s">
        <v>685</v>
      </c>
      <c r="B128" s="19" t="s">
        <v>685</v>
      </c>
      <c r="F128" s="19" t="s">
        <v>345</v>
      </c>
      <c r="G128" s="19" t="s">
        <v>687</v>
      </c>
    </row>
    <row r="129">
      <c r="A129" s="19" t="s">
        <v>689</v>
      </c>
      <c r="B129" s="19" t="s">
        <v>690</v>
      </c>
      <c r="F129" s="19" t="s">
        <v>392</v>
      </c>
      <c r="G129" s="19" t="s">
        <v>691</v>
      </c>
    </row>
    <row r="130">
      <c r="A130" s="19" t="s">
        <v>693</v>
      </c>
      <c r="B130" s="19" t="s">
        <v>694</v>
      </c>
      <c r="G130" s="19" t="s">
        <v>695</v>
      </c>
    </row>
    <row r="131">
      <c r="A131" s="19" t="s">
        <v>697</v>
      </c>
      <c r="B131" s="19" t="s">
        <v>698</v>
      </c>
      <c r="G131" s="19" t="s">
        <v>700</v>
      </c>
    </row>
    <row r="132">
      <c r="A132" s="19" t="s">
        <v>701</v>
      </c>
      <c r="B132" s="19" t="s">
        <v>652</v>
      </c>
      <c r="G132" s="19" t="s">
        <v>682</v>
      </c>
    </row>
    <row r="133">
      <c r="A133" s="19" t="s">
        <v>605</v>
      </c>
      <c r="B133" s="19" t="s">
        <v>690</v>
      </c>
      <c r="G133" s="19" t="s">
        <v>695</v>
      </c>
    </row>
    <row r="134">
      <c r="A134" s="19" t="s">
        <v>693</v>
      </c>
      <c r="B134" s="19" t="s">
        <v>707</v>
      </c>
      <c r="G134" s="19" t="s">
        <v>708</v>
      </c>
    </row>
    <row r="135">
      <c r="A135" s="19" t="s">
        <v>268</v>
      </c>
      <c r="B135" s="19" t="s">
        <v>572</v>
      </c>
      <c r="G135" s="19" t="s">
        <v>573</v>
      </c>
    </row>
    <row r="136">
      <c r="A136" s="19" t="s">
        <v>710</v>
      </c>
      <c r="B136" s="19" t="s">
        <v>690</v>
      </c>
      <c r="G136" s="19" t="s">
        <v>695</v>
      </c>
    </row>
    <row r="137">
      <c r="A137" s="19" t="s">
        <v>711</v>
      </c>
      <c r="G137" s="19" t="s">
        <v>713</v>
      </c>
    </row>
    <row r="138">
      <c r="A138" s="19" t="s">
        <v>714</v>
      </c>
      <c r="G138" s="19" t="s">
        <v>572</v>
      </c>
    </row>
    <row r="139">
      <c r="A139" s="19" t="s">
        <v>624</v>
      </c>
      <c r="G139" s="19" t="s">
        <v>695</v>
      </c>
    </row>
    <row r="140">
      <c r="A140" s="19" t="s">
        <v>715</v>
      </c>
    </row>
    <row r="141">
      <c r="A141" s="19" t="s">
        <v>572</v>
      </c>
    </row>
    <row r="149">
      <c r="A149" s="94" t="s">
        <v>719</v>
      </c>
    </row>
    <row r="150">
      <c r="A150" s="94">
        <f>A153</f>
        <v>143450</v>
      </c>
    </row>
    <row r="151">
      <c r="A151" s="94">
        <v>2026.0</v>
      </c>
    </row>
    <row r="152">
      <c r="A152" s="94" t="s">
        <v>724</v>
      </c>
    </row>
    <row r="153">
      <c r="A153" s="94">
        <f>A156+B156+C156+D156+E156+F156+G156+H156</f>
        <v>143450</v>
      </c>
    </row>
    <row r="154">
      <c r="A154" s="86" t="s">
        <v>731</v>
      </c>
      <c r="B154" s="86" t="s">
        <v>733</v>
      </c>
      <c r="C154" s="86" t="s">
        <v>735</v>
      </c>
      <c r="D154" s="86" t="s">
        <v>736</v>
      </c>
      <c r="E154" s="86" t="s">
        <v>737</v>
      </c>
      <c r="F154" s="86" t="s">
        <v>738</v>
      </c>
      <c r="G154" s="86" t="s">
        <v>740</v>
      </c>
      <c r="H154" s="86" t="s">
        <v>741</v>
      </c>
    </row>
    <row r="155">
      <c r="A155" s="14" t="s">
        <v>667</v>
      </c>
      <c r="B155" s="14" t="s">
        <v>667</v>
      </c>
      <c r="C155" s="14" t="s">
        <v>667</v>
      </c>
      <c r="D155" s="14" t="s">
        <v>744</v>
      </c>
      <c r="E155" s="14" t="s">
        <v>667</v>
      </c>
      <c r="F155" s="14" t="s">
        <v>667</v>
      </c>
      <c r="G155" s="14" t="s">
        <v>744</v>
      </c>
      <c r="H155" s="14" t="s">
        <v>667</v>
      </c>
    </row>
    <row r="156">
      <c r="A156" s="86">
        <v>0.0</v>
      </c>
      <c r="B156" s="86">
        <v>5000.0</v>
      </c>
      <c r="C156" s="86">
        <v>0.0</v>
      </c>
      <c r="D156" s="86">
        <v>3000.0</v>
      </c>
      <c r="E156" s="86">
        <v>55650.0</v>
      </c>
      <c r="F156" s="86">
        <v>13500.0</v>
      </c>
      <c r="G156" s="86">
        <v>0.0</v>
      </c>
      <c r="H156" s="86">
        <v>66300.0</v>
      </c>
    </row>
    <row r="157">
      <c r="B157" s="19" t="s">
        <v>750</v>
      </c>
      <c r="D157" s="19" t="s">
        <v>751</v>
      </c>
      <c r="E157" s="19" t="s">
        <v>165</v>
      </c>
      <c r="F157" s="46" t="s">
        <v>752</v>
      </c>
      <c r="H157" s="19" t="s">
        <v>90</v>
      </c>
    </row>
    <row r="158">
      <c r="B158" s="19" t="s">
        <v>753</v>
      </c>
      <c r="D158" s="19" t="s">
        <v>755</v>
      </c>
      <c r="E158" s="19" t="s">
        <v>756</v>
      </c>
      <c r="F158" s="46" t="s">
        <v>758</v>
      </c>
      <c r="H158" s="19" t="s">
        <v>756</v>
      </c>
    </row>
    <row r="159">
      <c r="B159" s="19" t="s">
        <v>759</v>
      </c>
      <c r="E159" s="19" t="s">
        <v>760</v>
      </c>
      <c r="F159" s="46" t="s">
        <v>322</v>
      </c>
      <c r="H159" s="19" t="s">
        <v>762</v>
      </c>
    </row>
    <row r="160">
      <c r="B160" s="19" t="s">
        <v>762</v>
      </c>
      <c r="E160" s="19" t="s">
        <v>764</v>
      </c>
      <c r="F160" s="46" t="s">
        <v>765</v>
      </c>
      <c r="H160" s="19" t="s">
        <v>766</v>
      </c>
    </row>
    <row r="161">
      <c r="E161" s="46" t="s">
        <v>767</v>
      </c>
      <c r="F161" s="46" t="s">
        <v>770</v>
      </c>
      <c r="H161" s="19" t="s">
        <v>241</v>
      </c>
    </row>
    <row r="162">
      <c r="E162" s="46" t="s">
        <v>775</v>
      </c>
      <c r="F162" s="46" t="s">
        <v>776</v>
      </c>
      <c r="H162" s="19" t="s">
        <v>624</v>
      </c>
    </row>
    <row r="163">
      <c r="H163" s="19" t="s">
        <v>766</v>
      </c>
    </row>
    <row r="164">
      <c r="H164" s="19" t="s">
        <v>781</v>
      </c>
    </row>
    <row r="165">
      <c r="H165" s="19" t="s">
        <v>755</v>
      </c>
    </row>
    <row r="166">
      <c r="H166" s="19" t="s">
        <v>766</v>
      </c>
    </row>
    <row r="167">
      <c r="H167" s="19" t="s">
        <v>783</v>
      </c>
    </row>
    <row r="168">
      <c r="H168" s="19" t="s">
        <v>785</v>
      </c>
    </row>
    <row r="169">
      <c r="H169" s="19" t="s">
        <v>766</v>
      </c>
    </row>
    <row r="171">
      <c r="A171" s="96" t="s">
        <v>787</v>
      </c>
    </row>
    <row r="172">
      <c r="A172" s="96">
        <f>-250000+A177+150000-125000</f>
        <v>877800</v>
      </c>
    </row>
    <row r="173">
      <c r="A173" s="96">
        <v>2026.0</v>
      </c>
    </row>
    <row r="174">
      <c r="A174" s="97" t="s">
        <v>801</v>
      </c>
    </row>
    <row r="175">
      <c r="A175" s="96" t="s">
        <v>724</v>
      </c>
    </row>
    <row r="176">
      <c r="A176" s="96" t="s">
        <v>805</v>
      </c>
    </row>
    <row r="177">
      <c r="A177" s="98">
        <f>A180+B180+C180+D180+E180+F180+G180+H180+I180+J180</f>
        <v>1102800</v>
      </c>
    </row>
    <row r="178">
      <c r="A178" s="86" t="s">
        <v>812</v>
      </c>
      <c r="B178" s="86" t="s">
        <v>815</v>
      </c>
      <c r="C178" s="86" t="s">
        <v>817</v>
      </c>
      <c r="D178" s="86" t="s">
        <v>819</v>
      </c>
      <c r="E178" s="86" t="s">
        <v>821</v>
      </c>
      <c r="F178" s="86" t="s">
        <v>822</v>
      </c>
      <c r="G178" s="99" t="s">
        <v>823</v>
      </c>
      <c r="H178" s="100" t="s">
        <v>825</v>
      </c>
      <c r="I178" s="101" t="s">
        <v>827</v>
      </c>
      <c r="J178" s="100" t="s">
        <v>829</v>
      </c>
    </row>
    <row r="179">
      <c r="A179" s="14" t="s">
        <v>667</v>
      </c>
      <c r="B179" s="14" t="s">
        <v>667</v>
      </c>
      <c r="C179" s="14" t="s">
        <v>667</v>
      </c>
      <c r="D179" s="14" t="s">
        <v>667</v>
      </c>
      <c r="E179" s="14" t="s">
        <v>667</v>
      </c>
      <c r="F179" s="14" t="s">
        <v>667</v>
      </c>
      <c r="G179" s="14" t="s">
        <v>667</v>
      </c>
      <c r="H179" s="38" t="s">
        <v>667</v>
      </c>
      <c r="I179" s="38" t="s">
        <v>667</v>
      </c>
      <c r="J179" s="38" t="s">
        <v>667</v>
      </c>
    </row>
    <row r="180">
      <c r="A180" s="86">
        <v>113000.0</v>
      </c>
      <c r="B180" s="86">
        <v>110000.0</v>
      </c>
      <c r="C180" s="86">
        <v>110000.0</v>
      </c>
      <c r="D180" s="86">
        <v>112000.0</v>
      </c>
      <c r="E180" s="86">
        <v>150600.0</v>
      </c>
      <c r="F180" s="86">
        <v>117100.0</v>
      </c>
      <c r="G180" s="86">
        <v>136900.0</v>
      </c>
      <c r="H180" s="86">
        <v>112900.0</v>
      </c>
      <c r="I180" s="102">
        <v>140300.0</v>
      </c>
      <c r="J180" s="100">
        <v>0.0</v>
      </c>
    </row>
    <row r="181">
      <c r="A181" s="19" t="s">
        <v>840</v>
      </c>
      <c r="B181" s="19" t="s">
        <v>841</v>
      </c>
      <c r="C181" s="19" t="s">
        <v>842</v>
      </c>
      <c r="D181" s="19" t="s">
        <v>845</v>
      </c>
      <c r="E181" s="19" t="s">
        <v>846</v>
      </c>
      <c r="F181" s="19" t="s">
        <v>847</v>
      </c>
      <c r="G181" s="19" t="s">
        <v>90</v>
      </c>
      <c r="H181" s="19" t="s">
        <v>848</v>
      </c>
      <c r="I181" s="19" t="s">
        <v>849</v>
      </c>
    </row>
    <row r="182">
      <c r="A182" s="19" t="s">
        <v>850</v>
      </c>
      <c r="B182" s="19" t="s">
        <v>850</v>
      </c>
      <c r="C182" s="19" t="s">
        <v>850</v>
      </c>
      <c r="D182" s="19" t="s">
        <v>850</v>
      </c>
      <c r="E182" s="19" t="s">
        <v>850</v>
      </c>
      <c r="F182" s="19" t="s">
        <v>850</v>
      </c>
      <c r="G182" s="19" t="s">
        <v>850</v>
      </c>
      <c r="H182" s="19" t="s">
        <v>850</v>
      </c>
      <c r="I182" s="19" t="s">
        <v>850</v>
      </c>
    </row>
    <row r="183">
      <c r="A183" s="19" t="s">
        <v>851</v>
      </c>
      <c r="B183" s="46" t="s">
        <v>852</v>
      </c>
      <c r="C183" s="19" t="s">
        <v>853</v>
      </c>
      <c r="D183" s="46" t="s">
        <v>322</v>
      </c>
      <c r="E183" s="19" t="s">
        <v>854</v>
      </c>
      <c r="F183" s="19" t="s">
        <v>851</v>
      </c>
      <c r="G183" s="19" t="s">
        <v>855</v>
      </c>
      <c r="H183" s="19" t="s">
        <v>856</v>
      </c>
      <c r="I183" s="19" t="s">
        <v>857</v>
      </c>
    </row>
    <row r="184">
      <c r="A184" s="19" t="s">
        <v>855</v>
      </c>
      <c r="B184" s="46" t="s">
        <v>858</v>
      </c>
      <c r="C184" s="19" t="s">
        <v>858</v>
      </c>
      <c r="D184" s="46" t="s">
        <v>858</v>
      </c>
      <c r="E184" s="19" t="s">
        <v>858</v>
      </c>
      <c r="F184" s="19" t="s">
        <v>860</v>
      </c>
      <c r="G184" s="28" t="s">
        <v>861</v>
      </c>
      <c r="H184" s="19" t="s">
        <v>862</v>
      </c>
      <c r="I184" s="19" t="s">
        <v>858</v>
      </c>
    </row>
    <row r="185">
      <c r="A185" s="46" t="s">
        <v>767</v>
      </c>
      <c r="D185" s="19" t="s">
        <v>863</v>
      </c>
      <c r="E185" s="19" t="s">
        <v>851</v>
      </c>
      <c r="F185" s="19" t="s">
        <v>858</v>
      </c>
      <c r="G185" s="28" t="s">
        <v>858</v>
      </c>
      <c r="H185" s="19" t="s">
        <v>858</v>
      </c>
      <c r="I185" s="19" t="s">
        <v>864</v>
      </c>
    </row>
    <row r="186">
      <c r="A186" s="46" t="s">
        <v>858</v>
      </c>
      <c r="D186" s="19" t="s">
        <v>624</v>
      </c>
      <c r="E186" s="19" t="s">
        <v>865</v>
      </c>
      <c r="F186" s="19" t="s">
        <v>866</v>
      </c>
      <c r="G186" s="19" t="s">
        <v>867</v>
      </c>
      <c r="H186" s="19" t="s">
        <v>868</v>
      </c>
      <c r="I186" s="19" t="s">
        <v>572</v>
      </c>
    </row>
    <row r="187">
      <c r="E187" s="19" t="s">
        <v>869</v>
      </c>
      <c r="F187" s="19" t="s">
        <v>870</v>
      </c>
      <c r="G187" s="19" t="s">
        <v>871</v>
      </c>
      <c r="H187" s="19" t="s">
        <v>872</v>
      </c>
      <c r="I187" s="19" t="s">
        <v>873</v>
      </c>
    </row>
    <row r="188">
      <c r="E188" s="19" t="s">
        <v>871</v>
      </c>
      <c r="F188" s="19" t="s">
        <v>851</v>
      </c>
      <c r="G188" s="19" t="s">
        <v>874</v>
      </c>
      <c r="I188" s="19" t="s">
        <v>572</v>
      </c>
    </row>
    <row r="189">
      <c r="E189" s="19" t="s">
        <v>713</v>
      </c>
      <c r="F189" s="19" t="s">
        <v>855</v>
      </c>
      <c r="G189" s="19" t="s">
        <v>872</v>
      </c>
      <c r="I189" s="19" t="s">
        <v>875</v>
      </c>
    </row>
    <row r="190">
      <c r="E190" s="19" t="s">
        <v>876</v>
      </c>
      <c r="F190" s="19" t="s">
        <v>865</v>
      </c>
      <c r="I190" s="19" t="s">
        <v>871</v>
      </c>
    </row>
    <row r="191">
      <c r="E191" s="19" t="s">
        <v>877</v>
      </c>
      <c r="I191" s="19" t="s">
        <v>851</v>
      </c>
    </row>
    <row r="192">
      <c r="E192" s="19" t="s">
        <v>878</v>
      </c>
      <c r="I192" s="19" t="s">
        <v>865</v>
      </c>
    </row>
    <row r="193">
      <c r="I193" s="19" t="s">
        <v>879</v>
      </c>
    </row>
    <row r="194">
      <c r="I194" s="19" t="s">
        <v>880</v>
      </c>
    </row>
    <row r="195">
      <c r="A195" s="14" t="s">
        <v>881</v>
      </c>
    </row>
    <row r="196">
      <c r="A196" s="103" t="s">
        <v>882</v>
      </c>
    </row>
    <row r="197">
      <c r="A197" s="104" t="s">
        <v>884</v>
      </c>
    </row>
    <row r="198">
      <c r="A198" s="104">
        <f>A201</f>
        <v>212000</v>
      </c>
    </row>
    <row r="199">
      <c r="A199" s="104">
        <v>2026.0</v>
      </c>
    </row>
    <row r="200">
      <c r="A200" s="104" t="s">
        <v>724</v>
      </c>
    </row>
    <row r="201">
      <c r="A201" s="105">
        <f>A204+B204+C204+D204+E204+F204+G204+H204+I204+J204</f>
        <v>212000</v>
      </c>
    </row>
    <row r="202">
      <c r="A202" s="86" t="s">
        <v>887</v>
      </c>
      <c r="B202" s="86" t="s">
        <v>888</v>
      </c>
      <c r="C202" s="86" t="s">
        <v>891</v>
      </c>
      <c r="D202" s="86" t="s">
        <v>892</v>
      </c>
      <c r="E202" s="86" t="s">
        <v>893</v>
      </c>
      <c r="F202" s="86" t="s">
        <v>894</v>
      </c>
      <c r="G202" s="109" t="s">
        <v>895</v>
      </c>
      <c r="H202" s="102" t="s">
        <v>896</v>
      </c>
      <c r="I202" s="102" t="s">
        <v>897</v>
      </c>
      <c r="J202" s="102" t="s">
        <v>899</v>
      </c>
    </row>
    <row r="203">
      <c r="A203" s="14" t="s">
        <v>667</v>
      </c>
      <c r="B203" s="14" t="s">
        <v>667</v>
      </c>
      <c r="C203" s="14" t="s">
        <v>667</v>
      </c>
      <c r="D203" s="14" t="s">
        <v>667</v>
      </c>
      <c r="E203" s="14" t="s">
        <v>667</v>
      </c>
      <c r="F203" s="14" t="s">
        <v>667</v>
      </c>
      <c r="G203" s="14" t="s">
        <v>667</v>
      </c>
      <c r="H203" s="38" t="s">
        <v>667</v>
      </c>
      <c r="I203" s="38" t="s">
        <v>667</v>
      </c>
      <c r="J203" s="38" t="s">
        <v>667</v>
      </c>
    </row>
    <row r="204">
      <c r="A204" s="86"/>
      <c r="B204" s="86"/>
      <c r="C204" s="86">
        <v>82500.0</v>
      </c>
      <c r="D204" s="86"/>
      <c r="E204" s="86">
        <v>114500.0</v>
      </c>
      <c r="F204" s="86"/>
      <c r="G204" s="86">
        <v>15000.0</v>
      </c>
      <c r="H204" s="86"/>
      <c r="I204" s="86"/>
      <c r="J204" s="86"/>
    </row>
    <row r="205">
      <c r="C205" s="19" t="s">
        <v>90</v>
      </c>
      <c r="E205" s="46" t="s">
        <v>848</v>
      </c>
      <c r="G205" s="19" t="s">
        <v>903</v>
      </c>
      <c r="I205" s="19" t="s">
        <v>904</v>
      </c>
    </row>
    <row r="206">
      <c r="C206" s="19" t="s">
        <v>906</v>
      </c>
      <c r="E206" s="46" t="s">
        <v>906</v>
      </c>
      <c r="G206" s="19" t="s">
        <v>693</v>
      </c>
      <c r="I206" s="19" t="s">
        <v>907</v>
      </c>
    </row>
    <row r="207">
      <c r="C207" s="19" t="s">
        <v>909</v>
      </c>
      <c r="E207" s="46" t="s">
        <v>911</v>
      </c>
      <c r="G207" s="19" t="s">
        <v>913</v>
      </c>
    </row>
    <row r="208">
      <c r="C208" s="19" t="s">
        <v>916</v>
      </c>
      <c r="E208" s="46" t="s">
        <v>917</v>
      </c>
      <c r="G208" s="19" t="s">
        <v>711</v>
      </c>
    </row>
    <row r="209">
      <c r="C209" s="19" t="s">
        <v>919</v>
      </c>
      <c r="E209" s="19" t="s">
        <v>920</v>
      </c>
    </row>
    <row r="210">
      <c r="C210" s="19" t="s">
        <v>573</v>
      </c>
      <c r="E210" s="19" t="s">
        <v>573</v>
      </c>
    </row>
    <row r="211">
      <c r="C211" s="19" t="s">
        <v>924</v>
      </c>
      <c r="E211" s="19" t="s">
        <v>925</v>
      </c>
    </row>
    <row r="212">
      <c r="C212" s="19" t="s">
        <v>928</v>
      </c>
      <c r="E212" s="19" t="s">
        <v>929</v>
      </c>
    </row>
    <row r="213">
      <c r="C213" s="19" t="s">
        <v>931</v>
      </c>
      <c r="E213" s="19" t="s">
        <v>933</v>
      </c>
    </row>
    <row r="214">
      <c r="C214" s="19" t="s">
        <v>934</v>
      </c>
      <c r="E214" s="19" t="s">
        <v>916</v>
      </c>
    </row>
    <row r="215">
      <c r="C215" s="19" t="s">
        <v>937</v>
      </c>
    </row>
    <row r="216">
      <c r="C216" s="19" t="s">
        <v>939</v>
      </c>
    </row>
    <row r="218">
      <c r="A218" s="110" t="s">
        <v>943</v>
      </c>
    </row>
    <row r="219">
      <c r="A219" s="110">
        <f>A222</f>
        <v>0</v>
      </c>
    </row>
    <row r="220">
      <c r="A220" s="110">
        <v>2026.0</v>
      </c>
    </row>
    <row r="221">
      <c r="A221" s="110" t="s">
        <v>724</v>
      </c>
    </row>
    <row r="222">
      <c r="A222" s="110">
        <f>A225+B225+C225+D225+E225+F225+G225+H225</f>
        <v>0</v>
      </c>
    </row>
    <row r="223">
      <c r="A223" s="86" t="s">
        <v>953</v>
      </c>
      <c r="B223" s="86" t="s">
        <v>833</v>
      </c>
      <c r="C223" s="86" t="s">
        <v>834</v>
      </c>
      <c r="D223" s="86" t="s">
        <v>836</v>
      </c>
      <c r="E223" s="86" t="s">
        <v>956</v>
      </c>
      <c r="F223" s="86" t="s">
        <v>958</v>
      </c>
      <c r="G223" s="86" t="s">
        <v>844</v>
      </c>
      <c r="H223" s="86" t="s">
        <v>838</v>
      </c>
    </row>
    <row r="224">
      <c r="A224" s="14" t="s">
        <v>667</v>
      </c>
      <c r="B224" s="14" t="s">
        <v>667</v>
      </c>
      <c r="C224" s="14" t="s">
        <v>667</v>
      </c>
      <c r="D224" s="14" t="s">
        <v>667</v>
      </c>
      <c r="E224" s="14" t="s">
        <v>667</v>
      </c>
      <c r="F224" s="14" t="s">
        <v>667</v>
      </c>
      <c r="G224" s="14" t="s">
        <v>667</v>
      </c>
      <c r="H224" s="14" t="s">
        <v>667</v>
      </c>
    </row>
    <row r="225">
      <c r="A225" s="86">
        <v>0.0</v>
      </c>
      <c r="B225" s="86">
        <v>0.0</v>
      </c>
      <c r="C225" s="86">
        <v>0.0</v>
      </c>
      <c r="D225" s="86">
        <v>0.0</v>
      </c>
      <c r="E225" s="86">
        <v>0.0</v>
      </c>
      <c r="F225" s="86">
        <v>0.0</v>
      </c>
      <c r="G225" s="86">
        <v>0.0</v>
      </c>
      <c r="H225" s="86">
        <v>0.0</v>
      </c>
    </row>
    <row r="227">
      <c r="A227" s="113" t="s">
        <v>963</v>
      </c>
    </row>
    <row r="228">
      <c r="A228" s="113">
        <f>A231</f>
        <v>187000</v>
      </c>
    </row>
    <row r="229">
      <c r="A229" s="113">
        <v>2026.0</v>
      </c>
    </row>
    <row r="230">
      <c r="A230" s="113" t="s">
        <v>724</v>
      </c>
    </row>
    <row r="231">
      <c r="A231" s="114">
        <f>A234+B234+C234+D234+E234+F234+G234+H234+I234+J234</f>
        <v>187000</v>
      </c>
    </row>
    <row r="232">
      <c r="A232" s="86" t="s">
        <v>965</v>
      </c>
      <c r="B232" s="86" t="s">
        <v>966</v>
      </c>
      <c r="C232" s="86" t="s">
        <v>968</v>
      </c>
      <c r="D232" s="86" t="s">
        <v>969</v>
      </c>
      <c r="E232" s="86" t="s">
        <v>970</v>
      </c>
      <c r="F232" s="86" t="s">
        <v>971</v>
      </c>
      <c r="G232" s="86" t="s">
        <v>972</v>
      </c>
      <c r="H232" s="86" t="s">
        <v>973</v>
      </c>
      <c r="I232" s="86" t="s">
        <v>974</v>
      </c>
      <c r="J232" s="86" t="s">
        <v>975</v>
      </c>
    </row>
    <row r="233">
      <c r="A233" s="14" t="s">
        <v>667</v>
      </c>
      <c r="B233" s="14" t="s">
        <v>667</v>
      </c>
      <c r="C233" s="14" t="s">
        <v>667</v>
      </c>
      <c r="D233" s="14" t="s">
        <v>667</v>
      </c>
      <c r="E233" s="14" t="s">
        <v>667</v>
      </c>
      <c r="F233" s="14" t="s">
        <v>667</v>
      </c>
      <c r="G233" s="14" t="s">
        <v>667</v>
      </c>
      <c r="H233" s="38" t="s">
        <v>667</v>
      </c>
      <c r="I233" s="38" t="s">
        <v>667</v>
      </c>
      <c r="J233" s="38" t="s">
        <v>667</v>
      </c>
    </row>
    <row r="234">
      <c r="A234" s="86">
        <v>4000.0</v>
      </c>
      <c r="B234" s="86">
        <v>0.0</v>
      </c>
      <c r="C234" s="86">
        <v>2000.0</v>
      </c>
      <c r="D234" s="86">
        <v>0.0</v>
      </c>
      <c r="E234" s="86">
        <v>0.0</v>
      </c>
      <c r="F234" s="86">
        <v>27000.0</v>
      </c>
      <c r="G234" s="86">
        <v>102000.0</v>
      </c>
      <c r="H234" s="86">
        <v>20000.0</v>
      </c>
      <c r="I234" s="86">
        <v>0.0</v>
      </c>
      <c r="J234" s="86">
        <v>32000.0</v>
      </c>
    </row>
    <row r="235">
      <c r="A235" s="19" t="s">
        <v>979</v>
      </c>
      <c r="C235" s="19" t="s">
        <v>980</v>
      </c>
      <c r="F235" s="19" t="s">
        <v>981</v>
      </c>
      <c r="G235" s="19" t="s">
        <v>90</v>
      </c>
      <c r="H235" s="19" t="s">
        <v>982</v>
      </c>
      <c r="J235" s="19" t="s">
        <v>165</v>
      </c>
    </row>
    <row r="236">
      <c r="A236" s="19" t="s">
        <v>624</v>
      </c>
      <c r="C236" s="19" t="s">
        <v>624</v>
      </c>
      <c r="F236" s="19" t="s">
        <v>711</v>
      </c>
      <c r="G236" s="19" t="s">
        <v>983</v>
      </c>
      <c r="H236" s="19" t="s">
        <v>984</v>
      </c>
      <c r="J236" s="19" t="s">
        <v>985</v>
      </c>
    </row>
    <row r="237">
      <c r="A237" s="19" t="s">
        <v>854</v>
      </c>
      <c r="F237" s="19" t="s">
        <v>986</v>
      </c>
      <c r="G237" s="19" t="s">
        <v>987</v>
      </c>
    </row>
    <row r="238">
      <c r="A238" s="19" t="s">
        <v>624</v>
      </c>
      <c r="F238" s="19" t="s">
        <v>624</v>
      </c>
      <c r="G238" s="19" t="s">
        <v>624</v>
      </c>
    </row>
    <row r="239">
      <c r="F239" s="19" t="s">
        <v>988</v>
      </c>
    </row>
    <row r="240">
      <c r="F240" s="19" t="s">
        <v>989</v>
      </c>
    </row>
    <row r="241">
      <c r="F241" s="19" t="s">
        <v>990</v>
      </c>
    </row>
    <row r="242">
      <c r="F242" s="19" t="s">
        <v>624</v>
      </c>
    </row>
    <row r="243">
      <c r="F243" s="19" t="s">
        <v>991</v>
      </c>
    </row>
    <row r="244">
      <c r="F244" s="19" t="s">
        <v>624</v>
      </c>
    </row>
    <row r="245">
      <c r="F245" s="19" t="s">
        <v>993</v>
      </c>
    </row>
    <row r="246">
      <c r="F246" s="19" t="s">
        <v>693</v>
      </c>
    </row>
  </sheetData>
  <mergeCells count="75">
    <mergeCell ref="A120:H120"/>
    <mergeCell ref="A121:H121"/>
    <mergeCell ref="A122:H122"/>
    <mergeCell ref="A123:H123"/>
    <mergeCell ref="A149:H149"/>
    <mergeCell ref="A150:H150"/>
    <mergeCell ref="A151:H151"/>
    <mergeCell ref="A152:H152"/>
    <mergeCell ref="A153:H153"/>
    <mergeCell ref="A171:J171"/>
    <mergeCell ref="A172:J172"/>
    <mergeCell ref="A173:J173"/>
    <mergeCell ref="A174:J174"/>
    <mergeCell ref="A175:J175"/>
    <mergeCell ref="A176:J176"/>
    <mergeCell ref="A177:J177"/>
    <mergeCell ref="A195:J195"/>
    <mergeCell ref="A196:J196"/>
    <mergeCell ref="A197:J197"/>
    <mergeCell ref="A198:J198"/>
    <mergeCell ref="A199:J199"/>
    <mergeCell ref="A227:J227"/>
    <mergeCell ref="A228:J228"/>
    <mergeCell ref="A229:J229"/>
    <mergeCell ref="A230:J230"/>
    <mergeCell ref="A231:J231"/>
    <mergeCell ref="A200:J200"/>
    <mergeCell ref="A201:J201"/>
    <mergeCell ref="A218:H218"/>
    <mergeCell ref="A219:H219"/>
    <mergeCell ref="A220:H220"/>
    <mergeCell ref="A221:H221"/>
    <mergeCell ref="A222:H222"/>
    <mergeCell ref="A1:Q1"/>
    <mergeCell ref="A2:Q2"/>
    <mergeCell ref="A3:Q3"/>
    <mergeCell ref="A4:Q4"/>
    <mergeCell ref="F5:H5"/>
    <mergeCell ref="M5:Q5"/>
    <mergeCell ref="F6:H6"/>
    <mergeCell ref="M6:Q6"/>
    <mergeCell ref="M19:M31"/>
    <mergeCell ref="M32:M36"/>
    <mergeCell ref="M37:M39"/>
    <mergeCell ref="M40:M45"/>
    <mergeCell ref="J5:L5"/>
    <mergeCell ref="J6:L6"/>
    <mergeCell ref="J7:L7"/>
    <mergeCell ref="J8:L8"/>
    <mergeCell ref="M8:M9"/>
    <mergeCell ref="J9:L9"/>
    <mergeCell ref="M10:M18"/>
    <mergeCell ref="N36:O36"/>
    <mergeCell ref="N39:O39"/>
    <mergeCell ref="N9:O9"/>
    <mergeCell ref="N14:Q14"/>
    <mergeCell ref="N18:O18"/>
    <mergeCell ref="N25:Q25"/>
    <mergeCell ref="N31:O31"/>
    <mergeCell ref="N33:Q33"/>
    <mergeCell ref="N37:Q37"/>
    <mergeCell ref="N42:Q42"/>
    <mergeCell ref="N45:O45"/>
    <mergeCell ref="A82:E82"/>
    <mergeCell ref="A83:E83"/>
    <mergeCell ref="A84:E84"/>
    <mergeCell ref="A85:E85"/>
    <mergeCell ref="A86:E86"/>
    <mergeCell ref="A88:E88"/>
    <mergeCell ref="A89:E89"/>
    <mergeCell ref="A90:F90"/>
    <mergeCell ref="A91:F91"/>
    <mergeCell ref="A92:F92"/>
    <mergeCell ref="A93:F93"/>
    <mergeCell ref="A119:H119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</cols>
  <sheetData>
    <row r="1">
      <c r="A1" s="13" t="s">
        <v>31</v>
      </c>
    </row>
    <row r="2">
      <c r="A2" s="17" t="s">
        <v>34</v>
      </c>
    </row>
    <row r="3">
      <c r="A3" s="13" t="s">
        <v>10</v>
      </c>
    </row>
    <row r="4">
      <c r="A4" s="21">
        <f>100000</f>
        <v>100000</v>
      </c>
    </row>
    <row r="5">
      <c r="A5" s="14" t="s">
        <v>24</v>
      </c>
    </row>
    <row r="6">
      <c r="A6" s="19" t="s">
        <v>45</v>
      </c>
    </row>
    <row r="7">
      <c r="A7" s="19" t="s">
        <v>46</v>
      </c>
    </row>
    <row r="8">
      <c r="A8" s="19" t="s">
        <v>47</v>
      </c>
    </row>
    <row r="9">
      <c r="A9" s="19" t="s">
        <v>48</v>
      </c>
    </row>
    <row r="10">
      <c r="A10" s="19" t="s">
        <v>50</v>
      </c>
    </row>
    <row r="11">
      <c r="A11" s="19" t="s">
        <v>51</v>
      </c>
    </row>
    <row r="12">
      <c r="A12" s="19" t="s">
        <v>52</v>
      </c>
    </row>
  </sheetData>
  <mergeCells count="4">
    <mergeCell ref="A1:J1"/>
    <mergeCell ref="A2:J2"/>
    <mergeCell ref="A3:J3"/>
    <mergeCell ref="A4:J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13"/>
    <col customWidth="1" min="2" max="2" width="41.25"/>
    <col customWidth="1" min="3" max="3" width="38.5"/>
    <col customWidth="1" min="4" max="4" width="39.5"/>
    <col customWidth="1" min="5" max="5" width="29.75"/>
    <col customWidth="1" min="6" max="6" width="30.63"/>
    <col customWidth="1" min="7" max="7" width="21.63"/>
    <col customWidth="1" min="8" max="8" width="26.88"/>
    <col customWidth="1" min="9" max="9" width="22.75"/>
    <col customWidth="1" min="10" max="10" width="29.88"/>
    <col customWidth="1" min="11" max="11" width="30.88"/>
    <col customWidth="1" min="12" max="12" width="24.63"/>
    <col customWidth="1" min="13" max="13" width="22.63"/>
    <col customWidth="1" min="14" max="14" width="16.88"/>
    <col customWidth="1" min="18" max="18" width="17.5"/>
    <col customWidth="1" min="23" max="23" width="30.88"/>
  </cols>
  <sheetData>
    <row r="1">
      <c r="A1" s="50" t="s">
        <v>203</v>
      </c>
    </row>
    <row r="2">
      <c r="A2" s="50" t="s">
        <v>211</v>
      </c>
    </row>
    <row r="3">
      <c r="A3" s="50" t="s">
        <v>212</v>
      </c>
    </row>
    <row r="4">
      <c r="A4" s="52" t="s">
        <v>10</v>
      </c>
    </row>
    <row r="5">
      <c r="A5" s="54">
        <f>100000+B7+C7+D7+F7+G7+I7+A72+E23+L7+F16+E27+N7+Q7+F22</f>
        <v>1716285</v>
      </c>
    </row>
    <row r="6">
      <c r="A6" s="14" t="s">
        <v>24</v>
      </c>
      <c r="B6" s="14" t="s">
        <v>35</v>
      </c>
      <c r="C6" s="14" t="s">
        <v>27</v>
      </c>
      <c r="D6" s="14" t="s">
        <v>242</v>
      </c>
      <c r="E6" s="14" t="s">
        <v>37</v>
      </c>
      <c r="F6" s="14" t="s">
        <v>247</v>
      </c>
      <c r="G6" s="14" t="s">
        <v>248</v>
      </c>
      <c r="I6" s="14" t="s">
        <v>43</v>
      </c>
      <c r="L6" s="14" t="s">
        <v>250</v>
      </c>
      <c r="N6" s="22" t="s">
        <v>252</v>
      </c>
      <c r="Q6" s="55" t="s">
        <v>33</v>
      </c>
      <c r="W6" s="14"/>
    </row>
    <row r="7">
      <c r="A7" s="19" t="s">
        <v>258</v>
      </c>
      <c r="B7" s="54">
        <v>-260000.0</v>
      </c>
      <c r="C7" s="54">
        <v>65000.0</v>
      </c>
      <c r="D7" s="54">
        <v>-1500.0</v>
      </c>
      <c r="E7" s="19" t="s">
        <v>262</v>
      </c>
      <c r="F7" s="54">
        <v>17000.0</v>
      </c>
      <c r="G7" s="54">
        <v>92600.0</v>
      </c>
      <c r="I7" s="54">
        <v>24500.0</v>
      </c>
      <c r="L7" s="54">
        <v>135000.0</v>
      </c>
      <c r="N7" s="57">
        <f>N9</f>
        <v>0</v>
      </c>
      <c r="Q7" s="58">
        <f>T15+T20+T35+T38+T42+T45+T48</f>
        <v>209000</v>
      </c>
      <c r="W7" s="59"/>
    </row>
    <row r="8">
      <c r="A8" s="19" t="s">
        <v>283</v>
      </c>
      <c r="B8" s="61" t="s">
        <v>55</v>
      </c>
      <c r="C8" s="19" t="s">
        <v>285</v>
      </c>
      <c r="D8" s="19" t="s">
        <v>287</v>
      </c>
      <c r="E8" s="19" t="s">
        <v>288</v>
      </c>
      <c r="F8" s="19" t="s">
        <v>290</v>
      </c>
      <c r="G8" s="19" t="s">
        <v>59</v>
      </c>
      <c r="H8" s="63" t="s">
        <v>292</v>
      </c>
      <c r="I8" s="19" t="s">
        <v>59</v>
      </c>
      <c r="J8" s="19" t="s">
        <v>295</v>
      </c>
      <c r="K8" s="19" t="s">
        <v>61</v>
      </c>
      <c r="L8" s="63" t="s">
        <v>297</v>
      </c>
      <c r="M8" s="63" t="s">
        <v>298</v>
      </c>
      <c r="N8" s="38" t="s">
        <v>77</v>
      </c>
      <c r="Q8" s="64" t="s">
        <v>64</v>
      </c>
      <c r="R8" s="64" t="s">
        <v>65</v>
      </c>
      <c r="S8" s="64" t="s">
        <v>66</v>
      </c>
      <c r="T8" s="64" t="s">
        <v>0</v>
      </c>
      <c r="U8" s="64" t="s">
        <v>67</v>
      </c>
    </row>
    <row r="9">
      <c r="A9" s="19" t="s">
        <v>302</v>
      </c>
      <c r="B9" s="9" t="s">
        <v>178</v>
      </c>
      <c r="C9" s="19" t="s">
        <v>304</v>
      </c>
      <c r="D9" s="19" t="s">
        <v>306</v>
      </c>
      <c r="E9" s="19" t="s">
        <v>307</v>
      </c>
      <c r="F9" s="19" t="s">
        <v>310</v>
      </c>
      <c r="G9" s="19" t="s">
        <v>312</v>
      </c>
      <c r="H9" s="19" t="s">
        <v>315</v>
      </c>
      <c r="I9" s="19" t="s">
        <v>318</v>
      </c>
      <c r="J9" s="19" t="s">
        <v>328</v>
      </c>
      <c r="K9" s="19" t="s">
        <v>329</v>
      </c>
      <c r="L9" s="19" t="s">
        <v>330</v>
      </c>
      <c r="M9" s="19" t="s">
        <v>331</v>
      </c>
      <c r="N9" s="65">
        <v>0.0</v>
      </c>
      <c r="Q9" s="67" t="s">
        <v>335</v>
      </c>
      <c r="R9" s="68" t="s">
        <v>79</v>
      </c>
      <c r="S9" s="68">
        <v>7.0</v>
      </c>
      <c r="T9" s="68">
        <f>S9*1000</f>
        <v>7000</v>
      </c>
      <c r="U9" s="69">
        <f>S9*20</f>
        <v>140</v>
      </c>
    </row>
    <row r="10">
      <c r="A10" s="19" t="s">
        <v>351</v>
      </c>
      <c r="B10" s="9" t="s">
        <v>213</v>
      </c>
      <c r="C10" s="19" t="s">
        <v>352</v>
      </c>
      <c r="E10" s="19" t="s">
        <v>355</v>
      </c>
      <c r="F10" s="19" t="s">
        <v>357</v>
      </c>
      <c r="G10" s="19" t="s">
        <v>358</v>
      </c>
      <c r="H10" s="19" t="s">
        <v>360</v>
      </c>
      <c r="I10" s="19" t="s">
        <v>362</v>
      </c>
      <c r="J10" s="19" t="s">
        <v>363</v>
      </c>
      <c r="K10" s="19" t="s">
        <v>365</v>
      </c>
      <c r="L10" s="19" t="s">
        <v>366</v>
      </c>
      <c r="M10" s="19" t="s">
        <v>367</v>
      </c>
      <c r="R10" s="68" t="s">
        <v>270</v>
      </c>
      <c r="S10" s="68">
        <v>0.5</v>
      </c>
      <c r="T10" s="69">
        <f>S10*3000</f>
        <v>1500</v>
      </c>
      <c r="U10" s="69">
        <f>S10*40</f>
        <v>20</v>
      </c>
    </row>
    <row r="11">
      <c r="A11" s="19" t="s">
        <v>377</v>
      </c>
      <c r="B11" s="9" t="s">
        <v>235</v>
      </c>
      <c r="C11" s="19" t="s">
        <v>378</v>
      </c>
      <c r="E11" s="19" t="s">
        <v>380</v>
      </c>
      <c r="F11" s="19" t="s">
        <v>381</v>
      </c>
      <c r="G11" s="19" t="s">
        <v>193</v>
      </c>
      <c r="H11" s="19" t="s">
        <v>382</v>
      </c>
      <c r="I11" s="19" t="s">
        <v>139</v>
      </c>
      <c r="J11" s="19" t="s">
        <v>383</v>
      </c>
      <c r="K11" s="19" t="s">
        <v>384</v>
      </c>
      <c r="L11" s="19" t="s">
        <v>386</v>
      </c>
      <c r="M11" s="19" t="s">
        <v>387</v>
      </c>
      <c r="R11" s="68" t="s">
        <v>128</v>
      </c>
      <c r="S11" s="68">
        <v>1.0</v>
      </c>
      <c r="T11" s="69">
        <f>S11*8000</f>
        <v>8000</v>
      </c>
      <c r="U11" s="69">
        <f>S11*80</f>
        <v>80</v>
      </c>
    </row>
    <row r="12">
      <c r="A12" s="19" t="s">
        <v>393</v>
      </c>
      <c r="B12" s="9" t="s">
        <v>261</v>
      </c>
      <c r="C12" s="19" t="s">
        <v>394</v>
      </c>
      <c r="E12" s="19" t="s">
        <v>395</v>
      </c>
      <c r="F12" s="14" t="s">
        <v>396</v>
      </c>
      <c r="G12" s="19" t="s">
        <v>398</v>
      </c>
      <c r="H12" s="19" t="s">
        <v>399</v>
      </c>
      <c r="I12" s="19" t="s">
        <v>150</v>
      </c>
      <c r="J12" s="19" t="s">
        <v>401</v>
      </c>
      <c r="K12" s="19" t="s">
        <v>402</v>
      </c>
      <c r="L12" s="19" t="s">
        <v>403</v>
      </c>
      <c r="M12" s="19" t="s">
        <v>404</v>
      </c>
      <c r="R12" s="68" t="s">
        <v>152</v>
      </c>
    </row>
    <row r="13">
      <c r="A13" s="19" t="s">
        <v>408</v>
      </c>
      <c r="B13" s="9" t="s">
        <v>289</v>
      </c>
      <c r="C13" s="19" t="s">
        <v>410</v>
      </c>
      <c r="E13" s="19" t="s">
        <v>411</v>
      </c>
      <c r="G13" s="19" t="s">
        <v>412</v>
      </c>
      <c r="H13" s="19" t="s">
        <v>413</v>
      </c>
      <c r="I13" s="19" t="s">
        <v>414</v>
      </c>
      <c r="J13" s="19" t="s">
        <v>415</v>
      </c>
      <c r="K13" s="19" t="s">
        <v>416</v>
      </c>
      <c r="L13" s="19" t="s">
        <v>417</v>
      </c>
      <c r="M13" s="19" t="s">
        <v>418</v>
      </c>
      <c r="R13" s="68">
        <v>100.0</v>
      </c>
      <c r="S13" s="68">
        <v>3.5</v>
      </c>
      <c r="T13" s="69">
        <f t="shared" ref="T13:T14" si="1">S13*1500</f>
        <v>5250</v>
      </c>
      <c r="U13" s="69">
        <f t="shared" ref="U13:U14" si="2">S13*60</f>
        <v>210</v>
      </c>
    </row>
    <row r="14">
      <c r="A14" s="19" t="s">
        <v>423</v>
      </c>
      <c r="B14" s="9" t="s">
        <v>316</v>
      </c>
      <c r="C14" s="19" t="s">
        <v>425</v>
      </c>
      <c r="E14" s="19" t="s">
        <v>426</v>
      </c>
      <c r="G14" s="19" t="s">
        <v>428</v>
      </c>
      <c r="H14" s="19" t="s">
        <v>429</v>
      </c>
      <c r="I14" s="19" t="s">
        <v>430</v>
      </c>
      <c r="J14" s="19" t="s">
        <v>431</v>
      </c>
      <c r="K14" s="19" t="s">
        <v>432</v>
      </c>
      <c r="L14" s="19" t="s">
        <v>433</v>
      </c>
      <c r="M14" s="19">
        <v>50000.0</v>
      </c>
      <c r="R14" s="68" t="s">
        <v>434</v>
      </c>
      <c r="S14" s="68">
        <v>1.0</v>
      </c>
      <c r="T14" s="69">
        <f t="shared" si="1"/>
        <v>1500</v>
      </c>
      <c r="U14" s="69">
        <f t="shared" si="2"/>
        <v>60</v>
      </c>
    </row>
    <row r="15">
      <c r="A15" s="19" t="s">
        <v>436</v>
      </c>
      <c r="B15" s="9" t="s">
        <v>336</v>
      </c>
      <c r="C15" s="19" t="s">
        <v>437</v>
      </c>
      <c r="E15" s="19" t="s">
        <v>438</v>
      </c>
      <c r="F15" s="14" t="s">
        <v>439</v>
      </c>
      <c r="G15" s="19" t="s">
        <v>441</v>
      </c>
      <c r="H15" s="19" t="s">
        <v>443</v>
      </c>
      <c r="I15" s="19" t="s">
        <v>444</v>
      </c>
      <c r="J15" s="19" t="s">
        <v>446</v>
      </c>
      <c r="K15" s="19" t="s">
        <v>447</v>
      </c>
      <c r="R15" s="72" t="s">
        <v>94</v>
      </c>
      <c r="T15" s="74">
        <f t="shared" ref="T15:U15" si="3">T9+T10+T13+T14+T11</f>
        <v>23250</v>
      </c>
      <c r="U15" s="74">
        <f t="shared" si="3"/>
        <v>510</v>
      </c>
    </row>
    <row r="16">
      <c r="A16" s="19" t="s">
        <v>453</v>
      </c>
      <c r="B16" s="9" t="s">
        <v>353</v>
      </c>
      <c r="C16" s="19" t="s">
        <v>454</v>
      </c>
      <c r="E16" s="19" t="s">
        <v>456</v>
      </c>
      <c r="F16" s="76">
        <v>-10000.0</v>
      </c>
      <c r="G16" s="19" t="s">
        <v>458</v>
      </c>
      <c r="H16" s="19" t="s">
        <v>459</v>
      </c>
      <c r="I16" s="19" t="s">
        <v>460</v>
      </c>
      <c r="J16" s="19" t="s">
        <v>462</v>
      </c>
      <c r="Q16" s="67" t="s">
        <v>465</v>
      </c>
      <c r="R16" s="68" t="s">
        <v>79</v>
      </c>
      <c r="S16" s="68">
        <v>2.0</v>
      </c>
      <c r="T16" s="68">
        <f>S16*1000</f>
        <v>2000</v>
      </c>
      <c r="U16" s="69">
        <f>S16*20</f>
        <v>40</v>
      </c>
    </row>
    <row r="17">
      <c r="A17" s="19" t="s">
        <v>468</v>
      </c>
      <c r="B17" s="61" t="s">
        <v>170</v>
      </c>
      <c r="C17" s="19" t="s">
        <v>472</v>
      </c>
      <c r="E17" s="19" t="s">
        <v>473</v>
      </c>
      <c r="F17" s="19" t="s">
        <v>62</v>
      </c>
      <c r="G17" s="19" t="s">
        <v>266</v>
      </c>
      <c r="I17" s="19" t="s">
        <v>474</v>
      </c>
      <c r="J17" s="19" t="s">
        <v>475</v>
      </c>
      <c r="R17" s="68" t="s">
        <v>152</v>
      </c>
    </row>
    <row r="18">
      <c r="A18" s="19" t="s">
        <v>476</v>
      </c>
      <c r="B18" s="9" t="s">
        <v>397</v>
      </c>
      <c r="C18" s="19" t="s">
        <v>478</v>
      </c>
      <c r="E18" s="19" t="s">
        <v>479</v>
      </c>
      <c r="G18" s="19" t="s">
        <v>371</v>
      </c>
      <c r="H18" s="63" t="s">
        <v>480</v>
      </c>
      <c r="I18" s="19" t="s">
        <v>474</v>
      </c>
      <c r="J18" s="19" t="s">
        <v>482</v>
      </c>
      <c r="R18" s="68">
        <v>100.0</v>
      </c>
      <c r="S18" s="68">
        <v>0.5</v>
      </c>
      <c r="T18" s="69">
        <f t="shared" ref="T18:T19" si="4">S18*1500</f>
        <v>750</v>
      </c>
      <c r="U18" s="69">
        <f t="shared" ref="U18:U19" si="5">S18*60</f>
        <v>30</v>
      </c>
    </row>
    <row r="19">
      <c r="A19" s="19" t="s">
        <v>486</v>
      </c>
      <c r="B19" s="9" t="s">
        <v>419</v>
      </c>
      <c r="C19" s="19" t="s">
        <v>490</v>
      </c>
      <c r="E19" s="19" t="s">
        <v>491</v>
      </c>
      <c r="F19" s="79"/>
      <c r="G19" s="19" t="s">
        <v>493</v>
      </c>
      <c r="I19" s="19" t="s">
        <v>494</v>
      </c>
      <c r="J19" s="19" t="s">
        <v>495</v>
      </c>
      <c r="R19" s="68" t="s">
        <v>496</v>
      </c>
      <c r="S19" s="68">
        <v>2.0</v>
      </c>
      <c r="T19" s="69">
        <f t="shared" si="4"/>
        <v>3000</v>
      </c>
      <c r="U19" s="69">
        <f t="shared" si="5"/>
        <v>120</v>
      </c>
    </row>
    <row r="20">
      <c r="A20" s="19" t="s">
        <v>498</v>
      </c>
      <c r="B20" s="61" t="s">
        <v>196</v>
      </c>
      <c r="C20" s="19" t="s">
        <v>500</v>
      </c>
      <c r="E20" s="19" t="s">
        <v>502</v>
      </c>
      <c r="F20" s="19"/>
      <c r="G20" s="19" t="s">
        <v>505</v>
      </c>
      <c r="H20" s="63" t="s">
        <v>507</v>
      </c>
      <c r="I20" s="19" t="s">
        <v>508</v>
      </c>
      <c r="R20" s="72" t="s">
        <v>94</v>
      </c>
      <c r="T20" s="74">
        <f t="shared" ref="T20:U20" si="6">T16+T18+T19</f>
        <v>5750</v>
      </c>
      <c r="U20" s="74">
        <f t="shared" si="6"/>
        <v>190</v>
      </c>
    </row>
    <row r="21">
      <c r="A21" s="19" t="s">
        <v>515</v>
      </c>
      <c r="B21" s="9" t="s">
        <v>177</v>
      </c>
      <c r="C21" s="19" t="s">
        <v>516</v>
      </c>
      <c r="E21" s="19" t="s">
        <v>518</v>
      </c>
      <c r="F21" s="14" t="s">
        <v>521</v>
      </c>
      <c r="G21" s="19" t="s">
        <v>428</v>
      </c>
      <c r="I21" s="19" t="s">
        <v>522</v>
      </c>
      <c r="Q21" s="67" t="s">
        <v>523</v>
      </c>
      <c r="R21" s="68" t="s">
        <v>79</v>
      </c>
      <c r="S21" s="68">
        <v>6.5</v>
      </c>
      <c r="T21" s="68">
        <f>S21*1000</f>
        <v>6500</v>
      </c>
      <c r="U21" s="69">
        <f t="shared" ref="U21:U22" si="7">S21*20</f>
        <v>130</v>
      </c>
    </row>
    <row r="22">
      <c r="A22" s="19" t="s">
        <v>532</v>
      </c>
      <c r="C22" s="19" t="s">
        <v>535</v>
      </c>
      <c r="E22" s="14" t="s">
        <v>536</v>
      </c>
      <c r="F22" s="54">
        <v>100000.0</v>
      </c>
      <c r="G22" s="19" t="s">
        <v>538</v>
      </c>
      <c r="I22" s="19" t="s">
        <v>477</v>
      </c>
      <c r="R22" s="68" t="s">
        <v>246</v>
      </c>
      <c r="S22" s="68">
        <v>1.0</v>
      </c>
      <c r="T22" s="68">
        <f t="shared" ref="T22:T23" si="8">S22*2000</f>
        <v>2000</v>
      </c>
      <c r="U22" s="69">
        <f t="shared" si="7"/>
        <v>20</v>
      </c>
    </row>
    <row r="23">
      <c r="A23" s="19" t="s">
        <v>543</v>
      </c>
      <c r="C23" s="19" t="s">
        <v>544</v>
      </c>
      <c r="E23" s="54">
        <v>40000.0</v>
      </c>
      <c r="F23" s="19" t="s">
        <v>546</v>
      </c>
      <c r="G23" s="19" t="s">
        <v>100</v>
      </c>
      <c r="I23" s="19" t="s">
        <v>477</v>
      </c>
      <c r="R23" s="68" t="s">
        <v>117</v>
      </c>
      <c r="S23" s="68">
        <v>1.5</v>
      </c>
      <c r="T23" s="69">
        <f t="shared" si="8"/>
        <v>3000</v>
      </c>
      <c r="U23" s="69">
        <f t="shared" ref="U23:U24" si="9">S23*40</f>
        <v>60</v>
      </c>
    </row>
    <row r="24">
      <c r="A24" s="19" t="s">
        <v>560</v>
      </c>
      <c r="C24" s="19" t="s">
        <v>111</v>
      </c>
      <c r="E24" s="9" t="s">
        <v>568</v>
      </c>
      <c r="G24" s="19" t="s">
        <v>570</v>
      </c>
      <c r="I24" s="19" t="s">
        <v>571</v>
      </c>
      <c r="R24" s="68" t="s">
        <v>270</v>
      </c>
      <c r="S24" s="68">
        <v>2.0</v>
      </c>
      <c r="T24" s="69">
        <f>S24*3000</f>
        <v>6000</v>
      </c>
      <c r="U24" s="69">
        <f t="shared" si="9"/>
        <v>80</v>
      </c>
    </row>
    <row r="25">
      <c r="A25" s="28" t="s">
        <v>591</v>
      </c>
      <c r="C25" s="19" t="s">
        <v>592</v>
      </c>
      <c r="G25" s="19" t="s">
        <v>593</v>
      </c>
      <c r="I25" s="19" t="s">
        <v>139</v>
      </c>
      <c r="R25" s="68" t="s">
        <v>141</v>
      </c>
      <c r="S25" s="68">
        <v>6.0</v>
      </c>
      <c r="T25" s="69">
        <f>S25*5000</f>
        <v>30000</v>
      </c>
      <c r="U25" s="69">
        <f>S25*100</f>
        <v>600</v>
      </c>
    </row>
    <row r="26">
      <c r="A26" s="28" t="s">
        <v>606</v>
      </c>
      <c r="C26" s="19" t="s">
        <v>607</v>
      </c>
      <c r="E26" s="14" t="s">
        <v>314</v>
      </c>
      <c r="G26" s="19" t="s">
        <v>412</v>
      </c>
      <c r="I26" s="19" t="s">
        <v>508</v>
      </c>
      <c r="R26" s="68" t="s">
        <v>145</v>
      </c>
      <c r="S26" s="68">
        <v>4.5</v>
      </c>
      <c r="T26" s="68">
        <f>S26*6000</f>
        <v>27000</v>
      </c>
      <c r="U26" s="69">
        <f>S26*40</f>
        <v>180</v>
      </c>
    </row>
    <row r="27">
      <c r="A27" s="28" t="s">
        <v>618</v>
      </c>
      <c r="C27" s="19" t="s">
        <v>619</v>
      </c>
      <c r="E27" s="54">
        <v>100000.0</v>
      </c>
      <c r="G27" s="19" t="s">
        <v>284</v>
      </c>
      <c r="I27" s="19" t="s">
        <v>623</v>
      </c>
      <c r="R27" s="68" t="s">
        <v>128</v>
      </c>
      <c r="S27" s="68">
        <v>8.0</v>
      </c>
      <c r="T27" s="69">
        <f>S27*8000</f>
        <v>64000</v>
      </c>
      <c r="U27" s="69">
        <f>S27*80</f>
        <v>640</v>
      </c>
    </row>
    <row r="28">
      <c r="A28" s="28" t="s">
        <v>632</v>
      </c>
      <c r="C28" s="19" t="s">
        <v>633</v>
      </c>
      <c r="E28" s="9" t="s">
        <v>634</v>
      </c>
      <c r="G28" s="19" t="s">
        <v>636</v>
      </c>
      <c r="I28" s="19" t="s">
        <v>193</v>
      </c>
      <c r="R28" s="68" t="s">
        <v>152</v>
      </c>
    </row>
    <row r="29">
      <c r="A29" s="19" t="s">
        <v>638</v>
      </c>
      <c r="C29" s="19" t="s">
        <v>640</v>
      </c>
      <c r="E29" s="9" t="s">
        <v>641</v>
      </c>
      <c r="G29" s="19" t="s">
        <v>643</v>
      </c>
      <c r="I29" s="19" t="s">
        <v>126</v>
      </c>
      <c r="R29" s="68">
        <v>100.0</v>
      </c>
      <c r="S29" s="68">
        <v>3.0</v>
      </c>
      <c r="T29" s="69">
        <f t="shared" ref="T29:T34" si="10">S29*1500</f>
        <v>4500</v>
      </c>
      <c r="U29" s="69">
        <f t="shared" ref="U29:U34" si="11">S29*60</f>
        <v>180</v>
      </c>
    </row>
    <row r="30">
      <c r="C30" s="19" t="s">
        <v>661</v>
      </c>
      <c r="E30" s="9" t="s">
        <v>662</v>
      </c>
      <c r="G30" s="19" t="s">
        <v>664</v>
      </c>
      <c r="I30" s="19" t="s">
        <v>256</v>
      </c>
      <c r="R30" s="68" t="s">
        <v>340</v>
      </c>
      <c r="S30" s="68">
        <v>4.0</v>
      </c>
      <c r="T30" s="69">
        <f t="shared" si="10"/>
        <v>6000</v>
      </c>
      <c r="U30" s="69">
        <f t="shared" si="11"/>
        <v>240</v>
      </c>
    </row>
    <row r="31">
      <c r="C31" s="19" t="s">
        <v>676</v>
      </c>
      <c r="E31" s="9" t="s">
        <v>678</v>
      </c>
      <c r="G31" s="19" t="s">
        <v>100</v>
      </c>
      <c r="I31" s="19" t="s">
        <v>206</v>
      </c>
      <c r="R31" s="68" t="s">
        <v>162</v>
      </c>
      <c r="S31" s="68">
        <v>3.0</v>
      </c>
      <c r="T31" s="69">
        <f t="shared" si="10"/>
        <v>4500</v>
      </c>
      <c r="U31" s="69">
        <f t="shared" si="11"/>
        <v>180</v>
      </c>
    </row>
    <row r="32">
      <c r="C32" s="19" t="s">
        <v>686</v>
      </c>
      <c r="G32" s="19" t="s">
        <v>688</v>
      </c>
      <c r="I32" s="19" t="s">
        <v>187</v>
      </c>
      <c r="R32" s="68" t="s">
        <v>191</v>
      </c>
      <c r="S32" s="68">
        <v>5.0</v>
      </c>
      <c r="T32" s="69">
        <f t="shared" si="10"/>
        <v>7500</v>
      </c>
      <c r="U32" s="69">
        <f t="shared" si="11"/>
        <v>300</v>
      </c>
    </row>
    <row r="33">
      <c r="C33" s="19" t="s">
        <v>702</v>
      </c>
      <c r="G33" s="19" t="s">
        <v>703</v>
      </c>
      <c r="I33" s="19" t="s">
        <v>704</v>
      </c>
      <c r="R33" s="68" t="s">
        <v>327</v>
      </c>
      <c r="S33" s="68">
        <v>2.0</v>
      </c>
      <c r="T33" s="69">
        <f t="shared" si="10"/>
        <v>3000</v>
      </c>
      <c r="U33" s="69">
        <f t="shared" si="11"/>
        <v>120</v>
      </c>
    </row>
    <row r="34">
      <c r="C34" s="19" t="s">
        <v>240</v>
      </c>
      <c r="G34" s="19" t="s">
        <v>505</v>
      </c>
      <c r="I34" s="19" t="s">
        <v>303</v>
      </c>
      <c r="R34" s="68" t="s">
        <v>496</v>
      </c>
      <c r="S34" s="68">
        <v>4.0</v>
      </c>
      <c r="T34" s="69">
        <f t="shared" si="10"/>
        <v>6000</v>
      </c>
      <c r="U34" s="69">
        <f t="shared" si="11"/>
        <v>240</v>
      </c>
    </row>
    <row r="35">
      <c r="C35" s="19" t="s">
        <v>712</v>
      </c>
      <c r="G35" s="19" t="s">
        <v>441</v>
      </c>
      <c r="I35" s="19" t="s">
        <v>206</v>
      </c>
      <c r="R35" s="72" t="s">
        <v>94</v>
      </c>
      <c r="T35" s="74">
        <f t="shared" ref="T35:U35" si="12">T21+T22+T23+T24+T25+T26+T27+T29+T30+T31+T32+T33+T34</f>
        <v>170000</v>
      </c>
      <c r="U35" s="74">
        <f t="shared" si="12"/>
        <v>2970</v>
      </c>
    </row>
    <row r="36">
      <c r="G36" s="19" t="s">
        <v>458</v>
      </c>
      <c r="I36" s="19" t="s">
        <v>522</v>
      </c>
      <c r="Q36" s="67" t="s">
        <v>722</v>
      </c>
      <c r="R36" s="68" t="s">
        <v>152</v>
      </c>
    </row>
    <row r="37">
      <c r="G37" s="19" t="s">
        <v>726</v>
      </c>
      <c r="I37" s="19" t="s">
        <v>727</v>
      </c>
      <c r="R37" s="68">
        <v>100.0</v>
      </c>
      <c r="S37" s="68">
        <v>0.5</v>
      </c>
      <c r="T37" s="69">
        <f>S37*1500</f>
        <v>750</v>
      </c>
      <c r="U37" s="69">
        <f>S37*60</f>
        <v>30</v>
      </c>
    </row>
    <row r="38">
      <c r="G38" s="19" t="s">
        <v>193</v>
      </c>
      <c r="I38" s="19" t="s">
        <v>139</v>
      </c>
      <c r="R38" s="72" t="s">
        <v>94</v>
      </c>
      <c r="T38" s="74">
        <f t="shared" ref="T38:U38" si="13">T37</f>
        <v>750</v>
      </c>
      <c r="U38" s="74">
        <f t="shared" si="13"/>
        <v>30</v>
      </c>
    </row>
    <row r="39">
      <c r="G39" s="19" t="s">
        <v>231</v>
      </c>
      <c r="I39" s="19" t="s">
        <v>187</v>
      </c>
      <c r="Q39" s="67" t="s">
        <v>742</v>
      </c>
      <c r="R39" s="68" t="s">
        <v>128</v>
      </c>
      <c r="S39" s="68">
        <v>0.5</v>
      </c>
      <c r="T39" s="69">
        <f>S39*8000</f>
        <v>4000</v>
      </c>
      <c r="U39" s="69">
        <f>S39*80</f>
        <v>40</v>
      </c>
    </row>
    <row r="40">
      <c r="G40" s="19" t="s">
        <v>747</v>
      </c>
      <c r="I40" s="19" t="s">
        <v>748</v>
      </c>
      <c r="R40" s="68" t="s">
        <v>152</v>
      </c>
    </row>
    <row r="41">
      <c r="G41" s="19" t="s">
        <v>749</v>
      </c>
      <c r="I41" s="19" t="s">
        <v>139</v>
      </c>
      <c r="R41" s="68">
        <v>100.0</v>
      </c>
      <c r="S41" s="68">
        <v>0.5</v>
      </c>
      <c r="T41" s="69">
        <f>S41*1500</f>
        <v>750</v>
      </c>
      <c r="U41" s="69">
        <f>S41*60</f>
        <v>30</v>
      </c>
    </row>
    <row r="42">
      <c r="G42" s="19" t="s">
        <v>284</v>
      </c>
      <c r="I42" s="19" t="s">
        <v>477</v>
      </c>
      <c r="R42" s="72" t="s">
        <v>94</v>
      </c>
      <c r="T42" s="74">
        <f t="shared" ref="T42:U42" si="14">T41+T39</f>
        <v>4750</v>
      </c>
      <c r="U42" s="74">
        <f t="shared" si="14"/>
        <v>70</v>
      </c>
    </row>
    <row r="43">
      <c r="G43" s="19" t="s">
        <v>771</v>
      </c>
      <c r="I43" s="19" t="s">
        <v>774</v>
      </c>
      <c r="Q43" s="67" t="s">
        <v>778</v>
      </c>
      <c r="R43" s="68" t="s">
        <v>152</v>
      </c>
    </row>
    <row r="44">
      <c r="G44" s="19" t="s">
        <v>193</v>
      </c>
      <c r="I44" s="19" t="s">
        <v>139</v>
      </c>
      <c r="R44" s="68">
        <v>100.0</v>
      </c>
      <c r="S44" s="68">
        <v>2.0</v>
      </c>
      <c r="T44" s="69">
        <f>S44*1500</f>
        <v>3000</v>
      </c>
      <c r="U44" s="69">
        <f>S44*60</f>
        <v>120</v>
      </c>
    </row>
    <row r="45">
      <c r="G45" s="19" t="s">
        <v>794</v>
      </c>
      <c r="I45" s="19" t="s">
        <v>477</v>
      </c>
      <c r="R45" s="72" t="s">
        <v>94</v>
      </c>
      <c r="T45" s="74">
        <f t="shared" ref="T45:U45" si="15">T44</f>
        <v>3000</v>
      </c>
      <c r="U45" s="74">
        <f t="shared" si="15"/>
        <v>120</v>
      </c>
    </row>
    <row r="46">
      <c r="G46" s="19" t="s">
        <v>445</v>
      </c>
      <c r="I46" s="19" t="s">
        <v>799</v>
      </c>
      <c r="Q46" s="67" t="s">
        <v>616</v>
      </c>
      <c r="R46" s="68" t="s">
        <v>152</v>
      </c>
    </row>
    <row r="47">
      <c r="G47" s="19" t="s">
        <v>804</v>
      </c>
      <c r="I47" s="19" t="s">
        <v>139</v>
      </c>
      <c r="R47" s="68" t="s">
        <v>434</v>
      </c>
      <c r="S47" s="68">
        <v>1.0</v>
      </c>
      <c r="T47" s="69">
        <f>S47*1500</f>
        <v>1500</v>
      </c>
      <c r="U47" s="69">
        <f>S47*60</f>
        <v>60</v>
      </c>
    </row>
    <row r="48">
      <c r="G48" s="19" t="s">
        <v>814</v>
      </c>
      <c r="I48" s="19" t="s">
        <v>816</v>
      </c>
      <c r="R48" s="72" t="s">
        <v>94</v>
      </c>
      <c r="T48" s="74">
        <f t="shared" ref="T48:U48" si="16">T47</f>
        <v>1500</v>
      </c>
      <c r="U48" s="74">
        <f t="shared" si="16"/>
        <v>60</v>
      </c>
    </row>
    <row r="49">
      <c r="G49" s="19" t="s">
        <v>749</v>
      </c>
      <c r="I49" s="19" t="s">
        <v>826</v>
      </c>
    </row>
    <row r="50">
      <c r="G50" s="19" t="s">
        <v>804</v>
      </c>
      <c r="I50" s="19" t="s">
        <v>100</v>
      </c>
    </row>
    <row r="51">
      <c r="I51" s="19" t="s">
        <v>435</v>
      </c>
    </row>
    <row r="52">
      <c r="I52" s="19" t="s">
        <v>831</v>
      </c>
      <c r="K52" s="71"/>
      <c r="L52" s="71"/>
      <c r="M52" s="71"/>
      <c r="N52" s="71"/>
      <c r="O52" s="71"/>
      <c r="P52" s="71"/>
      <c r="R52" s="71"/>
      <c r="S52" s="71"/>
      <c r="T52" s="71"/>
      <c r="U52" s="71"/>
      <c r="V52" s="71"/>
    </row>
    <row r="53">
      <c r="I53" s="19" t="s">
        <v>374</v>
      </c>
      <c r="K53" s="71"/>
      <c r="L53" s="71"/>
      <c r="M53" s="71"/>
      <c r="N53" s="71"/>
      <c r="O53" s="71"/>
      <c r="P53" s="71"/>
      <c r="R53" s="71"/>
      <c r="S53" s="71"/>
      <c r="T53" s="71"/>
      <c r="U53" s="71"/>
      <c r="V53" s="71"/>
    </row>
    <row r="54">
      <c r="I54" s="19" t="s">
        <v>450</v>
      </c>
      <c r="K54" s="71"/>
      <c r="L54" s="71"/>
      <c r="M54" s="71"/>
      <c r="N54" s="71"/>
      <c r="O54" s="71"/>
      <c r="P54" s="71"/>
      <c r="R54" s="71"/>
      <c r="S54" s="71"/>
      <c r="T54" s="71"/>
      <c r="U54" s="71"/>
      <c r="V54" s="71"/>
      <c r="W54" s="71"/>
      <c r="X54" s="71"/>
      <c r="Y54" s="71"/>
      <c r="Z54" s="71"/>
      <c r="AA54" s="71"/>
    </row>
    <row r="55">
      <c r="I55" s="19" t="s">
        <v>843</v>
      </c>
      <c r="K55" s="71"/>
      <c r="L55" s="71"/>
      <c r="M55" s="71"/>
      <c r="N55" s="71"/>
      <c r="O55" s="71"/>
      <c r="P55" s="71"/>
      <c r="R55" s="71"/>
      <c r="S55" s="71"/>
      <c r="T55" s="71"/>
      <c r="U55" s="71"/>
      <c r="V55" s="71"/>
      <c r="W55" s="71"/>
      <c r="X55" s="71"/>
      <c r="Y55" s="71"/>
      <c r="Z55" s="71"/>
      <c r="AA55" s="71"/>
    </row>
    <row r="56">
      <c r="I56" s="19" t="s">
        <v>303</v>
      </c>
      <c r="K56" s="71"/>
      <c r="L56" s="71"/>
      <c r="M56" s="71"/>
      <c r="N56" s="71"/>
      <c r="O56" s="71"/>
      <c r="P56" s="71"/>
      <c r="R56" s="71"/>
      <c r="S56" s="71"/>
      <c r="T56" s="71"/>
      <c r="U56" s="71"/>
      <c r="V56" s="71"/>
      <c r="W56" s="71"/>
      <c r="X56" s="71"/>
      <c r="Y56" s="71"/>
      <c r="Z56" s="71"/>
      <c r="AA56" s="71"/>
    </row>
    <row r="57">
      <c r="I57" s="19" t="s">
        <v>450</v>
      </c>
      <c r="K57" s="71"/>
      <c r="L57" s="71"/>
      <c r="M57" s="71"/>
      <c r="N57" s="71"/>
      <c r="O57" s="71"/>
      <c r="P57" s="71"/>
      <c r="R57" s="71"/>
      <c r="S57" s="71"/>
      <c r="T57" s="71"/>
      <c r="U57" s="71"/>
      <c r="V57" s="71"/>
      <c r="W57" s="71"/>
      <c r="X57" s="71"/>
      <c r="Y57" s="71"/>
      <c r="Z57" s="71"/>
      <c r="AA57" s="71"/>
    </row>
    <row r="58">
      <c r="I58" s="19" t="s">
        <v>859</v>
      </c>
      <c r="K58" s="71"/>
      <c r="L58" s="71"/>
      <c r="M58" s="71"/>
      <c r="N58" s="71"/>
      <c r="O58" s="71"/>
      <c r="P58" s="71"/>
      <c r="R58" s="71"/>
      <c r="S58" s="71"/>
      <c r="T58" s="71"/>
      <c r="U58" s="71"/>
      <c r="V58" s="71"/>
      <c r="W58" s="71"/>
      <c r="X58" s="71"/>
      <c r="Y58" s="71"/>
      <c r="Z58" s="71"/>
      <c r="AA58" s="71"/>
    </row>
    <row r="59">
      <c r="K59" s="71"/>
      <c r="L59" s="71"/>
      <c r="M59" s="71"/>
      <c r="N59" s="71"/>
      <c r="O59" s="71"/>
      <c r="P59" s="71"/>
      <c r="R59" s="71"/>
      <c r="S59" s="71"/>
      <c r="T59" s="71"/>
      <c r="U59" s="71"/>
      <c r="V59" s="71"/>
      <c r="W59" s="71"/>
      <c r="X59" s="71"/>
      <c r="Y59" s="71"/>
      <c r="Z59" s="71"/>
      <c r="AA59" s="71"/>
    </row>
    <row r="60">
      <c r="K60" s="71"/>
      <c r="L60" s="71"/>
      <c r="M60" s="71"/>
      <c r="N60" s="71"/>
      <c r="O60" s="71"/>
      <c r="P60" s="71"/>
      <c r="R60" s="71"/>
      <c r="S60" s="71"/>
      <c r="T60" s="71"/>
      <c r="U60" s="71"/>
      <c r="V60" s="71"/>
      <c r="W60" s="71"/>
      <c r="X60" s="71"/>
      <c r="Y60" s="71"/>
      <c r="Z60" s="71"/>
      <c r="AA60" s="71"/>
    </row>
    <row r="61">
      <c r="K61" s="71"/>
      <c r="L61" s="71"/>
      <c r="M61" s="71"/>
      <c r="N61" s="71"/>
      <c r="O61" s="71"/>
      <c r="P61" s="71"/>
      <c r="R61" s="71"/>
      <c r="S61" s="71"/>
      <c r="T61" s="71"/>
      <c r="U61" s="71"/>
      <c r="V61" s="71"/>
      <c r="W61" s="71"/>
      <c r="X61" s="71"/>
      <c r="Y61" s="71"/>
      <c r="Z61" s="71"/>
      <c r="AA61" s="71"/>
    </row>
    <row r="62"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</row>
    <row r="63"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  <c r="AA63" s="71"/>
    </row>
    <row r="71">
      <c r="A71" s="81" t="s">
        <v>885</v>
      </c>
      <c r="F71" s="71"/>
    </row>
    <row r="72">
      <c r="A72" s="81">
        <f>A136+A115+A101+A74+A152+A167+A193+A206</f>
        <v>1104685</v>
      </c>
      <c r="F72" s="71"/>
    </row>
    <row r="73">
      <c r="A73" s="84" t="s">
        <v>886</v>
      </c>
      <c r="F73" s="71"/>
    </row>
    <row r="74">
      <c r="A74" s="84">
        <v>145500.0</v>
      </c>
      <c r="F74" s="71"/>
    </row>
    <row r="75">
      <c r="A75" s="84">
        <v>2026.0</v>
      </c>
      <c r="F75" s="71"/>
    </row>
    <row r="76">
      <c r="A76" s="108" t="s">
        <v>890</v>
      </c>
      <c r="F76" s="71"/>
    </row>
    <row r="77">
      <c r="A77" s="84" t="s">
        <v>898</v>
      </c>
      <c r="F77" s="71"/>
    </row>
    <row r="78">
      <c r="A78" s="86" t="s">
        <v>526</v>
      </c>
      <c r="B78" s="86" t="s">
        <v>528</v>
      </c>
      <c r="C78" s="86" t="s">
        <v>529</v>
      </c>
      <c r="D78" s="86" t="s">
        <v>531</v>
      </c>
      <c r="E78" s="86" t="s">
        <v>533</v>
      </c>
      <c r="F78" s="71"/>
    </row>
    <row r="79">
      <c r="A79" s="63" t="s">
        <v>900</v>
      </c>
      <c r="B79" s="63" t="s">
        <v>901</v>
      </c>
      <c r="C79" s="63" t="s">
        <v>900</v>
      </c>
      <c r="D79" s="63" t="s">
        <v>902</v>
      </c>
      <c r="E79" s="63" t="s">
        <v>905</v>
      </c>
    </row>
    <row r="80">
      <c r="A80" s="60" t="s">
        <v>908</v>
      </c>
      <c r="B80" s="60" t="s">
        <v>910</v>
      </c>
      <c r="C80" s="60" t="s">
        <v>912</v>
      </c>
      <c r="D80" s="60" t="s">
        <v>914</v>
      </c>
      <c r="E80" s="60" t="s">
        <v>915</v>
      </c>
    </row>
    <row r="81">
      <c r="A81" s="60" t="s">
        <v>918</v>
      </c>
      <c r="B81" s="60" t="s">
        <v>918</v>
      </c>
      <c r="C81" s="60" t="s">
        <v>918</v>
      </c>
      <c r="D81" s="60" t="s">
        <v>918</v>
      </c>
      <c r="E81" s="60" t="s">
        <v>918</v>
      </c>
    </row>
    <row r="82">
      <c r="A82" s="60" t="s">
        <v>921</v>
      </c>
      <c r="B82" s="19" t="s">
        <v>922</v>
      </c>
      <c r="C82" s="60" t="s">
        <v>923</v>
      </c>
      <c r="D82" s="19" t="s">
        <v>926</v>
      </c>
      <c r="E82" s="19" t="s">
        <v>927</v>
      </c>
    </row>
    <row r="83">
      <c r="A83" s="60" t="s">
        <v>930</v>
      </c>
      <c r="B83" s="19" t="s">
        <v>932</v>
      </c>
      <c r="C83" s="60" t="s">
        <v>930</v>
      </c>
      <c r="D83" s="19" t="s">
        <v>935</v>
      </c>
      <c r="E83" s="19" t="s">
        <v>936</v>
      </c>
    </row>
    <row r="84">
      <c r="A84" s="19" t="s">
        <v>938</v>
      </c>
      <c r="B84" s="19" t="s">
        <v>927</v>
      </c>
      <c r="C84" s="19" t="s">
        <v>940</v>
      </c>
      <c r="D84" s="60" t="s">
        <v>941</v>
      </c>
      <c r="E84" s="60" t="s">
        <v>942</v>
      </c>
    </row>
    <row r="85">
      <c r="A85" s="19" t="s">
        <v>698</v>
      </c>
      <c r="B85" s="60" t="s">
        <v>414</v>
      </c>
      <c r="C85" s="19" t="s">
        <v>698</v>
      </c>
      <c r="D85" s="60" t="s">
        <v>930</v>
      </c>
      <c r="E85" s="60" t="s">
        <v>930</v>
      </c>
    </row>
    <row r="86">
      <c r="A86" s="111" t="s">
        <v>944</v>
      </c>
      <c r="B86" s="60" t="s">
        <v>930</v>
      </c>
      <c r="C86" s="111" t="s">
        <v>945</v>
      </c>
      <c r="D86" s="19" t="s">
        <v>926</v>
      </c>
      <c r="E86" s="19" t="s">
        <v>946</v>
      </c>
      <c r="K86" s="71"/>
    </row>
    <row r="87">
      <c r="A87" s="111" t="s">
        <v>947</v>
      </c>
      <c r="B87" s="19" t="s">
        <v>948</v>
      </c>
      <c r="C87" s="111" t="s">
        <v>947</v>
      </c>
      <c r="D87" s="19" t="s">
        <v>932</v>
      </c>
      <c r="E87" s="19" t="s">
        <v>949</v>
      </c>
      <c r="K87" s="71"/>
    </row>
    <row r="88">
      <c r="B88" s="19" t="s">
        <v>698</v>
      </c>
      <c r="D88" s="19" t="s">
        <v>950</v>
      </c>
      <c r="E88" s="19" t="s">
        <v>951</v>
      </c>
      <c r="G88" s="18"/>
      <c r="K88" s="71"/>
    </row>
    <row r="89">
      <c r="B89" s="19" t="s">
        <v>927</v>
      </c>
      <c r="D89" s="19" t="s">
        <v>952</v>
      </c>
      <c r="E89" s="19" t="s">
        <v>954</v>
      </c>
      <c r="G89" s="18"/>
      <c r="K89" s="71"/>
    </row>
    <row r="90">
      <c r="B90" s="19" t="s">
        <v>955</v>
      </c>
      <c r="D90" s="19" t="s">
        <v>698</v>
      </c>
      <c r="E90" s="19" t="s">
        <v>957</v>
      </c>
      <c r="G90" s="14"/>
      <c r="K90" s="71"/>
    </row>
    <row r="91">
      <c r="B91" s="19" t="s">
        <v>947</v>
      </c>
      <c r="D91" s="19" t="s">
        <v>950</v>
      </c>
      <c r="E91" s="19" t="s">
        <v>698</v>
      </c>
      <c r="G91" s="112"/>
      <c r="K91" s="71"/>
    </row>
    <row r="92">
      <c r="B92" s="19" t="s">
        <v>960</v>
      </c>
      <c r="D92" s="111" t="s">
        <v>961</v>
      </c>
      <c r="E92" s="19" t="s">
        <v>954</v>
      </c>
      <c r="K92" s="71"/>
    </row>
    <row r="93">
      <c r="B93" s="19" t="s">
        <v>962</v>
      </c>
      <c r="D93" s="111" t="s">
        <v>947</v>
      </c>
      <c r="E93" s="19" t="s">
        <v>964</v>
      </c>
      <c r="G93" s="71"/>
      <c r="I93" s="71"/>
      <c r="J93" s="71"/>
      <c r="K93" s="71"/>
    </row>
    <row r="94">
      <c r="B94" s="19" t="s">
        <v>624</v>
      </c>
      <c r="E94" s="19" t="s">
        <v>947</v>
      </c>
      <c r="G94" s="71"/>
      <c r="H94" s="71"/>
      <c r="I94" s="71"/>
      <c r="J94" s="71"/>
      <c r="K94" s="71"/>
    </row>
    <row r="95">
      <c r="E95" s="19" t="s">
        <v>954</v>
      </c>
      <c r="G95" s="71"/>
      <c r="H95" s="71"/>
      <c r="I95" s="71"/>
      <c r="J95" s="71"/>
      <c r="K95" s="71"/>
    </row>
    <row r="96">
      <c r="A96" s="9" t="s">
        <v>539</v>
      </c>
      <c r="G96" s="71"/>
      <c r="H96" s="71"/>
      <c r="I96" s="71"/>
      <c r="J96" s="71"/>
      <c r="K96" s="71"/>
    </row>
    <row r="97">
      <c r="A97" s="9" t="s">
        <v>967</v>
      </c>
      <c r="G97" s="71"/>
      <c r="H97" s="71"/>
      <c r="I97" s="71"/>
      <c r="J97" s="71"/>
      <c r="K97" s="71"/>
    </row>
    <row r="98">
      <c r="A98" s="115" t="s">
        <v>976</v>
      </c>
      <c r="G98" s="71"/>
      <c r="H98" s="71"/>
      <c r="I98" s="71"/>
      <c r="J98" s="71"/>
    </row>
    <row r="99">
      <c r="A99" s="87"/>
      <c r="G99" s="71"/>
      <c r="H99" s="71"/>
      <c r="I99" s="71"/>
      <c r="J99" s="71"/>
    </row>
    <row r="100">
      <c r="A100" s="88" t="s">
        <v>978</v>
      </c>
      <c r="G100" s="71"/>
      <c r="H100" s="71"/>
      <c r="I100" s="71"/>
      <c r="J100" s="71"/>
    </row>
    <row r="101">
      <c r="A101" s="88">
        <v>24980.0</v>
      </c>
      <c r="G101" s="71"/>
      <c r="H101" s="71"/>
      <c r="I101" s="71"/>
      <c r="J101" s="71"/>
    </row>
    <row r="102">
      <c r="A102" s="89">
        <v>2026.0</v>
      </c>
      <c r="G102" s="71"/>
      <c r="H102" s="71"/>
      <c r="I102" s="71"/>
      <c r="J102" s="71"/>
    </row>
    <row r="103">
      <c r="A103" s="86" t="s">
        <v>550</v>
      </c>
      <c r="B103" s="86" t="s">
        <v>551</v>
      </c>
      <c r="C103" s="86" t="s">
        <v>552</v>
      </c>
      <c r="D103" s="86" t="s">
        <v>554</v>
      </c>
      <c r="E103" s="86" t="s">
        <v>555</v>
      </c>
      <c r="F103" s="86" t="s">
        <v>557</v>
      </c>
      <c r="G103" s="71"/>
      <c r="H103" s="71"/>
      <c r="I103" s="71"/>
      <c r="J103" s="71"/>
    </row>
    <row r="104">
      <c r="A104" s="63" t="s">
        <v>992</v>
      </c>
      <c r="B104" s="63" t="s">
        <v>668</v>
      </c>
      <c r="C104" s="63" t="s">
        <v>994</v>
      </c>
      <c r="G104" s="71"/>
      <c r="H104" s="71"/>
      <c r="I104" s="71"/>
      <c r="J104" s="71"/>
    </row>
    <row r="105">
      <c r="A105" s="19" t="s">
        <v>995</v>
      </c>
      <c r="B105" s="19" t="s">
        <v>915</v>
      </c>
      <c r="C105" s="19" t="s">
        <v>914</v>
      </c>
      <c r="G105" s="71"/>
      <c r="H105" s="71"/>
      <c r="I105" s="71"/>
      <c r="J105" s="71"/>
    </row>
    <row r="106">
      <c r="A106" s="19" t="s">
        <v>996</v>
      </c>
      <c r="B106" s="19" t="s">
        <v>610</v>
      </c>
      <c r="C106" s="19" t="s">
        <v>997</v>
      </c>
    </row>
    <row r="107">
      <c r="A107" s="19" t="s">
        <v>998</v>
      </c>
      <c r="B107" s="19" t="s">
        <v>998</v>
      </c>
    </row>
    <row r="108">
      <c r="A108" s="19" t="s">
        <v>999</v>
      </c>
    </row>
    <row r="109">
      <c r="A109" s="19" t="s">
        <v>578</v>
      </c>
    </row>
    <row r="110">
      <c r="A110" s="19" t="s">
        <v>1000</v>
      </c>
    </row>
    <row r="111">
      <c r="A111" s="19" t="s">
        <v>572</v>
      </c>
    </row>
    <row r="112">
      <c r="A112" s="19" t="s">
        <v>578</v>
      </c>
    </row>
    <row r="113">
      <c r="A113" s="87"/>
    </row>
    <row r="114">
      <c r="A114" s="2" t="s">
        <v>635</v>
      </c>
    </row>
    <row r="115">
      <c r="A115" s="2">
        <v>38800.0</v>
      </c>
    </row>
    <row r="116">
      <c r="A116" s="39">
        <v>2026.0</v>
      </c>
    </row>
    <row r="117">
      <c r="A117" s="92" t="s">
        <v>1005</v>
      </c>
    </row>
    <row r="118">
      <c r="A118" s="86" t="s">
        <v>646</v>
      </c>
      <c r="B118" s="86" t="s">
        <v>647</v>
      </c>
      <c r="C118" s="86" t="s">
        <v>648</v>
      </c>
      <c r="D118" s="86" t="s">
        <v>651</v>
      </c>
      <c r="E118" s="86" t="s">
        <v>653</v>
      </c>
      <c r="F118" s="86" t="s">
        <v>654</v>
      </c>
      <c r="G118" s="86" t="s">
        <v>655</v>
      </c>
      <c r="H118" s="86" t="s">
        <v>657</v>
      </c>
    </row>
    <row r="119">
      <c r="A119" s="79" t="s">
        <v>1010</v>
      </c>
      <c r="B119" s="79" t="s">
        <v>667</v>
      </c>
      <c r="C119" s="79" t="s">
        <v>1012</v>
      </c>
      <c r="D119" s="79" t="s">
        <v>1013</v>
      </c>
      <c r="E119" s="79" t="s">
        <v>667</v>
      </c>
      <c r="F119" s="79" t="s">
        <v>667</v>
      </c>
      <c r="G119" s="79" t="s">
        <v>1015</v>
      </c>
      <c r="H119" s="79" t="s">
        <v>671</v>
      </c>
    </row>
    <row r="120">
      <c r="A120" s="19" t="s">
        <v>1016</v>
      </c>
      <c r="C120" s="19" t="s">
        <v>1017</v>
      </c>
      <c r="D120" s="19" t="s">
        <v>1018</v>
      </c>
      <c r="G120" s="19" t="s">
        <v>358</v>
      </c>
      <c r="H120" s="19" t="s">
        <v>1019</v>
      </c>
    </row>
    <row r="121">
      <c r="A121" s="19" t="s">
        <v>572</v>
      </c>
      <c r="C121" s="19" t="s">
        <v>698</v>
      </c>
      <c r="D121" s="19" t="s">
        <v>693</v>
      </c>
      <c r="G121" s="19" t="s">
        <v>573</v>
      </c>
      <c r="H121" s="19" t="s">
        <v>573</v>
      </c>
    </row>
    <row r="122">
      <c r="C122" s="19" t="s">
        <v>1021</v>
      </c>
      <c r="D122" s="19" t="s">
        <v>1022</v>
      </c>
      <c r="G122" s="19" t="s">
        <v>695</v>
      </c>
      <c r="H122" s="19" t="s">
        <v>685</v>
      </c>
    </row>
    <row r="123">
      <c r="C123" s="19" t="s">
        <v>624</v>
      </c>
      <c r="D123" s="19" t="s">
        <v>624</v>
      </c>
      <c r="H123" s="19" t="s">
        <v>1023</v>
      </c>
    </row>
    <row r="124">
      <c r="C124" s="19" t="s">
        <v>1024</v>
      </c>
      <c r="D124" s="19" t="s">
        <v>1025</v>
      </c>
    </row>
    <row r="125">
      <c r="C125" s="19" t="s">
        <v>572</v>
      </c>
      <c r="D125" s="19" t="s">
        <v>599</v>
      </c>
    </row>
    <row r="126">
      <c r="C126" s="19" t="s">
        <v>652</v>
      </c>
      <c r="D126" s="19" t="s">
        <v>623</v>
      </c>
    </row>
    <row r="127">
      <c r="D127" s="19" t="s">
        <v>624</v>
      </c>
    </row>
    <row r="135">
      <c r="A135" s="94" t="s">
        <v>1028</v>
      </c>
    </row>
    <row r="136">
      <c r="A136" s="94">
        <f>A139</f>
        <v>93455</v>
      </c>
    </row>
    <row r="137">
      <c r="A137" s="94">
        <v>2026.0</v>
      </c>
    </row>
    <row r="138">
      <c r="A138" s="94" t="s">
        <v>1029</v>
      </c>
    </row>
    <row r="139">
      <c r="A139" s="94">
        <f>A142+B142+C142+D142+E142+F142+G142+H142</f>
        <v>93455</v>
      </c>
    </row>
    <row r="140">
      <c r="A140" s="86" t="s">
        <v>731</v>
      </c>
      <c r="B140" s="86" t="s">
        <v>733</v>
      </c>
      <c r="C140" s="86" t="s">
        <v>735</v>
      </c>
      <c r="D140" s="86" t="s">
        <v>736</v>
      </c>
      <c r="E140" s="86" t="s">
        <v>737</v>
      </c>
      <c r="F140" s="86" t="s">
        <v>738</v>
      </c>
      <c r="G140" s="86" t="s">
        <v>740</v>
      </c>
      <c r="H140" s="86" t="s">
        <v>741</v>
      </c>
    </row>
    <row r="141">
      <c r="A141" s="14" t="s">
        <v>667</v>
      </c>
      <c r="B141" s="14" t="s">
        <v>667</v>
      </c>
      <c r="C141" s="14" t="s">
        <v>1034</v>
      </c>
      <c r="D141" s="14" t="s">
        <v>667</v>
      </c>
      <c r="E141" s="14" t="s">
        <v>667</v>
      </c>
      <c r="F141" s="14" t="s">
        <v>667</v>
      </c>
      <c r="G141" s="14" t="s">
        <v>667</v>
      </c>
      <c r="H141" s="14" t="s">
        <v>667</v>
      </c>
    </row>
    <row r="142">
      <c r="A142" s="86">
        <v>7500.0</v>
      </c>
      <c r="B142" s="86">
        <v>18000.0</v>
      </c>
      <c r="C142" s="86">
        <v>26305.0</v>
      </c>
      <c r="D142" s="86">
        <v>0.0</v>
      </c>
      <c r="E142" s="86">
        <v>20400.0</v>
      </c>
      <c r="F142" s="86">
        <v>0.0</v>
      </c>
      <c r="G142" s="86">
        <v>21250.0</v>
      </c>
      <c r="H142" s="86">
        <v>0.0</v>
      </c>
    </row>
    <row r="143">
      <c r="A143" s="19" t="s">
        <v>258</v>
      </c>
      <c r="B143" s="19" t="s">
        <v>1039</v>
      </c>
      <c r="C143" s="19" t="s">
        <v>1041</v>
      </c>
      <c r="E143" s="19" t="s">
        <v>362</v>
      </c>
      <c r="G143" s="19" t="s">
        <v>1042</v>
      </c>
    </row>
    <row r="144">
      <c r="A144" s="19" t="s">
        <v>989</v>
      </c>
      <c r="B144" s="19" t="s">
        <v>1045</v>
      </c>
      <c r="C144" s="19" t="s">
        <v>756</v>
      </c>
      <c r="D144" s="14"/>
      <c r="E144" s="19" t="s">
        <v>572</v>
      </c>
      <c r="G144" s="19" t="s">
        <v>1048</v>
      </c>
    </row>
    <row r="145">
      <c r="A145" s="19" t="s">
        <v>759</v>
      </c>
      <c r="C145" s="19" t="s">
        <v>1051</v>
      </c>
      <c r="E145" s="19" t="s">
        <v>764</v>
      </c>
      <c r="G145" s="19" t="s">
        <v>1052</v>
      </c>
    </row>
    <row r="146">
      <c r="C146" s="19" t="s">
        <v>1054</v>
      </c>
      <c r="G146" s="19" t="s">
        <v>762</v>
      </c>
    </row>
    <row r="147">
      <c r="G147" s="19" t="s">
        <v>1055</v>
      </c>
    </row>
    <row r="148">
      <c r="G148" s="19" t="s">
        <v>1057</v>
      </c>
    </row>
    <row r="149">
      <c r="G149" s="19" t="s">
        <v>760</v>
      </c>
    </row>
    <row r="151">
      <c r="A151" s="96" t="s">
        <v>1060</v>
      </c>
    </row>
    <row r="152">
      <c r="A152" s="96">
        <f>A155</f>
        <v>89900</v>
      </c>
    </row>
    <row r="153">
      <c r="A153" s="96">
        <v>2026.0</v>
      </c>
    </row>
    <row r="154">
      <c r="A154" s="96" t="s">
        <v>724</v>
      </c>
    </row>
    <row r="155">
      <c r="A155" s="116">
        <f>A158+B158+C158+D158+E158+F158+G158+H158+I158+J158</f>
        <v>89900</v>
      </c>
    </row>
    <row r="156">
      <c r="A156" s="109" t="s">
        <v>812</v>
      </c>
      <c r="B156" s="109" t="s">
        <v>815</v>
      </c>
      <c r="C156" s="109" t="s">
        <v>817</v>
      </c>
      <c r="D156" s="109" t="s">
        <v>819</v>
      </c>
      <c r="E156" s="109" t="s">
        <v>821</v>
      </c>
      <c r="F156" s="109" t="s">
        <v>822</v>
      </c>
      <c r="G156" s="109" t="s">
        <v>823</v>
      </c>
      <c r="H156" s="109" t="s">
        <v>825</v>
      </c>
      <c r="I156" s="99" t="s">
        <v>827</v>
      </c>
      <c r="J156" s="99" t="s">
        <v>829</v>
      </c>
    </row>
    <row r="157">
      <c r="A157" s="14" t="s">
        <v>667</v>
      </c>
      <c r="B157" s="14" t="s">
        <v>667</v>
      </c>
      <c r="C157" s="14" t="s">
        <v>667</v>
      </c>
      <c r="D157" s="14" t="s">
        <v>667</v>
      </c>
      <c r="E157" s="14" t="s">
        <v>667</v>
      </c>
      <c r="F157" s="14" t="s">
        <v>667</v>
      </c>
      <c r="G157" s="14" t="s">
        <v>667</v>
      </c>
      <c r="H157" s="14" t="s">
        <v>667</v>
      </c>
      <c r="I157" s="14" t="s">
        <v>667</v>
      </c>
      <c r="J157" s="14" t="s">
        <v>667</v>
      </c>
    </row>
    <row r="158">
      <c r="A158" s="86">
        <v>10000.0</v>
      </c>
      <c r="B158" s="86">
        <v>0.0</v>
      </c>
      <c r="C158" s="86">
        <v>0.0</v>
      </c>
      <c r="D158" s="86">
        <v>29000.0</v>
      </c>
      <c r="E158" s="86">
        <v>0.0</v>
      </c>
      <c r="F158" s="86">
        <v>2000.0</v>
      </c>
      <c r="G158" s="86">
        <v>18000.0</v>
      </c>
      <c r="H158" s="86">
        <v>4900.0</v>
      </c>
      <c r="I158" s="86">
        <v>26000.0</v>
      </c>
      <c r="J158" s="86">
        <v>0.0</v>
      </c>
    </row>
    <row r="159">
      <c r="A159" s="19" t="s">
        <v>1070</v>
      </c>
      <c r="D159" s="19" t="s">
        <v>1071</v>
      </c>
      <c r="F159" s="19" t="s">
        <v>1016</v>
      </c>
      <c r="G159" s="19" t="s">
        <v>1072</v>
      </c>
      <c r="H159" s="19" t="s">
        <v>1073</v>
      </c>
      <c r="I159" s="19" t="s">
        <v>1074</v>
      </c>
    </row>
    <row r="160">
      <c r="A160" s="19" t="s">
        <v>711</v>
      </c>
      <c r="D160" s="19" t="s">
        <v>1076</v>
      </c>
      <c r="F160" s="19" t="s">
        <v>624</v>
      </c>
      <c r="G160" s="19" t="s">
        <v>682</v>
      </c>
      <c r="H160" s="19" t="s">
        <v>872</v>
      </c>
      <c r="I160" s="19" t="s">
        <v>1077</v>
      </c>
    </row>
    <row r="161">
      <c r="A161" s="19" t="s">
        <v>851</v>
      </c>
      <c r="D161" s="19" t="s">
        <v>465</v>
      </c>
      <c r="G161" s="19" t="s">
        <v>851</v>
      </c>
      <c r="H161" s="19" t="s">
        <v>1078</v>
      </c>
      <c r="I161" s="19" t="s">
        <v>865</v>
      </c>
    </row>
    <row r="162">
      <c r="A162" s="19" t="s">
        <v>865</v>
      </c>
      <c r="D162" s="19" t="s">
        <v>693</v>
      </c>
      <c r="G162" s="19" t="s">
        <v>493</v>
      </c>
      <c r="H162" s="19" t="s">
        <v>624</v>
      </c>
      <c r="I162" s="19" t="s">
        <v>1079</v>
      </c>
    </row>
    <row r="163">
      <c r="A163" s="19" t="s">
        <v>1081</v>
      </c>
      <c r="G163" s="19" t="s">
        <v>624</v>
      </c>
      <c r="H163" s="19" t="s">
        <v>707</v>
      </c>
      <c r="I163" s="19" t="s">
        <v>624</v>
      </c>
    </row>
    <row r="164">
      <c r="A164" s="19" t="s">
        <v>624</v>
      </c>
      <c r="H164" s="19" t="s">
        <v>624</v>
      </c>
    </row>
    <row r="165">
      <c r="A165" s="103" t="s">
        <v>882</v>
      </c>
    </row>
    <row r="166">
      <c r="A166" s="104" t="s">
        <v>884</v>
      </c>
    </row>
    <row r="167">
      <c r="A167" s="104">
        <f>A170</f>
        <v>271900</v>
      </c>
    </row>
    <row r="168">
      <c r="A168" s="104">
        <v>2026.0</v>
      </c>
    </row>
    <row r="169">
      <c r="A169" s="104" t="s">
        <v>724</v>
      </c>
    </row>
    <row r="170">
      <c r="A170" s="105">
        <f>A173+B173+C173+D173+E173+F173+G173+H173+I173+J173</f>
        <v>271900</v>
      </c>
    </row>
    <row r="171">
      <c r="A171" s="86" t="s">
        <v>887</v>
      </c>
      <c r="B171" s="86" t="s">
        <v>888</v>
      </c>
      <c r="C171" s="86" t="s">
        <v>891</v>
      </c>
      <c r="D171" s="86" t="s">
        <v>892</v>
      </c>
      <c r="E171" s="86" t="s">
        <v>893</v>
      </c>
      <c r="F171" s="86" t="s">
        <v>894</v>
      </c>
      <c r="G171" s="109" t="s">
        <v>895</v>
      </c>
      <c r="H171" s="102" t="s">
        <v>896</v>
      </c>
      <c r="I171" s="102" t="s">
        <v>897</v>
      </c>
      <c r="J171" s="102" t="s">
        <v>899</v>
      </c>
    </row>
    <row r="172">
      <c r="A172" s="14" t="s">
        <v>667</v>
      </c>
      <c r="B172" s="14" t="s">
        <v>667</v>
      </c>
      <c r="C172" s="14" t="s">
        <v>667</v>
      </c>
      <c r="D172" s="14" t="s">
        <v>667</v>
      </c>
      <c r="E172" s="14" t="s">
        <v>667</v>
      </c>
      <c r="F172" s="14" t="s">
        <v>667</v>
      </c>
      <c r="G172" s="14" t="s">
        <v>667</v>
      </c>
      <c r="H172" s="38" t="s">
        <v>667</v>
      </c>
      <c r="I172" s="38" t="s">
        <v>667</v>
      </c>
      <c r="J172" s="38" t="s">
        <v>667</v>
      </c>
    </row>
    <row r="173">
      <c r="A173" s="86">
        <v>26500.0</v>
      </c>
      <c r="B173" s="86">
        <v>15500.0</v>
      </c>
      <c r="C173" s="86">
        <v>28500.0</v>
      </c>
      <c r="D173" s="86"/>
      <c r="E173" s="86">
        <v>29000.0</v>
      </c>
      <c r="F173" s="86"/>
      <c r="G173" s="86"/>
      <c r="H173" s="86">
        <f>41000+116400</f>
        <v>157400</v>
      </c>
      <c r="I173" s="86">
        <v>1000.0</v>
      </c>
      <c r="J173" s="86">
        <v>14000.0</v>
      </c>
    </row>
    <row r="174">
      <c r="A174" s="19" t="s">
        <v>915</v>
      </c>
      <c r="B174" s="19" t="s">
        <v>1103</v>
      </c>
      <c r="C174" s="19" t="s">
        <v>1039</v>
      </c>
      <c r="E174" s="19" t="s">
        <v>335</v>
      </c>
      <c r="H174" s="19" t="s">
        <v>1105</v>
      </c>
      <c r="I174" s="19" t="s">
        <v>1106</v>
      </c>
      <c r="J174" s="19" t="s">
        <v>1042</v>
      </c>
    </row>
    <row r="175">
      <c r="A175" s="19" t="s">
        <v>878</v>
      </c>
      <c r="B175" s="19" t="s">
        <v>878</v>
      </c>
      <c r="C175" s="19" t="s">
        <v>1107</v>
      </c>
      <c r="E175" s="19" t="s">
        <v>1108</v>
      </c>
      <c r="H175" s="19" t="s">
        <v>573</v>
      </c>
      <c r="I175" s="19" t="s">
        <v>573</v>
      </c>
      <c r="J175" s="19" t="s">
        <v>682</v>
      </c>
    </row>
    <row r="176">
      <c r="A176" s="19" t="s">
        <v>909</v>
      </c>
      <c r="B176" s="19" t="s">
        <v>909</v>
      </c>
      <c r="C176" s="19" t="s">
        <v>1112</v>
      </c>
      <c r="E176" s="19" t="s">
        <v>1114</v>
      </c>
      <c r="H176" s="19" t="s">
        <v>1116</v>
      </c>
    </row>
    <row r="177">
      <c r="A177" s="19" t="s">
        <v>924</v>
      </c>
      <c r="B177" s="19" t="s">
        <v>924</v>
      </c>
      <c r="C177" s="19" t="s">
        <v>283</v>
      </c>
      <c r="E177" s="19" t="s">
        <v>1119</v>
      </c>
      <c r="H177" s="19" t="s">
        <v>1022</v>
      </c>
    </row>
    <row r="178">
      <c r="A178" s="19" t="s">
        <v>1121</v>
      </c>
      <c r="C178" s="19" t="s">
        <v>1009</v>
      </c>
      <c r="E178" s="19" t="s">
        <v>1122</v>
      </c>
      <c r="H178" s="19" t="s">
        <v>1123</v>
      </c>
    </row>
    <row r="179">
      <c r="E179" s="19" t="s">
        <v>947</v>
      </c>
      <c r="H179" s="19" t="s">
        <v>909</v>
      </c>
    </row>
    <row r="180">
      <c r="H180" s="19" t="s">
        <v>1126</v>
      </c>
    </row>
    <row r="181">
      <c r="H181" s="19" t="s">
        <v>1116</v>
      </c>
    </row>
    <row r="182">
      <c r="H182" s="19" t="s">
        <v>1128</v>
      </c>
    </row>
    <row r="183">
      <c r="H183" s="19" t="s">
        <v>573</v>
      </c>
    </row>
    <row r="184">
      <c r="H184" s="19" t="s">
        <v>909</v>
      </c>
    </row>
    <row r="185">
      <c r="H185" s="19" t="s">
        <v>1126</v>
      </c>
    </row>
    <row r="186">
      <c r="H186" s="19" t="s">
        <v>1116</v>
      </c>
    </row>
    <row r="192">
      <c r="A192" s="110" t="s">
        <v>943</v>
      </c>
    </row>
    <row r="193">
      <c r="A193" s="110">
        <f>A196</f>
        <v>48150</v>
      </c>
    </row>
    <row r="194">
      <c r="A194" s="110">
        <v>2026.0</v>
      </c>
    </row>
    <row r="195">
      <c r="A195" s="110" t="s">
        <v>724</v>
      </c>
    </row>
    <row r="196">
      <c r="A196" s="110">
        <f>A199+B199+C199+D199+E199+F199+G199+H199</f>
        <v>48150</v>
      </c>
    </row>
    <row r="197">
      <c r="A197" s="86" t="s">
        <v>953</v>
      </c>
      <c r="B197" s="86" t="s">
        <v>833</v>
      </c>
      <c r="C197" s="86" t="s">
        <v>834</v>
      </c>
      <c r="D197" s="86" t="s">
        <v>836</v>
      </c>
      <c r="E197" s="86" t="s">
        <v>956</v>
      </c>
      <c r="F197" s="86" t="s">
        <v>958</v>
      </c>
      <c r="G197" s="86" t="s">
        <v>844</v>
      </c>
      <c r="H197" s="86" t="s">
        <v>838</v>
      </c>
    </row>
    <row r="198">
      <c r="A198" s="14" t="s">
        <v>667</v>
      </c>
      <c r="B198" s="14" t="s">
        <v>667</v>
      </c>
      <c r="C198" s="14" t="s">
        <v>667</v>
      </c>
      <c r="D198" s="14" t="s">
        <v>667</v>
      </c>
      <c r="E198" s="14" t="s">
        <v>667</v>
      </c>
      <c r="F198" s="14" t="s">
        <v>667</v>
      </c>
      <c r="G198" s="14" t="s">
        <v>667</v>
      </c>
      <c r="H198" s="14" t="s">
        <v>667</v>
      </c>
    </row>
    <row r="199">
      <c r="A199" s="86">
        <v>0.0</v>
      </c>
      <c r="B199" s="86">
        <v>1000.0</v>
      </c>
      <c r="C199" s="86">
        <v>0.0</v>
      </c>
      <c r="D199" s="86">
        <f>2750+44400</f>
        <v>47150</v>
      </c>
      <c r="E199" s="86">
        <v>0.0</v>
      </c>
      <c r="F199" s="86">
        <v>0.0</v>
      </c>
      <c r="G199" s="86">
        <v>0.0</v>
      </c>
      <c r="H199" s="86">
        <v>0.0</v>
      </c>
    </row>
    <row r="200">
      <c r="B200" s="19" t="s">
        <v>1019</v>
      </c>
      <c r="D200" s="19" t="s">
        <v>1145</v>
      </c>
    </row>
    <row r="201">
      <c r="B201" s="19" t="s">
        <v>573</v>
      </c>
      <c r="D201" s="19" t="s">
        <v>573</v>
      </c>
    </row>
    <row r="202">
      <c r="D202" s="19" t="s">
        <v>1148</v>
      </c>
    </row>
    <row r="203">
      <c r="D203" s="19" t="s">
        <v>1150</v>
      </c>
    </row>
    <row r="205">
      <c r="A205" s="113" t="s">
        <v>963</v>
      </c>
    </row>
    <row r="206">
      <c r="A206" s="113">
        <f>A209</f>
        <v>392000</v>
      </c>
    </row>
    <row r="207">
      <c r="A207" s="113">
        <v>2026.0</v>
      </c>
    </row>
    <row r="208">
      <c r="A208" s="113" t="s">
        <v>724</v>
      </c>
    </row>
    <row r="209">
      <c r="A209" s="114">
        <f>A212+B212+C212+D212+E212+F212+G212+H212+I212+J212</f>
        <v>392000</v>
      </c>
    </row>
    <row r="210">
      <c r="A210" s="86" t="s">
        <v>965</v>
      </c>
      <c r="B210" s="86" t="s">
        <v>966</v>
      </c>
      <c r="C210" s="86" t="s">
        <v>968</v>
      </c>
      <c r="D210" s="86" t="s">
        <v>969</v>
      </c>
      <c r="E210" s="86" t="s">
        <v>970</v>
      </c>
      <c r="F210" s="86" t="s">
        <v>971</v>
      </c>
      <c r="G210" s="86" t="s">
        <v>972</v>
      </c>
      <c r="H210" s="86" t="s">
        <v>973</v>
      </c>
      <c r="I210" s="86" t="s">
        <v>974</v>
      </c>
      <c r="J210" s="86" t="s">
        <v>975</v>
      </c>
    </row>
    <row r="211">
      <c r="A211" s="14" t="s">
        <v>667</v>
      </c>
      <c r="B211" s="14" t="s">
        <v>667</v>
      </c>
      <c r="C211" s="14" t="s">
        <v>667</v>
      </c>
      <c r="D211" s="14" t="s">
        <v>667</v>
      </c>
      <c r="E211" s="14" t="s">
        <v>667</v>
      </c>
      <c r="F211" s="14" t="s">
        <v>667</v>
      </c>
      <c r="G211" s="14" t="s">
        <v>667</v>
      </c>
      <c r="H211" s="38" t="s">
        <v>667</v>
      </c>
      <c r="I211" s="38" t="s">
        <v>667</v>
      </c>
      <c r="J211" s="38" t="s">
        <v>667</v>
      </c>
    </row>
    <row r="212">
      <c r="A212" s="86">
        <v>0.0</v>
      </c>
      <c r="B212" s="86">
        <v>6000.0</v>
      </c>
      <c r="C212" s="86">
        <v>194000.0</v>
      </c>
      <c r="D212" s="86">
        <v>0.0</v>
      </c>
      <c r="E212" s="86">
        <v>30000.0</v>
      </c>
      <c r="F212" s="86">
        <v>65000.0</v>
      </c>
      <c r="G212" s="86">
        <v>0.0</v>
      </c>
      <c r="H212" s="86">
        <v>97000.0</v>
      </c>
      <c r="I212" s="86">
        <v>0.0</v>
      </c>
      <c r="J212" s="86">
        <v>0.0</v>
      </c>
    </row>
    <row r="213">
      <c r="B213" s="19" t="s">
        <v>1169</v>
      </c>
      <c r="C213" s="19" t="s">
        <v>335</v>
      </c>
      <c r="E213" s="19" t="s">
        <v>1070</v>
      </c>
      <c r="F213" s="19" t="s">
        <v>1106</v>
      </c>
      <c r="H213" s="19" t="s">
        <v>915</v>
      </c>
    </row>
    <row r="214">
      <c r="B214" s="19" t="s">
        <v>624</v>
      </c>
      <c r="C214" s="19" t="s">
        <v>983</v>
      </c>
      <c r="E214" s="19" t="s">
        <v>929</v>
      </c>
      <c r="F214" s="19" t="s">
        <v>711</v>
      </c>
      <c r="H214" s="19" t="s">
        <v>1173</v>
      </c>
    </row>
    <row r="215">
      <c r="B215" s="19" t="s">
        <v>1175</v>
      </c>
      <c r="C215" s="19" t="s">
        <v>1176</v>
      </c>
      <c r="F215" s="19" t="s">
        <v>1177</v>
      </c>
      <c r="H215" s="19" t="s">
        <v>941</v>
      </c>
    </row>
    <row r="216">
      <c r="B216" s="19" t="s">
        <v>624</v>
      </c>
      <c r="C216" s="19" t="s">
        <v>624</v>
      </c>
      <c r="F216" s="19" t="s">
        <v>1107</v>
      </c>
      <c r="H216" s="19" t="s">
        <v>1183</v>
      </c>
    </row>
    <row r="217">
      <c r="B217" s="19" t="s">
        <v>1185</v>
      </c>
      <c r="C217" s="19" t="s">
        <v>1187</v>
      </c>
      <c r="F217" s="19" t="s">
        <v>1190</v>
      </c>
      <c r="H217" s="19" t="s">
        <v>1191</v>
      </c>
    </row>
    <row r="218">
      <c r="B218" s="19" t="s">
        <v>624</v>
      </c>
      <c r="C218" s="19" t="s">
        <v>1194</v>
      </c>
      <c r="F218" s="19" t="s">
        <v>1048</v>
      </c>
      <c r="H218" s="19" t="s">
        <v>1196</v>
      </c>
    </row>
    <row r="219">
      <c r="C219" s="19" t="s">
        <v>351</v>
      </c>
      <c r="F219" s="19" t="s">
        <v>1201</v>
      </c>
    </row>
    <row r="220">
      <c r="C220" s="19" t="s">
        <v>624</v>
      </c>
      <c r="F220" s="19" t="s">
        <v>624</v>
      </c>
    </row>
    <row r="221">
      <c r="F221" s="19" t="s">
        <v>704</v>
      </c>
    </row>
    <row r="222">
      <c r="F222" s="19" t="s">
        <v>1108</v>
      </c>
    </row>
    <row r="223">
      <c r="F223" s="19" t="s">
        <v>1212</v>
      </c>
    </row>
    <row r="224">
      <c r="F224" s="19" t="s">
        <v>1214</v>
      </c>
    </row>
  </sheetData>
  <mergeCells count="83">
    <mergeCell ref="A97:E97"/>
    <mergeCell ref="A98:E98"/>
    <mergeCell ref="A99:F99"/>
    <mergeCell ref="A100:F100"/>
    <mergeCell ref="A101:F101"/>
    <mergeCell ref="A102:F102"/>
    <mergeCell ref="A113:H113"/>
    <mergeCell ref="A114:H114"/>
    <mergeCell ref="A115:H115"/>
    <mergeCell ref="A116:H116"/>
    <mergeCell ref="A117:H117"/>
    <mergeCell ref="A135:H135"/>
    <mergeCell ref="A136:H136"/>
    <mergeCell ref="A137:H137"/>
    <mergeCell ref="A138:H138"/>
    <mergeCell ref="A139:H139"/>
    <mergeCell ref="A151:J151"/>
    <mergeCell ref="A152:J152"/>
    <mergeCell ref="A153:J153"/>
    <mergeCell ref="A154:J154"/>
    <mergeCell ref="A155:J155"/>
    <mergeCell ref="A165:J165"/>
    <mergeCell ref="A166:J166"/>
    <mergeCell ref="A167:J167"/>
    <mergeCell ref="A168:J168"/>
    <mergeCell ref="A169:J169"/>
    <mergeCell ref="A170:J170"/>
    <mergeCell ref="A192:H192"/>
    <mergeCell ref="A208:J208"/>
    <mergeCell ref="A209:J209"/>
    <mergeCell ref="A193:H193"/>
    <mergeCell ref="A194:H194"/>
    <mergeCell ref="A195:H195"/>
    <mergeCell ref="A196:H196"/>
    <mergeCell ref="A205:J205"/>
    <mergeCell ref="A206:J206"/>
    <mergeCell ref="A207:J207"/>
    <mergeCell ref="A1:U1"/>
    <mergeCell ref="A2:U2"/>
    <mergeCell ref="A3:U3"/>
    <mergeCell ref="A4:U4"/>
    <mergeCell ref="A5:U5"/>
    <mergeCell ref="G6:H6"/>
    <mergeCell ref="I6:K6"/>
    <mergeCell ref="Q6:U6"/>
    <mergeCell ref="L6:M6"/>
    <mergeCell ref="N6:P6"/>
    <mergeCell ref="G7:H7"/>
    <mergeCell ref="I7:K7"/>
    <mergeCell ref="L7:M7"/>
    <mergeCell ref="N7:P7"/>
    <mergeCell ref="Q7:U7"/>
    <mergeCell ref="N8:P8"/>
    <mergeCell ref="N9:P9"/>
    <mergeCell ref="Q9:Q15"/>
    <mergeCell ref="R12:U12"/>
    <mergeCell ref="R15:S15"/>
    <mergeCell ref="R17:U17"/>
    <mergeCell ref="R20:S20"/>
    <mergeCell ref="R28:U28"/>
    <mergeCell ref="R40:U40"/>
    <mergeCell ref="R42:S42"/>
    <mergeCell ref="Q16:Q20"/>
    <mergeCell ref="Q21:Q35"/>
    <mergeCell ref="R35:S35"/>
    <mergeCell ref="Q36:Q38"/>
    <mergeCell ref="R36:U36"/>
    <mergeCell ref="R38:S38"/>
    <mergeCell ref="Q39:Q42"/>
    <mergeCell ref="Q43:Q45"/>
    <mergeCell ref="R43:U43"/>
    <mergeCell ref="R45:S45"/>
    <mergeCell ref="Q46:Q48"/>
    <mergeCell ref="R46:U46"/>
    <mergeCell ref="R48:S48"/>
    <mergeCell ref="A71:E71"/>
    <mergeCell ref="A72:E72"/>
    <mergeCell ref="A73:E73"/>
    <mergeCell ref="A74:E74"/>
    <mergeCell ref="A75:E75"/>
    <mergeCell ref="A76:E76"/>
    <mergeCell ref="A77:E77"/>
    <mergeCell ref="A96:E9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37.13"/>
    <col customWidth="1" min="3" max="3" width="30.38"/>
    <col customWidth="1" min="4" max="4" width="28.63"/>
    <col customWidth="1" min="5" max="5" width="27.0"/>
    <col customWidth="1" min="6" max="6" width="28.88"/>
    <col customWidth="1" min="7" max="7" width="26.75"/>
    <col customWidth="1" min="8" max="8" width="21.75"/>
    <col customWidth="1" min="9" max="9" width="32.63"/>
    <col customWidth="1" min="10" max="10" width="23.0"/>
    <col customWidth="1" min="13" max="13" width="15.13"/>
    <col customWidth="1" min="14" max="14" width="16.0"/>
  </cols>
  <sheetData>
    <row r="1">
      <c r="A1" s="117" t="s">
        <v>1118</v>
      </c>
    </row>
    <row r="2">
      <c r="A2" s="117" t="s">
        <v>1125</v>
      </c>
    </row>
    <row r="3">
      <c r="A3" s="117" t="s">
        <v>10</v>
      </c>
    </row>
    <row r="4">
      <c r="A4" s="118">
        <f>100000+B6+C6+D6+E6+F6+G6+A53+C17+F12+J6+M6</f>
        <v>2620410</v>
      </c>
    </row>
    <row r="5">
      <c r="A5" s="14" t="s">
        <v>24</v>
      </c>
      <c r="B5" s="14" t="s">
        <v>35</v>
      </c>
      <c r="C5" s="14" t="s">
        <v>1137</v>
      </c>
      <c r="D5" s="14" t="s">
        <v>1139</v>
      </c>
      <c r="E5" s="14" t="s">
        <v>40</v>
      </c>
      <c r="F5" s="14" t="s">
        <v>1141</v>
      </c>
      <c r="G5" s="14" t="s">
        <v>29</v>
      </c>
      <c r="J5" s="14" t="s">
        <v>32</v>
      </c>
      <c r="M5" s="104" t="s">
        <v>33</v>
      </c>
    </row>
    <row r="6">
      <c r="A6" s="19" t="s">
        <v>1143</v>
      </c>
      <c r="B6" s="118">
        <v>-170000.0</v>
      </c>
      <c r="C6" s="118">
        <v>-3000.0</v>
      </c>
      <c r="D6" s="118">
        <v>1000.0</v>
      </c>
      <c r="E6" s="118">
        <v>35000.0</v>
      </c>
      <c r="F6" s="118">
        <v>-10000.0</v>
      </c>
      <c r="G6" s="118">
        <v>-15000.0</v>
      </c>
      <c r="J6" s="120">
        <f>J8</f>
        <v>0</v>
      </c>
      <c r="M6" s="122">
        <f>P15+P18+P22+P25+P28+P32+P35</f>
        <v>103750</v>
      </c>
      <c r="S6" s="18"/>
    </row>
    <row r="7">
      <c r="A7" s="19" t="s">
        <v>1146</v>
      </c>
      <c r="B7" s="61" t="s">
        <v>55</v>
      </c>
      <c r="C7" s="19" t="s">
        <v>1147</v>
      </c>
      <c r="D7" s="19" t="s">
        <v>1149</v>
      </c>
      <c r="E7" s="19" t="s">
        <v>59</v>
      </c>
      <c r="F7" s="19" t="s">
        <v>62</v>
      </c>
      <c r="G7" s="19" t="s">
        <v>59</v>
      </c>
      <c r="H7" s="19" t="s">
        <v>1151</v>
      </c>
      <c r="I7" s="19" t="s">
        <v>61</v>
      </c>
      <c r="J7" s="14" t="s">
        <v>77</v>
      </c>
      <c r="M7" s="123" t="s">
        <v>64</v>
      </c>
      <c r="N7" s="123" t="s">
        <v>65</v>
      </c>
      <c r="O7" s="123" t="s">
        <v>66</v>
      </c>
      <c r="P7" s="123" t="s">
        <v>0</v>
      </c>
      <c r="Q7" s="64" t="s">
        <v>67</v>
      </c>
      <c r="S7" s="124"/>
    </row>
    <row r="8">
      <c r="A8" s="19" t="s">
        <v>1153</v>
      </c>
      <c r="B8" s="9" t="s">
        <v>182</v>
      </c>
      <c r="C8" s="19" t="s">
        <v>1154</v>
      </c>
      <c r="E8" s="19" t="s">
        <v>1155</v>
      </c>
      <c r="G8" s="19" t="s">
        <v>1156</v>
      </c>
      <c r="H8" s="19" t="s">
        <v>1157</v>
      </c>
      <c r="I8" s="19" t="s">
        <v>1158</v>
      </c>
      <c r="J8" s="126">
        <v>0.0</v>
      </c>
      <c r="M8" s="67" t="s">
        <v>1159</v>
      </c>
      <c r="N8" s="68" t="s">
        <v>79</v>
      </c>
      <c r="O8" s="68">
        <v>18.0</v>
      </c>
      <c r="P8" s="68">
        <f>O8*1000</f>
        <v>18000</v>
      </c>
      <c r="Q8" s="69">
        <f>O8*20</f>
        <v>360</v>
      </c>
    </row>
    <row r="9">
      <c r="A9" s="19" t="s">
        <v>1161</v>
      </c>
      <c r="B9" s="9" t="s">
        <v>214</v>
      </c>
      <c r="C9" s="19" t="s">
        <v>1163</v>
      </c>
      <c r="E9" s="19" t="s">
        <v>1164</v>
      </c>
      <c r="G9" s="19" t="s">
        <v>1165</v>
      </c>
      <c r="H9" s="19" t="s">
        <v>1166</v>
      </c>
      <c r="I9" s="19" t="s">
        <v>1167</v>
      </c>
      <c r="N9" s="68" t="s">
        <v>117</v>
      </c>
      <c r="O9" s="68">
        <v>5.0</v>
      </c>
      <c r="P9" s="69">
        <f>O9*2000</f>
        <v>10000</v>
      </c>
      <c r="Q9" s="69">
        <f>O9*40</f>
        <v>200</v>
      </c>
    </row>
    <row r="10">
      <c r="A10" s="19" t="s">
        <v>1170</v>
      </c>
      <c r="B10" s="19" t="s">
        <v>238</v>
      </c>
      <c r="C10" s="19" t="s">
        <v>1171</v>
      </c>
      <c r="E10" s="19" t="s">
        <v>193</v>
      </c>
      <c r="G10" s="19" t="s">
        <v>374</v>
      </c>
      <c r="H10" s="19" t="s">
        <v>1172</v>
      </c>
      <c r="N10" s="68" t="s">
        <v>128</v>
      </c>
      <c r="O10" s="68">
        <v>3.0</v>
      </c>
      <c r="P10" s="69">
        <f>O10*8000</f>
        <v>24000</v>
      </c>
      <c r="Q10" s="69">
        <f>O10*80</f>
        <v>240</v>
      </c>
    </row>
    <row r="11">
      <c r="A11" s="19" t="s">
        <v>1181</v>
      </c>
      <c r="B11" s="61" t="s">
        <v>170</v>
      </c>
      <c r="C11" s="19" t="s">
        <v>1184</v>
      </c>
      <c r="E11" s="19" t="s">
        <v>1189</v>
      </c>
      <c r="F11" s="14" t="s">
        <v>1192</v>
      </c>
      <c r="G11" s="19" t="s">
        <v>1193</v>
      </c>
      <c r="H11" s="19" t="s">
        <v>1195</v>
      </c>
      <c r="N11" s="68" t="s">
        <v>152</v>
      </c>
    </row>
    <row r="12">
      <c r="A12" s="19" t="s">
        <v>1198</v>
      </c>
      <c r="B12" s="9" t="s">
        <v>177</v>
      </c>
      <c r="C12" s="19" t="s">
        <v>1203</v>
      </c>
      <c r="E12" s="19" t="s">
        <v>1205</v>
      </c>
      <c r="F12" s="118">
        <v>-10000.0</v>
      </c>
      <c r="G12" s="19" t="s">
        <v>1208</v>
      </c>
      <c r="H12" s="19" t="s">
        <v>1210</v>
      </c>
      <c r="N12" s="68" t="s">
        <v>162</v>
      </c>
      <c r="O12" s="68">
        <v>1.0</v>
      </c>
      <c r="P12" s="69">
        <f t="shared" ref="P12:P14" si="1">O12*1500</f>
        <v>1500</v>
      </c>
      <c r="Q12" s="69">
        <f t="shared" ref="Q12:Q14" si="2">O12*60</f>
        <v>60</v>
      </c>
    </row>
    <row r="13">
      <c r="A13" s="19" t="s">
        <v>1219</v>
      </c>
      <c r="B13" s="61" t="s">
        <v>196</v>
      </c>
      <c r="E13" s="19" t="s">
        <v>1222</v>
      </c>
      <c r="F13" s="19" t="s">
        <v>1224</v>
      </c>
      <c r="G13" s="19" t="s">
        <v>193</v>
      </c>
      <c r="H13" s="19" t="s">
        <v>1227</v>
      </c>
      <c r="N13" s="68" t="s">
        <v>191</v>
      </c>
      <c r="O13" s="68">
        <v>9.0</v>
      </c>
      <c r="P13" s="69">
        <f t="shared" si="1"/>
        <v>13500</v>
      </c>
      <c r="Q13" s="69">
        <f t="shared" si="2"/>
        <v>540</v>
      </c>
    </row>
    <row r="14">
      <c r="A14" s="19" t="s">
        <v>1230</v>
      </c>
      <c r="B14" s="9" t="s">
        <v>339</v>
      </c>
      <c r="E14" s="19" t="s">
        <v>458</v>
      </c>
      <c r="G14" s="19" t="s">
        <v>435</v>
      </c>
      <c r="N14" s="68" t="s">
        <v>496</v>
      </c>
      <c r="O14" s="68">
        <v>1.0</v>
      </c>
      <c r="P14" s="69">
        <f t="shared" si="1"/>
        <v>1500</v>
      </c>
      <c r="Q14" s="69">
        <f t="shared" si="2"/>
        <v>60</v>
      </c>
    </row>
    <row r="15">
      <c r="A15" s="19" t="s">
        <v>1234</v>
      </c>
      <c r="B15" s="9" t="s">
        <v>356</v>
      </c>
      <c r="E15" s="19" t="s">
        <v>1237</v>
      </c>
      <c r="G15" s="19" t="s">
        <v>303</v>
      </c>
      <c r="N15" s="129" t="s">
        <v>94</v>
      </c>
      <c r="P15" s="130">
        <f t="shared" ref="P15:Q15" si="3">P8+P9+P10+P12+P13+P14</f>
        <v>68500</v>
      </c>
      <c r="Q15" s="130">
        <f t="shared" si="3"/>
        <v>1460</v>
      </c>
    </row>
    <row r="16">
      <c r="A16" s="19" t="s">
        <v>1247</v>
      </c>
      <c r="B16" s="9" t="s">
        <v>376</v>
      </c>
      <c r="C16" s="38" t="s">
        <v>536</v>
      </c>
      <c r="D16" s="14" t="s">
        <v>1251</v>
      </c>
      <c r="E16" s="19" t="s">
        <v>266</v>
      </c>
      <c r="G16" s="19" t="s">
        <v>450</v>
      </c>
      <c r="M16" s="67" t="s">
        <v>1253</v>
      </c>
      <c r="N16" s="68" t="s">
        <v>152</v>
      </c>
    </row>
    <row r="17">
      <c r="A17" s="19" t="s">
        <v>1255</v>
      </c>
      <c r="B17" s="9" t="s">
        <v>1256</v>
      </c>
      <c r="C17" s="131">
        <v>10000.0</v>
      </c>
      <c r="D17" s="19" t="s">
        <v>1258</v>
      </c>
      <c r="E17" s="19" t="s">
        <v>1222</v>
      </c>
      <c r="G17" s="19" t="s">
        <v>522</v>
      </c>
      <c r="N17" s="68" t="s">
        <v>191</v>
      </c>
      <c r="O17" s="68">
        <v>4.5</v>
      </c>
      <c r="P17" s="69">
        <f>O17*1500</f>
        <v>6750</v>
      </c>
      <c r="Q17" s="69">
        <f>O17*60</f>
        <v>270</v>
      </c>
    </row>
    <row r="18">
      <c r="A18" s="19" t="s">
        <v>1269</v>
      </c>
      <c r="B18" s="9" t="s">
        <v>1270</v>
      </c>
      <c r="C18" s="132" t="s">
        <v>1272</v>
      </c>
      <c r="E18" s="19" t="s">
        <v>1273</v>
      </c>
      <c r="G18" s="19" t="s">
        <v>1274</v>
      </c>
      <c r="N18" s="129" t="s">
        <v>94</v>
      </c>
      <c r="P18" s="130">
        <f t="shared" ref="P18:Q18" si="4">P17</f>
        <v>6750</v>
      </c>
      <c r="Q18" s="130">
        <f t="shared" si="4"/>
        <v>270</v>
      </c>
    </row>
    <row r="19">
      <c r="A19" s="19" t="s">
        <v>1276</v>
      </c>
      <c r="B19" s="9" t="s">
        <v>1277</v>
      </c>
      <c r="E19" s="19" t="s">
        <v>193</v>
      </c>
      <c r="G19" s="19" t="s">
        <v>193</v>
      </c>
      <c r="M19" s="67" t="s">
        <v>1278</v>
      </c>
      <c r="N19" s="68" t="s">
        <v>152</v>
      </c>
    </row>
    <row r="20">
      <c r="A20" s="19" t="s">
        <v>1280</v>
      </c>
      <c r="B20" s="9" t="s">
        <v>1281</v>
      </c>
      <c r="E20" s="19" t="s">
        <v>1282</v>
      </c>
      <c r="G20" s="19" t="s">
        <v>126</v>
      </c>
      <c r="N20" s="68" t="s">
        <v>191</v>
      </c>
      <c r="O20" s="68">
        <v>5.0</v>
      </c>
      <c r="P20" s="69">
        <f t="shared" ref="P20:P21" si="5">O20*1500</f>
        <v>7500</v>
      </c>
      <c r="Q20" s="69">
        <f t="shared" ref="Q20:Q21" si="6">O20*60</f>
        <v>300</v>
      </c>
    </row>
    <row r="21">
      <c r="A21" s="19" t="s">
        <v>1283</v>
      </c>
      <c r="B21" s="9" t="s">
        <v>1284</v>
      </c>
      <c r="E21" s="19" t="s">
        <v>1285</v>
      </c>
      <c r="G21" s="19" t="s">
        <v>139</v>
      </c>
      <c r="N21" s="68" t="s">
        <v>496</v>
      </c>
      <c r="O21" s="68">
        <v>2.0</v>
      </c>
      <c r="P21" s="69">
        <f t="shared" si="5"/>
        <v>3000</v>
      </c>
      <c r="Q21" s="69">
        <f t="shared" si="6"/>
        <v>120</v>
      </c>
    </row>
    <row r="22">
      <c r="A22" s="19" t="s">
        <v>1287</v>
      </c>
      <c r="B22" s="9" t="s">
        <v>1288</v>
      </c>
      <c r="E22" s="19" t="s">
        <v>636</v>
      </c>
      <c r="G22" s="19" t="s">
        <v>187</v>
      </c>
      <c r="N22" s="129" t="s">
        <v>94</v>
      </c>
      <c r="P22" s="130">
        <f t="shared" ref="P22:Q22" si="7">P20+P21</f>
        <v>10500</v>
      </c>
      <c r="Q22" s="130">
        <f t="shared" si="7"/>
        <v>420</v>
      </c>
    </row>
    <row r="23">
      <c r="A23" s="19" t="s">
        <v>1289</v>
      </c>
      <c r="B23" s="9" t="s">
        <v>1290</v>
      </c>
      <c r="E23" s="19" t="s">
        <v>1291</v>
      </c>
      <c r="G23" s="19" t="s">
        <v>374</v>
      </c>
      <c r="M23" s="67" t="s">
        <v>1293</v>
      </c>
      <c r="N23" s="68" t="s">
        <v>152</v>
      </c>
    </row>
    <row r="24">
      <c r="A24" s="19" t="s">
        <v>1294</v>
      </c>
      <c r="E24" s="19" t="s">
        <v>266</v>
      </c>
      <c r="G24" s="19" t="s">
        <v>206</v>
      </c>
      <c r="N24" s="68" t="s">
        <v>191</v>
      </c>
      <c r="O24" s="68">
        <v>4.0</v>
      </c>
      <c r="P24" s="69">
        <f>O24*1500</f>
        <v>6000</v>
      </c>
      <c r="Q24" s="69">
        <f>O24*60</f>
        <v>240</v>
      </c>
    </row>
    <row r="25">
      <c r="A25" s="19" t="s">
        <v>1296</v>
      </c>
      <c r="E25" s="19" t="s">
        <v>458</v>
      </c>
      <c r="G25" s="19" t="s">
        <v>1297</v>
      </c>
      <c r="N25" s="129" t="s">
        <v>94</v>
      </c>
      <c r="P25" s="130">
        <f t="shared" ref="P25:Q25" si="8">P24</f>
        <v>6000</v>
      </c>
      <c r="Q25" s="130">
        <f t="shared" si="8"/>
        <v>240</v>
      </c>
    </row>
    <row r="26">
      <c r="E26" s="19" t="s">
        <v>1299</v>
      </c>
      <c r="G26" s="19" t="s">
        <v>139</v>
      </c>
      <c r="M26" s="67" t="s">
        <v>1300</v>
      </c>
      <c r="N26" s="68" t="s">
        <v>152</v>
      </c>
    </row>
    <row r="27">
      <c r="E27" s="19" t="s">
        <v>1302</v>
      </c>
      <c r="G27" s="19" t="s">
        <v>1242</v>
      </c>
      <c r="N27" s="68" t="s">
        <v>191</v>
      </c>
      <c r="O27" s="68">
        <v>3.0</v>
      </c>
      <c r="P27" s="69">
        <f>O27*1500</f>
        <v>4500</v>
      </c>
      <c r="Q27" s="69">
        <f>O27*60</f>
        <v>180</v>
      </c>
    </row>
    <row r="28">
      <c r="E28" s="19" t="s">
        <v>1307</v>
      </c>
      <c r="G28" s="19" t="s">
        <v>1308</v>
      </c>
      <c r="N28" s="129" t="s">
        <v>94</v>
      </c>
      <c r="P28" s="130">
        <f t="shared" ref="P28:Q28" si="9">P27</f>
        <v>4500</v>
      </c>
      <c r="Q28" s="130">
        <f t="shared" si="9"/>
        <v>180</v>
      </c>
    </row>
    <row r="29">
      <c r="E29" s="19" t="s">
        <v>1318</v>
      </c>
      <c r="G29" s="19" t="s">
        <v>374</v>
      </c>
      <c r="M29" s="67" t="s">
        <v>1319</v>
      </c>
      <c r="N29" s="68" t="s">
        <v>152</v>
      </c>
    </row>
    <row r="30">
      <c r="E30" s="19" t="s">
        <v>193</v>
      </c>
      <c r="G30" s="19" t="s">
        <v>1242</v>
      </c>
      <c r="N30" s="68" t="s">
        <v>191</v>
      </c>
      <c r="O30" s="68">
        <v>3.0</v>
      </c>
      <c r="P30" s="69">
        <f t="shared" ref="P30:P31" si="10">O30*1500</f>
        <v>4500</v>
      </c>
      <c r="Q30" s="69">
        <f t="shared" ref="Q30:Q31" si="11">O30*60</f>
        <v>180</v>
      </c>
    </row>
    <row r="31">
      <c r="E31" s="19" t="s">
        <v>593</v>
      </c>
      <c r="N31" s="68" t="s">
        <v>1329</v>
      </c>
      <c r="O31" s="68">
        <v>1.0</v>
      </c>
      <c r="P31" s="69">
        <f t="shared" si="10"/>
        <v>1500</v>
      </c>
      <c r="Q31" s="69">
        <f t="shared" si="11"/>
        <v>60</v>
      </c>
    </row>
    <row r="32">
      <c r="E32" s="19" t="s">
        <v>1330</v>
      </c>
      <c r="N32" s="129" t="s">
        <v>94</v>
      </c>
      <c r="P32" s="130">
        <f t="shared" ref="P32:Q32" si="12">P30+P31</f>
        <v>6000</v>
      </c>
      <c r="Q32" s="130">
        <f t="shared" si="12"/>
        <v>240</v>
      </c>
    </row>
    <row r="33">
      <c r="E33" s="19" t="s">
        <v>266</v>
      </c>
      <c r="M33" s="67" t="s">
        <v>1336</v>
      </c>
      <c r="N33" s="68" t="s">
        <v>152</v>
      </c>
    </row>
    <row r="34">
      <c r="E34" s="19" t="s">
        <v>636</v>
      </c>
      <c r="N34" s="68" t="s">
        <v>1329</v>
      </c>
      <c r="O34" s="68">
        <v>1.0</v>
      </c>
      <c r="P34" s="69">
        <f>O34*1500</f>
        <v>1500</v>
      </c>
      <c r="Q34" s="69">
        <f>O34*60</f>
        <v>60</v>
      </c>
    </row>
    <row r="35">
      <c r="E35" s="19" t="s">
        <v>1198</v>
      </c>
      <c r="N35" s="129" t="s">
        <v>94</v>
      </c>
      <c r="P35" s="130">
        <f t="shared" ref="P35:Q35" si="13">P34</f>
        <v>1500</v>
      </c>
      <c r="Q35" s="130">
        <f t="shared" si="13"/>
        <v>60</v>
      </c>
    </row>
    <row r="36">
      <c r="E36" s="19" t="s">
        <v>193</v>
      </c>
    </row>
    <row r="37">
      <c r="E37" s="19" t="s">
        <v>1342</v>
      </c>
    </row>
    <row r="38">
      <c r="E38" s="19" t="s">
        <v>266</v>
      </c>
    </row>
    <row r="39">
      <c r="E39" s="19" t="s">
        <v>1345</v>
      </c>
    </row>
    <row r="40">
      <c r="E40" s="19" t="s">
        <v>1346</v>
      </c>
    </row>
    <row r="41">
      <c r="E41" s="19" t="s">
        <v>1302</v>
      </c>
    </row>
    <row r="42">
      <c r="E42" s="19" t="s">
        <v>1345</v>
      </c>
    </row>
    <row r="43">
      <c r="E43" s="79" t="s">
        <v>1348</v>
      </c>
    </row>
    <row r="45">
      <c r="E45" s="63" t="s">
        <v>1350</v>
      </c>
    </row>
    <row r="46">
      <c r="E46" s="19" t="s">
        <v>1164</v>
      </c>
    </row>
    <row r="47">
      <c r="E47" s="19" t="s">
        <v>1351</v>
      </c>
    </row>
    <row r="49">
      <c r="E49" s="63" t="s">
        <v>1352</v>
      </c>
    </row>
    <row r="52">
      <c r="A52" s="81" t="s">
        <v>504</v>
      </c>
    </row>
    <row r="53">
      <c r="A53" s="81">
        <f>A55+A73+A89+A105+A121+A141+A172+A204</f>
        <v>2578660</v>
      </c>
    </row>
    <row r="54">
      <c r="A54" s="84" t="s">
        <v>520</v>
      </c>
    </row>
    <row r="55">
      <c r="A55" s="84">
        <v>44550.0</v>
      </c>
    </row>
    <row r="56">
      <c r="A56" s="84">
        <v>2026.0</v>
      </c>
    </row>
    <row r="57">
      <c r="A57" s="86" t="s">
        <v>526</v>
      </c>
      <c r="B57" s="86" t="s">
        <v>528</v>
      </c>
      <c r="C57" s="86" t="s">
        <v>529</v>
      </c>
      <c r="D57" s="86" t="s">
        <v>531</v>
      </c>
      <c r="E57" s="86" t="s">
        <v>533</v>
      </c>
    </row>
    <row r="58">
      <c r="B58" s="63" t="s">
        <v>1357</v>
      </c>
      <c r="C58" s="63" t="s">
        <v>1358</v>
      </c>
      <c r="E58" s="63" t="s">
        <v>1359</v>
      </c>
    </row>
    <row r="59">
      <c r="B59" s="19" t="s">
        <v>1360</v>
      </c>
      <c r="C59" s="19" t="s">
        <v>1159</v>
      </c>
      <c r="E59" s="19" t="s">
        <v>1164</v>
      </c>
    </row>
    <row r="60">
      <c r="B60" s="19" t="s">
        <v>1009</v>
      </c>
      <c r="C60" s="19" t="s">
        <v>1009</v>
      </c>
      <c r="E60" s="19" t="s">
        <v>1009</v>
      </c>
    </row>
    <row r="61">
      <c r="B61" s="19" t="s">
        <v>932</v>
      </c>
      <c r="C61" s="19" t="s">
        <v>998</v>
      </c>
      <c r="E61" s="19" t="s">
        <v>998</v>
      </c>
    </row>
    <row r="62">
      <c r="B62" s="19" t="s">
        <v>1362</v>
      </c>
      <c r="C62" s="19" t="s">
        <v>999</v>
      </c>
      <c r="E62" s="19" t="s">
        <v>1363</v>
      </c>
    </row>
    <row r="63">
      <c r="B63" s="19" t="s">
        <v>1364</v>
      </c>
      <c r="C63" s="19" t="s">
        <v>932</v>
      </c>
      <c r="E63" s="19" t="s">
        <v>954</v>
      </c>
    </row>
    <row r="64">
      <c r="B64" s="19" t="s">
        <v>922</v>
      </c>
      <c r="C64" s="19" t="s">
        <v>1365</v>
      </c>
    </row>
    <row r="65">
      <c r="C65" s="19" t="s">
        <v>1253</v>
      </c>
    </row>
    <row r="66">
      <c r="C66" s="19" t="s">
        <v>590</v>
      </c>
    </row>
    <row r="67">
      <c r="C67" s="19" t="s">
        <v>1366</v>
      </c>
    </row>
    <row r="68">
      <c r="C68" s="19" t="s">
        <v>1367</v>
      </c>
    </row>
    <row r="69">
      <c r="C69" s="19" t="s">
        <v>1368</v>
      </c>
    </row>
    <row r="70">
      <c r="C70" s="19" t="s">
        <v>573</v>
      </c>
    </row>
    <row r="71">
      <c r="A71" s="87"/>
    </row>
    <row r="72">
      <c r="A72" s="88" t="s">
        <v>978</v>
      </c>
    </row>
    <row r="73">
      <c r="A73" s="88">
        <v>29860.0</v>
      </c>
    </row>
    <row r="74">
      <c r="A74" s="89">
        <v>2026.0</v>
      </c>
    </row>
    <row r="75">
      <c r="A75" s="86" t="s">
        <v>550</v>
      </c>
      <c r="B75" s="86" t="s">
        <v>551</v>
      </c>
      <c r="C75" s="86" t="s">
        <v>552</v>
      </c>
      <c r="D75" s="86" t="s">
        <v>554</v>
      </c>
      <c r="E75" s="86" t="s">
        <v>555</v>
      </c>
      <c r="F75" s="86" t="s">
        <v>557</v>
      </c>
    </row>
    <row r="76">
      <c r="B76" s="63" t="s">
        <v>1369</v>
      </c>
      <c r="C76" s="63" t="s">
        <v>1010</v>
      </c>
      <c r="E76" s="63" t="s">
        <v>1370</v>
      </c>
      <c r="F76" s="63" t="s">
        <v>1371</v>
      </c>
    </row>
    <row r="77">
      <c r="B77" s="19" t="s">
        <v>1372</v>
      </c>
      <c r="C77" s="19" t="s">
        <v>1360</v>
      </c>
      <c r="E77" s="19" t="s">
        <v>1159</v>
      </c>
      <c r="F77" s="19" t="s">
        <v>1373</v>
      </c>
    </row>
    <row r="78">
      <c r="B78" s="19" t="s">
        <v>1058</v>
      </c>
      <c r="C78" s="19" t="s">
        <v>572</v>
      </c>
      <c r="E78" s="19" t="s">
        <v>576</v>
      </c>
      <c r="F78" s="19" t="s">
        <v>610</v>
      </c>
    </row>
    <row r="79">
      <c r="B79" s="19" t="s">
        <v>932</v>
      </c>
      <c r="E79" s="19" t="s">
        <v>581</v>
      </c>
      <c r="F79" s="19" t="s">
        <v>595</v>
      </c>
    </row>
    <row r="80">
      <c r="E80" s="19" t="s">
        <v>1374</v>
      </c>
      <c r="F80" s="19" t="s">
        <v>1375</v>
      </c>
    </row>
    <row r="81">
      <c r="E81" s="19" t="s">
        <v>1253</v>
      </c>
      <c r="F81" s="19" t="s">
        <v>1038</v>
      </c>
    </row>
    <row r="82">
      <c r="E82" s="19" t="s">
        <v>1377</v>
      </c>
      <c r="F82" s="19" t="s">
        <v>595</v>
      </c>
    </row>
    <row r="83">
      <c r="E83" s="19" t="s">
        <v>1374</v>
      </c>
    </row>
    <row r="84">
      <c r="E84" s="19" t="s">
        <v>1378</v>
      </c>
    </row>
    <row r="85">
      <c r="E85" s="19" t="s">
        <v>1379</v>
      </c>
    </row>
    <row r="86">
      <c r="E86" s="19" t="s">
        <v>1374</v>
      </c>
    </row>
    <row r="87">
      <c r="A87" s="87"/>
    </row>
    <row r="88">
      <c r="A88" s="2" t="s">
        <v>1298</v>
      </c>
    </row>
    <row r="89">
      <c r="A89" s="2">
        <v>34800.0</v>
      </c>
    </row>
    <row r="90">
      <c r="A90" s="39">
        <v>2026.0</v>
      </c>
    </row>
    <row r="91">
      <c r="A91" s="92" t="s">
        <v>1382</v>
      </c>
    </row>
    <row r="92">
      <c r="A92" s="86" t="s">
        <v>646</v>
      </c>
      <c r="B92" s="86" t="s">
        <v>647</v>
      </c>
      <c r="C92" s="86" t="s">
        <v>648</v>
      </c>
      <c r="D92" s="86" t="s">
        <v>651</v>
      </c>
      <c r="E92" s="86" t="s">
        <v>653</v>
      </c>
      <c r="F92" s="86" t="s">
        <v>654</v>
      </c>
      <c r="G92" s="86" t="s">
        <v>655</v>
      </c>
      <c r="H92" s="86" t="s">
        <v>657</v>
      </c>
    </row>
    <row r="93">
      <c r="A93" s="79" t="s">
        <v>667</v>
      </c>
      <c r="B93" s="79" t="s">
        <v>667</v>
      </c>
      <c r="C93" s="79" t="s">
        <v>1390</v>
      </c>
      <c r="D93" s="79" t="s">
        <v>1010</v>
      </c>
      <c r="E93" s="79" t="s">
        <v>667</v>
      </c>
      <c r="F93" s="79" t="s">
        <v>1392</v>
      </c>
      <c r="G93" s="79" t="s">
        <v>667</v>
      </c>
      <c r="H93" s="79" t="s">
        <v>1393</v>
      </c>
    </row>
    <row r="94">
      <c r="C94" s="19" t="s">
        <v>1159</v>
      </c>
      <c r="D94" s="19" t="s">
        <v>1395</v>
      </c>
      <c r="F94" s="19" t="s">
        <v>1165</v>
      </c>
      <c r="H94" s="19" t="s">
        <v>1396</v>
      </c>
    </row>
    <row r="95">
      <c r="C95" s="19" t="s">
        <v>574</v>
      </c>
      <c r="D95" s="19" t="s">
        <v>572</v>
      </c>
      <c r="F95" s="19" t="s">
        <v>1038</v>
      </c>
      <c r="H95" s="19" t="s">
        <v>574</v>
      </c>
    </row>
    <row r="96">
      <c r="C96" s="19" t="s">
        <v>268</v>
      </c>
      <c r="F96" s="19" t="s">
        <v>1399</v>
      </c>
      <c r="H96" s="19" t="s">
        <v>345</v>
      </c>
    </row>
    <row r="97">
      <c r="C97" s="19" t="s">
        <v>1402</v>
      </c>
      <c r="F97" s="19" t="s">
        <v>392</v>
      </c>
      <c r="H97" s="19" t="s">
        <v>1253</v>
      </c>
    </row>
    <row r="98">
      <c r="C98" s="19" t="s">
        <v>572</v>
      </c>
      <c r="F98" s="19" t="s">
        <v>268</v>
      </c>
      <c r="H98" s="19" t="s">
        <v>682</v>
      </c>
    </row>
    <row r="99">
      <c r="F99" s="19" t="s">
        <v>1405</v>
      </c>
      <c r="H99" s="19" t="s">
        <v>345</v>
      </c>
    </row>
    <row r="100">
      <c r="F100" s="19" t="s">
        <v>1407</v>
      </c>
    </row>
    <row r="101">
      <c r="F101" s="19" t="s">
        <v>652</v>
      </c>
    </row>
    <row r="102">
      <c r="F102" s="19" t="s">
        <v>1410</v>
      </c>
    </row>
    <row r="103">
      <c r="F103" s="19" t="s">
        <v>1068</v>
      </c>
    </row>
    <row r="104">
      <c r="A104" s="94" t="s">
        <v>1028</v>
      </c>
    </row>
    <row r="105">
      <c r="A105" s="94">
        <f>A108</f>
        <v>80700</v>
      </c>
    </row>
    <row r="106">
      <c r="A106" s="94">
        <v>2026.0</v>
      </c>
    </row>
    <row r="107">
      <c r="A107" s="94" t="s">
        <v>1414</v>
      </c>
    </row>
    <row r="108">
      <c r="A108" s="94">
        <f>A111+B111+C111+D111+E111+F111+G111+H111</f>
        <v>80700</v>
      </c>
    </row>
    <row r="109">
      <c r="A109" s="86" t="s">
        <v>731</v>
      </c>
      <c r="B109" s="86" t="s">
        <v>733</v>
      </c>
      <c r="C109" s="86" t="s">
        <v>735</v>
      </c>
      <c r="D109" s="86" t="s">
        <v>736</v>
      </c>
      <c r="E109" s="86" t="s">
        <v>737</v>
      </c>
      <c r="F109" s="86" t="s">
        <v>738</v>
      </c>
      <c r="G109" s="86" t="s">
        <v>740</v>
      </c>
      <c r="H109" s="86" t="s">
        <v>741</v>
      </c>
    </row>
    <row r="110">
      <c r="A110" s="14" t="s">
        <v>744</v>
      </c>
      <c r="B110" s="14" t="s">
        <v>667</v>
      </c>
      <c r="C110" s="14" t="s">
        <v>667</v>
      </c>
      <c r="D110" s="14" t="s">
        <v>667</v>
      </c>
      <c r="E110" s="14" t="s">
        <v>667</v>
      </c>
      <c r="F110" s="14" t="s">
        <v>667</v>
      </c>
      <c r="G110" s="14" t="s">
        <v>667</v>
      </c>
      <c r="H110" s="14" t="s">
        <v>667</v>
      </c>
    </row>
    <row r="111">
      <c r="A111" s="86">
        <v>29000.0</v>
      </c>
      <c r="B111" s="86">
        <v>0.0</v>
      </c>
      <c r="C111" s="86">
        <v>0.0</v>
      </c>
      <c r="D111" s="86">
        <v>0.0</v>
      </c>
      <c r="E111" s="86">
        <v>0.0</v>
      </c>
      <c r="F111" s="86">
        <v>38750.0</v>
      </c>
      <c r="G111" s="86">
        <v>1000.0</v>
      </c>
      <c r="H111" s="86">
        <v>11950.0</v>
      </c>
    </row>
    <row r="112">
      <c r="A112" s="19" t="s">
        <v>1164</v>
      </c>
      <c r="F112" s="19" t="s">
        <v>1159</v>
      </c>
      <c r="G112" s="19" t="s">
        <v>1143</v>
      </c>
      <c r="H112" s="19" t="s">
        <v>1421</v>
      </c>
    </row>
    <row r="113">
      <c r="A113" s="19" t="s">
        <v>756</v>
      </c>
      <c r="F113" s="19" t="s">
        <v>756</v>
      </c>
      <c r="G113" s="19" t="s">
        <v>573</v>
      </c>
      <c r="H113" s="19" t="s">
        <v>624</v>
      </c>
    </row>
    <row r="114">
      <c r="A114" s="19" t="s">
        <v>1422</v>
      </c>
      <c r="F114" s="19" t="s">
        <v>1253</v>
      </c>
      <c r="H114" s="19" t="s">
        <v>766</v>
      </c>
    </row>
    <row r="115">
      <c r="A115" s="19" t="s">
        <v>1362</v>
      </c>
      <c r="F115" s="19" t="s">
        <v>1045</v>
      </c>
    </row>
    <row r="116">
      <c r="A116" s="19" t="s">
        <v>1223</v>
      </c>
      <c r="F116" s="19" t="s">
        <v>760</v>
      </c>
    </row>
    <row r="117">
      <c r="A117" s="19" t="s">
        <v>1410</v>
      </c>
    </row>
    <row r="118">
      <c r="A118" s="19" t="s">
        <v>573</v>
      </c>
    </row>
    <row r="120">
      <c r="A120" s="96" t="s">
        <v>1060</v>
      </c>
    </row>
    <row r="121">
      <c r="A121" s="96">
        <f>A124</f>
        <v>116900</v>
      </c>
    </row>
    <row r="122">
      <c r="A122" s="96">
        <v>2026.0</v>
      </c>
    </row>
    <row r="123">
      <c r="A123" s="96" t="s">
        <v>724</v>
      </c>
    </row>
    <row r="124">
      <c r="A124" s="116">
        <f>A127+B127+C127+D127+E127+F127+G127+H127+I127+J127</f>
        <v>116900</v>
      </c>
    </row>
    <row r="125">
      <c r="A125" s="109" t="s">
        <v>812</v>
      </c>
      <c r="B125" s="109" t="s">
        <v>815</v>
      </c>
      <c r="C125" s="109" t="s">
        <v>817</v>
      </c>
      <c r="D125" s="109" t="s">
        <v>819</v>
      </c>
      <c r="E125" s="109" t="s">
        <v>821</v>
      </c>
      <c r="F125" s="109" t="s">
        <v>822</v>
      </c>
      <c r="G125" s="109" t="s">
        <v>823</v>
      </c>
      <c r="H125" s="109" t="s">
        <v>825</v>
      </c>
      <c r="I125" s="99" t="s">
        <v>827</v>
      </c>
      <c r="J125" s="99" t="s">
        <v>829</v>
      </c>
    </row>
    <row r="126">
      <c r="A126" s="14" t="s">
        <v>667</v>
      </c>
      <c r="B126" s="14" t="s">
        <v>667</v>
      </c>
      <c r="C126" s="14" t="s">
        <v>667</v>
      </c>
      <c r="D126" s="14" t="s">
        <v>667</v>
      </c>
      <c r="E126" s="14" t="s">
        <v>667</v>
      </c>
      <c r="F126" s="14" t="s">
        <v>667</v>
      </c>
      <c r="G126" s="14" t="s">
        <v>667</v>
      </c>
      <c r="H126" s="14" t="s">
        <v>667</v>
      </c>
      <c r="I126" s="14" t="s">
        <v>667</v>
      </c>
      <c r="J126" s="14" t="s">
        <v>667</v>
      </c>
    </row>
    <row r="127">
      <c r="A127" s="86">
        <v>1700.0</v>
      </c>
      <c r="B127" s="86">
        <v>3100.0</v>
      </c>
      <c r="C127" s="86">
        <v>28000.0</v>
      </c>
      <c r="D127" s="86">
        <v>0.0</v>
      </c>
      <c r="E127" s="86">
        <v>0.0</v>
      </c>
      <c r="F127" s="86">
        <v>66500.0</v>
      </c>
      <c r="G127" s="86">
        <v>15400.0</v>
      </c>
      <c r="H127" s="86">
        <v>0.0</v>
      </c>
      <c r="I127" s="86">
        <v>0.0</v>
      </c>
      <c r="J127" s="86">
        <v>2200.0</v>
      </c>
    </row>
    <row r="128">
      <c r="A128" s="19" t="s">
        <v>1432</v>
      </c>
      <c r="B128" s="19" t="s">
        <v>1433</v>
      </c>
      <c r="C128" s="19" t="s">
        <v>1434</v>
      </c>
      <c r="F128" s="19" t="s">
        <v>1164</v>
      </c>
      <c r="G128" s="19" t="s">
        <v>1395</v>
      </c>
      <c r="J128" s="19" t="s">
        <v>1436</v>
      </c>
    </row>
    <row r="129">
      <c r="A129" s="19" t="s">
        <v>572</v>
      </c>
      <c r="B129" s="19" t="s">
        <v>1437</v>
      </c>
      <c r="C129" s="19" t="s">
        <v>1438</v>
      </c>
      <c r="F129" s="19" t="s">
        <v>871</v>
      </c>
      <c r="G129" s="19" t="s">
        <v>684</v>
      </c>
      <c r="J129" s="19" t="s">
        <v>1038</v>
      </c>
    </row>
    <row r="130">
      <c r="A130" s="19" t="s">
        <v>1440</v>
      </c>
      <c r="B130" s="19" t="s">
        <v>855</v>
      </c>
      <c r="C130" s="19" t="s">
        <v>1441</v>
      </c>
      <c r="F130" s="19" t="s">
        <v>1442</v>
      </c>
      <c r="G130" s="19" t="s">
        <v>1375</v>
      </c>
    </row>
    <row r="131">
      <c r="A131" s="19" t="s">
        <v>1364</v>
      </c>
      <c r="C131" s="19" t="s">
        <v>624</v>
      </c>
      <c r="F131" s="19" t="s">
        <v>1123</v>
      </c>
      <c r="G131" s="19" t="s">
        <v>684</v>
      </c>
    </row>
    <row r="132">
      <c r="C132" s="19" t="s">
        <v>1446</v>
      </c>
      <c r="F132" s="19" t="s">
        <v>851</v>
      </c>
      <c r="G132" s="19" t="s">
        <v>1278</v>
      </c>
    </row>
    <row r="133">
      <c r="C133" s="19" t="s">
        <v>624</v>
      </c>
      <c r="F133" s="19" t="s">
        <v>865</v>
      </c>
      <c r="G133" s="19" t="s">
        <v>1320</v>
      </c>
    </row>
    <row r="134">
      <c r="C134" s="19" t="s">
        <v>1451</v>
      </c>
      <c r="F134" s="19" t="s">
        <v>1452</v>
      </c>
    </row>
    <row r="135">
      <c r="C135" s="19" t="s">
        <v>1279</v>
      </c>
      <c r="F135" s="19" t="s">
        <v>1420</v>
      </c>
    </row>
    <row r="136">
      <c r="A136" s="103" t="s">
        <v>882</v>
      </c>
    </row>
    <row r="140">
      <c r="A140" s="104" t="s">
        <v>1456</v>
      </c>
    </row>
    <row r="141">
      <c r="A141" s="104">
        <f>-350000+A145</f>
        <v>1005200</v>
      </c>
    </row>
    <row r="142">
      <c r="A142" s="104">
        <v>2026.0</v>
      </c>
    </row>
    <row r="143">
      <c r="A143" s="140" t="s">
        <v>1459</v>
      </c>
    </row>
    <row r="144">
      <c r="A144" s="104" t="s">
        <v>724</v>
      </c>
    </row>
    <row r="145">
      <c r="A145" s="105">
        <f>A148+B148+C148+D148+E148+F148+G148+H148+I148+J148</f>
        <v>1355200</v>
      </c>
    </row>
    <row r="146">
      <c r="A146" s="86" t="s">
        <v>887</v>
      </c>
      <c r="B146" s="86" t="s">
        <v>888</v>
      </c>
      <c r="C146" s="86" t="s">
        <v>891</v>
      </c>
      <c r="D146" s="86" t="s">
        <v>892</v>
      </c>
      <c r="E146" s="86" t="s">
        <v>893</v>
      </c>
      <c r="F146" s="86" t="s">
        <v>894</v>
      </c>
      <c r="G146" s="109" t="s">
        <v>895</v>
      </c>
      <c r="H146" s="102" t="s">
        <v>896</v>
      </c>
      <c r="I146" s="102" t="s">
        <v>897</v>
      </c>
      <c r="J146" s="102" t="s">
        <v>899</v>
      </c>
    </row>
    <row r="147">
      <c r="A147" s="14" t="s">
        <v>667</v>
      </c>
      <c r="B147" s="14" t="s">
        <v>667</v>
      </c>
      <c r="C147" s="14" t="s">
        <v>667</v>
      </c>
      <c r="D147" s="14" t="s">
        <v>667</v>
      </c>
      <c r="E147" s="14" t="s">
        <v>667</v>
      </c>
      <c r="F147" s="14" t="s">
        <v>667</v>
      </c>
      <c r="G147" s="14" t="s">
        <v>667</v>
      </c>
      <c r="H147" s="38" t="s">
        <v>667</v>
      </c>
      <c r="I147" s="38" t="s">
        <v>667</v>
      </c>
      <c r="J147" s="38" t="s">
        <v>667</v>
      </c>
    </row>
    <row r="148">
      <c r="A148" s="86">
        <v>138000.0</v>
      </c>
      <c r="B148" s="86">
        <v>371000.0</v>
      </c>
      <c r="C148" s="86">
        <v>127000.0</v>
      </c>
      <c r="D148" s="86">
        <f>186000+97800</f>
        <v>283800</v>
      </c>
      <c r="E148" s="86"/>
      <c r="F148" s="86"/>
      <c r="G148" s="86">
        <v>93000.0</v>
      </c>
      <c r="H148" s="86">
        <f>90000+40400</f>
        <v>130400</v>
      </c>
      <c r="I148" s="86">
        <v>94500.0</v>
      </c>
      <c r="J148" s="86">
        <v>117500.0</v>
      </c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</row>
    <row r="149">
      <c r="A149" s="60" t="s">
        <v>1484</v>
      </c>
      <c r="B149" s="60" t="s">
        <v>1165</v>
      </c>
      <c r="C149" s="60" t="s">
        <v>1485</v>
      </c>
      <c r="D149" s="60" t="s">
        <v>1434</v>
      </c>
      <c r="E149" s="71"/>
      <c r="F149" s="71"/>
      <c r="G149" s="60" t="s">
        <v>1486</v>
      </c>
      <c r="H149" s="60" t="s">
        <v>1159</v>
      </c>
      <c r="I149" s="60" t="s">
        <v>1487</v>
      </c>
      <c r="J149" s="60" t="s">
        <v>1436</v>
      </c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</row>
    <row r="150">
      <c r="A150" s="60" t="s">
        <v>1494</v>
      </c>
      <c r="B150" s="60" t="s">
        <v>1494</v>
      </c>
      <c r="C150" s="60" t="s">
        <v>1494</v>
      </c>
      <c r="D150" s="60" t="s">
        <v>1494</v>
      </c>
      <c r="E150" s="71"/>
      <c r="F150" s="71"/>
      <c r="G150" s="60" t="s">
        <v>1494</v>
      </c>
      <c r="H150" s="60" t="s">
        <v>1494</v>
      </c>
      <c r="I150" s="60" t="s">
        <v>1494</v>
      </c>
      <c r="J150" s="60" t="s">
        <v>1494</v>
      </c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</row>
    <row r="151">
      <c r="A151" s="19" t="s">
        <v>1126</v>
      </c>
      <c r="B151" s="19" t="s">
        <v>933</v>
      </c>
      <c r="C151" s="19" t="s">
        <v>1126</v>
      </c>
      <c r="D151" s="19" t="s">
        <v>909</v>
      </c>
      <c r="E151" s="71"/>
      <c r="F151" s="71"/>
      <c r="G151" s="60" t="s">
        <v>934</v>
      </c>
      <c r="H151" s="60" t="s">
        <v>1500</v>
      </c>
      <c r="I151" s="19" t="s">
        <v>909</v>
      </c>
      <c r="J151" s="19" t="s">
        <v>933</v>
      </c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</row>
    <row r="152">
      <c r="A152" s="19" t="s">
        <v>1504</v>
      </c>
      <c r="B152" s="19" t="s">
        <v>924</v>
      </c>
      <c r="C152" s="19" t="s">
        <v>1506</v>
      </c>
      <c r="D152" s="60" t="s">
        <v>924</v>
      </c>
      <c r="E152" s="71"/>
      <c r="F152" s="71"/>
      <c r="G152" s="71"/>
      <c r="H152" s="71"/>
      <c r="I152" s="60" t="s">
        <v>924</v>
      </c>
      <c r="J152" s="60" t="s">
        <v>924</v>
      </c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</row>
    <row r="153">
      <c r="A153" s="60" t="s">
        <v>1402</v>
      </c>
      <c r="B153" s="19" t="s">
        <v>934</v>
      </c>
      <c r="C153" s="60" t="s">
        <v>1417</v>
      </c>
      <c r="D153" s="19" t="s">
        <v>934</v>
      </c>
      <c r="E153" s="71"/>
      <c r="F153" s="71"/>
      <c r="G153" s="71"/>
      <c r="H153" s="71"/>
      <c r="I153" s="71"/>
      <c r="J153" s="60" t="s">
        <v>1511</v>
      </c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</row>
    <row r="154">
      <c r="A154" s="60" t="s">
        <v>1514</v>
      </c>
      <c r="B154" s="19" t="s">
        <v>1515</v>
      </c>
      <c r="C154" s="60" t="s">
        <v>1516</v>
      </c>
      <c r="D154" s="19" t="s">
        <v>1517</v>
      </c>
      <c r="E154" s="71"/>
      <c r="F154" s="71"/>
      <c r="G154" s="71"/>
      <c r="H154" s="71"/>
      <c r="I154" s="71"/>
      <c r="J154" s="60" t="s">
        <v>984</v>
      </c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</row>
    <row r="155">
      <c r="A155" s="19" t="s">
        <v>924</v>
      </c>
      <c r="B155" s="60" t="s">
        <v>1523</v>
      </c>
      <c r="C155" s="60" t="s">
        <v>1524</v>
      </c>
      <c r="D155" s="19" t="s">
        <v>1525</v>
      </c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</row>
    <row r="156">
      <c r="A156" s="60" t="s">
        <v>1121</v>
      </c>
      <c r="B156" s="60" t="s">
        <v>1380</v>
      </c>
      <c r="C156" s="19" t="s">
        <v>1126</v>
      </c>
      <c r="D156" s="60" t="s">
        <v>1223</v>
      </c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</row>
    <row r="157">
      <c r="A157" s="71"/>
      <c r="B157" s="19" t="s">
        <v>1534</v>
      </c>
      <c r="C157" s="71"/>
      <c r="D157" s="19" t="s">
        <v>1428</v>
      </c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</row>
    <row r="158">
      <c r="A158" s="71"/>
      <c r="B158" s="60" t="s">
        <v>1057</v>
      </c>
      <c r="C158" s="71"/>
      <c r="D158" s="19" t="s">
        <v>1446</v>
      </c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</row>
    <row r="159">
      <c r="A159" s="71"/>
      <c r="B159" s="19" t="s">
        <v>1545</v>
      </c>
      <c r="C159" s="71"/>
      <c r="D159" s="60" t="s">
        <v>1173</v>
      </c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</row>
    <row r="160">
      <c r="A160" s="71"/>
      <c r="B160" s="60" t="s">
        <v>1340</v>
      </c>
      <c r="C160" s="71"/>
      <c r="D160" s="19" t="s">
        <v>1547</v>
      </c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</row>
    <row r="161">
      <c r="A161" s="71"/>
      <c r="B161" s="19" t="s">
        <v>924</v>
      </c>
      <c r="C161" s="71"/>
      <c r="D161" s="19" t="s">
        <v>1428</v>
      </c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</row>
    <row r="162">
      <c r="A162" s="71"/>
      <c r="B162" s="19" t="s">
        <v>1554</v>
      </c>
      <c r="C162" s="71"/>
      <c r="D162" s="19" t="s">
        <v>1555</v>
      </c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</row>
    <row r="163">
      <c r="A163" s="71"/>
      <c r="B163" s="60" t="s">
        <v>989</v>
      </c>
      <c r="C163" s="71"/>
      <c r="D163" s="60" t="s">
        <v>1556</v>
      </c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</row>
    <row r="164">
      <c r="A164" s="71"/>
      <c r="B164" s="19" t="s">
        <v>924</v>
      </c>
      <c r="C164" s="71"/>
      <c r="D164" s="19" t="s">
        <v>1428</v>
      </c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</row>
    <row r="165">
      <c r="A165" s="71"/>
      <c r="B165" s="19" t="s">
        <v>1563</v>
      </c>
      <c r="C165" s="71"/>
      <c r="D165" s="60" t="s">
        <v>1564</v>
      </c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</row>
    <row r="166">
      <c r="A166" s="71"/>
      <c r="B166" s="60" t="s">
        <v>684</v>
      </c>
      <c r="C166" s="71"/>
      <c r="D166" s="60" t="s">
        <v>939</v>
      </c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</row>
    <row r="167">
      <c r="A167" s="71"/>
      <c r="B167" s="71"/>
      <c r="C167" s="71"/>
      <c r="D167" s="60" t="s">
        <v>924</v>
      </c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</row>
    <row r="168">
      <c r="A168" s="71"/>
      <c r="B168" s="71"/>
      <c r="C168" s="71"/>
      <c r="D168" s="19" t="s">
        <v>1428</v>
      </c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</row>
    <row r="169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</row>
    <row r="170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</row>
    <row r="171">
      <c r="A171" s="110" t="s">
        <v>943</v>
      </c>
    </row>
    <row r="172">
      <c r="A172" s="110">
        <f>A175</f>
        <v>453650</v>
      </c>
    </row>
    <row r="173">
      <c r="A173" s="110">
        <v>2026.0</v>
      </c>
    </row>
    <row r="174">
      <c r="A174" s="110" t="s">
        <v>724</v>
      </c>
    </row>
    <row r="175">
      <c r="A175" s="110">
        <f>A178+B178+C178+D178+E178+F178+G178+H178</f>
        <v>453650</v>
      </c>
    </row>
    <row r="176">
      <c r="A176" s="86" t="s">
        <v>953</v>
      </c>
      <c r="B176" s="86" t="s">
        <v>833</v>
      </c>
      <c r="C176" s="86" t="s">
        <v>834</v>
      </c>
      <c r="D176" s="86" t="s">
        <v>836</v>
      </c>
      <c r="E176" s="86" t="s">
        <v>956</v>
      </c>
      <c r="F176" s="86" t="s">
        <v>958</v>
      </c>
      <c r="G176" s="86" t="s">
        <v>844</v>
      </c>
      <c r="H176" s="86" t="s">
        <v>838</v>
      </c>
    </row>
    <row r="177">
      <c r="A177" s="14" t="s">
        <v>667</v>
      </c>
      <c r="B177" s="14" t="s">
        <v>667</v>
      </c>
      <c r="C177" s="14" t="s">
        <v>667</v>
      </c>
      <c r="D177" s="14" t="s">
        <v>667</v>
      </c>
      <c r="E177" s="14" t="s">
        <v>667</v>
      </c>
      <c r="F177" s="14" t="s">
        <v>667</v>
      </c>
      <c r="G177" s="14" t="s">
        <v>667</v>
      </c>
      <c r="H177" s="14" t="s">
        <v>667</v>
      </c>
    </row>
    <row r="178">
      <c r="A178" s="86">
        <v>82750.0</v>
      </c>
      <c r="B178" s="86">
        <v>0.0</v>
      </c>
      <c r="C178" s="86">
        <f>116000+74400</f>
        <v>190400</v>
      </c>
      <c r="D178" s="86">
        <v>0.0</v>
      </c>
      <c r="E178" s="86">
        <v>129000.0</v>
      </c>
      <c r="F178" s="86">
        <v>16750.0</v>
      </c>
      <c r="G178" s="86">
        <v>0.0</v>
      </c>
      <c r="H178" s="86">
        <f>12750+22000</f>
        <v>34750</v>
      </c>
    </row>
    <row r="179">
      <c r="A179" s="19" t="s">
        <v>1599</v>
      </c>
      <c r="C179" s="19" t="s">
        <v>1600</v>
      </c>
      <c r="E179" s="19" t="s">
        <v>1434</v>
      </c>
      <c r="F179" s="19" t="s">
        <v>1165</v>
      </c>
      <c r="H179" s="19" t="s">
        <v>1360</v>
      </c>
    </row>
    <row r="180">
      <c r="A180" s="19" t="s">
        <v>1601</v>
      </c>
      <c r="C180" s="19" t="s">
        <v>1602</v>
      </c>
      <c r="E180" s="19" t="s">
        <v>1603</v>
      </c>
      <c r="F180" s="19" t="s">
        <v>1173</v>
      </c>
      <c r="H180" s="19" t="s">
        <v>947</v>
      </c>
    </row>
    <row r="181">
      <c r="A181" s="19" t="s">
        <v>1148</v>
      </c>
      <c r="C181" s="19" t="s">
        <v>1449</v>
      </c>
      <c r="E181" s="19" t="s">
        <v>1488</v>
      </c>
      <c r="F181" s="19" t="s">
        <v>1488</v>
      </c>
      <c r="H181" s="19" t="s">
        <v>1604</v>
      </c>
    </row>
    <row r="182">
      <c r="A182" s="19" t="s">
        <v>1488</v>
      </c>
      <c r="C182" s="19" t="s">
        <v>1488</v>
      </c>
      <c r="E182" s="19" t="s">
        <v>1402</v>
      </c>
      <c r="H182" s="19" t="s">
        <v>1148</v>
      </c>
    </row>
    <row r="183">
      <c r="A183" s="19" t="s">
        <v>1208</v>
      </c>
      <c r="C183" s="19" t="s">
        <v>1474</v>
      </c>
      <c r="E183" s="19" t="s">
        <v>947</v>
      </c>
      <c r="H183" s="19" t="s">
        <v>1450</v>
      </c>
    </row>
    <row r="184">
      <c r="A184" s="19" t="s">
        <v>1426</v>
      </c>
      <c r="C184" s="19" t="s">
        <v>1606</v>
      </c>
      <c r="E184" s="19" t="s">
        <v>1449</v>
      </c>
    </row>
    <row r="185">
      <c r="A185" s="19" t="s">
        <v>1609</v>
      </c>
      <c r="C185" s="19" t="s">
        <v>693</v>
      </c>
      <c r="E185" s="19" t="s">
        <v>1148</v>
      </c>
    </row>
    <row r="186">
      <c r="A186" s="19" t="s">
        <v>573</v>
      </c>
      <c r="C186" s="19" t="s">
        <v>1474</v>
      </c>
      <c r="E186" s="19" t="s">
        <v>1378</v>
      </c>
    </row>
    <row r="187">
      <c r="A187" s="19" t="s">
        <v>1614</v>
      </c>
      <c r="C187" s="19" t="s">
        <v>1615</v>
      </c>
      <c r="E187" s="19" t="s">
        <v>1616</v>
      </c>
    </row>
    <row r="188">
      <c r="A188" s="19" t="s">
        <v>590</v>
      </c>
      <c r="C188" s="19" t="s">
        <v>682</v>
      </c>
      <c r="E188" s="19" t="s">
        <v>1618</v>
      </c>
    </row>
    <row r="189">
      <c r="A189" s="19" t="s">
        <v>1449</v>
      </c>
      <c r="C189" s="19" t="s">
        <v>1474</v>
      </c>
      <c r="E189" s="19" t="s">
        <v>1045</v>
      </c>
    </row>
    <row r="190">
      <c r="A190" s="19" t="s">
        <v>1488</v>
      </c>
      <c r="C190" s="19" t="s">
        <v>1620</v>
      </c>
    </row>
    <row r="191">
      <c r="C191" s="19" t="s">
        <v>573</v>
      </c>
    </row>
    <row r="192">
      <c r="C192" s="19" t="s">
        <v>1474</v>
      </c>
    </row>
    <row r="193">
      <c r="C193" s="19" t="s">
        <v>1622</v>
      </c>
    </row>
    <row r="194">
      <c r="C194" s="19" t="s">
        <v>711</v>
      </c>
    </row>
    <row r="195">
      <c r="C195" s="19" t="s">
        <v>1148</v>
      </c>
    </row>
    <row r="196">
      <c r="C196" s="19" t="s">
        <v>1474</v>
      </c>
    </row>
    <row r="197">
      <c r="C197" s="19" t="s">
        <v>1623</v>
      </c>
    </row>
    <row r="198">
      <c r="C198" s="19" t="s">
        <v>590</v>
      </c>
    </row>
    <row r="199">
      <c r="C199" s="19" t="s">
        <v>1474</v>
      </c>
    </row>
    <row r="203">
      <c r="A203" s="113" t="s">
        <v>963</v>
      </c>
    </row>
    <row r="204">
      <c r="A204" s="113">
        <f>A207</f>
        <v>813000</v>
      </c>
    </row>
    <row r="205">
      <c r="A205" s="113">
        <v>2026.0</v>
      </c>
    </row>
    <row r="206">
      <c r="A206" s="113" t="s">
        <v>724</v>
      </c>
    </row>
    <row r="207">
      <c r="A207" s="114">
        <f>A210+B210+C210+D210+E210+F210+G210+H210+I210+J210</f>
        <v>813000</v>
      </c>
    </row>
    <row r="208">
      <c r="A208" s="86" t="s">
        <v>965</v>
      </c>
      <c r="B208" s="86" t="s">
        <v>966</v>
      </c>
      <c r="C208" s="86" t="s">
        <v>968</v>
      </c>
      <c r="D208" s="86" t="s">
        <v>969</v>
      </c>
      <c r="E208" s="86" t="s">
        <v>970</v>
      </c>
      <c r="F208" s="86" t="s">
        <v>971</v>
      </c>
      <c r="G208" s="86" t="s">
        <v>972</v>
      </c>
      <c r="H208" s="86" t="s">
        <v>973</v>
      </c>
      <c r="I208" s="86" t="s">
        <v>974</v>
      </c>
      <c r="J208" s="86" t="s">
        <v>975</v>
      </c>
    </row>
    <row r="209">
      <c r="A209" s="14" t="s">
        <v>667</v>
      </c>
      <c r="B209" s="14" t="s">
        <v>667</v>
      </c>
      <c r="C209" s="14" t="s">
        <v>667</v>
      </c>
      <c r="D209" s="14" t="s">
        <v>667</v>
      </c>
      <c r="E209" s="14" t="s">
        <v>667</v>
      </c>
      <c r="F209" s="14" t="s">
        <v>667</v>
      </c>
      <c r="G209" s="14" t="s">
        <v>667</v>
      </c>
      <c r="H209" s="38" t="s">
        <v>667</v>
      </c>
      <c r="I209" s="38" t="s">
        <v>667</v>
      </c>
      <c r="J209" s="38" t="s">
        <v>667</v>
      </c>
    </row>
    <row r="210">
      <c r="A210" s="86">
        <v>0.0</v>
      </c>
      <c r="B210" s="86">
        <v>200000.0</v>
      </c>
      <c r="C210" s="86">
        <v>90000.0</v>
      </c>
      <c r="D210" s="86">
        <v>8000.0</v>
      </c>
      <c r="E210" s="86">
        <v>53000.0</v>
      </c>
      <c r="F210" s="86">
        <v>55000.0</v>
      </c>
      <c r="G210" s="86">
        <v>42000.0</v>
      </c>
      <c r="H210" s="86">
        <v>0.0</v>
      </c>
      <c r="I210" s="86">
        <v>210000.0</v>
      </c>
      <c r="J210" s="86">
        <v>155000.0</v>
      </c>
    </row>
    <row r="211">
      <c r="B211" s="19" t="s">
        <v>1626</v>
      </c>
      <c r="C211" s="19" t="s">
        <v>1436</v>
      </c>
      <c r="D211" s="19" t="s">
        <v>1486</v>
      </c>
      <c r="E211" s="19" t="s">
        <v>1627</v>
      </c>
      <c r="F211" s="19" t="s">
        <v>1485</v>
      </c>
      <c r="G211" s="19" t="s">
        <v>1421</v>
      </c>
      <c r="I211" s="19" t="s">
        <v>1628</v>
      </c>
      <c r="J211" s="19" t="s">
        <v>1629</v>
      </c>
    </row>
    <row r="212">
      <c r="B212" s="19" t="s">
        <v>1539</v>
      </c>
      <c r="C212" s="19" t="s">
        <v>1194</v>
      </c>
      <c r="D212" s="19" t="s">
        <v>1048</v>
      </c>
      <c r="E212" s="19" t="s">
        <v>1173</v>
      </c>
      <c r="F212" s="19" t="s">
        <v>1630</v>
      </c>
      <c r="G212" s="19" t="s">
        <v>1631</v>
      </c>
      <c r="I212" s="19" t="s">
        <v>1539</v>
      </c>
      <c r="J212" s="19" t="s">
        <v>1632</v>
      </c>
    </row>
    <row r="213">
      <c r="B213" s="19" t="s">
        <v>1362</v>
      </c>
      <c r="E213" s="19" t="s">
        <v>1523</v>
      </c>
      <c r="I213" s="19" t="s">
        <v>1633</v>
      </c>
    </row>
    <row r="214">
      <c r="B214" s="19" t="s">
        <v>1616</v>
      </c>
      <c r="E214" s="19" t="s">
        <v>1634</v>
      </c>
      <c r="I214" s="19" t="s">
        <v>1630</v>
      </c>
    </row>
    <row r="215">
      <c r="B215" s="19" t="s">
        <v>1278</v>
      </c>
      <c r="I215" s="19" t="s">
        <v>1366</v>
      </c>
    </row>
    <row r="216">
      <c r="B216" s="19" t="s">
        <v>1384</v>
      </c>
      <c r="I216" s="19" t="s">
        <v>1514</v>
      </c>
    </row>
    <row r="217">
      <c r="I217" s="19" t="s">
        <v>1636</v>
      </c>
    </row>
    <row r="218">
      <c r="I218" s="19" t="s">
        <v>1637</v>
      </c>
    </row>
  </sheetData>
  <mergeCells count="74">
    <mergeCell ref="A106:H106"/>
    <mergeCell ref="A107:H107"/>
    <mergeCell ref="A108:H108"/>
    <mergeCell ref="A120:J120"/>
    <mergeCell ref="A121:J121"/>
    <mergeCell ref="A122:J122"/>
    <mergeCell ref="A123:J123"/>
    <mergeCell ref="A124:J124"/>
    <mergeCell ref="A136:J136"/>
    <mergeCell ref="A140:J140"/>
    <mergeCell ref="A141:J141"/>
    <mergeCell ref="A142:J142"/>
    <mergeCell ref="A143:J143"/>
    <mergeCell ref="A144:J144"/>
    <mergeCell ref="A204:J204"/>
    <mergeCell ref="A205:J205"/>
    <mergeCell ref="A206:J206"/>
    <mergeCell ref="A207:J207"/>
    <mergeCell ref="A145:J145"/>
    <mergeCell ref="A171:H171"/>
    <mergeCell ref="A172:H172"/>
    <mergeCell ref="A173:H173"/>
    <mergeCell ref="A174:H174"/>
    <mergeCell ref="A175:H175"/>
    <mergeCell ref="A203:J203"/>
    <mergeCell ref="A1:Q1"/>
    <mergeCell ref="A2:Q2"/>
    <mergeCell ref="A3:Q3"/>
    <mergeCell ref="A4:Q4"/>
    <mergeCell ref="G5:I5"/>
    <mergeCell ref="J5:L5"/>
    <mergeCell ref="M5:Q5"/>
    <mergeCell ref="M8:M15"/>
    <mergeCell ref="M16:M18"/>
    <mergeCell ref="M19:M22"/>
    <mergeCell ref="M23:M25"/>
    <mergeCell ref="M26:M28"/>
    <mergeCell ref="M29:M32"/>
    <mergeCell ref="M33:M35"/>
    <mergeCell ref="G6:I6"/>
    <mergeCell ref="J6:L6"/>
    <mergeCell ref="M6:Q6"/>
    <mergeCell ref="J7:L7"/>
    <mergeCell ref="J8:L8"/>
    <mergeCell ref="N11:Q11"/>
    <mergeCell ref="N16:Q16"/>
    <mergeCell ref="N15:O15"/>
    <mergeCell ref="N18:O18"/>
    <mergeCell ref="N19:Q19"/>
    <mergeCell ref="N22:O22"/>
    <mergeCell ref="N23:Q23"/>
    <mergeCell ref="N25:O25"/>
    <mergeCell ref="N26:Q26"/>
    <mergeCell ref="N28:O28"/>
    <mergeCell ref="N29:Q29"/>
    <mergeCell ref="N32:O32"/>
    <mergeCell ref="N33:Q33"/>
    <mergeCell ref="N35:O35"/>
    <mergeCell ref="A52:E52"/>
    <mergeCell ref="A53:E53"/>
    <mergeCell ref="A54:E54"/>
    <mergeCell ref="A55:E55"/>
    <mergeCell ref="A56:E56"/>
    <mergeCell ref="A71:F71"/>
    <mergeCell ref="A72:F72"/>
    <mergeCell ref="A73:F73"/>
    <mergeCell ref="A74:F74"/>
    <mergeCell ref="A87:H87"/>
    <mergeCell ref="A88:H88"/>
    <mergeCell ref="A89:H89"/>
    <mergeCell ref="A90:H90"/>
    <mergeCell ref="A91:H91"/>
    <mergeCell ref="A104:H104"/>
    <mergeCell ref="A105:H105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24.38"/>
    <col customWidth="1" min="3" max="3" width="22.0"/>
    <col customWidth="1" min="4" max="4" width="32.63"/>
    <col customWidth="1" min="5" max="5" width="31.38"/>
    <col customWidth="1" min="6" max="6" width="24.63"/>
    <col customWidth="1" min="7" max="7" width="29.38"/>
    <col customWidth="1" min="8" max="8" width="25.13"/>
    <col customWidth="1" min="9" max="9" width="28.25"/>
    <col customWidth="1" min="10" max="10" width="20.88"/>
  </cols>
  <sheetData>
    <row r="1">
      <c r="A1" s="119" t="s">
        <v>1138</v>
      </c>
    </row>
    <row r="2">
      <c r="A2" s="119" t="s">
        <v>1144</v>
      </c>
    </row>
    <row r="3">
      <c r="A3" s="121" t="s">
        <v>10</v>
      </c>
    </row>
    <row r="4">
      <c r="A4" s="125">
        <f>100000+B6+C6+D6+F6+I6+A38+J6</f>
        <v>618500</v>
      </c>
    </row>
    <row r="5">
      <c r="A5" s="14" t="s">
        <v>24</v>
      </c>
      <c r="B5" s="14" t="s">
        <v>25</v>
      </c>
      <c r="C5" s="14" t="s">
        <v>1160</v>
      </c>
      <c r="D5" s="14" t="s">
        <v>1137</v>
      </c>
      <c r="E5" s="14" t="s">
        <v>28</v>
      </c>
      <c r="F5" s="14" t="s">
        <v>43</v>
      </c>
      <c r="I5" s="14" t="s">
        <v>30</v>
      </c>
      <c r="J5" s="22" t="s">
        <v>252</v>
      </c>
    </row>
    <row r="6">
      <c r="A6" s="19" t="s">
        <v>1162</v>
      </c>
      <c r="B6" s="125">
        <v>-30000.0</v>
      </c>
      <c r="C6" s="125">
        <v>-30000.0</v>
      </c>
      <c r="D6" s="125">
        <v>21000.0</v>
      </c>
      <c r="E6" s="19" t="s">
        <v>1168</v>
      </c>
      <c r="F6" s="125">
        <v>-23000.0</v>
      </c>
      <c r="I6" s="125">
        <v>-10000.0</v>
      </c>
      <c r="J6" s="127">
        <f>J8</f>
        <v>0</v>
      </c>
    </row>
    <row r="7">
      <c r="A7" s="19" t="s">
        <v>1174</v>
      </c>
      <c r="B7" s="61" t="s">
        <v>55</v>
      </c>
      <c r="C7" s="19" t="s">
        <v>1178</v>
      </c>
      <c r="D7" s="19" t="s">
        <v>1180</v>
      </c>
      <c r="E7" s="19" t="s">
        <v>1182</v>
      </c>
      <c r="F7" s="19" t="s">
        <v>59</v>
      </c>
      <c r="G7" s="19" t="s">
        <v>1188</v>
      </c>
      <c r="H7" s="19" t="s">
        <v>61</v>
      </c>
      <c r="I7" s="19" t="s">
        <v>62</v>
      </c>
      <c r="J7" s="38" t="s">
        <v>77</v>
      </c>
    </row>
    <row r="8">
      <c r="A8" s="19" t="s">
        <v>1199</v>
      </c>
      <c r="B8" s="19" t="s">
        <v>186</v>
      </c>
      <c r="C8" s="19" t="s">
        <v>1204</v>
      </c>
      <c r="D8" s="19" t="s">
        <v>1206</v>
      </c>
      <c r="E8" s="19" t="s">
        <v>1207</v>
      </c>
      <c r="F8" s="19" t="s">
        <v>1209</v>
      </c>
      <c r="G8" s="19" t="s">
        <v>1211</v>
      </c>
      <c r="H8" s="19" t="s">
        <v>1213</v>
      </c>
      <c r="J8" s="128">
        <v>0.0</v>
      </c>
    </row>
    <row r="9">
      <c r="A9" s="19" t="s">
        <v>1217</v>
      </c>
      <c r="B9" s="61" t="s">
        <v>170</v>
      </c>
      <c r="C9" s="19" t="s">
        <v>1218</v>
      </c>
      <c r="D9" s="19" t="s">
        <v>478</v>
      </c>
      <c r="F9" s="19" t="s">
        <v>1221</v>
      </c>
      <c r="G9" s="19" t="s">
        <v>1225</v>
      </c>
    </row>
    <row r="10">
      <c r="A10" s="19" t="s">
        <v>1228</v>
      </c>
      <c r="B10" s="9" t="s">
        <v>177</v>
      </c>
      <c r="F10" s="19" t="s">
        <v>193</v>
      </c>
      <c r="G10" s="19" t="s">
        <v>1229</v>
      </c>
    </row>
    <row r="11">
      <c r="A11" s="19" t="s">
        <v>1231</v>
      </c>
      <c r="B11" s="61" t="s">
        <v>196</v>
      </c>
      <c r="F11" s="19" t="s">
        <v>1233</v>
      </c>
      <c r="G11" s="19" t="s">
        <v>127</v>
      </c>
    </row>
    <row r="12">
      <c r="A12" s="19" t="s">
        <v>1235</v>
      </c>
      <c r="B12" s="9" t="s">
        <v>177</v>
      </c>
      <c r="F12" s="19" t="s">
        <v>374</v>
      </c>
      <c r="G12" s="19" t="s">
        <v>1238</v>
      </c>
    </row>
    <row r="13">
      <c r="A13" s="19" t="s">
        <v>1241</v>
      </c>
      <c r="F13" s="19" t="s">
        <v>1242</v>
      </c>
      <c r="G13" s="19" t="s">
        <v>174</v>
      </c>
    </row>
    <row r="14">
      <c r="A14" s="19" t="s">
        <v>1243</v>
      </c>
      <c r="F14" s="19" t="s">
        <v>1244</v>
      </c>
    </row>
    <row r="15">
      <c r="A15" s="19" t="s">
        <v>1245</v>
      </c>
      <c r="F15" s="19" t="s">
        <v>374</v>
      </c>
    </row>
    <row r="16">
      <c r="A16" s="19" t="s">
        <v>1246</v>
      </c>
      <c r="F16" s="19" t="s">
        <v>187</v>
      </c>
    </row>
    <row r="17">
      <c r="A17" s="19" t="s">
        <v>1248</v>
      </c>
    </row>
    <row r="18">
      <c r="A18" s="19" t="s">
        <v>1249</v>
      </c>
    </row>
    <row r="19">
      <c r="A19" s="19" t="s">
        <v>1250</v>
      </c>
    </row>
    <row r="20">
      <c r="A20" s="19" t="s">
        <v>1252</v>
      </c>
    </row>
    <row r="21">
      <c r="A21" s="19" t="s">
        <v>1254</v>
      </c>
    </row>
    <row r="22">
      <c r="A22" s="19" t="s">
        <v>1257</v>
      </c>
    </row>
    <row r="23">
      <c r="A23" s="19" t="s">
        <v>1259</v>
      </c>
    </row>
    <row r="24">
      <c r="A24" s="19" t="s">
        <v>1261</v>
      </c>
    </row>
    <row r="25">
      <c r="A25" s="19" t="s">
        <v>1263</v>
      </c>
    </row>
    <row r="26">
      <c r="A26" s="19" t="s">
        <v>1265</v>
      </c>
    </row>
    <row r="27">
      <c r="A27" s="19" t="s">
        <v>1267</v>
      </c>
    </row>
    <row r="28">
      <c r="A28" s="19" t="s">
        <v>1271</v>
      </c>
    </row>
    <row r="37">
      <c r="A37" s="81" t="s">
        <v>885</v>
      </c>
    </row>
    <row r="38">
      <c r="A38" s="81">
        <f>A50+A65+A81+A98+A123</f>
        <v>590500</v>
      </c>
    </row>
    <row r="39">
      <c r="A39" s="84" t="s">
        <v>1286</v>
      </c>
    </row>
    <row r="40">
      <c r="A40" s="84">
        <v>2026.0</v>
      </c>
    </row>
    <row r="41">
      <c r="A41" s="86" t="s">
        <v>526</v>
      </c>
      <c r="B41" s="86" t="s">
        <v>528</v>
      </c>
      <c r="C41" s="86" t="s">
        <v>529</v>
      </c>
      <c r="D41" s="86" t="s">
        <v>531</v>
      </c>
      <c r="E41" s="86" t="s">
        <v>533</v>
      </c>
    </row>
    <row r="42">
      <c r="A42" s="14" t="s">
        <v>1292</v>
      </c>
    </row>
    <row r="43">
      <c r="A43" s="87"/>
    </row>
    <row r="44">
      <c r="A44" s="88" t="s">
        <v>1295</v>
      </c>
    </row>
    <row r="45">
      <c r="A45" s="89">
        <v>2026.0</v>
      </c>
    </row>
    <row r="46">
      <c r="A46" s="86" t="s">
        <v>550</v>
      </c>
      <c r="B46" s="86" t="s">
        <v>551</v>
      </c>
      <c r="C46" s="86" t="s">
        <v>552</v>
      </c>
      <c r="D46" s="86" t="s">
        <v>554</v>
      </c>
      <c r="E46" s="86" t="s">
        <v>555</v>
      </c>
      <c r="F46" s="86" t="s">
        <v>557</v>
      </c>
    </row>
    <row r="47">
      <c r="A47" s="38" t="s">
        <v>1292</v>
      </c>
    </row>
    <row r="48">
      <c r="A48" s="87"/>
    </row>
    <row r="49">
      <c r="A49" s="2" t="s">
        <v>1298</v>
      </c>
    </row>
    <row r="50">
      <c r="A50" s="2">
        <v>19100.0</v>
      </c>
    </row>
    <row r="51">
      <c r="A51" s="39">
        <v>2026.0</v>
      </c>
    </row>
    <row r="52">
      <c r="A52" s="92" t="s">
        <v>1301</v>
      </c>
    </row>
    <row r="53">
      <c r="A53" s="86" t="s">
        <v>646</v>
      </c>
      <c r="B53" s="86" t="s">
        <v>647</v>
      </c>
      <c r="C53" s="86" t="s">
        <v>648</v>
      </c>
      <c r="D53" s="86" t="s">
        <v>651</v>
      </c>
      <c r="E53" s="86" t="s">
        <v>653</v>
      </c>
      <c r="F53" s="86" t="s">
        <v>654</v>
      </c>
      <c r="G53" s="86" t="s">
        <v>655</v>
      </c>
      <c r="H53" s="86" t="s">
        <v>657</v>
      </c>
    </row>
    <row r="54">
      <c r="A54" s="79" t="s">
        <v>667</v>
      </c>
      <c r="B54" s="79" t="s">
        <v>1303</v>
      </c>
      <c r="C54" s="79" t="s">
        <v>1010</v>
      </c>
      <c r="D54" s="79" t="s">
        <v>1304</v>
      </c>
      <c r="E54" s="79" t="s">
        <v>667</v>
      </c>
      <c r="F54" s="79" t="s">
        <v>1305</v>
      </c>
      <c r="G54" s="79" t="s">
        <v>667</v>
      </c>
      <c r="H54" s="79" t="s">
        <v>1306</v>
      </c>
    </row>
    <row r="55">
      <c r="B55" s="19" t="s">
        <v>1310</v>
      </c>
      <c r="C55" s="19" t="s">
        <v>1311</v>
      </c>
      <c r="D55" s="19" t="s">
        <v>1313</v>
      </c>
      <c r="F55" s="19" t="s">
        <v>1315</v>
      </c>
      <c r="H55" s="19" t="s">
        <v>1317</v>
      </c>
    </row>
    <row r="56">
      <c r="B56" s="19" t="s">
        <v>572</v>
      </c>
      <c r="C56" s="19" t="s">
        <v>572</v>
      </c>
      <c r="D56" s="19" t="s">
        <v>572</v>
      </c>
      <c r="F56" s="19" t="s">
        <v>684</v>
      </c>
      <c r="H56" s="19" t="s">
        <v>572</v>
      </c>
    </row>
    <row r="57">
      <c r="B57" s="19" t="s">
        <v>166</v>
      </c>
      <c r="D57" s="19" t="s">
        <v>1321</v>
      </c>
      <c r="F57" s="19" t="s">
        <v>1322</v>
      </c>
      <c r="H57" s="19" t="s">
        <v>1323</v>
      </c>
    </row>
    <row r="58">
      <c r="B58" s="19" t="s">
        <v>701</v>
      </c>
      <c r="D58" s="19" t="s">
        <v>572</v>
      </c>
      <c r="F58" s="19" t="s">
        <v>1023</v>
      </c>
      <c r="H58" s="19" t="s">
        <v>572</v>
      </c>
    </row>
    <row r="59">
      <c r="B59" s="19" t="s">
        <v>690</v>
      </c>
      <c r="H59" s="19" t="s">
        <v>1327</v>
      </c>
    </row>
    <row r="60">
      <c r="H60" s="19" t="s">
        <v>572</v>
      </c>
    </row>
    <row r="64">
      <c r="A64" s="94" t="s">
        <v>719</v>
      </c>
    </row>
    <row r="65">
      <c r="A65" s="94">
        <f>A68</f>
        <v>113850</v>
      </c>
    </row>
    <row r="66">
      <c r="A66" s="94">
        <v>2026.0</v>
      </c>
    </row>
    <row r="67">
      <c r="A67" s="94" t="s">
        <v>724</v>
      </c>
    </row>
    <row r="68">
      <c r="A68" s="94">
        <f>A71+B71+C71+D71+E71+F71+G71+H71</f>
        <v>113850</v>
      </c>
    </row>
    <row r="69">
      <c r="A69" s="86" t="s">
        <v>731</v>
      </c>
      <c r="B69" s="86" t="s">
        <v>733</v>
      </c>
      <c r="C69" s="86" t="s">
        <v>735</v>
      </c>
      <c r="D69" s="86" t="s">
        <v>736</v>
      </c>
      <c r="E69" s="86" t="s">
        <v>737</v>
      </c>
      <c r="F69" s="86" t="s">
        <v>738</v>
      </c>
      <c r="G69" s="86" t="s">
        <v>740</v>
      </c>
      <c r="H69" s="86" t="s">
        <v>741</v>
      </c>
    </row>
    <row r="70">
      <c r="A70" s="14" t="s">
        <v>667</v>
      </c>
      <c r="B70" s="14" t="s">
        <v>667</v>
      </c>
      <c r="C70" s="14" t="s">
        <v>667</v>
      </c>
      <c r="D70" s="14" t="s">
        <v>667</v>
      </c>
      <c r="E70" s="14" t="s">
        <v>667</v>
      </c>
      <c r="F70" s="14" t="s">
        <v>667</v>
      </c>
      <c r="G70" s="14" t="s">
        <v>667</v>
      </c>
      <c r="H70" s="14" t="s">
        <v>667</v>
      </c>
    </row>
    <row r="71">
      <c r="A71" s="86">
        <v>12000.0</v>
      </c>
      <c r="B71" s="86">
        <v>0.0</v>
      </c>
      <c r="C71" s="86">
        <v>0.0</v>
      </c>
      <c r="D71" s="86">
        <v>0.0</v>
      </c>
      <c r="E71" s="86">
        <v>83400.0</v>
      </c>
      <c r="F71" s="86">
        <v>0.0</v>
      </c>
      <c r="G71" s="86">
        <v>1500.0</v>
      </c>
      <c r="H71" s="86">
        <v>16950.0</v>
      </c>
    </row>
    <row r="72">
      <c r="A72" s="19" t="s">
        <v>995</v>
      </c>
      <c r="E72" s="19" t="s">
        <v>1353</v>
      </c>
      <c r="G72" s="19" t="s">
        <v>1354</v>
      </c>
      <c r="H72" s="19" t="s">
        <v>1310</v>
      </c>
    </row>
    <row r="73">
      <c r="A73" s="19" t="s">
        <v>1214</v>
      </c>
      <c r="E73" s="19" t="s">
        <v>572</v>
      </c>
      <c r="G73" s="19" t="s">
        <v>572</v>
      </c>
      <c r="H73" s="19" t="s">
        <v>684</v>
      </c>
    </row>
    <row r="74">
      <c r="E74" s="19" t="s">
        <v>759</v>
      </c>
      <c r="G74" s="19" t="s">
        <v>1355</v>
      </c>
      <c r="H74" s="19" t="s">
        <v>766</v>
      </c>
    </row>
    <row r="75">
      <c r="E75" s="19" t="s">
        <v>1226</v>
      </c>
      <c r="G75" s="19" t="s">
        <v>573</v>
      </c>
    </row>
    <row r="76">
      <c r="E76" s="19" t="s">
        <v>1356</v>
      </c>
    </row>
    <row r="77">
      <c r="E77" s="19" t="s">
        <v>1361</v>
      </c>
    </row>
    <row r="78">
      <c r="E78" s="19" t="s">
        <v>764</v>
      </c>
    </row>
    <row r="80">
      <c r="A80" s="96" t="s">
        <v>1060</v>
      </c>
    </row>
    <row r="81">
      <c r="A81" s="96">
        <f>A84</f>
        <v>50900</v>
      </c>
    </row>
    <row r="82">
      <c r="A82" s="96">
        <v>2026.0</v>
      </c>
    </row>
    <row r="83">
      <c r="A83" s="96" t="s">
        <v>724</v>
      </c>
    </row>
    <row r="84">
      <c r="A84" s="116">
        <f>A87+B87+C87+D87+E87+F87+G87+H87+I87+J87</f>
        <v>50900</v>
      </c>
    </row>
    <row r="85">
      <c r="A85" s="109" t="s">
        <v>812</v>
      </c>
      <c r="B85" s="109" t="s">
        <v>815</v>
      </c>
      <c r="C85" s="109" t="s">
        <v>817</v>
      </c>
      <c r="D85" s="109" t="s">
        <v>819</v>
      </c>
      <c r="E85" s="109" t="s">
        <v>821</v>
      </c>
      <c r="F85" s="109" t="s">
        <v>822</v>
      </c>
      <c r="G85" s="109" t="s">
        <v>823</v>
      </c>
      <c r="H85" s="109" t="s">
        <v>825</v>
      </c>
      <c r="I85" s="99" t="s">
        <v>827</v>
      </c>
      <c r="J85" s="99" t="s">
        <v>829</v>
      </c>
    </row>
    <row r="86">
      <c r="A86" s="14" t="s">
        <v>667</v>
      </c>
      <c r="B86" s="14" t="s">
        <v>667</v>
      </c>
      <c r="C86" s="14" t="s">
        <v>667</v>
      </c>
      <c r="D86" s="14" t="s">
        <v>667</v>
      </c>
      <c r="E86" s="14" t="s">
        <v>667</v>
      </c>
      <c r="F86" s="14" t="s">
        <v>667</v>
      </c>
      <c r="G86" s="14" t="s">
        <v>667</v>
      </c>
      <c r="H86" s="14" t="s">
        <v>667</v>
      </c>
      <c r="I86" s="14" t="s">
        <v>667</v>
      </c>
      <c r="J86" s="14" t="s">
        <v>667</v>
      </c>
    </row>
    <row r="87">
      <c r="A87" s="86">
        <v>12200.0</v>
      </c>
      <c r="B87" s="86">
        <v>900.0</v>
      </c>
      <c r="C87" s="86">
        <v>1100.0</v>
      </c>
      <c r="D87" s="86">
        <v>1500.0</v>
      </c>
      <c r="E87" s="86">
        <v>0.0</v>
      </c>
      <c r="F87" s="86">
        <v>1100.0</v>
      </c>
      <c r="G87" s="86">
        <v>0.0</v>
      </c>
      <c r="H87" s="86">
        <v>27000.0</v>
      </c>
      <c r="I87" s="86">
        <v>1000.0</v>
      </c>
      <c r="J87" s="86">
        <v>6100.0</v>
      </c>
    </row>
    <row r="88">
      <c r="A88" s="19" t="s">
        <v>1353</v>
      </c>
      <c r="B88" s="19" t="s">
        <v>1313</v>
      </c>
      <c r="C88" s="19" t="s">
        <v>1383</v>
      </c>
      <c r="D88" s="19" t="s">
        <v>1385</v>
      </c>
      <c r="F88" s="19" t="s">
        <v>1386</v>
      </c>
      <c r="H88" s="19" t="s">
        <v>1315</v>
      </c>
      <c r="I88" s="19" t="s">
        <v>1388</v>
      </c>
      <c r="J88" s="19" t="s">
        <v>1221</v>
      </c>
    </row>
    <row r="89">
      <c r="A89" s="19" t="s">
        <v>693</v>
      </c>
      <c r="B89" s="19" t="s">
        <v>872</v>
      </c>
      <c r="C89" s="19" t="s">
        <v>870</v>
      </c>
      <c r="D89" s="19" t="s">
        <v>1068</v>
      </c>
      <c r="F89" s="19" t="s">
        <v>1334</v>
      </c>
      <c r="H89" s="19" t="s">
        <v>1394</v>
      </c>
      <c r="I89" s="19" t="s">
        <v>573</v>
      </c>
      <c r="J89" s="19" t="s">
        <v>572</v>
      </c>
    </row>
    <row r="90">
      <c r="A90" s="19" t="s">
        <v>855</v>
      </c>
      <c r="D90" s="19" t="s">
        <v>1397</v>
      </c>
      <c r="F90" s="19" t="s">
        <v>1398</v>
      </c>
      <c r="J90" s="19" t="s">
        <v>1400</v>
      </c>
    </row>
    <row r="91">
      <c r="A91" s="19" t="s">
        <v>1401</v>
      </c>
      <c r="D91" s="19" t="s">
        <v>1403</v>
      </c>
      <c r="F91" s="19" t="s">
        <v>572</v>
      </c>
      <c r="J91" s="19" t="s">
        <v>572</v>
      </c>
    </row>
    <row r="92">
      <c r="A92" s="19" t="s">
        <v>1364</v>
      </c>
      <c r="J92" s="19" t="s">
        <v>1406</v>
      </c>
    </row>
    <row r="93">
      <c r="J93" s="19" t="s">
        <v>1334</v>
      </c>
    </row>
    <row r="94">
      <c r="J94" s="19" t="s">
        <v>1409</v>
      </c>
    </row>
    <row r="95">
      <c r="J95" s="19" t="s">
        <v>698</v>
      </c>
    </row>
    <row r="96">
      <c r="A96" s="103" t="s">
        <v>882</v>
      </c>
    </row>
    <row r="97">
      <c r="A97" s="104" t="s">
        <v>884</v>
      </c>
    </row>
    <row r="98">
      <c r="A98" s="104">
        <f>A101</f>
        <v>170200</v>
      </c>
    </row>
    <row r="99">
      <c r="A99" s="104">
        <v>2026.0</v>
      </c>
    </row>
    <row r="100">
      <c r="A100" s="104" t="s">
        <v>724</v>
      </c>
    </row>
    <row r="101">
      <c r="A101" s="105">
        <f>A104+B104+C104+D104+E104+F104+G104+H104+I104+J104</f>
        <v>170200</v>
      </c>
    </row>
    <row r="102">
      <c r="A102" s="86" t="s">
        <v>887</v>
      </c>
      <c r="B102" s="86" t="s">
        <v>888</v>
      </c>
      <c r="C102" s="86" t="s">
        <v>891</v>
      </c>
      <c r="D102" s="86" t="s">
        <v>892</v>
      </c>
      <c r="E102" s="86" t="s">
        <v>893</v>
      </c>
      <c r="F102" s="86" t="s">
        <v>894</v>
      </c>
      <c r="G102" s="109" t="s">
        <v>895</v>
      </c>
      <c r="H102" s="102" t="s">
        <v>896</v>
      </c>
      <c r="I102" s="102" t="s">
        <v>897</v>
      </c>
      <c r="J102" s="102" t="s">
        <v>899</v>
      </c>
    </row>
    <row r="103">
      <c r="A103" s="14" t="s">
        <v>667</v>
      </c>
      <c r="B103" s="14" t="s">
        <v>667</v>
      </c>
      <c r="C103" s="14" t="s">
        <v>667</v>
      </c>
      <c r="D103" s="14" t="s">
        <v>667</v>
      </c>
      <c r="E103" s="14" t="s">
        <v>667</v>
      </c>
      <c r="F103" s="14" t="s">
        <v>667</v>
      </c>
      <c r="G103" s="14" t="s">
        <v>667</v>
      </c>
      <c r="H103" s="38" t="s">
        <v>667</v>
      </c>
      <c r="I103" s="38" t="s">
        <v>667</v>
      </c>
      <c r="J103" s="38" t="s">
        <v>667</v>
      </c>
    </row>
    <row r="104">
      <c r="A104" s="86"/>
      <c r="B104" s="86"/>
      <c r="C104" s="86">
        <v>1000.0</v>
      </c>
      <c r="D104" s="86">
        <f>45000+58200</f>
        <v>103200</v>
      </c>
      <c r="E104" s="86"/>
      <c r="F104" s="86">
        <v>1000.0</v>
      </c>
      <c r="G104" s="86">
        <v>6500.0</v>
      </c>
      <c r="H104" s="86"/>
      <c r="I104" s="86"/>
      <c r="J104" s="86">
        <v>58500.0</v>
      </c>
    </row>
    <row r="105">
      <c r="C105" s="19" t="s">
        <v>1423</v>
      </c>
      <c r="D105" s="19" t="s">
        <v>1353</v>
      </c>
      <c r="F105" s="19" t="s">
        <v>1425</v>
      </c>
      <c r="G105" s="19" t="s">
        <v>1313</v>
      </c>
      <c r="J105" s="19" t="s">
        <v>995</v>
      </c>
    </row>
    <row r="106">
      <c r="C106" s="19" t="s">
        <v>573</v>
      </c>
      <c r="D106" s="19" t="s">
        <v>1426</v>
      </c>
      <c r="F106" s="19" t="s">
        <v>573</v>
      </c>
      <c r="G106" s="19" t="s">
        <v>1223</v>
      </c>
      <c r="J106" s="19" t="s">
        <v>906</v>
      </c>
    </row>
    <row r="107">
      <c r="D107" s="19" t="s">
        <v>1428</v>
      </c>
      <c r="J107" s="19" t="s">
        <v>924</v>
      </c>
    </row>
    <row r="108">
      <c r="D108" s="19" t="s">
        <v>1323</v>
      </c>
      <c r="J108" s="19" t="s">
        <v>1398</v>
      </c>
    </row>
    <row r="109">
      <c r="D109" s="19" t="s">
        <v>684</v>
      </c>
      <c r="J109" s="19" t="s">
        <v>878</v>
      </c>
    </row>
    <row r="110">
      <c r="D110" s="19" t="s">
        <v>1112</v>
      </c>
      <c r="J110" s="19" t="s">
        <v>1110</v>
      </c>
    </row>
    <row r="111">
      <c r="D111" s="19" t="s">
        <v>1428</v>
      </c>
      <c r="J111" s="19" t="s">
        <v>573</v>
      </c>
    </row>
    <row r="112">
      <c r="D112" s="19" t="s">
        <v>1429</v>
      </c>
      <c r="J112" s="19" t="s">
        <v>1430</v>
      </c>
    </row>
    <row r="113">
      <c r="D113" s="19" t="s">
        <v>1045</v>
      </c>
      <c r="J113" s="19" t="s">
        <v>1119</v>
      </c>
    </row>
    <row r="114">
      <c r="D114" s="19" t="s">
        <v>1428</v>
      </c>
      <c r="J114" s="19" t="s">
        <v>1431</v>
      </c>
    </row>
    <row r="115">
      <c r="J115" s="19" t="s">
        <v>573</v>
      </c>
    </row>
    <row r="122">
      <c r="A122" s="110" t="s">
        <v>943</v>
      </c>
    </row>
    <row r="123">
      <c r="A123" s="110">
        <f>A126</f>
        <v>236450</v>
      </c>
    </row>
    <row r="124">
      <c r="A124" s="110">
        <v>2026.0</v>
      </c>
    </row>
    <row r="125">
      <c r="A125" s="110" t="s">
        <v>724</v>
      </c>
    </row>
    <row r="126">
      <c r="A126" s="110">
        <f>A129+B129+C129+D129+E129+F129+G129+H129</f>
        <v>236450</v>
      </c>
    </row>
    <row r="127">
      <c r="A127" s="86" t="s">
        <v>953</v>
      </c>
      <c r="B127" s="86" t="s">
        <v>833</v>
      </c>
      <c r="C127" s="86" t="s">
        <v>834</v>
      </c>
      <c r="D127" s="86" t="s">
        <v>836</v>
      </c>
      <c r="E127" s="86" t="s">
        <v>956</v>
      </c>
      <c r="F127" s="86" t="s">
        <v>958</v>
      </c>
      <c r="G127" s="86" t="s">
        <v>844</v>
      </c>
      <c r="H127" s="86" t="s">
        <v>838</v>
      </c>
    </row>
    <row r="128">
      <c r="A128" s="14" t="s">
        <v>667</v>
      </c>
      <c r="B128" s="14" t="s">
        <v>667</v>
      </c>
      <c r="C128" s="14" t="s">
        <v>667</v>
      </c>
      <c r="D128" s="14" t="s">
        <v>667</v>
      </c>
      <c r="E128" s="14" t="s">
        <v>667</v>
      </c>
      <c r="F128" s="14" t="s">
        <v>667</v>
      </c>
      <c r="G128" s="14" t="s">
        <v>667</v>
      </c>
      <c r="H128" s="14" t="s">
        <v>667</v>
      </c>
    </row>
    <row r="129">
      <c r="A129" s="86">
        <v>5750.0</v>
      </c>
      <c r="B129" s="86">
        <v>2000.0</v>
      </c>
      <c r="C129" s="86">
        <f>9000+37200</f>
        <v>46200</v>
      </c>
      <c r="D129" s="86">
        <v>0.0</v>
      </c>
      <c r="E129" s="86">
        <v>3000.0</v>
      </c>
      <c r="F129" s="86">
        <v>4000.0</v>
      </c>
      <c r="G129" s="86">
        <v>0.0</v>
      </c>
      <c r="H129" s="86">
        <f>87500+88000</f>
        <v>175500</v>
      </c>
    </row>
    <row r="130">
      <c r="A130" s="19" t="s">
        <v>1465</v>
      </c>
      <c r="B130" s="19" t="s">
        <v>1143</v>
      </c>
      <c r="C130" s="19" t="s">
        <v>1316</v>
      </c>
      <c r="E130" s="19" t="s">
        <v>1354</v>
      </c>
      <c r="F130" s="19" t="s">
        <v>1425</v>
      </c>
      <c r="H130" s="19" t="s">
        <v>1466</v>
      </c>
    </row>
    <row r="131">
      <c r="A131" s="19" t="s">
        <v>573</v>
      </c>
      <c r="B131" s="19" t="s">
        <v>573</v>
      </c>
      <c r="C131" s="19" t="s">
        <v>573</v>
      </c>
      <c r="E131" s="19" t="s">
        <v>590</v>
      </c>
      <c r="F131" s="19" t="s">
        <v>573</v>
      </c>
      <c r="H131" s="19" t="s">
        <v>989</v>
      </c>
    </row>
    <row r="132">
      <c r="A132" s="19" t="s">
        <v>1470</v>
      </c>
      <c r="B132" s="19" t="s">
        <v>1472</v>
      </c>
      <c r="C132" s="19" t="s">
        <v>1474</v>
      </c>
      <c r="F132" s="19" t="s">
        <v>1476</v>
      </c>
      <c r="H132" s="19" t="s">
        <v>1450</v>
      </c>
    </row>
    <row r="133">
      <c r="A133" s="19" t="s">
        <v>573</v>
      </c>
      <c r="B133" s="19" t="s">
        <v>573</v>
      </c>
      <c r="C133" s="19" t="s">
        <v>1398</v>
      </c>
      <c r="F133" s="19" t="s">
        <v>624</v>
      </c>
      <c r="H133" s="19" t="s">
        <v>1397</v>
      </c>
    </row>
    <row r="134">
      <c r="A134" s="19" t="s">
        <v>1480</v>
      </c>
      <c r="C134" s="19" t="s">
        <v>573</v>
      </c>
      <c r="F134" s="19" t="s">
        <v>1327</v>
      </c>
      <c r="H134" s="19" t="s">
        <v>929</v>
      </c>
    </row>
    <row r="135">
      <c r="A135" s="19" t="s">
        <v>573</v>
      </c>
      <c r="C135" s="19" t="s">
        <v>1474</v>
      </c>
      <c r="F135" s="19" t="s">
        <v>573</v>
      </c>
      <c r="H135" s="19" t="s">
        <v>1450</v>
      </c>
    </row>
    <row r="136">
      <c r="A136" s="19" t="s">
        <v>1481</v>
      </c>
      <c r="C136" s="19" t="s">
        <v>1482</v>
      </c>
      <c r="H136" s="19" t="s">
        <v>1483</v>
      </c>
    </row>
    <row r="137">
      <c r="A137" s="19" t="s">
        <v>573</v>
      </c>
      <c r="C137" s="19" t="s">
        <v>684</v>
      </c>
      <c r="H137" s="19" t="s">
        <v>1384</v>
      </c>
    </row>
    <row r="138">
      <c r="A138" s="19" t="s">
        <v>1148</v>
      </c>
      <c r="C138" s="19" t="s">
        <v>1474</v>
      </c>
      <c r="H138" s="19" t="s">
        <v>1148</v>
      </c>
    </row>
    <row r="139">
      <c r="H139" s="19" t="s">
        <v>1488</v>
      </c>
    </row>
    <row r="140">
      <c r="H140" s="19" t="s">
        <v>1450</v>
      </c>
    </row>
    <row r="141">
      <c r="H141" s="19" t="s">
        <v>1491</v>
      </c>
    </row>
    <row r="142">
      <c r="H142" s="19" t="s">
        <v>989</v>
      </c>
    </row>
    <row r="143">
      <c r="H143" s="19" t="s">
        <v>1148</v>
      </c>
    </row>
    <row r="144">
      <c r="H144" s="19" t="s">
        <v>1450</v>
      </c>
    </row>
    <row r="146">
      <c r="A146" s="113" t="s">
        <v>963</v>
      </c>
    </row>
    <row r="147">
      <c r="A147" s="113">
        <f>A150</f>
        <v>207000</v>
      </c>
    </row>
    <row r="148">
      <c r="A148" s="113">
        <v>2026.0</v>
      </c>
    </row>
    <row r="149">
      <c r="A149" s="113" t="s">
        <v>724</v>
      </c>
    </row>
    <row r="150">
      <c r="A150" s="114">
        <f>A153+B153+C153+D153+E153+F153+G153+H153+I153+J153</f>
        <v>207000</v>
      </c>
    </row>
    <row r="151">
      <c r="A151" s="86" t="s">
        <v>965</v>
      </c>
      <c r="B151" s="86" t="s">
        <v>966</v>
      </c>
      <c r="C151" s="86" t="s">
        <v>968</v>
      </c>
      <c r="D151" s="86" t="s">
        <v>969</v>
      </c>
      <c r="E151" s="86" t="s">
        <v>970</v>
      </c>
      <c r="F151" s="86" t="s">
        <v>971</v>
      </c>
      <c r="G151" s="86" t="s">
        <v>972</v>
      </c>
      <c r="H151" s="86" t="s">
        <v>973</v>
      </c>
      <c r="I151" s="86" t="s">
        <v>974</v>
      </c>
      <c r="J151" s="86" t="s">
        <v>975</v>
      </c>
    </row>
    <row r="152">
      <c r="A152" s="14" t="s">
        <v>667</v>
      </c>
      <c r="B152" s="14" t="s">
        <v>667</v>
      </c>
      <c r="C152" s="14" t="s">
        <v>667</v>
      </c>
      <c r="D152" s="14" t="s">
        <v>667</v>
      </c>
      <c r="E152" s="14" t="s">
        <v>667</v>
      </c>
      <c r="F152" s="14" t="s">
        <v>667</v>
      </c>
      <c r="G152" s="14" t="s">
        <v>667</v>
      </c>
      <c r="H152" s="38" t="s">
        <v>667</v>
      </c>
      <c r="I152" s="38" t="s">
        <v>667</v>
      </c>
      <c r="J152" s="38" t="s">
        <v>667</v>
      </c>
    </row>
    <row r="153">
      <c r="A153" s="86">
        <v>0.0</v>
      </c>
      <c r="B153" s="86">
        <v>8000.0</v>
      </c>
      <c r="C153" s="86">
        <v>26000.0</v>
      </c>
      <c r="D153" s="86">
        <v>2000.0</v>
      </c>
      <c r="E153" s="86">
        <v>18000.0</v>
      </c>
      <c r="F153" s="86">
        <v>115000.0</v>
      </c>
      <c r="G153" s="86">
        <v>0.0</v>
      </c>
      <c r="H153" s="86">
        <v>2000.0</v>
      </c>
      <c r="I153" s="86">
        <v>6000.0</v>
      </c>
      <c r="J153" s="86">
        <v>30000.0</v>
      </c>
    </row>
    <row r="154">
      <c r="B154" s="19" t="s">
        <v>1529</v>
      </c>
      <c r="C154" s="19" t="s">
        <v>1353</v>
      </c>
      <c r="D154" s="19" t="s">
        <v>1162</v>
      </c>
      <c r="E154" s="19" t="s">
        <v>1532</v>
      </c>
      <c r="F154" s="19" t="s">
        <v>995</v>
      </c>
      <c r="H154" s="19" t="s">
        <v>1535</v>
      </c>
      <c r="I154" s="19" t="s">
        <v>1536</v>
      </c>
      <c r="J154" s="19" t="s">
        <v>1537</v>
      </c>
    </row>
    <row r="155">
      <c r="B155" s="19" t="s">
        <v>624</v>
      </c>
      <c r="C155" s="19" t="s">
        <v>1438</v>
      </c>
      <c r="D155" s="19" t="s">
        <v>624</v>
      </c>
      <c r="E155" s="19" t="s">
        <v>624</v>
      </c>
      <c r="F155" s="19" t="s">
        <v>1539</v>
      </c>
      <c r="H155" s="19" t="s">
        <v>624</v>
      </c>
      <c r="I155" s="19" t="s">
        <v>624</v>
      </c>
      <c r="J155" s="19" t="s">
        <v>624</v>
      </c>
    </row>
    <row r="156">
      <c r="B156" s="19" t="s">
        <v>1472</v>
      </c>
      <c r="C156" s="19" t="s">
        <v>1398</v>
      </c>
      <c r="E156" s="19" t="s">
        <v>1323</v>
      </c>
      <c r="F156" s="19" t="s">
        <v>1355</v>
      </c>
      <c r="I156" s="19" t="s">
        <v>1542</v>
      </c>
      <c r="J156" s="19" t="s">
        <v>1544</v>
      </c>
    </row>
    <row r="157">
      <c r="B157" s="19" t="s">
        <v>624</v>
      </c>
      <c r="C157" s="19" t="s">
        <v>624</v>
      </c>
      <c r="E157" s="19" t="s">
        <v>1108</v>
      </c>
      <c r="F157" s="19" t="s">
        <v>1173</v>
      </c>
      <c r="I157" s="19" t="s">
        <v>624</v>
      </c>
      <c r="J157" s="19" t="s">
        <v>624</v>
      </c>
    </row>
    <row r="158">
      <c r="B158" s="19" t="s">
        <v>1480</v>
      </c>
      <c r="I158" s="19" t="s">
        <v>1110</v>
      </c>
      <c r="J158" s="19" t="s">
        <v>1546</v>
      </c>
    </row>
    <row r="159">
      <c r="B159" s="19" t="s">
        <v>624</v>
      </c>
      <c r="I159" s="19" t="s">
        <v>624</v>
      </c>
      <c r="J159" s="19" t="s">
        <v>624</v>
      </c>
    </row>
    <row r="160">
      <c r="B160" s="19" t="s">
        <v>1217</v>
      </c>
      <c r="J160" s="19" t="s">
        <v>1551</v>
      </c>
    </row>
    <row r="161">
      <c r="B161" s="19" t="s">
        <v>624</v>
      </c>
      <c r="J161" s="19" t="s">
        <v>1438</v>
      </c>
    </row>
  </sheetData>
  <mergeCells count="50">
    <mergeCell ref="J6:L6"/>
    <mergeCell ref="J7:L7"/>
    <mergeCell ref="J8:L8"/>
    <mergeCell ref="A1:L1"/>
    <mergeCell ref="A2:L2"/>
    <mergeCell ref="A3:L3"/>
    <mergeCell ref="A4:L4"/>
    <mergeCell ref="F5:H5"/>
    <mergeCell ref="J5:L5"/>
    <mergeCell ref="F6:H6"/>
    <mergeCell ref="A37:E37"/>
    <mergeCell ref="A38:E38"/>
    <mergeCell ref="A39:E39"/>
    <mergeCell ref="A40:E40"/>
    <mergeCell ref="A42:E42"/>
    <mergeCell ref="A43:F43"/>
    <mergeCell ref="A44:F44"/>
    <mergeCell ref="A45:F45"/>
    <mergeCell ref="A47:F47"/>
    <mergeCell ref="A48:H48"/>
    <mergeCell ref="A49:H49"/>
    <mergeCell ref="A50:H50"/>
    <mergeCell ref="A51:H51"/>
    <mergeCell ref="A52:H52"/>
    <mergeCell ref="A64:H64"/>
    <mergeCell ref="A65:H65"/>
    <mergeCell ref="A66:H66"/>
    <mergeCell ref="A67:H67"/>
    <mergeCell ref="A68:H68"/>
    <mergeCell ref="A80:J80"/>
    <mergeCell ref="A81:J81"/>
    <mergeCell ref="A82:J82"/>
    <mergeCell ref="A83:J83"/>
    <mergeCell ref="A84:J84"/>
    <mergeCell ref="A96:J96"/>
    <mergeCell ref="A97:J97"/>
    <mergeCell ref="A98:J98"/>
    <mergeCell ref="A99:J99"/>
    <mergeCell ref="A146:J146"/>
    <mergeCell ref="A147:J147"/>
    <mergeCell ref="A148:J148"/>
    <mergeCell ref="A149:J149"/>
    <mergeCell ref="A150:J150"/>
    <mergeCell ref="A100:J100"/>
    <mergeCell ref="A101:J101"/>
    <mergeCell ref="A122:H122"/>
    <mergeCell ref="A123:H123"/>
    <mergeCell ref="A124:H124"/>
    <mergeCell ref="A125:H125"/>
    <mergeCell ref="A126:H12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0"/>
    <col customWidth="1" min="2" max="2" width="24.38"/>
    <col customWidth="1" min="3" max="3" width="32.75"/>
    <col customWidth="1" min="4" max="4" width="35.88"/>
    <col customWidth="1" min="5" max="5" width="35.38"/>
    <col customWidth="1" min="6" max="6" width="24.5"/>
    <col customWidth="1" min="7" max="7" width="37.25"/>
    <col customWidth="1" min="8" max="8" width="29.25"/>
    <col customWidth="1" min="9" max="9" width="28.63"/>
    <col customWidth="1" min="10" max="10" width="30.75"/>
    <col customWidth="1" min="11" max="11" width="20.0"/>
    <col customWidth="1" min="14" max="14" width="14.5"/>
    <col customWidth="1" min="15" max="15" width="16.75"/>
    <col customWidth="1" min="19" max="19" width="33.5"/>
  </cols>
  <sheetData>
    <row r="1">
      <c r="A1" s="133" t="s">
        <v>1424</v>
      </c>
    </row>
    <row r="2">
      <c r="A2" s="133" t="s">
        <v>1427</v>
      </c>
    </row>
    <row r="3">
      <c r="A3" s="134" t="s">
        <v>6</v>
      </c>
    </row>
    <row r="4">
      <c r="A4" s="135">
        <f>100000+B6+C6+D6+E6+G6+H6+A41+K6+N6</f>
        <v>392490</v>
      </c>
    </row>
    <row r="5">
      <c r="A5" s="14" t="s">
        <v>24</v>
      </c>
      <c r="B5" s="14" t="s">
        <v>35</v>
      </c>
      <c r="C5" s="14" t="s">
        <v>1435</v>
      </c>
      <c r="D5" s="14" t="s">
        <v>1137</v>
      </c>
      <c r="E5" s="14" t="s">
        <v>184</v>
      </c>
      <c r="F5" s="14" t="s">
        <v>28</v>
      </c>
      <c r="G5" s="14" t="s">
        <v>1439</v>
      </c>
      <c r="H5" s="14" t="s">
        <v>43</v>
      </c>
      <c r="K5" s="22" t="s">
        <v>252</v>
      </c>
      <c r="N5" s="136" t="s">
        <v>33</v>
      </c>
      <c r="S5" s="14"/>
    </row>
    <row r="6">
      <c r="A6" s="19" t="s">
        <v>1444</v>
      </c>
      <c r="B6" s="135">
        <v>-60000.0</v>
      </c>
      <c r="C6" s="135">
        <v>16000.0</v>
      </c>
      <c r="D6" s="135">
        <v>-47000.0</v>
      </c>
      <c r="E6" s="135">
        <v>-500.0</v>
      </c>
      <c r="F6" s="19" t="s">
        <v>1448</v>
      </c>
      <c r="G6" s="135">
        <v>-20000.0</v>
      </c>
      <c r="H6" s="135">
        <v>-1000.0</v>
      </c>
      <c r="K6" s="137">
        <f>K8</f>
        <v>0</v>
      </c>
      <c r="N6" s="138">
        <f>Q18+Q21</f>
        <v>104750</v>
      </c>
      <c r="S6" s="139"/>
    </row>
    <row r="7">
      <c r="A7" s="19" t="s">
        <v>1458</v>
      </c>
      <c r="B7" s="61" t="s">
        <v>55</v>
      </c>
      <c r="C7" s="19" t="s">
        <v>1460</v>
      </c>
      <c r="D7" s="19" t="s">
        <v>1461</v>
      </c>
      <c r="E7" s="19" t="s">
        <v>1462</v>
      </c>
      <c r="F7" s="19" t="s">
        <v>1463</v>
      </c>
      <c r="G7" s="19" t="s">
        <v>62</v>
      </c>
      <c r="H7" s="19" t="s">
        <v>59</v>
      </c>
      <c r="I7" s="19" t="s">
        <v>1464</v>
      </c>
      <c r="J7" s="19" t="s">
        <v>61</v>
      </c>
      <c r="K7" s="38" t="s">
        <v>77</v>
      </c>
      <c r="N7" s="141" t="s">
        <v>64</v>
      </c>
      <c r="O7" s="141" t="s">
        <v>65</v>
      </c>
      <c r="P7" s="141" t="s">
        <v>66</v>
      </c>
      <c r="Q7" s="141" t="s">
        <v>0</v>
      </c>
      <c r="R7" s="141" t="s">
        <v>67</v>
      </c>
    </row>
    <row r="8">
      <c r="A8" s="19" t="s">
        <v>1467</v>
      </c>
      <c r="B8" s="9" t="s">
        <v>190</v>
      </c>
      <c r="C8" s="19" t="s">
        <v>1468</v>
      </c>
      <c r="D8" s="19" t="s">
        <v>1469</v>
      </c>
      <c r="F8" s="19" t="s">
        <v>1471</v>
      </c>
      <c r="G8" s="19" t="s">
        <v>1473</v>
      </c>
      <c r="H8" s="19" t="s">
        <v>1475</v>
      </c>
      <c r="I8" s="19" t="s">
        <v>1477</v>
      </c>
      <c r="J8" s="19" t="s">
        <v>1478</v>
      </c>
      <c r="K8" s="142">
        <v>0.0</v>
      </c>
      <c r="N8" s="143" t="s">
        <v>1479</v>
      </c>
      <c r="O8" s="144" t="s">
        <v>79</v>
      </c>
      <c r="P8" s="144">
        <v>30.5</v>
      </c>
      <c r="Q8" s="144">
        <f>P8*1000</f>
        <v>30500</v>
      </c>
      <c r="R8" s="145">
        <f>P8*20</f>
        <v>610</v>
      </c>
    </row>
    <row r="9">
      <c r="A9" s="19" t="s">
        <v>1489</v>
      </c>
      <c r="B9" s="9" t="s">
        <v>217</v>
      </c>
      <c r="C9" s="19" t="s">
        <v>1490</v>
      </c>
      <c r="D9" s="19" t="s">
        <v>1492</v>
      </c>
      <c r="F9" s="19" t="s">
        <v>1493</v>
      </c>
      <c r="H9" s="19" t="s">
        <v>1495</v>
      </c>
      <c r="I9" s="19" t="s">
        <v>1497</v>
      </c>
      <c r="J9" s="19" t="s">
        <v>1499</v>
      </c>
      <c r="O9" s="144" t="s">
        <v>117</v>
      </c>
      <c r="P9" s="144">
        <v>2.5</v>
      </c>
      <c r="Q9" s="145">
        <f>P9*2000</f>
        <v>5000</v>
      </c>
      <c r="R9" s="145">
        <f t="shared" ref="R9:R10" si="1">P9*40</f>
        <v>100</v>
      </c>
    </row>
    <row r="10">
      <c r="A10" s="19" t="s">
        <v>1501</v>
      </c>
      <c r="B10" s="61" t="s">
        <v>170</v>
      </c>
      <c r="C10" s="19" t="s">
        <v>1502</v>
      </c>
      <c r="D10" s="19" t="s">
        <v>1503</v>
      </c>
      <c r="H10" s="19" t="s">
        <v>374</v>
      </c>
      <c r="I10" s="19" t="s">
        <v>1505</v>
      </c>
      <c r="J10" s="19" t="s">
        <v>1507</v>
      </c>
      <c r="O10" s="144" t="s">
        <v>270</v>
      </c>
      <c r="P10" s="144">
        <v>3.0</v>
      </c>
      <c r="Q10" s="145">
        <f>P10*3000</f>
        <v>9000</v>
      </c>
      <c r="R10" s="145">
        <f t="shared" si="1"/>
        <v>120</v>
      </c>
    </row>
    <row r="11">
      <c r="A11" s="19" t="s">
        <v>1508</v>
      </c>
      <c r="B11" s="9" t="s">
        <v>177</v>
      </c>
      <c r="C11" s="19" t="s">
        <v>1509</v>
      </c>
      <c r="D11" s="19" t="s">
        <v>1510</v>
      </c>
      <c r="H11" s="19" t="s">
        <v>522</v>
      </c>
      <c r="I11" s="19" t="s">
        <v>1512</v>
      </c>
      <c r="J11" s="19" t="s">
        <v>1513</v>
      </c>
      <c r="O11" s="144" t="s">
        <v>141</v>
      </c>
      <c r="P11" s="144">
        <v>1.0</v>
      </c>
      <c r="Q11" s="145">
        <f>P11*5000</f>
        <v>5000</v>
      </c>
      <c r="R11" s="145">
        <f>P11*100</f>
        <v>100</v>
      </c>
    </row>
    <row r="12">
      <c r="A12" s="19" t="s">
        <v>1518</v>
      </c>
      <c r="B12" s="61" t="s">
        <v>196</v>
      </c>
      <c r="C12" s="19" t="s">
        <v>1519</v>
      </c>
      <c r="D12" s="19" t="s">
        <v>1520</v>
      </c>
      <c r="H12" s="19" t="s">
        <v>1521</v>
      </c>
      <c r="I12" s="19" t="s">
        <v>1522</v>
      </c>
      <c r="O12" s="144" t="s">
        <v>246</v>
      </c>
      <c r="P12" s="144">
        <v>3.0</v>
      </c>
      <c r="Q12" s="144">
        <f>P12*2000</f>
        <v>6000</v>
      </c>
      <c r="R12" s="145">
        <f>P12*20</f>
        <v>60</v>
      </c>
    </row>
    <row r="13">
      <c r="A13" s="19" t="s">
        <v>1526</v>
      </c>
      <c r="B13" s="9" t="s">
        <v>177</v>
      </c>
      <c r="C13" s="19" t="s">
        <v>1527</v>
      </c>
      <c r="D13" s="19" t="s">
        <v>1528</v>
      </c>
      <c r="H13" s="19" t="s">
        <v>193</v>
      </c>
      <c r="I13" s="19" t="s">
        <v>475</v>
      </c>
      <c r="O13" s="144" t="s">
        <v>145</v>
      </c>
      <c r="P13" s="144">
        <v>2.0</v>
      </c>
      <c r="Q13" s="144">
        <f>P13*6000</f>
        <v>12000</v>
      </c>
      <c r="R13" s="145">
        <f>P13*40</f>
        <v>80</v>
      </c>
    </row>
    <row r="14">
      <c r="A14" s="19" t="s">
        <v>1530</v>
      </c>
      <c r="D14" s="19" t="s">
        <v>1531</v>
      </c>
      <c r="H14" s="19" t="s">
        <v>460</v>
      </c>
      <c r="I14" s="19" t="s">
        <v>1533</v>
      </c>
      <c r="O14" s="144" t="s">
        <v>128</v>
      </c>
      <c r="P14" s="144">
        <v>4.0</v>
      </c>
      <c r="Q14" s="145">
        <f>P14*8000</f>
        <v>32000</v>
      </c>
      <c r="R14" s="145">
        <f>P14*80</f>
        <v>320</v>
      </c>
    </row>
    <row r="15">
      <c r="A15" s="19" t="s">
        <v>1538</v>
      </c>
      <c r="D15" s="19" t="s">
        <v>1540</v>
      </c>
      <c r="H15" s="19" t="s">
        <v>374</v>
      </c>
      <c r="I15" s="19" t="s">
        <v>446</v>
      </c>
      <c r="O15" s="144" t="s">
        <v>152</v>
      </c>
    </row>
    <row r="16">
      <c r="A16" s="19" t="s">
        <v>1541</v>
      </c>
      <c r="D16" s="19" t="s">
        <v>1543</v>
      </c>
      <c r="H16" s="19" t="s">
        <v>522</v>
      </c>
      <c r="I16" s="19" t="s">
        <v>221</v>
      </c>
      <c r="O16" s="144">
        <v>100.0</v>
      </c>
      <c r="P16" s="144">
        <v>1.5</v>
      </c>
      <c r="Q16" s="145">
        <f t="shared" ref="Q16:Q17" si="2">P16*1500</f>
        <v>2250</v>
      </c>
      <c r="R16" s="145">
        <f t="shared" ref="R16:R17" si="3">P16*40</f>
        <v>60</v>
      </c>
    </row>
    <row r="17">
      <c r="A17" s="19" t="s">
        <v>1548</v>
      </c>
      <c r="D17" s="19" t="s">
        <v>1549</v>
      </c>
      <c r="H17" s="19" t="s">
        <v>1550</v>
      </c>
      <c r="O17" s="144" t="s">
        <v>162</v>
      </c>
      <c r="P17" s="144">
        <v>1.0</v>
      </c>
      <c r="Q17" s="145">
        <f t="shared" si="2"/>
        <v>1500</v>
      </c>
      <c r="R17" s="145">
        <f t="shared" si="3"/>
        <v>40</v>
      </c>
    </row>
    <row r="18">
      <c r="A18" s="19" t="s">
        <v>1552</v>
      </c>
      <c r="D18" s="19" t="s">
        <v>1553</v>
      </c>
      <c r="H18" s="19" t="s">
        <v>139</v>
      </c>
      <c r="O18" s="134" t="s">
        <v>94</v>
      </c>
      <c r="Q18" s="146">
        <f t="shared" ref="Q18:R18" si="4">Q8+Q9+Q10+Q11+Q12+Q13+Q14+Q16+Q17</f>
        <v>103250</v>
      </c>
      <c r="R18" s="146">
        <f t="shared" si="4"/>
        <v>1490</v>
      </c>
    </row>
    <row r="19">
      <c r="A19" s="19" t="s">
        <v>1557</v>
      </c>
      <c r="D19" s="19" t="s">
        <v>1558</v>
      </c>
      <c r="H19" s="19" t="s">
        <v>522</v>
      </c>
      <c r="N19" s="143" t="s">
        <v>1521</v>
      </c>
      <c r="O19" s="144" t="s">
        <v>152</v>
      </c>
    </row>
    <row r="20">
      <c r="A20" s="19" t="s">
        <v>1559</v>
      </c>
      <c r="D20" s="19" t="s">
        <v>1560</v>
      </c>
      <c r="H20" s="19" t="s">
        <v>1561</v>
      </c>
      <c r="O20" s="144" t="s">
        <v>1562</v>
      </c>
      <c r="P20" s="144">
        <v>1.0</v>
      </c>
      <c r="Q20" s="145">
        <f>P20*1500</f>
        <v>1500</v>
      </c>
      <c r="R20" s="145">
        <f>P20*40</f>
        <v>40</v>
      </c>
    </row>
    <row r="21">
      <c r="A21" s="19" t="s">
        <v>1565</v>
      </c>
      <c r="D21" s="19" t="s">
        <v>1566</v>
      </c>
      <c r="H21" s="19" t="s">
        <v>1567</v>
      </c>
      <c r="O21" s="134" t="s">
        <v>94</v>
      </c>
      <c r="Q21" s="146">
        <f t="shared" ref="Q21:R21" si="5">Q20</f>
        <v>1500</v>
      </c>
      <c r="R21" s="146">
        <f t="shared" si="5"/>
        <v>40</v>
      </c>
    </row>
    <row r="22">
      <c r="A22" s="19" t="s">
        <v>1568</v>
      </c>
      <c r="D22" s="19" t="s">
        <v>1569</v>
      </c>
      <c r="H22" s="19" t="s">
        <v>1570</v>
      </c>
    </row>
    <row r="23">
      <c r="A23" s="19" t="s">
        <v>1571</v>
      </c>
      <c r="D23" s="19" t="s">
        <v>1572</v>
      </c>
      <c r="H23" s="19" t="s">
        <v>816</v>
      </c>
    </row>
    <row r="24">
      <c r="A24" s="19" t="s">
        <v>1573</v>
      </c>
      <c r="D24" s="19" t="s">
        <v>1574</v>
      </c>
      <c r="H24" s="19" t="s">
        <v>477</v>
      </c>
    </row>
    <row r="25">
      <c r="A25" s="19" t="s">
        <v>1575</v>
      </c>
      <c r="H25" s="19" t="s">
        <v>1576</v>
      </c>
    </row>
    <row r="26">
      <c r="A26" s="19" t="s">
        <v>1577</v>
      </c>
      <c r="H26" s="19" t="s">
        <v>193</v>
      </c>
    </row>
    <row r="27">
      <c r="A27" s="19" t="s">
        <v>1578</v>
      </c>
      <c r="H27" s="19" t="s">
        <v>435</v>
      </c>
    </row>
    <row r="28">
      <c r="A28" s="19" t="s">
        <v>1579</v>
      </c>
      <c r="H28" s="19" t="s">
        <v>139</v>
      </c>
    </row>
    <row r="29">
      <c r="A29" s="19" t="s">
        <v>1580</v>
      </c>
      <c r="H29" s="19" t="s">
        <v>450</v>
      </c>
    </row>
    <row r="30">
      <c r="A30" s="19" t="s">
        <v>1581</v>
      </c>
      <c r="H30" s="19" t="s">
        <v>374</v>
      </c>
    </row>
    <row r="31">
      <c r="A31" s="19" t="s">
        <v>1582</v>
      </c>
      <c r="H31" s="19" t="s">
        <v>450</v>
      </c>
    </row>
    <row r="32">
      <c r="A32" s="19" t="s">
        <v>1583</v>
      </c>
      <c r="H32" s="19" t="s">
        <v>1584</v>
      </c>
    </row>
    <row r="33">
      <c r="A33" s="19" t="s">
        <v>1585</v>
      </c>
      <c r="H33" s="19" t="s">
        <v>100</v>
      </c>
    </row>
    <row r="34">
      <c r="A34" s="19" t="s">
        <v>1586</v>
      </c>
      <c r="H34" s="19" t="s">
        <v>1587</v>
      </c>
    </row>
    <row r="35">
      <c r="A35" s="19" t="s">
        <v>1588</v>
      </c>
      <c r="H35" s="19" t="s">
        <v>474</v>
      </c>
    </row>
    <row r="36">
      <c r="H36" s="19" t="s">
        <v>374</v>
      </c>
    </row>
    <row r="37">
      <c r="H37" s="19" t="s">
        <v>477</v>
      </c>
    </row>
    <row r="38">
      <c r="H38" s="19" t="s">
        <v>1589</v>
      </c>
    </row>
    <row r="39">
      <c r="H39" s="19" t="s">
        <v>139</v>
      </c>
    </row>
    <row r="40">
      <c r="A40" s="81" t="s">
        <v>504</v>
      </c>
      <c r="H40" s="19" t="s">
        <v>816</v>
      </c>
    </row>
    <row r="41">
      <c r="A41" s="81">
        <f>A43+A62+A89+A106+A125+A147</f>
        <v>300240</v>
      </c>
      <c r="H41" s="19" t="s">
        <v>1590</v>
      </c>
    </row>
    <row r="42">
      <c r="A42" s="84" t="s">
        <v>520</v>
      </c>
      <c r="H42" s="19" t="s">
        <v>139</v>
      </c>
    </row>
    <row r="43">
      <c r="A43" s="84">
        <v>30650.0</v>
      </c>
      <c r="H43" s="19" t="s">
        <v>477</v>
      </c>
    </row>
    <row r="44">
      <c r="A44" s="84">
        <v>2026.0</v>
      </c>
      <c r="H44" s="19" t="s">
        <v>1530</v>
      </c>
    </row>
    <row r="45">
      <c r="A45" s="86" t="s">
        <v>526</v>
      </c>
      <c r="B45" s="86" t="s">
        <v>528</v>
      </c>
      <c r="C45" s="86" t="s">
        <v>529</v>
      </c>
      <c r="D45" s="86" t="s">
        <v>531</v>
      </c>
      <c r="E45" s="86" t="s">
        <v>533</v>
      </c>
      <c r="H45" s="19" t="s">
        <v>374</v>
      </c>
    </row>
    <row r="46">
      <c r="A46" s="63" t="s">
        <v>1591</v>
      </c>
      <c r="C46" s="63" t="s">
        <v>1306</v>
      </c>
      <c r="E46" s="63" t="s">
        <v>1592</v>
      </c>
      <c r="H46" s="19" t="s">
        <v>477</v>
      </c>
    </row>
    <row r="47">
      <c r="A47" s="19" t="s">
        <v>1593</v>
      </c>
      <c r="C47" s="19" t="s">
        <v>1594</v>
      </c>
      <c r="E47" s="19" t="s">
        <v>1595</v>
      </c>
    </row>
    <row r="48">
      <c r="A48" s="19" t="s">
        <v>947</v>
      </c>
      <c r="C48" s="19" t="s">
        <v>610</v>
      </c>
      <c r="E48" s="19" t="s">
        <v>624</v>
      </c>
    </row>
    <row r="49">
      <c r="A49" s="19" t="s">
        <v>922</v>
      </c>
      <c r="E49" s="19" t="s">
        <v>927</v>
      </c>
    </row>
    <row r="50">
      <c r="E50" s="19" t="s">
        <v>1596</v>
      </c>
    </row>
    <row r="51">
      <c r="E51" s="19" t="s">
        <v>954</v>
      </c>
    </row>
    <row r="52">
      <c r="E52" s="19" t="s">
        <v>1597</v>
      </c>
    </row>
    <row r="53">
      <c r="E53" s="19" t="s">
        <v>1027</v>
      </c>
    </row>
    <row r="54">
      <c r="E54" s="19" t="s">
        <v>922</v>
      </c>
    </row>
    <row r="55">
      <c r="E55" s="19" t="s">
        <v>954</v>
      </c>
    </row>
    <row r="56">
      <c r="E56" s="19" t="s">
        <v>1598</v>
      </c>
    </row>
    <row r="57">
      <c r="E57" s="19" t="s">
        <v>610</v>
      </c>
    </row>
    <row r="58">
      <c r="E58" s="19" t="s">
        <v>932</v>
      </c>
    </row>
    <row r="59">
      <c r="E59" s="19" t="s">
        <v>954</v>
      </c>
    </row>
    <row r="60">
      <c r="A60" s="87"/>
    </row>
    <row r="61">
      <c r="A61" s="88" t="s">
        <v>978</v>
      </c>
    </row>
    <row r="62">
      <c r="A62" s="88">
        <v>37690.0</v>
      </c>
    </row>
    <row r="63">
      <c r="A63" s="89">
        <v>2026.0</v>
      </c>
    </row>
    <row r="64">
      <c r="A64" s="86" t="s">
        <v>550</v>
      </c>
      <c r="B64" s="86" t="s">
        <v>551</v>
      </c>
      <c r="C64" s="86" t="s">
        <v>552</v>
      </c>
      <c r="D64" s="86" t="s">
        <v>554</v>
      </c>
      <c r="E64" s="86" t="s">
        <v>555</v>
      </c>
      <c r="F64" s="86" t="s">
        <v>557</v>
      </c>
    </row>
    <row r="65">
      <c r="A65" s="63" t="s">
        <v>1605</v>
      </c>
      <c r="C65" s="63" t="s">
        <v>1304</v>
      </c>
      <c r="D65" s="63" t="s">
        <v>1607</v>
      </c>
      <c r="F65" s="63" t="s">
        <v>1608</v>
      </c>
    </row>
    <row r="66">
      <c r="A66" s="19" t="s">
        <v>1495</v>
      </c>
      <c r="C66" s="19" t="s">
        <v>1610</v>
      </c>
      <c r="D66" s="19" t="s">
        <v>1611</v>
      </c>
      <c r="F66" s="19" t="s">
        <v>1612</v>
      </c>
    </row>
    <row r="67">
      <c r="A67" s="19" t="s">
        <v>989</v>
      </c>
      <c r="C67" s="19" t="s">
        <v>573</v>
      </c>
      <c r="D67" s="19" t="s">
        <v>1613</v>
      </c>
      <c r="F67" s="19" t="s">
        <v>573</v>
      </c>
    </row>
    <row r="68">
      <c r="A68" s="19" t="s">
        <v>578</v>
      </c>
      <c r="D68" s="19" t="s">
        <v>1047</v>
      </c>
      <c r="F68" s="19" t="s">
        <v>932</v>
      </c>
    </row>
    <row r="69">
      <c r="A69" s="19" t="s">
        <v>1617</v>
      </c>
      <c r="F69" s="19" t="s">
        <v>595</v>
      </c>
    </row>
    <row r="70">
      <c r="A70" s="19" t="s">
        <v>1619</v>
      </c>
    </row>
    <row r="71">
      <c r="A71" s="19" t="s">
        <v>578</v>
      </c>
    </row>
    <row r="72">
      <c r="A72" s="19" t="s">
        <v>1621</v>
      </c>
    </row>
    <row r="73">
      <c r="A73" s="19" t="s">
        <v>572</v>
      </c>
    </row>
    <row r="74">
      <c r="A74" s="19" t="s">
        <v>578</v>
      </c>
    </row>
    <row r="75">
      <c r="A75" s="19" t="s">
        <v>1561</v>
      </c>
    </row>
    <row r="76">
      <c r="A76" s="19" t="s">
        <v>572</v>
      </c>
    </row>
    <row r="77">
      <c r="A77" s="19" t="s">
        <v>578</v>
      </c>
    </row>
    <row r="78">
      <c r="A78" s="87"/>
    </row>
    <row r="79">
      <c r="A79" s="2" t="s">
        <v>1624</v>
      </c>
    </row>
    <row r="80">
      <c r="A80" s="39">
        <v>2026.0</v>
      </c>
    </row>
    <row r="81">
      <c r="A81" s="92" t="s">
        <v>1625</v>
      </c>
    </row>
    <row r="82">
      <c r="A82" s="86" t="s">
        <v>646</v>
      </c>
      <c r="B82" s="86" t="s">
        <v>647</v>
      </c>
      <c r="C82" s="86" t="s">
        <v>648</v>
      </c>
      <c r="D82" s="86" t="s">
        <v>651</v>
      </c>
      <c r="E82" s="86" t="s">
        <v>653</v>
      </c>
      <c r="F82" s="86" t="s">
        <v>654</v>
      </c>
      <c r="G82" s="86" t="s">
        <v>655</v>
      </c>
      <c r="H82" s="86" t="s">
        <v>657</v>
      </c>
    </row>
    <row r="83">
      <c r="A83" s="79" t="s">
        <v>667</v>
      </c>
      <c r="B83" s="79" t="s">
        <v>667</v>
      </c>
      <c r="C83" s="79" t="s">
        <v>667</v>
      </c>
      <c r="D83" s="79" t="s">
        <v>667</v>
      </c>
      <c r="E83" s="79" t="s">
        <v>667</v>
      </c>
      <c r="F83" s="79" t="s">
        <v>667</v>
      </c>
      <c r="G83" s="79" t="s">
        <v>667</v>
      </c>
      <c r="H83" s="79" t="s">
        <v>667</v>
      </c>
    </row>
    <row r="88">
      <c r="A88" s="94" t="s">
        <v>719</v>
      </c>
    </row>
    <row r="89">
      <c r="A89" s="94">
        <f>A92</f>
        <v>27500</v>
      </c>
    </row>
    <row r="90">
      <c r="A90" s="94">
        <v>2026.0</v>
      </c>
    </row>
    <row r="91">
      <c r="A91" s="94" t="s">
        <v>724</v>
      </c>
    </row>
    <row r="92">
      <c r="A92" s="94">
        <f>A95+B95+C95+D95+E95+F95+G95+H95</f>
        <v>27500</v>
      </c>
    </row>
    <row r="93">
      <c r="A93" s="86" t="s">
        <v>731</v>
      </c>
      <c r="B93" s="86" t="s">
        <v>733</v>
      </c>
      <c r="C93" s="86" t="s">
        <v>735</v>
      </c>
      <c r="D93" s="86" t="s">
        <v>736</v>
      </c>
      <c r="E93" s="86" t="s">
        <v>737</v>
      </c>
      <c r="F93" s="86" t="s">
        <v>738</v>
      </c>
      <c r="G93" s="86" t="s">
        <v>740</v>
      </c>
      <c r="H93" s="86" t="s">
        <v>741</v>
      </c>
    </row>
    <row r="94">
      <c r="A94" s="14" t="s">
        <v>667</v>
      </c>
      <c r="B94" s="14" t="s">
        <v>667</v>
      </c>
      <c r="C94" s="14" t="s">
        <v>667</v>
      </c>
      <c r="D94" s="14" t="s">
        <v>667</v>
      </c>
      <c r="E94" s="14" t="s">
        <v>667</v>
      </c>
      <c r="F94" s="14" t="s">
        <v>667</v>
      </c>
      <c r="G94" s="14" t="s">
        <v>667</v>
      </c>
      <c r="H94" s="14" t="s">
        <v>667</v>
      </c>
    </row>
    <row r="95">
      <c r="A95" s="86">
        <v>9500.0</v>
      </c>
      <c r="B95" s="86">
        <v>0.0</v>
      </c>
      <c r="C95" s="86">
        <v>0.0</v>
      </c>
      <c r="D95" s="86">
        <v>0.0</v>
      </c>
      <c r="E95" s="86">
        <v>0.0</v>
      </c>
      <c r="F95" s="86">
        <v>0.0</v>
      </c>
      <c r="G95" s="86">
        <v>8250.0</v>
      </c>
      <c r="H95" s="86">
        <v>9750.0</v>
      </c>
    </row>
    <row r="96">
      <c r="A96" s="19" t="s">
        <v>1495</v>
      </c>
      <c r="G96" s="19" t="s">
        <v>1595</v>
      </c>
      <c r="H96" s="46" t="s">
        <v>1635</v>
      </c>
    </row>
    <row r="97">
      <c r="A97" s="19" t="s">
        <v>684</v>
      </c>
      <c r="G97" s="19" t="s">
        <v>1009</v>
      </c>
      <c r="H97" s="46" t="s">
        <v>1119</v>
      </c>
    </row>
    <row r="98">
      <c r="A98" s="19" t="s">
        <v>759</v>
      </c>
      <c r="G98" s="19" t="s">
        <v>1617</v>
      </c>
      <c r="H98" s="46" t="s">
        <v>1051</v>
      </c>
    </row>
    <row r="99">
      <c r="A99" s="19" t="s">
        <v>1638</v>
      </c>
      <c r="G99" s="19" t="s">
        <v>590</v>
      </c>
    </row>
    <row r="100">
      <c r="A100" s="19" t="s">
        <v>573</v>
      </c>
      <c r="G100" s="19" t="s">
        <v>1051</v>
      </c>
    </row>
    <row r="101">
      <c r="G101" s="19" t="s">
        <v>1639</v>
      </c>
    </row>
    <row r="102">
      <c r="G102" s="19" t="s">
        <v>573</v>
      </c>
    </row>
    <row r="105">
      <c r="A105" s="96" t="s">
        <v>1060</v>
      </c>
    </row>
    <row r="106">
      <c r="A106" s="96">
        <f>A109</f>
        <v>55900</v>
      </c>
    </row>
    <row r="107">
      <c r="A107" s="96">
        <v>2026.0</v>
      </c>
    </row>
    <row r="108">
      <c r="A108" s="96" t="s">
        <v>724</v>
      </c>
    </row>
    <row r="109">
      <c r="A109" s="116">
        <f>A112+B112+C112+D112+E112+F112+G112+H112+I112+J112</f>
        <v>55900</v>
      </c>
    </row>
    <row r="110">
      <c r="A110" s="109" t="s">
        <v>812</v>
      </c>
      <c r="B110" s="109" t="s">
        <v>815</v>
      </c>
      <c r="C110" s="109" t="s">
        <v>817</v>
      </c>
      <c r="D110" s="109" t="s">
        <v>819</v>
      </c>
      <c r="E110" s="109" t="s">
        <v>821</v>
      </c>
      <c r="F110" s="109" t="s">
        <v>822</v>
      </c>
      <c r="G110" s="109" t="s">
        <v>823</v>
      </c>
      <c r="H110" s="109" t="s">
        <v>825</v>
      </c>
      <c r="I110" s="99" t="s">
        <v>827</v>
      </c>
      <c r="J110" s="99" t="s">
        <v>829</v>
      </c>
    </row>
    <row r="111">
      <c r="A111" s="14" t="s">
        <v>667</v>
      </c>
      <c r="B111" s="14" t="s">
        <v>667</v>
      </c>
      <c r="C111" s="14" t="s">
        <v>667</v>
      </c>
      <c r="D111" s="14" t="s">
        <v>667</v>
      </c>
      <c r="E111" s="14" t="s">
        <v>667</v>
      </c>
      <c r="F111" s="14" t="s">
        <v>667</v>
      </c>
      <c r="G111" s="14" t="s">
        <v>667</v>
      </c>
      <c r="H111" s="14" t="s">
        <v>667</v>
      </c>
      <c r="I111" s="14" t="s">
        <v>667</v>
      </c>
      <c r="J111" s="14" t="s">
        <v>667</v>
      </c>
    </row>
    <row r="112">
      <c r="A112" s="86">
        <v>1700.0</v>
      </c>
      <c r="B112" s="86">
        <v>13500.0</v>
      </c>
      <c r="C112" s="86">
        <v>0.0</v>
      </c>
      <c r="D112" s="86">
        <v>10500.0</v>
      </c>
      <c r="E112" s="86">
        <v>0.0</v>
      </c>
      <c r="F112" s="86">
        <v>15600.0</v>
      </c>
      <c r="G112" s="86">
        <v>500.0</v>
      </c>
      <c r="H112" s="86">
        <v>9200.0</v>
      </c>
      <c r="I112" s="86">
        <v>4900.0</v>
      </c>
      <c r="J112" s="86">
        <v>0.0</v>
      </c>
    </row>
    <row r="113">
      <c r="A113" s="19" t="s">
        <v>1648</v>
      </c>
      <c r="B113" s="19" t="s">
        <v>1479</v>
      </c>
      <c r="D113" s="19" t="s">
        <v>1649</v>
      </c>
      <c r="F113" s="19" t="s">
        <v>1651</v>
      </c>
      <c r="G113" s="19" t="s">
        <v>1652</v>
      </c>
      <c r="H113" s="19" t="s">
        <v>1611</v>
      </c>
      <c r="I113" s="19" t="s">
        <v>1653</v>
      </c>
    </row>
    <row r="114">
      <c r="A114" s="19" t="s">
        <v>1364</v>
      </c>
      <c r="B114" s="19" t="s">
        <v>1223</v>
      </c>
      <c r="D114" s="19" t="s">
        <v>1009</v>
      </c>
      <c r="F114" s="19" t="s">
        <v>1119</v>
      </c>
      <c r="G114" s="19" t="s">
        <v>572</v>
      </c>
      <c r="H114" s="19" t="s">
        <v>1420</v>
      </c>
      <c r="I114" s="19" t="s">
        <v>872</v>
      </c>
    </row>
    <row r="115">
      <c r="A115" s="19" t="s">
        <v>1656</v>
      </c>
      <c r="B115" s="19" t="s">
        <v>851</v>
      </c>
      <c r="D115" s="19" t="s">
        <v>1658</v>
      </c>
      <c r="F115" s="19" t="s">
        <v>865</v>
      </c>
      <c r="H115" s="19" t="s">
        <v>1659</v>
      </c>
      <c r="I115" s="19" t="s">
        <v>855</v>
      </c>
    </row>
    <row r="116">
      <c r="A116" s="19" t="s">
        <v>572</v>
      </c>
      <c r="B116" s="19" t="s">
        <v>865</v>
      </c>
      <c r="D116" s="19" t="s">
        <v>573</v>
      </c>
      <c r="F116" s="19" t="s">
        <v>1660</v>
      </c>
      <c r="H116" s="19" t="s">
        <v>1027</v>
      </c>
      <c r="I116" s="19" t="s">
        <v>1661</v>
      </c>
    </row>
    <row r="117">
      <c r="B117" s="19" t="s">
        <v>1662</v>
      </c>
      <c r="D117" s="19" t="s">
        <v>1663</v>
      </c>
      <c r="F117" s="19" t="s">
        <v>572</v>
      </c>
      <c r="I117" s="19" t="s">
        <v>624</v>
      </c>
    </row>
    <row r="118">
      <c r="B118" s="19" t="s">
        <v>572</v>
      </c>
      <c r="D118" s="19" t="s">
        <v>989</v>
      </c>
      <c r="F118" s="19" t="s">
        <v>1667</v>
      </c>
      <c r="I118" s="19" t="s">
        <v>855</v>
      </c>
    </row>
    <row r="119">
      <c r="B119" s="19" t="s">
        <v>1669</v>
      </c>
      <c r="F119" s="19" t="s">
        <v>876</v>
      </c>
    </row>
    <row r="120">
      <c r="B120" s="19" t="s">
        <v>590</v>
      </c>
      <c r="F120" s="19" t="s">
        <v>1670</v>
      </c>
    </row>
    <row r="121">
      <c r="B121" s="19" t="s">
        <v>1672</v>
      </c>
      <c r="F121" s="19" t="s">
        <v>1009</v>
      </c>
    </row>
    <row r="122">
      <c r="B122" s="19" t="s">
        <v>572</v>
      </c>
    </row>
    <row r="123">
      <c r="A123" s="103" t="s">
        <v>882</v>
      </c>
    </row>
    <row r="124">
      <c r="A124" s="104" t="s">
        <v>884</v>
      </c>
    </row>
    <row r="125">
      <c r="A125" s="104">
        <f>A128</f>
        <v>62500</v>
      </c>
    </row>
    <row r="126">
      <c r="A126" s="104">
        <v>2026.0</v>
      </c>
    </row>
    <row r="127">
      <c r="A127" s="104" t="s">
        <v>724</v>
      </c>
    </row>
    <row r="128">
      <c r="A128" s="105">
        <f>A131+B131+C131+D131+E131+F131+G131+H131+I131+J131</f>
        <v>62500</v>
      </c>
    </row>
    <row r="129">
      <c r="A129" s="86" t="s">
        <v>887</v>
      </c>
      <c r="B129" s="86" t="s">
        <v>888</v>
      </c>
      <c r="C129" s="86" t="s">
        <v>891</v>
      </c>
      <c r="D129" s="86" t="s">
        <v>892</v>
      </c>
      <c r="E129" s="86" t="s">
        <v>893</v>
      </c>
      <c r="F129" s="86" t="s">
        <v>894</v>
      </c>
      <c r="G129" s="109" t="s">
        <v>895</v>
      </c>
      <c r="H129" s="102" t="s">
        <v>896</v>
      </c>
      <c r="I129" s="102" t="s">
        <v>897</v>
      </c>
      <c r="J129" s="102" t="s">
        <v>899</v>
      </c>
    </row>
    <row r="130">
      <c r="A130" s="14" t="s">
        <v>667</v>
      </c>
      <c r="B130" s="14" t="s">
        <v>667</v>
      </c>
      <c r="C130" s="14" t="s">
        <v>667</v>
      </c>
      <c r="D130" s="14" t="s">
        <v>667</v>
      </c>
      <c r="E130" s="14" t="s">
        <v>667</v>
      </c>
      <c r="F130" s="14" t="s">
        <v>667</v>
      </c>
      <c r="G130" s="14" t="s">
        <v>667</v>
      </c>
      <c r="H130" s="38" t="s">
        <v>667</v>
      </c>
      <c r="I130" s="38" t="s">
        <v>667</v>
      </c>
      <c r="J130" s="38" t="s">
        <v>667</v>
      </c>
    </row>
    <row r="131">
      <c r="A131" s="86">
        <v>40500.0</v>
      </c>
      <c r="B131" s="86"/>
      <c r="C131" s="86"/>
      <c r="D131" s="86"/>
      <c r="E131" s="86">
        <v>3000.0</v>
      </c>
      <c r="F131" s="86"/>
      <c r="G131" s="86">
        <v>19000.0</v>
      </c>
      <c r="H131" s="86"/>
      <c r="I131" s="86"/>
      <c r="J131" s="86"/>
    </row>
    <row r="132">
      <c r="A132" s="19" t="s">
        <v>1651</v>
      </c>
      <c r="E132" s="19" t="s">
        <v>1704</v>
      </c>
      <c r="G132" s="19" t="s">
        <v>1653</v>
      </c>
    </row>
    <row r="133">
      <c r="A133" s="19" t="s">
        <v>1426</v>
      </c>
      <c r="E133" s="19" t="s">
        <v>573</v>
      </c>
      <c r="G133" s="19" t="s">
        <v>947</v>
      </c>
    </row>
    <row r="134">
      <c r="A134" s="19" t="s">
        <v>909</v>
      </c>
      <c r="E134" s="19" t="s">
        <v>1712</v>
      </c>
      <c r="G134" s="19" t="s">
        <v>1617</v>
      </c>
    </row>
    <row r="135">
      <c r="A135" s="19" t="s">
        <v>1126</v>
      </c>
      <c r="E135" s="19" t="s">
        <v>573</v>
      </c>
      <c r="G135" s="19" t="s">
        <v>1214</v>
      </c>
    </row>
    <row r="136">
      <c r="A136" s="19" t="s">
        <v>1121</v>
      </c>
      <c r="E136" s="19" t="s">
        <v>1716</v>
      </c>
      <c r="G136" s="19" t="s">
        <v>934</v>
      </c>
    </row>
    <row r="137">
      <c r="E137" s="19" t="s">
        <v>573</v>
      </c>
    </row>
    <row r="146">
      <c r="A146" s="110" t="s">
        <v>943</v>
      </c>
    </row>
    <row r="147">
      <c r="A147" s="110">
        <f>A150</f>
        <v>86000</v>
      </c>
    </row>
    <row r="148">
      <c r="A148" s="110">
        <v>2026.0</v>
      </c>
    </row>
    <row r="149">
      <c r="A149" s="110" t="s">
        <v>724</v>
      </c>
    </row>
    <row r="150">
      <c r="A150" s="110">
        <f>A153+B153+C153+D153+E153+F153+G153+H153</f>
        <v>86000</v>
      </c>
    </row>
    <row r="151">
      <c r="A151" s="86" t="s">
        <v>953</v>
      </c>
      <c r="B151" s="86" t="s">
        <v>833</v>
      </c>
      <c r="C151" s="86" t="s">
        <v>834</v>
      </c>
      <c r="D151" s="86" t="s">
        <v>836</v>
      </c>
      <c r="E151" s="86" t="s">
        <v>956</v>
      </c>
      <c r="F151" s="86" t="s">
        <v>958</v>
      </c>
      <c r="G151" s="86" t="s">
        <v>844</v>
      </c>
      <c r="H151" s="86" t="s">
        <v>838</v>
      </c>
    </row>
    <row r="152">
      <c r="A152" s="14" t="s">
        <v>667</v>
      </c>
      <c r="B152" s="14" t="s">
        <v>667</v>
      </c>
      <c r="C152" s="14" t="s">
        <v>667</v>
      </c>
      <c r="D152" s="14" t="s">
        <v>667</v>
      </c>
      <c r="E152" s="14" t="s">
        <v>667</v>
      </c>
      <c r="F152" s="14" t="s">
        <v>667</v>
      </c>
      <c r="G152" s="14" t="s">
        <v>667</v>
      </c>
      <c r="H152" s="14" t="s">
        <v>667</v>
      </c>
    </row>
    <row r="153">
      <c r="A153" s="86">
        <v>0.0</v>
      </c>
      <c r="B153" s="86">
        <v>0.0</v>
      </c>
      <c r="C153" s="86">
        <v>0.0</v>
      </c>
      <c r="D153" s="86">
        <v>0.0</v>
      </c>
      <c r="E153" s="86">
        <v>1000.0</v>
      </c>
      <c r="F153" s="86">
        <v>0.0</v>
      </c>
      <c r="G153" s="86">
        <v>0.0</v>
      </c>
      <c r="H153" s="86">
        <f>19000+66000</f>
        <v>85000</v>
      </c>
    </row>
    <row r="154">
      <c r="E154" s="19" t="s">
        <v>1651</v>
      </c>
      <c r="H154" s="19" t="s">
        <v>1758</v>
      </c>
    </row>
    <row r="155">
      <c r="E155" s="19" t="s">
        <v>573</v>
      </c>
      <c r="H155" s="19" t="s">
        <v>573</v>
      </c>
    </row>
    <row r="156">
      <c r="H156" s="19" t="s">
        <v>1762</v>
      </c>
    </row>
    <row r="157">
      <c r="H157" s="19" t="s">
        <v>1450</v>
      </c>
    </row>
    <row r="158">
      <c r="H158" s="19" t="s">
        <v>1768</v>
      </c>
    </row>
    <row r="159">
      <c r="H159" s="19" t="s">
        <v>573</v>
      </c>
    </row>
    <row r="160">
      <c r="H160" s="19" t="s">
        <v>1450</v>
      </c>
    </row>
    <row r="161">
      <c r="H161" s="19" t="s">
        <v>1771</v>
      </c>
    </row>
    <row r="162">
      <c r="H162" s="19" t="s">
        <v>693</v>
      </c>
    </row>
    <row r="163">
      <c r="H163" s="19" t="s">
        <v>1148</v>
      </c>
    </row>
    <row r="164">
      <c r="H164" s="19" t="s">
        <v>1450</v>
      </c>
    </row>
    <row r="169">
      <c r="A169" s="163" t="s">
        <v>963</v>
      </c>
    </row>
    <row r="170">
      <c r="A170" s="163">
        <f>A173</f>
        <v>0</v>
      </c>
    </row>
    <row r="171">
      <c r="A171" s="163">
        <v>2026.0</v>
      </c>
    </row>
    <row r="172">
      <c r="A172" s="163" t="s">
        <v>724</v>
      </c>
    </row>
    <row r="173">
      <c r="A173" s="165">
        <f>A176+B176+C176+D176+E176+F176+G176+H176+I176+J176</f>
        <v>0</v>
      </c>
    </row>
    <row r="174">
      <c r="A174" s="100" t="s">
        <v>965</v>
      </c>
      <c r="B174" s="100" t="s">
        <v>966</v>
      </c>
      <c r="C174" s="100" t="s">
        <v>968</v>
      </c>
      <c r="D174" s="100" t="s">
        <v>969</v>
      </c>
      <c r="E174" s="100" t="s">
        <v>970</v>
      </c>
      <c r="F174" s="100" t="s">
        <v>971</v>
      </c>
      <c r="G174" s="100" t="s">
        <v>972</v>
      </c>
      <c r="H174" s="100" t="s">
        <v>973</v>
      </c>
      <c r="I174" s="100" t="s">
        <v>974</v>
      </c>
      <c r="J174" s="100" t="s">
        <v>975</v>
      </c>
    </row>
    <row r="175">
      <c r="A175" s="38" t="s">
        <v>667</v>
      </c>
      <c r="B175" s="38" t="s">
        <v>667</v>
      </c>
      <c r="C175" s="38" t="s">
        <v>667</v>
      </c>
      <c r="D175" s="38" t="s">
        <v>667</v>
      </c>
      <c r="E175" s="38" t="s">
        <v>667</v>
      </c>
      <c r="F175" s="38" t="s">
        <v>667</v>
      </c>
      <c r="G175" s="38" t="s">
        <v>667</v>
      </c>
      <c r="H175" s="38" t="s">
        <v>667</v>
      </c>
      <c r="I175" s="38" t="s">
        <v>667</v>
      </c>
      <c r="J175" s="38" t="s">
        <v>667</v>
      </c>
    </row>
    <row r="176">
      <c r="A176" s="100">
        <v>0.0</v>
      </c>
      <c r="B176" s="100">
        <v>0.0</v>
      </c>
      <c r="C176" s="100">
        <v>0.0</v>
      </c>
      <c r="D176" s="100">
        <v>0.0</v>
      </c>
      <c r="E176" s="100">
        <v>0.0</v>
      </c>
      <c r="F176" s="100">
        <v>0.0</v>
      </c>
      <c r="G176" s="100">
        <v>0.0</v>
      </c>
      <c r="H176" s="100">
        <v>0.0</v>
      </c>
      <c r="I176" s="100">
        <v>0.0</v>
      </c>
      <c r="J176" s="100">
        <v>0.0</v>
      </c>
    </row>
  </sheetData>
  <mergeCells count="57">
    <mergeCell ref="A150:H150"/>
    <mergeCell ref="A169:J169"/>
    <mergeCell ref="A170:J170"/>
    <mergeCell ref="A171:J171"/>
    <mergeCell ref="A172:J172"/>
    <mergeCell ref="A173:J173"/>
    <mergeCell ref="A126:J126"/>
    <mergeCell ref="A127:J127"/>
    <mergeCell ref="A128:J128"/>
    <mergeCell ref="A146:H146"/>
    <mergeCell ref="A147:H147"/>
    <mergeCell ref="A148:H148"/>
    <mergeCell ref="A149:H149"/>
    <mergeCell ref="A1:R1"/>
    <mergeCell ref="A2:R2"/>
    <mergeCell ref="A3:R3"/>
    <mergeCell ref="A4:R4"/>
    <mergeCell ref="H5:J5"/>
    <mergeCell ref="K5:M5"/>
    <mergeCell ref="N5:R5"/>
    <mergeCell ref="N8:N18"/>
    <mergeCell ref="N19:N21"/>
    <mergeCell ref="H6:J6"/>
    <mergeCell ref="K6:M6"/>
    <mergeCell ref="N6:R6"/>
    <mergeCell ref="K7:M7"/>
    <mergeCell ref="K8:M8"/>
    <mergeCell ref="O15:R15"/>
    <mergeCell ref="O19:R19"/>
    <mergeCell ref="O18:P18"/>
    <mergeCell ref="O21:P21"/>
    <mergeCell ref="A40:E40"/>
    <mergeCell ref="A41:E41"/>
    <mergeCell ref="A42:E42"/>
    <mergeCell ref="A43:E43"/>
    <mergeCell ref="A44:E44"/>
    <mergeCell ref="A60:F60"/>
    <mergeCell ref="A61:F61"/>
    <mergeCell ref="A62:F62"/>
    <mergeCell ref="A63:F63"/>
    <mergeCell ref="A78:H78"/>
    <mergeCell ref="A79:H79"/>
    <mergeCell ref="A80:H80"/>
    <mergeCell ref="A81:H81"/>
    <mergeCell ref="A88:H88"/>
    <mergeCell ref="A89:H89"/>
    <mergeCell ref="A90:H90"/>
    <mergeCell ref="A91:H91"/>
    <mergeCell ref="A92:H92"/>
    <mergeCell ref="A105:J105"/>
    <mergeCell ref="A106:J106"/>
    <mergeCell ref="A107:J107"/>
    <mergeCell ref="A108:J108"/>
    <mergeCell ref="A109:J109"/>
    <mergeCell ref="A123:J123"/>
    <mergeCell ref="A124:J124"/>
    <mergeCell ref="A125:J12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13"/>
    <col customWidth="1" min="2" max="2" width="34.13"/>
    <col customWidth="1" min="3" max="3" width="28.63"/>
    <col customWidth="1" min="4" max="4" width="32.38"/>
    <col customWidth="1" min="5" max="5" width="31.0"/>
    <col customWidth="1" min="6" max="6" width="28.0"/>
    <col customWidth="1" min="7" max="7" width="29.75"/>
    <col customWidth="1" min="8" max="8" width="28.63"/>
    <col customWidth="1" min="9" max="9" width="25.75"/>
    <col customWidth="1" min="10" max="10" width="28.75"/>
    <col customWidth="1" min="11" max="11" width="25.63"/>
    <col customWidth="1" min="12" max="12" width="23.63"/>
    <col customWidth="1" min="13" max="13" width="17.5"/>
    <col customWidth="1" min="16" max="16" width="14.88"/>
    <col customWidth="1" min="17" max="17" width="18.13"/>
    <col customWidth="1" min="22" max="22" width="29.75"/>
  </cols>
  <sheetData>
    <row r="1">
      <c r="A1" s="147" t="s">
        <v>1640</v>
      </c>
    </row>
    <row r="2">
      <c r="A2" s="148" t="s">
        <v>1641</v>
      </c>
    </row>
    <row r="3">
      <c r="A3" s="147" t="s">
        <v>10</v>
      </c>
    </row>
    <row r="4">
      <c r="A4" s="149">
        <f>100000+B6+C6+E6+E10+F6+G6+H6+A50+B22+K6+M6+P6</f>
        <v>2170385</v>
      </c>
    </row>
    <row r="5">
      <c r="A5" s="14" t="s">
        <v>24</v>
      </c>
      <c r="B5" s="150" t="s">
        <v>25</v>
      </c>
      <c r="C5" s="148" t="s">
        <v>1137</v>
      </c>
      <c r="D5" s="14" t="s">
        <v>37</v>
      </c>
      <c r="E5" s="150" t="s">
        <v>1139</v>
      </c>
      <c r="F5" s="14" t="s">
        <v>1644</v>
      </c>
      <c r="G5" s="150" t="s">
        <v>1645</v>
      </c>
      <c r="H5" s="14" t="s">
        <v>43</v>
      </c>
      <c r="K5" s="151" t="s">
        <v>250</v>
      </c>
      <c r="M5" s="14" t="s">
        <v>44</v>
      </c>
      <c r="P5" s="152" t="s">
        <v>33</v>
      </c>
    </row>
    <row r="6">
      <c r="A6" s="19" t="s">
        <v>1650</v>
      </c>
      <c r="B6" s="149">
        <v>-160000.0</v>
      </c>
      <c r="C6" s="149">
        <v>17000.0</v>
      </c>
      <c r="D6" s="19" t="s">
        <v>1654</v>
      </c>
      <c r="E6" s="149">
        <v>2000.0</v>
      </c>
      <c r="F6" s="149">
        <v>14200.0</v>
      </c>
      <c r="G6" s="149">
        <v>-20000.0</v>
      </c>
      <c r="H6" s="149">
        <v>42000.0</v>
      </c>
      <c r="K6" s="154">
        <v>5000.0</v>
      </c>
      <c r="M6" s="149">
        <v>-100000.0</v>
      </c>
      <c r="P6" s="149">
        <f>S13+S20+S29+S32</f>
        <v>172250</v>
      </c>
      <c r="V6" s="14"/>
    </row>
    <row r="7">
      <c r="A7" s="19" t="s">
        <v>1664</v>
      </c>
      <c r="B7" s="61" t="s">
        <v>55</v>
      </c>
      <c r="C7" s="19" t="s">
        <v>1665</v>
      </c>
      <c r="D7" s="19" t="s">
        <v>1666</v>
      </c>
      <c r="E7" s="19" t="s">
        <v>1668</v>
      </c>
      <c r="F7" s="19" t="s">
        <v>59</v>
      </c>
      <c r="G7" s="19" t="s">
        <v>62</v>
      </c>
      <c r="H7" s="86" t="s">
        <v>59</v>
      </c>
      <c r="K7" s="63" t="s">
        <v>297</v>
      </c>
      <c r="L7" s="63" t="s">
        <v>298</v>
      </c>
      <c r="M7" s="14" t="s">
        <v>1671</v>
      </c>
      <c r="P7" s="156" t="s">
        <v>64</v>
      </c>
      <c r="Q7" s="151" t="s">
        <v>65</v>
      </c>
      <c r="R7" s="151" t="s">
        <v>66</v>
      </c>
      <c r="S7" s="151" t="s">
        <v>0</v>
      </c>
      <c r="T7" s="151" t="s">
        <v>67</v>
      </c>
      <c r="V7" s="157"/>
    </row>
    <row r="8">
      <c r="A8" s="19" t="s">
        <v>1677</v>
      </c>
      <c r="B8" s="9" t="s">
        <v>192</v>
      </c>
      <c r="C8" s="19" t="s">
        <v>1678</v>
      </c>
      <c r="D8" s="19" t="s">
        <v>1679</v>
      </c>
      <c r="E8" s="19" t="s">
        <v>1681</v>
      </c>
      <c r="F8" s="19" t="s">
        <v>1682</v>
      </c>
      <c r="G8" s="19" t="s">
        <v>76</v>
      </c>
      <c r="H8" s="14" t="s">
        <v>1683</v>
      </c>
      <c r="I8" s="14" t="s">
        <v>1684</v>
      </c>
      <c r="J8" s="14" t="s">
        <v>61</v>
      </c>
      <c r="K8" s="19" t="s">
        <v>366</v>
      </c>
      <c r="L8" s="19" t="s">
        <v>1685</v>
      </c>
      <c r="P8" s="158" t="s">
        <v>1686</v>
      </c>
      <c r="Q8" s="159" t="s">
        <v>79</v>
      </c>
      <c r="R8" s="159">
        <v>10.0</v>
      </c>
      <c r="S8" s="159">
        <f>R8*1000</f>
        <v>10000</v>
      </c>
      <c r="T8" s="160">
        <f>R8*20</f>
        <v>200</v>
      </c>
    </row>
    <row r="9">
      <c r="A9" s="19" t="s">
        <v>1695</v>
      </c>
      <c r="B9" s="9" t="s">
        <v>218</v>
      </c>
      <c r="C9" s="19" t="s">
        <v>1696</v>
      </c>
      <c r="D9" s="19" t="s">
        <v>1697</v>
      </c>
      <c r="E9" s="14" t="s">
        <v>1698</v>
      </c>
      <c r="F9" s="19" t="s">
        <v>1699</v>
      </c>
      <c r="H9" s="19" t="s">
        <v>908</v>
      </c>
      <c r="I9" s="19" t="s">
        <v>1700</v>
      </c>
      <c r="J9" s="19" t="s">
        <v>1701</v>
      </c>
      <c r="Q9" s="159" t="s">
        <v>270</v>
      </c>
      <c r="R9" s="159">
        <v>4.0</v>
      </c>
      <c r="S9" s="160">
        <f>R9*3000</f>
        <v>12000</v>
      </c>
      <c r="T9" s="160">
        <f>R9*40</f>
        <v>160</v>
      </c>
    </row>
    <row r="10">
      <c r="A10" s="19" t="s">
        <v>1710</v>
      </c>
      <c r="B10" s="9" t="s">
        <v>243</v>
      </c>
      <c r="C10" s="19" t="s">
        <v>1713</v>
      </c>
      <c r="D10" s="19" t="s">
        <v>1714</v>
      </c>
      <c r="E10" s="149">
        <v>-1000.0</v>
      </c>
      <c r="F10" s="19" t="s">
        <v>100</v>
      </c>
      <c r="H10" s="19" t="s">
        <v>374</v>
      </c>
      <c r="I10" s="19" t="s">
        <v>127</v>
      </c>
      <c r="J10" s="19" t="s">
        <v>1715</v>
      </c>
      <c r="Q10" s="159" t="s">
        <v>141</v>
      </c>
      <c r="R10" s="159">
        <v>1.0</v>
      </c>
      <c r="S10" s="160">
        <f>R10*5000</f>
        <v>5000</v>
      </c>
      <c r="T10" s="160">
        <f>R10*100</f>
        <v>100</v>
      </c>
    </row>
    <row r="11">
      <c r="A11" s="19" t="s">
        <v>1722</v>
      </c>
      <c r="B11" s="9" t="s">
        <v>272</v>
      </c>
      <c r="C11" s="19" t="s">
        <v>1723</v>
      </c>
      <c r="D11" s="19" t="s">
        <v>1724</v>
      </c>
      <c r="E11" s="19" t="s">
        <v>1725</v>
      </c>
      <c r="F11" s="19" t="s">
        <v>593</v>
      </c>
      <c r="H11" s="19" t="s">
        <v>281</v>
      </c>
      <c r="I11" s="19" t="s">
        <v>1729</v>
      </c>
      <c r="J11" s="19" t="s">
        <v>1730</v>
      </c>
      <c r="Q11" s="159" t="s">
        <v>152</v>
      </c>
    </row>
    <row r="12">
      <c r="A12" s="19" t="s">
        <v>1735</v>
      </c>
      <c r="B12" s="61" t="s">
        <v>170</v>
      </c>
      <c r="C12" s="19" t="s">
        <v>1520</v>
      </c>
      <c r="D12" s="19" t="s">
        <v>1736</v>
      </c>
      <c r="E12" s="19" t="s">
        <v>1737</v>
      </c>
      <c r="F12" s="19" t="s">
        <v>1738</v>
      </c>
      <c r="H12" s="19" t="s">
        <v>1739</v>
      </c>
      <c r="I12" s="19" t="s">
        <v>1740</v>
      </c>
      <c r="J12" s="19" t="s">
        <v>1741</v>
      </c>
      <c r="Q12" s="159" t="s">
        <v>162</v>
      </c>
      <c r="R12" s="159">
        <v>1.5</v>
      </c>
      <c r="S12" s="160">
        <f>R12*1500</f>
        <v>2250</v>
      </c>
      <c r="T12" s="160">
        <f>R12*40</f>
        <v>60</v>
      </c>
    </row>
    <row r="13">
      <c r="A13" s="19" t="s">
        <v>1748</v>
      </c>
      <c r="B13" s="9" t="s">
        <v>321</v>
      </c>
      <c r="C13" s="19" t="s">
        <v>1749</v>
      </c>
      <c r="D13" s="19" t="s">
        <v>1750</v>
      </c>
      <c r="F13" s="19" t="s">
        <v>505</v>
      </c>
      <c r="H13" s="19" t="s">
        <v>193</v>
      </c>
      <c r="I13" s="19" t="s">
        <v>1752</v>
      </c>
      <c r="J13" s="19" t="s">
        <v>1754</v>
      </c>
      <c r="Q13" s="147" t="s">
        <v>94</v>
      </c>
      <c r="S13" s="161">
        <f t="shared" ref="S13:T13" si="1">S8+S9+S10+S12</f>
        <v>29250</v>
      </c>
      <c r="T13" s="161">
        <f t="shared" si="1"/>
        <v>520</v>
      </c>
    </row>
    <row r="14">
      <c r="A14" s="19" t="s">
        <v>1760</v>
      </c>
      <c r="B14" s="61" t="s">
        <v>196</v>
      </c>
      <c r="C14" s="19" t="s">
        <v>1764</v>
      </c>
      <c r="D14" s="19" t="s">
        <v>1766</v>
      </c>
      <c r="F14" s="19" t="s">
        <v>636</v>
      </c>
      <c r="H14" s="19" t="s">
        <v>831</v>
      </c>
      <c r="I14" s="19" t="s">
        <v>495</v>
      </c>
      <c r="J14" s="19" t="s">
        <v>1769</v>
      </c>
      <c r="P14" s="158" t="s">
        <v>1770</v>
      </c>
      <c r="Q14" s="162" t="s">
        <v>79</v>
      </c>
      <c r="R14" s="162">
        <v>1.0</v>
      </c>
      <c r="S14" s="162">
        <f>R14*1000</f>
        <v>1000</v>
      </c>
      <c r="T14" s="160">
        <f>R14*20</f>
        <v>20</v>
      </c>
    </row>
    <row r="15">
      <c r="A15" s="19" t="s">
        <v>1776</v>
      </c>
      <c r="B15" s="9" t="s">
        <v>359</v>
      </c>
      <c r="C15" s="19" t="s">
        <v>1777</v>
      </c>
      <c r="F15" s="19" t="s">
        <v>445</v>
      </c>
      <c r="H15" s="19" t="s">
        <v>1567</v>
      </c>
      <c r="I15" s="19" t="s">
        <v>1778</v>
      </c>
      <c r="Q15" s="162" t="s">
        <v>117</v>
      </c>
      <c r="R15" s="162">
        <v>0.5</v>
      </c>
      <c r="S15" s="164">
        <f>R15*2000</f>
        <v>1000</v>
      </c>
      <c r="T15" s="160">
        <f t="shared" ref="T15:T16" si="2">R15*40</f>
        <v>20</v>
      </c>
    </row>
    <row r="16">
      <c r="A16" s="19" t="s">
        <v>1783</v>
      </c>
      <c r="B16" s="9" t="s">
        <v>379</v>
      </c>
      <c r="C16" s="19" t="s">
        <v>1510</v>
      </c>
      <c r="F16" s="19" t="s">
        <v>1307</v>
      </c>
      <c r="H16" s="19" t="s">
        <v>281</v>
      </c>
      <c r="I16" s="19" t="s">
        <v>189</v>
      </c>
      <c r="Q16" s="162" t="s">
        <v>270</v>
      </c>
      <c r="R16" s="162">
        <v>0.5</v>
      </c>
      <c r="S16" s="164">
        <f>R16*3000</f>
        <v>1500</v>
      </c>
      <c r="T16" s="160">
        <f t="shared" si="2"/>
        <v>20</v>
      </c>
    </row>
    <row r="17">
      <c r="A17" s="19" t="s">
        <v>1789</v>
      </c>
      <c r="B17" s="9" t="s">
        <v>406</v>
      </c>
      <c r="C17" s="19" t="s">
        <v>1793</v>
      </c>
      <c r="F17" s="19" t="s">
        <v>1770</v>
      </c>
      <c r="H17" s="19" t="s">
        <v>859</v>
      </c>
      <c r="I17" s="19" t="s">
        <v>1794</v>
      </c>
      <c r="Q17" s="159" t="s">
        <v>141</v>
      </c>
      <c r="R17" s="159">
        <v>1.5</v>
      </c>
      <c r="S17" s="160">
        <f>R17*5000</f>
        <v>7500</v>
      </c>
      <c r="T17" s="160">
        <f>R17*100</f>
        <v>150</v>
      </c>
    </row>
    <row r="18">
      <c r="A18" s="19" t="s">
        <v>1799</v>
      </c>
      <c r="C18" s="19" t="s">
        <v>57</v>
      </c>
      <c r="F18" s="19" t="s">
        <v>445</v>
      </c>
      <c r="H18" s="19" t="s">
        <v>508</v>
      </c>
      <c r="Q18" s="159" t="s">
        <v>152</v>
      </c>
    </row>
    <row r="19">
      <c r="A19" s="19" t="s">
        <v>1800</v>
      </c>
      <c r="C19" s="19" t="s">
        <v>1801</v>
      </c>
      <c r="F19" s="19" t="s">
        <v>636</v>
      </c>
      <c r="H19" s="19" t="s">
        <v>1802</v>
      </c>
      <c r="Q19" s="159" t="s">
        <v>496</v>
      </c>
      <c r="R19" s="159">
        <v>1.5</v>
      </c>
      <c r="S19" s="160">
        <f>R19*1500</f>
        <v>2250</v>
      </c>
      <c r="T19" s="160">
        <f>R19*40</f>
        <v>60</v>
      </c>
    </row>
    <row r="20">
      <c r="A20" s="19" t="s">
        <v>1805</v>
      </c>
      <c r="C20" s="19" t="s">
        <v>544</v>
      </c>
      <c r="F20" s="19" t="s">
        <v>1807</v>
      </c>
      <c r="H20" s="19" t="s">
        <v>374</v>
      </c>
      <c r="Q20" s="147" t="s">
        <v>94</v>
      </c>
      <c r="S20" s="161">
        <f t="shared" ref="S20:T20" si="3">S14+S15+S16+S19+S17</f>
        <v>13250</v>
      </c>
      <c r="T20" s="161">
        <f t="shared" si="3"/>
        <v>270</v>
      </c>
    </row>
    <row r="21">
      <c r="A21" s="19" t="s">
        <v>1811</v>
      </c>
      <c r="B21" s="166" t="s">
        <v>1812</v>
      </c>
      <c r="C21" s="19" t="s">
        <v>1813</v>
      </c>
      <c r="F21" s="19" t="s">
        <v>266</v>
      </c>
      <c r="H21" s="19" t="s">
        <v>281</v>
      </c>
      <c r="P21" s="158" t="s">
        <v>1815</v>
      </c>
      <c r="Q21" s="159" t="s">
        <v>270</v>
      </c>
      <c r="R21" s="159">
        <v>7.0</v>
      </c>
      <c r="S21" s="160">
        <f>R21*3000</f>
        <v>21000</v>
      </c>
      <c r="T21" s="160">
        <f>R21*40</f>
        <v>280</v>
      </c>
    </row>
    <row r="22">
      <c r="A22" s="19" t="s">
        <v>1820</v>
      </c>
      <c r="B22" s="167">
        <v>10000.0</v>
      </c>
      <c r="C22" s="19" t="s">
        <v>535</v>
      </c>
      <c r="F22" s="19" t="s">
        <v>1307</v>
      </c>
      <c r="H22" s="19" t="s">
        <v>1822</v>
      </c>
      <c r="Q22" s="159" t="s">
        <v>141</v>
      </c>
      <c r="R22" s="159">
        <v>4.0</v>
      </c>
      <c r="S22" s="160">
        <f>R22*5000</f>
        <v>20000</v>
      </c>
      <c r="T22" s="160">
        <f>R22*100</f>
        <v>400</v>
      </c>
    </row>
    <row r="23">
      <c r="A23" s="19" t="s">
        <v>1825</v>
      </c>
      <c r="B23" s="19" t="s">
        <v>1826</v>
      </c>
      <c r="C23" s="19" t="s">
        <v>1827</v>
      </c>
      <c r="F23" s="19" t="s">
        <v>1828</v>
      </c>
      <c r="H23" s="19" t="s">
        <v>193</v>
      </c>
      <c r="Q23" s="159" t="s">
        <v>128</v>
      </c>
      <c r="R23" s="159">
        <v>8.0</v>
      </c>
      <c r="S23" s="160">
        <f>R23*8000</f>
        <v>64000</v>
      </c>
      <c r="T23" s="160">
        <f>R23*80</f>
        <v>640</v>
      </c>
    </row>
    <row r="24">
      <c r="A24" s="19" t="s">
        <v>1832</v>
      </c>
      <c r="B24" s="19" t="s">
        <v>1833</v>
      </c>
      <c r="F24" s="19" t="s">
        <v>193</v>
      </c>
      <c r="H24" s="19" t="s">
        <v>114</v>
      </c>
      <c r="Q24" s="159" t="s">
        <v>152</v>
      </c>
    </row>
    <row r="25">
      <c r="A25" s="19" t="s">
        <v>1836</v>
      </c>
      <c r="B25" s="19" t="s">
        <v>1837</v>
      </c>
      <c r="F25" s="19" t="s">
        <v>1189</v>
      </c>
      <c r="H25" s="19" t="s">
        <v>139</v>
      </c>
      <c r="Q25" s="159" t="s">
        <v>327</v>
      </c>
      <c r="R25" s="159">
        <v>3.0</v>
      </c>
      <c r="S25" s="160">
        <f t="shared" ref="S25:S28" si="4">R25*1500</f>
        <v>4500</v>
      </c>
      <c r="T25" s="160">
        <f t="shared" ref="T25:T28" si="5">R25*40</f>
        <v>120</v>
      </c>
    </row>
    <row r="26">
      <c r="A26" s="19" t="s">
        <v>1841</v>
      </c>
      <c r="F26" s="19" t="s">
        <v>505</v>
      </c>
      <c r="H26" s="19" t="s">
        <v>816</v>
      </c>
      <c r="Q26" s="159" t="s">
        <v>1845</v>
      </c>
      <c r="R26" s="159">
        <v>1.0</v>
      </c>
      <c r="S26" s="160">
        <f t="shared" si="4"/>
        <v>1500</v>
      </c>
      <c r="T26" s="160">
        <f t="shared" si="5"/>
        <v>40</v>
      </c>
    </row>
    <row r="27">
      <c r="A27" s="19" t="s">
        <v>1846</v>
      </c>
      <c r="F27" s="19" t="s">
        <v>1222</v>
      </c>
      <c r="H27" s="19" t="s">
        <v>1847</v>
      </c>
      <c r="Q27" s="159" t="s">
        <v>162</v>
      </c>
      <c r="R27" s="159">
        <v>10.5</v>
      </c>
      <c r="S27" s="160">
        <f t="shared" si="4"/>
        <v>15750</v>
      </c>
      <c r="T27" s="160">
        <f t="shared" si="5"/>
        <v>420</v>
      </c>
    </row>
    <row r="28">
      <c r="A28" s="19" t="s">
        <v>1850</v>
      </c>
      <c r="F28" s="19" t="s">
        <v>445</v>
      </c>
      <c r="H28" s="19" t="s">
        <v>1853</v>
      </c>
      <c r="Q28" s="159" t="s">
        <v>175</v>
      </c>
      <c r="R28" s="159">
        <v>1.5</v>
      </c>
      <c r="S28" s="160">
        <f t="shared" si="4"/>
        <v>2250</v>
      </c>
      <c r="T28" s="160">
        <f t="shared" si="5"/>
        <v>60</v>
      </c>
    </row>
    <row r="29">
      <c r="A29" s="19" t="s">
        <v>1859</v>
      </c>
      <c r="F29" s="19" t="s">
        <v>441</v>
      </c>
      <c r="H29" s="19" t="s">
        <v>460</v>
      </c>
      <c r="Q29" s="147" t="s">
        <v>94</v>
      </c>
      <c r="S29" s="161">
        <f t="shared" ref="S29:T29" si="6">S21+S22+S23+S25+S26+S27+S28</f>
        <v>129000</v>
      </c>
      <c r="T29" s="161">
        <f t="shared" si="6"/>
        <v>1960</v>
      </c>
    </row>
    <row r="30">
      <c r="A30" s="19" t="s">
        <v>1874</v>
      </c>
      <c r="F30" s="19" t="s">
        <v>1876</v>
      </c>
      <c r="H30" s="19" t="s">
        <v>831</v>
      </c>
      <c r="P30" s="172" t="s">
        <v>1881</v>
      </c>
      <c r="Q30" s="159" t="s">
        <v>152</v>
      </c>
    </row>
    <row r="31">
      <c r="F31" s="19" t="s">
        <v>1886</v>
      </c>
      <c r="H31" s="19" t="s">
        <v>1587</v>
      </c>
      <c r="Q31" s="159" t="s">
        <v>496</v>
      </c>
      <c r="R31" s="159">
        <v>0.5</v>
      </c>
      <c r="S31" s="160">
        <f>R31*1500</f>
        <v>750</v>
      </c>
      <c r="T31" s="160">
        <f>R31*40</f>
        <v>20</v>
      </c>
    </row>
    <row r="32">
      <c r="F32" s="19" t="s">
        <v>441</v>
      </c>
      <c r="H32" s="19" t="s">
        <v>256</v>
      </c>
      <c r="Q32" s="147" t="s">
        <v>94</v>
      </c>
      <c r="S32" s="161">
        <f t="shared" ref="S32:T32" si="7">S31</f>
        <v>750</v>
      </c>
      <c r="T32" s="161">
        <f t="shared" si="7"/>
        <v>20</v>
      </c>
    </row>
    <row r="33">
      <c r="F33" s="19" t="s">
        <v>284</v>
      </c>
      <c r="H33" s="19" t="s">
        <v>522</v>
      </c>
    </row>
    <row r="34">
      <c r="F34" s="19" t="s">
        <v>1898</v>
      </c>
      <c r="H34" s="19" t="s">
        <v>859</v>
      </c>
    </row>
    <row r="35">
      <c r="F35" s="19" t="s">
        <v>445</v>
      </c>
      <c r="H35" s="19" t="s">
        <v>1900</v>
      </c>
    </row>
    <row r="36">
      <c r="F36" s="19" t="s">
        <v>284</v>
      </c>
      <c r="H36" s="19" t="s">
        <v>139</v>
      </c>
    </row>
    <row r="37">
      <c r="F37" s="19" t="s">
        <v>1901</v>
      </c>
      <c r="H37" s="19" t="s">
        <v>859</v>
      </c>
    </row>
    <row r="38">
      <c r="H38" s="19" t="s">
        <v>1902</v>
      </c>
    </row>
    <row r="39">
      <c r="H39" s="19" t="s">
        <v>100</v>
      </c>
    </row>
    <row r="40">
      <c r="H40" s="19" t="s">
        <v>444</v>
      </c>
    </row>
    <row r="41">
      <c r="H41" s="19" t="s">
        <v>126</v>
      </c>
    </row>
    <row r="42">
      <c r="H42" s="19" t="s">
        <v>1908</v>
      </c>
    </row>
    <row r="43">
      <c r="H43" s="19" t="s">
        <v>1911</v>
      </c>
    </row>
    <row r="44">
      <c r="H44" s="19" t="s">
        <v>206</v>
      </c>
    </row>
    <row r="45">
      <c r="I45" s="19"/>
    </row>
    <row r="46">
      <c r="I46" s="19"/>
    </row>
    <row r="47">
      <c r="I47" s="19"/>
    </row>
    <row r="48">
      <c r="I48" s="19"/>
    </row>
    <row r="49">
      <c r="A49" s="81" t="s">
        <v>504</v>
      </c>
    </row>
    <row r="50">
      <c r="A50" s="81">
        <f>A52+A75+A91+A110+A130+A149+A181+A210</f>
        <v>2088935</v>
      </c>
    </row>
    <row r="51">
      <c r="A51" s="84" t="s">
        <v>520</v>
      </c>
    </row>
    <row r="52">
      <c r="A52" s="84">
        <v>54150.0</v>
      </c>
    </row>
    <row r="53">
      <c r="A53" s="84">
        <v>2026.0</v>
      </c>
    </row>
    <row r="54">
      <c r="A54" s="86" t="s">
        <v>526</v>
      </c>
      <c r="B54" s="86" t="s">
        <v>528</v>
      </c>
      <c r="C54" s="86" t="s">
        <v>529</v>
      </c>
      <c r="D54" s="86" t="s">
        <v>531</v>
      </c>
      <c r="E54" s="86" t="s">
        <v>533</v>
      </c>
    </row>
    <row r="55">
      <c r="A55" s="63" t="s">
        <v>1305</v>
      </c>
      <c r="C55" s="63" t="s">
        <v>561</v>
      </c>
      <c r="D55" s="63" t="s">
        <v>1923</v>
      </c>
      <c r="E55" s="63" t="s">
        <v>1924</v>
      </c>
    </row>
    <row r="56">
      <c r="A56" s="19" t="s">
        <v>1925</v>
      </c>
      <c r="C56" s="19" t="s">
        <v>1926</v>
      </c>
      <c r="D56" s="19" t="s">
        <v>1928</v>
      </c>
      <c r="E56" s="19" t="s">
        <v>1930</v>
      </c>
    </row>
    <row r="57">
      <c r="A57" s="19" t="s">
        <v>1009</v>
      </c>
      <c r="C57" s="19" t="s">
        <v>1364</v>
      </c>
      <c r="D57" s="19" t="s">
        <v>590</v>
      </c>
      <c r="E57" s="19" t="s">
        <v>683</v>
      </c>
    </row>
    <row r="58">
      <c r="A58" s="19" t="s">
        <v>922</v>
      </c>
      <c r="D58" s="19" t="s">
        <v>999</v>
      </c>
      <c r="E58" s="19" t="s">
        <v>922</v>
      </c>
    </row>
    <row r="59">
      <c r="A59" s="19" t="s">
        <v>946</v>
      </c>
      <c r="D59" s="19" t="s">
        <v>998</v>
      </c>
      <c r="E59" s="19" t="s">
        <v>1935</v>
      </c>
    </row>
    <row r="60">
      <c r="A60" s="19" t="s">
        <v>1937</v>
      </c>
      <c r="D60" s="19" t="s">
        <v>950</v>
      </c>
      <c r="E60" s="19" t="s">
        <v>954</v>
      </c>
    </row>
    <row r="61">
      <c r="A61" s="19" t="s">
        <v>1939</v>
      </c>
      <c r="D61" s="19" t="s">
        <v>1940</v>
      </c>
      <c r="E61" s="176" t="s">
        <v>1941</v>
      </c>
    </row>
    <row r="62">
      <c r="A62" s="19" t="s">
        <v>590</v>
      </c>
      <c r="D62" s="19" t="s">
        <v>683</v>
      </c>
      <c r="E62" s="176" t="s">
        <v>573</v>
      </c>
    </row>
    <row r="63">
      <c r="A63" s="19" t="s">
        <v>1942</v>
      </c>
      <c r="D63" s="19" t="s">
        <v>950</v>
      </c>
    </row>
    <row r="64">
      <c r="A64" s="19" t="s">
        <v>610</v>
      </c>
      <c r="D64" s="19" t="s">
        <v>1943</v>
      </c>
    </row>
    <row r="65">
      <c r="A65" s="19" t="s">
        <v>927</v>
      </c>
      <c r="D65" s="19" t="s">
        <v>573</v>
      </c>
    </row>
    <row r="66">
      <c r="D66" s="19" t="s">
        <v>1935</v>
      </c>
    </row>
    <row r="67">
      <c r="D67" s="19" t="s">
        <v>922</v>
      </c>
    </row>
    <row r="68">
      <c r="D68" s="19" t="s">
        <v>1946</v>
      </c>
    </row>
    <row r="69">
      <c r="D69" s="19" t="s">
        <v>950</v>
      </c>
    </row>
    <row r="70">
      <c r="D70" s="19" t="s">
        <v>1948</v>
      </c>
    </row>
    <row r="71">
      <c r="D71" s="19" t="s">
        <v>1364</v>
      </c>
    </row>
    <row r="72">
      <c r="D72" s="19" t="s">
        <v>950</v>
      </c>
    </row>
    <row r="73">
      <c r="A73" s="87"/>
    </row>
    <row r="74">
      <c r="A74" s="88" t="s">
        <v>978</v>
      </c>
    </row>
    <row r="75">
      <c r="A75" s="88">
        <v>42660.0</v>
      </c>
    </row>
    <row r="76">
      <c r="A76" s="89">
        <v>2026.0</v>
      </c>
    </row>
    <row r="77">
      <c r="A77" s="86" t="s">
        <v>550</v>
      </c>
      <c r="B77" s="86" t="s">
        <v>551</v>
      </c>
      <c r="C77" s="86" t="s">
        <v>552</v>
      </c>
      <c r="D77" s="86" t="s">
        <v>554</v>
      </c>
      <c r="E77" s="86" t="s">
        <v>555</v>
      </c>
      <c r="F77" s="86" t="s">
        <v>557</v>
      </c>
    </row>
    <row r="78">
      <c r="A78" s="63" t="s">
        <v>559</v>
      </c>
      <c r="B78" s="63" t="s">
        <v>1954</v>
      </c>
      <c r="C78" s="63" t="s">
        <v>1303</v>
      </c>
      <c r="D78" s="63" t="s">
        <v>1955</v>
      </c>
      <c r="E78" s="63" t="s">
        <v>1956</v>
      </c>
      <c r="F78" s="63" t="s">
        <v>1957</v>
      </c>
    </row>
    <row r="79">
      <c r="A79" s="19" t="s">
        <v>1073</v>
      </c>
      <c r="B79" s="19" t="s">
        <v>1930</v>
      </c>
      <c r="C79" s="19" t="s">
        <v>1928</v>
      </c>
      <c r="D79" s="19" t="s">
        <v>1925</v>
      </c>
      <c r="E79" s="19" t="s">
        <v>1965</v>
      </c>
      <c r="F79" s="19" t="s">
        <v>1966</v>
      </c>
    </row>
    <row r="80">
      <c r="A80" s="19" t="s">
        <v>572</v>
      </c>
      <c r="B80" s="19" t="s">
        <v>1969</v>
      </c>
      <c r="C80" s="19" t="s">
        <v>1970</v>
      </c>
      <c r="D80" s="19" t="s">
        <v>1972</v>
      </c>
      <c r="E80" s="19" t="s">
        <v>572</v>
      </c>
      <c r="F80" s="19" t="s">
        <v>1975</v>
      </c>
    </row>
    <row r="81">
      <c r="A81" s="19" t="s">
        <v>578</v>
      </c>
      <c r="B81" s="19" t="s">
        <v>1939</v>
      </c>
      <c r="C81" s="19" t="s">
        <v>1976</v>
      </c>
      <c r="D81" s="19" t="s">
        <v>1935</v>
      </c>
      <c r="E81" s="19" t="s">
        <v>1374</v>
      </c>
      <c r="F81" s="19" t="s">
        <v>1977</v>
      </c>
    </row>
    <row r="82">
      <c r="B82" s="19" t="s">
        <v>1407</v>
      </c>
      <c r="C82" s="19" t="s">
        <v>572</v>
      </c>
      <c r="D82" s="19" t="s">
        <v>584</v>
      </c>
      <c r="E82" s="19" t="s">
        <v>1981</v>
      </c>
      <c r="F82" s="19" t="s">
        <v>932</v>
      </c>
    </row>
    <row r="83">
      <c r="B83" s="19" t="s">
        <v>1983</v>
      </c>
      <c r="C83" s="19" t="s">
        <v>1984</v>
      </c>
      <c r="E83" s="19" t="s">
        <v>572</v>
      </c>
      <c r="F83" s="19" t="s">
        <v>595</v>
      </c>
    </row>
    <row r="84">
      <c r="B84" s="19" t="s">
        <v>572</v>
      </c>
      <c r="C84" s="19" t="s">
        <v>572</v>
      </c>
      <c r="E84" s="19" t="s">
        <v>949</v>
      </c>
      <c r="F84" s="19" t="s">
        <v>1991</v>
      </c>
    </row>
    <row r="85">
      <c r="B85" s="19" t="s">
        <v>1977</v>
      </c>
      <c r="C85" s="19" t="s">
        <v>932</v>
      </c>
      <c r="E85" s="19" t="s">
        <v>603</v>
      </c>
      <c r="F85" s="19" t="s">
        <v>1998</v>
      </c>
    </row>
    <row r="86">
      <c r="B86" s="19" t="s">
        <v>932</v>
      </c>
      <c r="C86" s="19" t="s">
        <v>2001</v>
      </c>
      <c r="E86" s="19" t="s">
        <v>1374</v>
      </c>
      <c r="F86" s="19" t="s">
        <v>595</v>
      </c>
    </row>
    <row r="87">
      <c r="C87" s="19" t="s">
        <v>1279</v>
      </c>
    </row>
    <row r="88">
      <c r="C88" s="19" t="s">
        <v>932</v>
      </c>
    </row>
    <row r="89">
      <c r="A89" s="87"/>
    </row>
    <row r="90">
      <c r="A90" s="2" t="s">
        <v>635</v>
      </c>
    </row>
    <row r="91">
      <c r="A91" s="2">
        <v>118800.0</v>
      </c>
    </row>
    <row r="92">
      <c r="A92" s="39">
        <v>2026.0</v>
      </c>
    </row>
    <row r="93">
      <c r="A93" s="92" t="s">
        <v>2012</v>
      </c>
    </row>
    <row r="94">
      <c r="A94" s="86" t="s">
        <v>646</v>
      </c>
      <c r="B94" s="86" t="s">
        <v>647</v>
      </c>
      <c r="C94" s="86" t="s">
        <v>648</v>
      </c>
      <c r="D94" s="86" t="s">
        <v>651</v>
      </c>
      <c r="E94" s="86" t="s">
        <v>653</v>
      </c>
      <c r="F94" s="86" t="s">
        <v>654</v>
      </c>
      <c r="G94" s="86" t="s">
        <v>655</v>
      </c>
      <c r="H94" s="86" t="s">
        <v>657</v>
      </c>
    </row>
    <row r="95">
      <c r="A95" s="79" t="s">
        <v>2023</v>
      </c>
      <c r="B95" s="79" t="s">
        <v>2025</v>
      </c>
      <c r="C95" s="79" t="s">
        <v>2026</v>
      </c>
      <c r="D95" s="79" t="s">
        <v>2028</v>
      </c>
      <c r="E95" s="79" t="s">
        <v>2029</v>
      </c>
      <c r="F95" s="79" t="s">
        <v>1390</v>
      </c>
      <c r="G95" s="79" t="s">
        <v>667</v>
      </c>
      <c r="H95" s="79" t="s">
        <v>2030</v>
      </c>
    </row>
    <row r="96">
      <c r="A96" s="19" t="s">
        <v>2032</v>
      </c>
      <c r="B96" s="19" t="s">
        <v>2034</v>
      </c>
      <c r="C96" s="19" t="s">
        <v>2035</v>
      </c>
      <c r="D96" s="19" t="s">
        <v>1686</v>
      </c>
      <c r="E96" s="19" t="s">
        <v>2037</v>
      </c>
      <c r="F96" s="19" t="s">
        <v>2038</v>
      </c>
      <c r="H96" s="19" t="s">
        <v>1699</v>
      </c>
    </row>
    <row r="97">
      <c r="A97" s="19" t="s">
        <v>1009</v>
      </c>
      <c r="B97" s="19" t="s">
        <v>947</v>
      </c>
      <c r="C97" s="19" t="s">
        <v>1009</v>
      </c>
      <c r="D97" s="19" t="s">
        <v>574</v>
      </c>
      <c r="E97" s="19" t="s">
        <v>878</v>
      </c>
      <c r="F97" s="19" t="s">
        <v>989</v>
      </c>
      <c r="H97" s="19" t="s">
        <v>1514</v>
      </c>
    </row>
    <row r="98">
      <c r="A98" s="19" t="s">
        <v>2043</v>
      </c>
      <c r="B98" s="19" t="s">
        <v>1023</v>
      </c>
      <c r="C98" s="19" t="s">
        <v>2045</v>
      </c>
      <c r="D98" s="19" t="s">
        <v>2046</v>
      </c>
      <c r="E98" s="19" t="s">
        <v>652</v>
      </c>
      <c r="H98" s="19" t="s">
        <v>2047</v>
      </c>
    </row>
    <row r="99">
      <c r="A99" s="19" t="s">
        <v>1009</v>
      </c>
      <c r="B99" s="19" t="s">
        <v>690</v>
      </c>
      <c r="C99" s="19" t="s">
        <v>698</v>
      </c>
      <c r="D99" s="19" t="s">
        <v>2048</v>
      </c>
      <c r="E99" s="19" t="s">
        <v>1135</v>
      </c>
      <c r="H99" s="19" t="s">
        <v>2049</v>
      </c>
    </row>
    <row r="100">
      <c r="C100" s="19" t="s">
        <v>2051</v>
      </c>
      <c r="D100" s="19" t="s">
        <v>2053</v>
      </c>
      <c r="H100" s="19" t="s">
        <v>684</v>
      </c>
    </row>
    <row r="101">
      <c r="C101" s="19" t="s">
        <v>1023</v>
      </c>
      <c r="D101" s="19" t="s">
        <v>1108</v>
      </c>
      <c r="H101" s="19" t="s">
        <v>2046</v>
      </c>
    </row>
    <row r="102">
      <c r="C102" s="19" t="s">
        <v>538</v>
      </c>
      <c r="D102" s="19" t="s">
        <v>2046</v>
      </c>
      <c r="H102" s="19" t="s">
        <v>685</v>
      </c>
    </row>
    <row r="103">
      <c r="C103" s="19" t="s">
        <v>989</v>
      </c>
      <c r="D103" s="19" t="s">
        <v>1023</v>
      </c>
      <c r="H103" s="19" t="s">
        <v>2060</v>
      </c>
    </row>
    <row r="104">
      <c r="C104" s="19" t="s">
        <v>697</v>
      </c>
      <c r="H104" s="19" t="s">
        <v>572</v>
      </c>
    </row>
    <row r="105">
      <c r="C105" s="19" t="s">
        <v>2067</v>
      </c>
      <c r="H105" s="19" t="s">
        <v>2069</v>
      </c>
    </row>
    <row r="106">
      <c r="C106" s="19" t="s">
        <v>1048</v>
      </c>
      <c r="H106" s="19" t="s">
        <v>572</v>
      </c>
    </row>
    <row r="109">
      <c r="A109" s="94" t="s">
        <v>2071</v>
      </c>
    </row>
    <row r="110">
      <c r="A110" s="94">
        <f>-160000+A114+45000</f>
        <v>583275</v>
      </c>
    </row>
    <row r="111">
      <c r="A111" s="94">
        <v>2026.0</v>
      </c>
    </row>
    <row r="112">
      <c r="A112" s="187" t="s">
        <v>2091</v>
      </c>
    </row>
    <row r="113">
      <c r="A113" s="94" t="s">
        <v>2094</v>
      </c>
    </row>
    <row r="114">
      <c r="A114" s="94">
        <f>A117+B117+C117+D117+E117+F117+G117+H117</f>
        <v>698275</v>
      </c>
    </row>
    <row r="115">
      <c r="A115" s="86" t="s">
        <v>731</v>
      </c>
      <c r="B115" s="86" t="s">
        <v>733</v>
      </c>
      <c r="C115" s="86" t="s">
        <v>735</v>
      </c>
      <c r="D115" s="86" t="s">
        <v>736</v>
      </c>
      <c r="E115" s="86" t="s">
        <v>737</v>
      </c>
      <c r="F115" s="86" t="s">
        <v>738</v>
      </c>
      <c r="G115" s="86" t="s">
        <v>740</v>
      </c>
      <c r="H115" s="86" t="s">
        <v>741</v>
      </c>
    </row>
    <row r="116">
      <c r="A116" s="14" t="s">
        <v>667</v>
      </c>
      <c r="B116" s="14" t="s">
        <v>744</v>
      </c>
      <c r="C116" s="14" t="s">
        <v>744</v>
      </c>
      <c r="D116" s="14" t="s">
        <v>744</v>
      </c>
      <c r="E116" s="14" t="s">
        <v>744</v>
      </c>
      <c r="F116" s="14" t="s">
        <v>744</v>
      </c>
      <c r="G116" s="14" t="s">
        <v>667</v>
      </c>
      <c r="H116" s="14" t="s">
        <v>744</v>
      </c>
    </row>
    <row r="117">
      <c r="A117" s="86">
        <v>92000.0</v>
      </c>
      <c r="B117" s="86">
        <v>78000.0</v>
      </c>
      <c r="C117" s="86">
        <v>96675.0</v>
      </c>
      <c r="D117" s="86">
        <v>71500.0</v>
      </c>
      <c r="E117" s="86">
        <v>112150.0</v>
      </c>
      <c r="F117" s="86">
        <v>73750.0</v>
      </c>
      <c r="G117" s="86">
        <v>82750.0</v>
      </c>
      <c r="H117" s="86">
        <v>91450.0</v>
      </c>
    </row>
    <row r="118">
      <c r="A118" s="19" t="s">
        <v>1930</v>
      </c>
      <c r="B118" s="19" t="s">
        <v>1486</v>
      </c>
      <c r="C118" s="19" t="s">
        <v>1965</v>
      </c>
      <c r="D118" s="19" t="s">
        <v>914</v>
      </c>
      <c r="E118" s="19" t="s">
        <v>2114</v>
      </c>
      <c r="F118" s="19" t="s">
        <v>2117</v>
      </c>
      <c r="G118" s="19" t="s">
        <v>2119</v>
      </c>
      <c r="H118" s="19" t="s">
        <v>2120</v>
      </c>
    </row>
    <row r="119">
      <c r="A119" s="19" t="s">
        <v>2123</v>
      </c>
      <c r="B119" s="19" t="s">
        <v>2123</v>
      </c>
      <c r="C119" s="19" t="s">
        <v>2123</v>
      </c>
      <c r="D119" s="19" t="s">
        <v>2123</v>
      </c>
      <c r="E119" s="19" t="s">
        <v>2123</v>
      </c>
      <c r="F119" s="19" t="s">
        <v>2123</v>
      </c>
      <c r="G119" s="19" t="s">
        <v>2123</v>
      </c>
      <c r="H119" s="19" t="s">
        <v>2123</v>
      </c>
    </row>
    <row r="120">
      <c r="A120" s="19" t="s">
        <v>2132</v>
      </c>
      <c r="B120" s="19" t="s">
        <v>2133</v>
      </c>
      <c r="C120" s="19" t="s">
        <v>2134</v>
      </c>
      <c r="D120" s="19" t="s">
        <v>2135</v>
      </c>
      <c r="E120" s="19" t="s">
        <v>2137</v>
      </c>
      <c r="F120" s="19" t="s">
        <v>1216</v>
      </c>
      <c r="G120" s="19" t="s">
        <v>760</v>
      </c>
      <c r="H120" s="19" t="s">
        <v>1051</v>
      </c>
    </row>
    <row r="121">
      <c r="A121" s="19" t="s">
        <v>858</v>
      </c>
      <c r="B121" s="19" t="s">
        <v>858</v>
      </c>
      <c r="C121" s="19" t="s">
        <v>1939</v>
      </c>
      <c r="D121" s="19" t="s">
        <v>858</v>
      </c>
      <c r="E121" s="19" t="s">
        <v>1981</v>
      </c>
      <c r="F121" s="19" t="s">
        <v>760</v>
      </c>
      <c r="G121" s="19" t="s">
        <v>2147</v>
      </c>
      <c r="H121" s="19" t="s">
        <v>2150</v>
      </c>
    </row>
    <row r="122">
      <c r="A122" s="19" t="s">
        <v>2151</v>
      </c>
      <c r="B122" s="19" t="s">
        <v>2153</v>
      </c>
      <c r="C122" s="19" t="s">
        <v>858</v>
      </c>
      <c r="D122" s="19" t="s">
        <v>2155</v>
      </c>
      <c r="E122" s="19" t="s">
        <v>858</v>
      </c>
      <c r="F122" s="19" t="s">
        <v>2156</v>
      </c>
      <c r="G122" s="19" t="s">
        <v>858</v>
      </c>
      <c r="H122" s="19" t="s">
        <v>2157</v>
      </c>
    </row>
    <row r="123">
      <c r="A123" s="19" t="s">
        <v>2158</v>
      </c>
      <c r="B123" s="19" t="s">
        <v>624</v>
      </c>
      <c r="C123" s="19" t="s">
        <v>1054</v>
      </c>
      <c r="D123" s="19" t="s">
        <v>573</v>
      </c>
      <c r="E123" s="19" t="s">
        <v>760</v>
      </c>
      <c r="F123" s="19" t="s">
        <v>858</v>
      </c>
      <c r="G123" s="19" t="s">
        <v>2160</v>
      </c>
      <c r="H123" s="19" t="s">
        <v>858</v>
      </c>
    </row>
    <row r="124">
      <c r="A124" s="19" t="s">
        <v>573</v>
      </c>
      <c r="B124" s="19" t="s">
        <v>2163</v>
      </c>
      <c r="C124" s="19" t="s">
        <v>2165</v>
      </c>
      <c r="D124" s="19" t="s">
        <v>2167</v>
      </c>
      <c r="E124" s="19" t="s">
        <v>764</v>
      </c>
      <c r="G124" s="19" t="s">
        <v>1119</v>
      </c>
      <c r="H124" s="19" t="s">
        <v>766</v>
      </c>
    </row>
    <row r="125">
      <c r="A125" s="19" t="s">
        <v>2176</v>
      </c>
      <c r="B125" s="19" t="s">
        <v>1417</v>
      </c>
      <c r="C125" s="19" t="s">
        <v>693</v>
      </c>
      <c r="D125" s="19" t="s">
        <v>572</v>
      </c>
      <c r="G125" s="19" t="s">
        <v>2182</v>
      </c>
    </row>
    <row r="126">
      <c r="A126" s="19" t="s">
        <v>573</v>
      </c>
      <c r="B126" s="19" t="s">
        <v>2183</v>
      </c>
      <c r="C126" s="19" t="s">
        <v>1054</v>
      </c>
      <c r="G126" s="19" t="s">
        <v>590</v>
      </c>
    </row>
    <row r="127">
      <c r="B127" s="19" t="s">
        <v>572</v>
      </c>
    </row>
    <row r="128">
      <c r="A128" s="115" t="s">
        <v>2189</v>
      </c>
    </row>
    <row r="129">
      <c r="A129" s="96" t="s">
        <v>1060</v>
      </c>
    </row>
    <row r="130">
      <c r="A130" s="96">
        <f>A133</f>
        <v>184800</v>
      </c>
    </row>
    <row r="131">
      <c r="A131" s="96">
        <v>2026.0</v>
      </c>
    </row>
    <row r="132">
      <c r="A132" s="96" t="s">
        <v>724</v>
      </c>
    </row>
    <row r="133">
      <c r="A133" s="116">
        <f>A136+B136+C136+D136+E136+F136+G136+H136+I136+J136</f>
        <v>184800</v>
      </c>
    </row>
    <row r="134">
      <c r="A134" s="109" t="s">
        <v>812</v>
      </c>
      <c r="B134" s="109" t="s">
        <v>815</v>
      </c>
      <c r="C134" s="109" t="s">
        <v>817</v>
      </c>
      <c r="D134" s="109" t="s">
        <v>819</v>
      </c>
      <c r="E134" s="109" t="s">
        <v>821</v>
      </c>
      <c r="F134" s="109" t="s">
        <v>822</v>
      </c>
      <c r="G134" s="109" t="s">
        <v>823</v>
      </c>
      <c r="H134" s="109" t="s">
        <v>825</v>
      </c>
      <c r="I134" s="99" t="s">
        <v>827</v>
      </c>
      <c r="J134" s="99" t="s">
        <v>829</v>
      </c>
    </row>
    <row r="135">
      <c r="A135" s="14" t="s">
        <v>667</v>
      </c>
      <c r="B135" s="14" t="s">
        <v>667</v>
      </c>
      <c r="C135" s="14" t="s">
        <v>667</v>
      </c>
      <c r="D135" s="14" t="s">
        <v>667</v>
      </c>
      <c r="E135" s="14" t="s">
        <v>667</v>
      </c>
      <c r="F135" s="14" t="s">
        <v>667</v>
      </c>
      <c r="G135" s="14" t="s">
        <v>667</v>
      </c>
      <c r="H135" s="14" t="s">
        <v>667</v>
      </c>
      <c r="I135" s="14" t="s">
        <v>667</v>
      </c>
      <c r="J135" s="14" t="s">
        <v>667</v>
      </c>
    </row>
    <row r="136">
      <c r="A136" s="86">
        <v>63000.0</v>
      </c>
      <c r="B136" s="86">
        <v>36000.0</v>
      </c>
      <c r="C136" s="86">
        <v>17700.0</v>
      </c>
      <c r="D136" s="86">
        <v>10100.0</v>
      </c>
      <c r="E136" s="86">
        <v>28500.0</v>
      </c>
      <c r="F136" s="86">
        <v>0.0</v>
      </c>
      <c r="G136" s="86">
        <v>15500.0</v>
      </c>
      <c r="H136" s="86">
        <v>13500.0</v>
      </c>
      <c r="I136" s="86">
        <v>0.0</v>
      </c>
      <c r="J136" s="86">
        <v>500.0</v>
      </c>
    </row>
    <row r="137">
      <c r="A137" s="19" t="s">
        <v>1925</v>
      </c>
      <c r="B137" s="19" t="s">
        <v>2213</v>
      </c>
      <c r="C137" s="192" t="s">
        <v>2215</v>
      </c>
      <c r="D137" s="192" t="s">
        <v>2220</v>
      </c>
      <c r="E137" s="192" t="s">
        <v>2223</v>
      </c>
      <c r="G137" s="192" t="s">
        <v>2038</v>
      </c>
      <c r="H137" s="192" t="s">
        <v>2228</v>
      </c>
      <c r="J137" s="19" t="s">
        <v>2231</v>
      </c>
    </row>
    <row r="138">
      <c r="A138" s="19" t="s">
        <v>871</v>
      </c>
      <c r="B138" s="19" t="s">
        <v>1556</v>
      </c>
      <c r="C138" s="19" t="s">
        <v>1108</v>
      </c>
      <c r="D138" s="19" t="s">
        <v>1334</v>
      </c>
      <c r="E138" s="19" t="s">
        <v>984</v>
      </c>
      <c r="G138" s="19" t="s">
        <v>1173</v>
      </c>
      <c r="H138" s="19" t="s">
        <v>572</v>
      </c>
      <c r="J138" s="19" t="s">
        <v>572</v>
      </c>
    </row>
    <row r="139">
      <c r="A139" s="192" t="s">
        <v>1940</v>
      </c>
      <c r="B139" s="19" t="s">
        <v>2238</v>
      </c>
      <c r="C139" s="192" t="s">
        <v>2240</v>
      </c>
      <c r="D139" s="192" t="s">
        <v>2242</v>
      </c>
      <c r="E139" s="192" t="s">
        <v>2246</v>
      </c>
      <c r="G139" s="192" t="s">
        <v>2247</v>
      </c>
      <c r="H139" s="192" t="s">
        <v>2248</v>
      </c>
    </row>
    <row r="140">
      <c r="A140" s="19" t="s">
        <v>1514</v>
      </c>
      <c r="B140" s="19" t="s">
        <v>1108</v>
      </c>
      <c r="C140" s="19" t="s">
        <v>870</v>
      </c>
      <c r="D140" s="19" t="s">
        <v>939</v>
      </c>
      <c r="E140" s="19" t="s">
        <v>572</v>
      </c>
      <c r="G140" s="19" t="s">
        <v>572</v>
      </c>
      <c r="H140" s="19" t="s">
        <v>2250</v>
      </c>
    </row>
    <row r="141">
      <c r="A141" s="192" t="s">
        <v>2252</v>
      </c>
      <c r="B141" s="19" t="s">
        <v>851</v>
      </c>
      <c r="C141" s="192" t="s">
        <v>2255</v>
      </c>
      <c r="D141" s="19" t="s">
        <v>865</v>
      </c>
      <c r="E141" s="192" t="s">
        <v>2258</v>
      </c>
    </row>
    <row r="142">
      <c r="A142" s="19" t="s">
        <v>1108</v>
      </c>
      <c r="B142" s="19" t="s">
        <v>865</v>
      </c>
      <c r="C142" s="19" t="s">
        <v>1334</v>
      </c>
      <c r="E142" s="19" t="s">
        <v>1048</v>
      </c>
    </row>
    <row r="143">
      <c r="A143" s="192" t="s">
        <v>2262</v>
      </c>
    </row>
    <row r="144">
      <c r="A144" s="19" t="s">
        <v>572</v>
      </c>
    </row>
    <row r="145">
      <c r="A145" s="192" t="s">
        <v>2266</v>
      </c>
    </row>
    <row r="146">
      <c r="A146" s="19" t="s">
        <v>572</v>
      </c>
    </row>
    <row r="147">
      <c r="A147" s="103" t="s">
        <v>882</v>
      </c>
    </row>
    <row r="148">
      <c r="A148" s="104" t="s">
        <v>884</v>
      </c>
    </row>
    <row r="149">
      <c r="A149" s="104">
        <f>A152</f>
        <v>682000</v>
      </c>
    </row>
    <row r="150">
      <c r="A150" s="104">
        <v>2026.0</v>
      </c>
    </row>
    <row r="151">
      <c r="A151" s="104" t="s">
        <v>724</v>
      </c>
    </row>
    <row r="152">
      <c r="A152" s="105">
        <f>A155+B155+C155+D155+E155+F155+G155+H155+I155+J155</f>
        <v>682000</v>
      </c>
    </row>
    <row r="153">
      <c r="A153" s="86" t="s">
        <v>887</v>
      </c>
      <c r="B153" s="86" t="s">
        <v>888</v>
      </c>
      <c r="C153" s="86" t="s">
        <v>891</v>
      </c>
      <c r="D153" s="86" t="s">
        <v>892</v>
      </c>
      <c r="E153" s="86" t="s">
        <v>893</v>
      </c>
      <c r="F153" s="86" t="s">
        <v>894</v>
      </c>
      <c r="G153" s="109" t="s">
        <v>895</v>
      </c>
      <c r="H153" s="102" t="s">
        <v>896</v>
      </c>
      <c r="I153" s="102" t="s">
        <v>897</v>
      </c>
      <c r="J153" s="102" t="s">
        <v>899</v>
      </c>
    </row>
    <row r="154">
      <c r="A154" s="14" t="s">
        <v>667</v>
      </c>
      <c r="B154" s="14" t="s">
        <v>667</v>
      </c>
      <c r="C154" s="14" t="s">
        <v>667</v>
      </c>
      <c r="D154" s="14" t="s">
        <v>667</v>
      </c>
      <c r="E154" s="14" t="s">
        <v>667</v>
      </c>
      <c r="F154" s="14" t="s">
        <v>667</v>
      </c>
      <c r="G154" s="14" t="s">
        <v>667</v>
      </c>
      <c r="H154" s="38" t="s">
        <v>667</v>
      </c>
      <c r="I154" s="38" t="s">
        <v>667</v>
      </c>
      <c r="J154" s="38" t="s">
        <v>667</v>
      </c>
    </row>
    <row r="155">
      <c r="A155" s="86">
        <v>210000.0</v>
      </c>
      <c r="B155" s="86">
        <v>1000.0</v>
      </c>
      <c r="C155" s="86">
        <v>54500.0</v>
      </c>
      <c r="D155" s="86"/>
      <c r="E155" s="86">
        <v>144500.0</v>
      </c>
      <c r="F155" s="86"/>
      <c r="G155" s="86">
        <v>168000.0</v>
      </c>
      <c r="H155" s="86"/>
      <c r="I155" s="86"/>
      <c r="J155" s="86">
        <v>104000.0</v>
      </c>
    </row>
    <row r="156">
      <c r="A156" s="19" t="s">
        <v>1930</v>
      </c>
      <c r="B156" s="19" t="s">
        <v>2299</v>
      </c>
      <c r="C156" s="19" t="s">
        <v>914</v>
      </c>
      <c r="E156" s="19" t="s">
        <v>1925</v>
      </c>
      <c r="G156" s="19" t="s">
        <v>2302</v>
      </c>
      <c r="J156" s="19" t="s">
        <v>315</v>
      </c>
    </row>
    <row r="157">
      <c r="A157" s="19" t="s">
        <v>1380</v>
      </c>
      <c r="B157" s="19" t="s">
        <v>573</v>
      </c>
      <c r="C157" s="19" t="s">
        <v>1380</v>
      </c>
      <c r="E157" s="19" t="s">
        <v>1494</v>
      </c>
      <c r="G157" s="19" t="s">
        <v>1380</v>
      </c>
      <c r="J157" s="19" t="s">
        <v>1380</v>
      </c>
    </row>
    <row r="158">
      <c r="A158" s="19" t="s">
        <v>2307</v>
      </c>
      <c r="C158" s="19" t="s">
        <v>909</v>
      </c>
      <c r="E158" s="19" t="s">
        <v>1940</v>
      </c>
      <c r="G158" s="19" t="s">
        <v>909</v>
      </c>
      <c r="J158" s="19" t="s">
        <v>909</v>
      </c>
    </row>
    <row r="159">
      <c r="A159" s="19" t="s">
        <v>2311</v>
      </c>
      <c r="C159" s="19" t="s">
        <v>924</v>
      </c>
      <c r="E159" s="19" t="s">
        <v>1380</v>
      </c>
      <c r="G159" s="19" t="s">
        <v>2313</v>
      </c>
      <c r="J159" s="19" t="s">
        <v>1126</v>
      </c>
    </row>
    <row r="160">
      <c r="A160" s="19" t="s">
        <v>1121</v>
      </c>
      <c r="E160" s="19" t="s">
        <v>2316</v>
      </c>
      <c r="G160" s="19" t="s">
        <v>2135</v>
      </c>
      <c r="J160" s="19" t="s">
        <v>2319</v>
      </c>
    </row>
    <row r="161">
      <c r="A161" s="19" t="s">
        <v>2322</v>
      </c>
      <c r="E161" s="19" t="s">
        <v>1279</v>
      </c>
      <c r="G161" s="19" t="s">
        <v>906</v>
      </c>
      <c r="J161" s="19" t="s">
        <v>984</v>
      </c>
    </row>
    <row r="162">
      <c r="A162" s="19" t="s">
        <v>906</v>
      </c>
      <c r="E162" s="19" t="s">
        <v>909</v>
      </c>
      <c r="G162" s="19" t="s">
        <v>909</v>
      </c>
      <c r="J162" s="19" t="s">
        <v>2326</v>
      </c>
    </row>
    <row r="163">
      <c r="A163" s="19" t="s">
        <v>924</v>
      </c>
      <c r="E163" s="19" t="s">
        <v>924</v>
      </c>
      <c r="G163" s="19" t="s">
        <v>2331</v>
      </c>
      <c r="J163" s="19" t="s">
        <v>1119</v>
      </c>
    </row>
    <row r="164">
      <c r="A164" s="19" t="s">
        <v>1121</v>
      </c>
      <c r="G164" s="19" t="s">
        <v>2332</v>
      </c>
      <c r="J164" s="19" t="s">
        <v>924</v>
      </c>
    </row>
    <row r="165">
      <c r="A165" s="19" t="s">
        <v>2333</v>
      </c>
      <c r="G165" s="19" t="s">
        <v>2334</v>
      </c>
      <c r="J165" s="19" t="s">
        <v>2335</v>
      </c>
    </row>
    <row r="166">
      <c r="A166" s="19" t="s">
        <v>2336</v>
      </c>
      <c r="G166" s="19" t="s">
        <v>907</v>
      </c>
      <c r="J166" s="19" t="s">
        <v>1076</v>
      </c>
    </row>
    <row r="167">
      <c r="A167" s="19" t="s">
        <v>1121</v>
      </c>
    </row>
    <row r="168">
      <c r="A168" s="19" t="s">
        <v>2338</v>
      </c>
    </row>
    <row r="169">
      <c r="A169" s="19" t="s">
        <v>573</v>
      </c>
    </row>
    <row r="170">
      <c r="A170" s="19" t="s">
        <v>933</v>
      </c>
    </row>
    <row r="171">
      <c r="A171" s="19" t="s">
        <v>924</v>
      </c>
    </row>
    <row r="172">
      <c r="A172" s="19" t="s">
        <v>1121</v>
      </c>
    </row>
    <row r="173">
      <c r="A173" s="19" t="s">
        <v>2340</v>
      </c>
    </row>
    <row r="174">
      <c r="A174" s="19" t="s">
        <v>573</v>
      </c>
    </row>
    <row r="175">
      <c r="A175" s="19" t="s">
        <v>909</v>
      </c>
    </row>
    <row r="176">
      <c r="A176" s="19" t="s">
        <v>2342</v>
      </c>
    </row>
    <row r="177">
      <c r="A177" s="19" t="s">
        <v>1121</v>
      </c>
    </row>
    <row r="180">
      <c r="A180" s="110" t="s">
        <v>943</v>
      </c>
    </row>
    <row r="181">
      <c r="A181" s="110">
        <f>A184</f>
        <v>251250</v>
      </c>
    </row>
    <row r="182">
      <c r="A182" s="110">
        <v>2026.0</v>
      </c>
    </row>
    <row r="183">
      <c r="A183" s="110" t="s">
        <v>724</v>
      </c>
    </row>
    <row r="184">
      <c r="A184" s="110">
        <f>A187+B187+C187+D187+E187+F187+G187+H187</f>
        <v>251250</v>
      </c>
    </row>
    <row r="185">
      <c r="A185" s="86" t="s">
        <v>953</v>
      </c>
      <c r="B185" s="86" t="s">
        <v>833</v>
      </c>
      <c r="C185" s="86" t="s">
        <v>834</v>
      </c>
      <c r="D185" s="86" t="s">
        <v>836</v>
      </c>
      <c r="E185" s="86" t="s">
        <v>956</v>
      </c>
      <c r="F185" s="86" t="s">
        <v>958</v>
      </c>
      <c r="G185" s="86" t="s">
        <v>844</v>
      </c>
      <c r="H185" s="86" t="s">
        <v>838</v>
      </c>
    </row>
    <row r="186">
      <c r="A186" s="14" t="s">
        <v>667</v>
      </c>
      <c r="B186" s="14" t="s">
        <v>667</v>
      </c>
      <c r="C186" s="14" t="s">
        <v>667</v>
      </c>
      <c r="D186" s="14" t="s">
        <v>667</v>
      </c>
      <c r="E186" s="14" t="s">
        <v>667</v>
      </c>
      <c r="F186" s="14" t="s">
        <v>667</v>
      </c>
      <c r="G186" s="14" t="s">
        <v>667</v>
      </c>
      <c r="H186" s="14" t="s">
        <v>667</v>
      </c>
    </row>
    <row r="187">
      <c r="A187" s="86">
        <v>0.0</v>
      </c>
      <c r="B187" s="86">
        <v>4500.0</v>
      </c>
      <c r="C187" s="86">
        <v>0.0</v>
      </c>
      <c r="D187" s="86">
        <v>0.0</v>
      </c>
      <c r="E187" s="86">
        <v>31000.0</v>
      </c>
      <c r="F187" s="86">
        <v>12000.0</v>
      </c>
      <c r="G187" s="86">
        <v>146750.0</v>
      </c>
      <c r="H187" s="86">
        <f>35000+22000</f>
        <v>57000</v>
      </c>
    </row>
    <row r="188">
      <c r="B188" s="19" t="s">
        <v>2299</v>
      </c>
      <c r="E188" s="19" t="s">
        <v>2355</v>
      </c>
      <c r="F188" s="19" t="s">
        <v>2356</v>
      </c>
      <c r="G188" s="19" t="s">
        <v>1965</v>
      </c>
      <c r="H188" s="19" t="s">
        <v>1925</v>
      </c>
    </row>
    <row r="189">
      <c r="B189" s="19" t="s">
        <v>573</v>
      </c>
      <c r="E189" s="19" t="s">
        <v>929</v>
      </c>
      <c r="F189" s="19" t="s">
        <v>1214</v>
      </c>
      <c r="G189" s="19" t="s">
        <v>1539</v>
      </c>
      <c r="H189" s="19" t="s">
        <v>1340</v>
      </c>
    </row>
    <row r="190">
      <c r="B190" s="19" t="s">
        <v>1449</v>
      </c>
      <c r="E190" s="19" t="s">
        <v>2361</v>
      </c>
      <c r="G190" s="19" t="s">
        <v>1488</v>
      </c>
      <c r="H190" s="19" t="s">
        <v>1450</v>
      </c>
    </row>
    <row r="191">
      <c r="E191" s="19" t="s">
        <v>573</v>
      </c>
      <c r="G191" s="19" t="s">
        <v>1991</v>
      </c>
    </row>
    <row r="192">
      <c r="G192" s="19" t="s">
        <v>682</v>
      </c>
    </row>
    <row r="193">
      <c r="G193" s="19" t="s">
        <v>2369</v>
      </c>
    </row>
    <row r="194">
      <c r="G194" s="19" t="s">
        <v>1239</v>
      </c>
    </row>
    <row r="195">
      <c r="G195" s="19" t="s">
        <v>2335</v>
      </c>
    </row>
    <row r="196">
      <c r="G196" s="19" t="s">
        <v>573</v>
      </c>
    </row>
    <row r="197">
      <c r="G197" s="19" t="s">
        <v>1847</v>
      </c>
    </row>
    <row r="198">
      <c r="G198" s="19" t="s">
        <v>1048</v>
      </c>
    </row>
    <row r="199">
      <c r="G199" s="19" t="s">
        <v>1449</v>
      </c>
    </row>
    <row r="200">
      <c r="G200" s="19" t="s">
        <v>1488</v>
      </c>
    </row>
    <row r="201">
      <c r="G201" s="19" t="s">
        <v>1900</v>
      </c>
    </row>
    <row r="202">
      <c r="G202" s="19" t="s">
        <v>573</v>
      </c>
    </row>
    <row r="203">
      <c r="G203" s="19" t="s">
        <v>1148</v>
      </c>
    </row>
    <row r="204">
      <c r="G204" s="19" t="s">
        <v>1902</v>
      </c>
    </row>
    <row r="205">
      <c r="G205" s="19" t="s">
        <v>573</v>
      </c>
    </row>
    <row r="206">
      <c r="G206" s="19" t="s">
        <v>2377</v>
      </c>
    </row>
    <row r="207">
      <c r="G207" s="19" t="s">
        <v>590</v>
      </c>
    </row>
    <row r="209">
      <c r="A209" s="163" t="s">
        <v>963</v>
      </c>
    </row>
    <row r="210">
      <c r="A210" s="163">
        <f>A213</f>
        <v>172000</v>
      </c>
    </row>
    <row r="211">
      <c r="A211" s="163">
        <v>2026.0</v>
      </c>
    </row>
    <row r="212">
      <c r="A212" s="163" t="s">
        <v>724</v>
      </c>
    </row>
    <row r="213">
      <c r="A213" s="165">
        <f>A216+B216+C216+D216+E216+F216+G216+H216+I216+J216</f>
        <v>172000</v>
      </c>
    </row>
    <row r="214">
      <c r="A214" s="100" t="s">
        <v>965</v>
      </c>
      <c r="B214" s="100" t="s">
        <v>966</v>
      </c>
      <c r="C214" s="100" t="s">
        <v>968</v>
      </c>
      <c r="D214" s="100" t="s">
        <v>969</v>
      </c>
      <c r="E214" s="100" t="s">
        <v>970</v>
      </c>
      <c r="F214" s="100" t="s">
        <v>971</v>
      </c>
      <c r="G214" s="100" t="s">
        <v>972</v>
      </c>
      <c r="H214" s="100" t="s">
        <v>973</v>
      </c>
      <c r="I214" s="100" t="s">
        <v>974</v>
      </c>
      <c r="J214" s="100" t="s">
        <v>975</v>
      </c>
    </row>
    <row r="215">
      <c r="A215" s="38" t="s">
        <v>667</v>
      </c>
      <c r="B215" s="38" t="s">
        <v>667</v>
      </c>
      <c r="C215" s="38" t="s">
        <v>667</v>
      </c>
      <c r="D215" s="38" t="s">
        <v>667</v>
      </c>
      <c r="E215" s="38" t="s">
        <v>667</v>
      </c>
      <c r="F215" s="38" t="s">
        <v>667</v>
      </c>
      <c r="G215" s="38" t="s">
        <v>667</v>
      </c>
      <c r="H215" s="38" t="s">
        <v>667</v>
      </c>
      <c r="I215" s="38" t="s">
        <v>667</v>
      </c>
      <c r="J215" s="38" t="s">
        <v>667</v>
      </c>
    </row>
    <row r="216">
      <c r="A216" s="100">
        <v>0.0</v>
      </c>
      <c r="B216" s="100">
        <v>0.0</v>
      </c>
      <c r="C216" s="102">
        <v>2000.0</v>
      </c>
      <c r="D216" s="102">
        <v>55000.0</v>
      </c>
      <c r="E216" s="102">
        <v>2000.0</v>
      </c>
      <c r="F216" s="102">
        <v>27000.0</v>
      </c>
      <c r="G216" s="102">
        <v>30000.0</v>
      </c>
      <c r="H216" s="102">
        <v>32000.0</v>
      </c>
      <c r="I216" s="100">
        <v>0.0</v>
      </c>
      <c r="J216" s="102">
        <v>24000.0</v>
      </c>
    </row>
    <row r="217">
      <c r="C217" s="19" t="s">
        <v>2391</v>
      </c>
      <c r="D217" s="19" t="s">
        <v>2114</v>
      </c>
      <c r="E217" s="19" t="s">
        <v>2394</v>
      </c>
      <c r="F217" s="19" t="s">
        <v>1928</v>
      </c>
      <c r="G217" s="19" t="s">
        <v>1925</v>
      </c>
      <c r="H217" s="19" t="s">
        <v>1930</v>
      </c>
      <c r="J217" s="19" t="s">
        <v>315</v>
      </c>
    </row>
    <row r="218">
      <c r="C218" s="19" t="s">
        <v>624</v>
      </c>
      <c r="D218" s="19" t="s">
        <v>1343</v>
      </c>
      <c r="E218" s="19" t="s">
        <v>624</v>
      </c>
      <c r="F218" s="19" t="s">
        <v>1394</v>
      </c>
      <c r="G218" s="19" t="s">
        <v>929</v>
      </c>
      <c r="H218" s="19" t="s">
        <v>711</v>
      </c>
      <c r="J218" s="19" t="s">
        <v>1438</v>
      </c>
    </row>
    <row r="219">
      <c r="D219" s="19" t="s">
        <v>2156</v>
      </c>
      <c r="H219" s="19" t="s">
        <v>2402</v>
      </c>
    </row>
    <row r="220">
      <c r="D220" s="19" t="s">
        <v>1119</v>
      </c>
      <c r="H220" s="19" t="s">
        <v>1394</v>
      </c>
    </row>
    <row r="221">
      <c r="D221" s="19" t="s">
        <v>1942</v>
      </c>
    </row>
    <row r="222">
      <c r="D222" s="19" t="s">
        <v>984</v>
      </c>
    </row>
  </sheetData>
  <mergeCells count="68">
    <mergeCell ref="A131:J131"/>
    <mergeCell ref="A132:J132"/>
    <mergeCell ref="A133:J133"/>
    <mergeCell ref="A147:J147"/>
    <mergeCell ref="A148:J148"/>
    <mergeCell ref="A149:J149"/>
    <mergeCell ref="A150:J150"/>
    <mergeCell ref="A209:J209"/>
    <mergeCell ref="A210:J210"/>
    <mergeCell ref="A211:J211"/>
    <mergeCell ref="A212:J212"/>
    <mergeCell ref="A213:J213"/>
    <mergeCell ref="A151:J151"/>
    <mergeCell ref="A152:J152"/>
    <mergeCell ref="A180:H180"/>
    <mergeCell ref="A181:H181"/>
    <mergeCell ref="A182:H182"/>
    <mergeCell ref="A183:H183"/>
    <mergeCell ref="A184:H184"/>
    <mergeCell ref="A1:T1"/>
    <mergeCell ref="A2:T2"/>
    <mergeCell ref="A3:T3"/>
    <mergeCell ref="A4:T4"/>
    <mergeCell ref="K5:L5"/>
    <mergeCell ref="M5:O5"/>
    <mergeCell ref="P5:T5"/>
    <mergeCell ref="H5:J5"/>
    <mergeCell ref="H6:J6"/>
    <mergeCell ref="K6:L6"/>
    <mergeCell ref="M6:O6"/>
    <mergeCell ref="P6:T6"/>
    <mergeCell ref="H7:J7"/>
    <mergeCell ref="M7:O7"/>
    <mergeCell ref="P8:P13"/>
    <mergeCell ref="Q11:T11"/>
    <mergeCell ref="Q13:R13"/>
    <mergeCell ref="P14:P20"/>
    <mergeCell ref="Q18:T18"/>
    <mergeCell ref="Q20:R20"/>
    <mergeCell ref="Q24:T24"/>
    <mergeCell ref="P21:P29"/>
    <mergeCell ref="Q29:R29"/>
    <mergeCell ref="P30:P32"/>
    <mergeCell ref="Q30:T30"/>
    <mergeCell ref="Q32:R32"/>
    <mergeCell ref="A49:E49"/>
    <mergeCell ref="A50:E50"/>
    <mergeCell ref="A51:E51"/>
    <mergeCell ref="A52:E52"/>
    <mergeCell ref="A53:E53"/>
    <mergeCell ref="A73:F73"/>
    <mergeCell ref="A74:F74"/>
    <mergeCell ref="A75:F75"/>
    <mergeCell ref="A76:F76"/>
    <mergeCell ref="A89:H89"/>
    <mergeCell ref="A90:H90"/>
    <mergeCell ref="A91:H91"/>
    <mergeCell ref="A92:H92"/>
    <mergeCell ref="A93:H93"/>
    <mergeCell ref="A109:H109"/>
    <mergeCell ref="A110:H110"/>
    <mergeCell ref="A111:H111"/>
    <mergeCell ref="A112:H112"/>
    <mergeCell ref="A113:H113"/>
    <mergeCell ref="A114:H114"/>
    <mergeCell ref="A128:H128"/>
    <mergeCell ref="A129:J129"/>
    <mergeCell ref="A130:J130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2" max="2" width="44.75"/>
    <col customWidth="1" min="3" max="3" width="29.38"/>
    <col customWidth="1" min="4" max="4" width="36.63"/>
    <col customWidth="1" min="5" max="5" width="26.5"/>
    <col customWidth="1" min="6" max="6" width="31.88"/>
    <col customWidth="1" min="7" max="7" width="34.13"/>
    <col customWidth="1" min="8" max="8" width="28.13"/>
    <col customWidth="1" min="9" max="9" width="22.0"/>
    <col customWidth="1" min="10" max="10" width="25.88"/>
    <col customWidth="1" min="11" max="11" width="21.38"/>
    <col customWidth="1" min="14" max="14" width="19.5"/>
    <col customWidth="1" min="15" max="15" width="16.75"/>
    <col customWidth="1" min="20" max="20" width="35.25"/>
  </cols>
  <sheetData>
    <row r="1">
      <c r="A1" s="3" t="s">
        <v>1642</v>
      </c>
    </row>
    <row r="2">
      <c r="A2" s="3" t="s">
        <v>1643</v>
      </c>
    </row>
    <row r="3">
      <c r="A3" s="7" t="s">
        <v>6</v>
      </c>
    </row>
    <row r="4">
      <c r="A4" s="49">
        <f>100000+B6+C6+E6+E12+F6+G6+H6+A69+F13+D17+K6+N6</f>
        <v>1846550</v>
      </c>
    </row>
    <row r="5">
      <c r="A5" s="14" t="s">
        <v>24</v>
      </c>
      <c r="B5" s="14" t="s">
        <v>25</v>
      </c>
      <c r="C5" s="14" t="s">
        <v>1137</v>
      </c>
      <c r="D5" s="14" t="s">
        <v>28</v>
      </c>
      <c r="E5" s="14" t="s">
        <v>1646</v>
      </c>
      <c r="F5" s="14" t="s">
        <v>1647</v>
      </c>
      <c r="G5" s="14" t="s">
        <v>40</v>
      </c>
      <c r="H5" s="14" t="s">
        <v>43</v>
      </c>
      <c r="K5" s="14" t="s">
        <v>32</v>
      </c>
      <c r="N5" s="153" t="s">
        <v>33</v>
      </c>
      <c r="T5" s="14"/>
    </row>
    <row r="6">
      <c r="A6" s="19" t="s">
        <v>1655</v>
      </c>
      <c r="B6" s="49">
        <v>-230000.0</v>
      </c>
      <c r="C6" s="49">
        <v>7000.0</v>
      </c>
      <c r="D6" s="19" t="s">
        <v>1657</v>
      </c>
      <c r="E6" s="49">
        <v>3000.0</v>
      </c>
      <c r="F6" s="49">
        <v>-40000.0</v>
      </c>
      <c r="G6" s="49">
        <v>17000.0</v>
      </c>
      <c r="H6" s="49">
        <v>-10500.0</v>
      </c>
      <c r="K6" s="155">
        <f>K8</f>
        <v>0</v>
      </c>
      <c r="N6" s="155">
        <f>Q22+Q27+Q41+Q48+Q56</f>
        <v>418000</v>
      </c>
      <c r="T6" s="26"/>
    </row>
    <row r="7">
      <c r="A7" s="19" t="s">
        <v>1673</v>
      </c>
      <c r="B7" s="61" t="s">
        <v>55</v>
      </c>
      <c r="C7" s="19" t="s">
        <v>1674</v>
      </c>
      <c r="D7" s="19" t="s">
        <v>1675</v>
      </c>
      <c r="E7" s="19" t="s">
        <v>1676</v>
      </c>
      <c r="F7" s="19" t="s">
        <v>62</v>
      </c>
      <c r="G7" s="19" t="s">
        <v>59</v>
      </c>
      <c r="H7" s="19" t="s">
        <v>59</v>
      </c>
      <c r="I7" s="19" t="s">
        <v>1680</v>
      </c>
      <c r="J7" s="19" t="s">
        <v>61</v>
      </c>
      <c r="K7" s="14" t="s">
        <v>77</v>
      </c>
      <c r="N7" s="89" t="s">
        <v>64</v>
      </c>
      <c r="O7" s="89" t="s">
        <v>65</v>
      </c>
      <c r="P7" s="89" t="s">
        <v>66</v>
      </c>
      <c r="Q7" s="89" t="s">
        <v>0</v>
      </c>
      <c r="R7" s="89" t="s">
        <v>67</v>
      </c>
    </row>
    <row r="8">
      <c r="A8" s="19" t="s">
        <v>1687</v>
      </c>
      <c r="B8" s="9" t="s">
        <v>197</v>
      </c>
      <c r="C8" s="19" t="s">
        <v>1688</v>
      </c>
      <c r="D8" s="19" t="s">
        <v>1689</v>
      </c>
      <c r="E8" s="19" t="s">
        <v>1690</v>
      </c>
      <c r="F8" s="19" t="s">
        <v>1473</v>
      </c>
      <c r="G8" s="19" t="s">
        <v>1209</v>
      </c>
      <c r="H8" s="19" t="s">
        <v>1691</v>
      </c>
      <c r="I8" s="19" t="s">
        <v>1692</v>
      </c>
      <c r="J8" s="19" t="s">
        <v>1693</v>
      </c>
      <c r="K8" s="35">
        <v>0.0</v>
      </c>
      <c r="N8" s="31" t="s">
        <v>1694</v>
      </c>
      <c r="O8" s="30" t="s">
        <v>79</v>
      </c>
      <c r="P8" s="30">
        <v>12.0</v>
      </c>
      <c r="Q8" s="30">
        <f>P8*1000</f>
        <v>12000</v>
      </c>
      <c r="R8" s="33">
        <f>P8*20</f>
        <v>240</v>
      </c>
    </row>
    <row r="9">
      <c r="A9" s="19" t="s">
        <v>1702</v>
      </c>
      <c r="B9" s="9" t="s">
        <v>220</v>
      </c>
      <c r="C9" s="19" t="s">
        <v>1703</v>
      </c>
      <c r="D9" s="19" t="s">
        <v>1705</v>
      </c>
      <c r="E9" s="19" t="s">
        <v>1706</v>
      </c>
      <c r="F9" s="79" t="s">
        <v>1707</v>
      </c>
      <c r="G9" s="19" t="s">
        <v>677</v>
      </c>
      <c r="H9" s="19" t="s">
        <v>1708</v>
      </c>
      <c r="I9" s="19" t="s">
        <v>1709</v>
      </c>
      <c r="J9" s="19" t="s">
        <v>1711</v>
      </c>
      <c r="O9" s="30" t="s">
        <v>117</v>
      </c>
      <c r="P9" s="30">
        <v>5.0</v>
      </c>
      <c r="Q9" s="33">
        <f>P9*2000</f>
        <v>10000</v>
      </c>
      <c r="R9" s="33">
        <f t="shared" ref="R9:R10" si="1">P9*40</f>
        <v>200</v>
      </c>
    </row>
    <row r="10">
      <c r="A10" s="19" t="s">
        <v>1717</v>
      </c>
      <c r="B10" s="9" t="s">
        <v>245</v>
      </c>
      <c r="C10" s="19" t="s">
        <v>1718</v>
      </c>
      <c r="D10" s="19" t="s">
        <v>1719</v>
      </c>
      <c r="F10" s="19" t="s">
        <v>1720</v>
      </c>
      <c r="G10" s="19" t="s">
        <v>266</v>
      </c>
      <c r="H10" s="19" t="s">
        <v>193</v>
      </c>
      <c r="I10" s="19" t="s">
        <v>1721</v>
      </c>
      <c r="O10" s="30" t="s">
        <v>270</v>
      </c>
      <c r="P10" s="30">
        <v>2.5</v>
      </c>
      <c r="Q10" s="33">
        <f>P10*3000</f>
        <v>7500</v>
      </c>
      <c r="R10" s="33">
        <f t="shared" si="1"/>
        <v>100</v>
      </c>
    </row>
    <row r="11">
      <c r="A11" s="19" t="s">
        <v>1726</v>
      </c>
      <c r="B11" s="9" t="s">
        <v>273</v>
      </c>
      <c r="C11" s="19" t="s">
        <v>1727</v>
      </c>
      <c r="D11" s="19" t="s">
        <v>1728</v>
      </c>
      <c r="E11" s="14" t="s">
        <v>184</v>
      </c>
      <c r="G11" s="19" t="s">
        <v>1731</v>
      </c>
      <c r="H11" s="19" t="s">
        <v>1732</v>
      </c>
      <c r="I11" s="19" t="s">
        <v>1733</v>
      </c>
      <c r="O11" s="30" t="s">
        <v>1734</v>
      </c>
      <c r="P11" s="30">
        <v>3.0</v>
      </c>
      <c r="Q11" s="33">
        <f>P11*4000</f>
        <v>12000</v>
      </c>
      <c r="R11" s="33">
        <f>P11*80</f>
        <v>240</v>
      </c>
    </row>
    <row r="12">
      <c r="A12" s="19" t="s">
        <v>1742</v>
      </c>
      <c r="B12" s="9" t="s">
        <v>296</v>
      </c>
      <c r="C12" s="19" t="s">
        <v>1743</v>
      </c>
      <c r="D12" s="19" t="s">
        <v>1744</v>
      </c>
      <c r="E12" s="49">
        <v>-500.0</v>
      </c>
      <c r="F12" s="14" t="s">
        <v>1745</v>
      </c>
      <c r="G12" s="19" t="s">
        <v>1746</v>
      </c>
      <c r="H12" s="19" t="s">
        <v>139</v>
      </c>
      <c r="I12" s="19" t="s">
        <v>1747</v>
      </c>
      <c r="O12" s="30" t="s">
        <v>145</v>
      </c>
      <c r="P12" s="30">
        <v>8.0</v>
      </c>
      <c r="Q12" s="30">
        <f>P12*6000</f>
        <v>48000</v>
      </c>
      <c r="R12" s="33">
        <f>P12*40</f>
        <v>320</v>
      </c>
    </row>
    <row r="13">
      <c r="A13" s="19" t="s">
        <v>1751</v>
      </c>
      <c r="B13" s="9" t="s">
        <v>323</v>
      </c>
      <c r="C13" s="19" t="s">
        <v>1753</v>
      </c>
      <c r="D13" s="19" t="s">
        <v>1755</v>
      </c>
      <c r="E13" s="19" t="s">
        <v>1756</v>
      </c>
      <c r="F13" s="49">
        <v>8000.0</v>
      </c>
      <c r="G13" s="19" t="s">
        <v>1282</v>
      </c>
      <c r="H13" s="19" t="s">
        <v>859</v>
      </c>
      <c r="I13" s="19" t="s">
        <v>1757</v>
      </c>
      <c r="O13" s="30" t="s">
        <v>128</v>
      </c>
      <c r="P13" s="30">
        <v>5.0</v>
      </c>
      <c r="Q13" s="33">
        <f>P13*8000</f>
        <v>40000</v>
      </c>
      <c r="R13" s="33">
        <f>P13*80</f>
        <v>400</v>
      </c>
    </row>
    <row r="14">
      <c r="A14" s="19" t="s">
        <v>1759</v>
      </c>
      <c r="B14" s="9" t="s">
        <v>344</v>
      </c>
      <c r="C14" s="19" t="s">
        <v>1761</v>
      </c>
      <c r="D14" s="19" t="s">
        <v>1763</v>
      </c>
      <c r="F14" s="19" t="s">
        <v>1765</v>
      </c>
      <c r="G14" s="19" t="s">
        <v>1767</v>
      </c>
      <c r="H14" s="19" t="s">
        <v>374</v>
      </c>
      <c r="O14" s="30" t="s">
        <v>141</v>
      </c>
      <c r="P14" s="30">
        <v>1.0</v>
      </c>
      <c r="Q14" s="33">
        <f>P14*5000</f>
        <v>5000</v>
      </c>
      <c r="R14" s="33">
        <f>P14*100</f>
        <v>100</v>
      </c>
    </row>
    <row r="15">
      <c r="A15" s="19" t="s">
        <v>1772</v>
      </c>
      <c r="B15" s="9" t="s">
        <v>361</v>
      </c>
      <c r="C15" s="19" t="s">
        <v>338</v>
      </c>
      <c r="F15" s="19" t="s">
        <v>1773</v>
      </c>
      <c r="G15" s="19" t="s">
        <v>445</v>
      </c>
      <c r="H15" s="19" t="s">
        <v>150</v>
      </c>
      <c r="O15" s="30" t="s">
        <v>152</v>
      </c>
    </row>
    <row r="16">
      <c r="A16" s="19" t="s">
        <v>1774</v>
      </c>
      <c r="B16" s="61" t="s">
        <v>170</v>
      </c>
      <c r="C16" s="19" t="s">
        <v>1775</v>
      </c>
      <c r="D16" s="14" t="s">
        <v>536</v>
      </c>
      <c r="G16" s="19" t="s">
        <v>636</v>
      </c>
      <c r="H16" s="19" t="s">
        <v>1767</v>
      </c>
      <c r="O16" s="30" t="s">
        <v>340</v>
      </c>
      <c r="P16" s="30">
        <v>10.0</v>
      </c>
      <c r="Q16" s="33">
        <f t="shared" ref="Q16:Q21" si="2">P16*1500</f>
        <v>15000</v>
      </c>
      <c r="R16" s="33">
        <f t="shared" ref="R16:R21" si="3">P16*40</f>
        <v>400</v>
      </c>
    </row>
    <row r="17">
      <c r="A17" s="19" t="s">
        <v>1779</v>
      </c>
      <c r="B17" s="9" t="s">
        <v>177</v>
      </c>
      <c r="C17" s="19" t="s">
        <v>1780</v>
      </c>
      <c r="D17" s="66">
        <v>20000.0</v>
      </c>
      <c r="G17" s="19" t="s">
        <v>1781</v>
      </c>
      <c r="H17" s="19" t="s">
        <v>193</v>
      </c>
      <c r="O17" s="30" t="s">
        <v>1782</v>
      </c>
      <c r="P17" s="30">
        <v>1.0</v>
      </c>
      <c r="Q17" s="33">
        <f t="shared" si="2"/>
        <v>1500</v>
      </c>
      <c r="R17" s="33">
        <f t="shared" si="3"/>
        <v>40</v>
      </c>
    </row>
    <row r="18">
      <c r="A18" s="19" t="s">
        <v>1784</v>
      </c>
      <c r="B18" s="61" t="s">
        <v>196</v>
      </c>
      <c r="C18" s="19" t="s">
        <v>1785</v>
      </c>
      <c r="D18" s="9" t="s">
        <v>1786</v>
      </c>
      <c r="G18" s="19" t="s">
        <v>266</v>
      </c>
      <c r="H18" s="19" t="s">
        <v>831</v>
      </c>
      <c r="O18" s="30" t="s">
        <v>327</v>
      </c>
      <c r="P18" s="30">
        <v>1.0</v>
      </c>
      <c r="Q18" s="33">
        <f t="shared" si="2"/>
        <v>1500</v>
      </c>
      <c r="R18" s="33">
        <f t="shared" si="3"/>
        <v>40</v>
      </c>
    </row>
    <row r="19">
      <c r="A19" s="19" t="s">
        <v>1787</v>
      </c>
      <c r="B19" s="9" t="s">
        <v>177</v>
      </c>
      <c r="C19" s="19" t="s">
        <v>1788</v>
      </c>
      <c r="G19" s="19" t="s">
        <v>458</v>
      </c>
      <c r="H19" s="19" t="s">
        <v>374</v>
      </c>
      <c r="O19" s="30" t="s">
        <v>162</v>
      </c>
      <c r="P19" s="30">
        <v>1.0</v>
      </c>
      <c r="Q19" s="33">
        <f t="shared" si="2"/>
        <v>1500</v>
      </c>
      <c r="R19" s="33">
        <f t="shared" si="3"/>
        <v>40</v>
      </c>
    </row>
    <row r="20">
      <c r="A20" s="19" t="s">
        <v>1790</v>
      </c>
      <c r="C20" s="19" t="s">
        <v>1791</v>
      </c>
      <c r="G20" s="19" t="s">
        <v>1792</v>
      </c>
      <c r="H20" s="19" t="s">
        <v>859</v>
      </c>
      <c r="O20" s="30" t="s">
        <v>175</v>
      </c>
      <c r="P20" s="30">
        <v>2.0</v>
      </c>
      <c r="Q20" s="33">
        <f t="shared" si="2"/>
        <v>3000</v>
      </c>
      <c r="R20" s="33">
        <f t="shared" si="3"/>
        <v>80</v>
      </c>
    </row>
    <row r="21">
      <c r="A21" s="19" t="s">
        <v>1795</v>
      </c>
      <c r="C21" s="19" t="s">
        <v>1796</v>
      </c>
      <c r="G21" s="19" t="s">
        <v>445</v>
      </c>
      <c r="H21" s="19" t="s">
        <v>1797</v>
      </c>
      <c r="O21" s="30" t="s">
        <v>191</v>
      </c>
      <c r="P21" s="30">
        <v>1.0</v>
      </c>
      <c r="Q21" s="33">
        <f t="shared" si="2"/>
        <v>1500</v>
      </c>
      <c r="R21" s="33">
        <f t="shared" si="3"/>
        <v>40</v>
      </c>
    </row>
    <row r="22">
      <c r="A22" s="19" t="s">
        <v>1798</v>
      </c>
      <c r="C22" s="19" t="s">
        <v>1531</v>
      </c>
      <c r="G22" s="19" t="s">
        <v>458</v>
      </c>
      <c r="H22" s="19" t="s">
        <v>139</v>
      </c>
      <c r="O22" s="36" t="s">
        <v>94</v>
      </c>
      <c r="Q22" s="37">
        <f t="shared" ref="Q22:R22" si="4">Q8+Q9+Q10+Q11+Q12+Q13+Q16+Q17+Q18+Q19+Q20+Q21+Q14</f>
        <v>158500</v>
      </c>
      <c r="R22" s="37">
        <f t="shared" si="4"/>
        <v>2240</v>
      </c>
    </row>
    <row r="23">
      <c r="A23" s="19" t="s">
        <v>1803</v>
      </c>
      <c r="C23" s="19" t="s">
        <v>495</v>
      </c>
      <c r="G23" s="19" t="s">
        <v>1804</v>
      </c>
      <c r="H23" s="19" t="s">
        <v>522</v>
      </c>
      <c r="N23" s="31" t="s">
        <v>1806</v>
      </c>
      <c r="O23" s="30" t="s">
        <v>79</v>
      </c>
      <c r="P23" s="30">
        <v>2.0</v>
      </c>
      <c r="Q23" s="30">
        <f>P23*1000</f>
        <v>2000</v>
      </c>
      <c r="R23" s="33">
        <f>P23*20</f>
        <v>40</v>
      </c>
    </row>
    <row r="24">
      <c r="A24" s="19" t="s">
        <v>1808</v>
      </c>
      <c r="C24" s="19" t="s">
        <v>1809</v>
      </c>
      <c r="G24" s="19" t="s">
        <v>445</v>
      </c>
      <c r="H24" s="19" t="s">
        <v>1810</v>
      </c>
      <c r="O24" s="30" t="s">
        <v>270</v>
      </c>
      <c r="P24" s="30">
        <v>0.5</v>
      </c>
      <c r="Q24" s="33">
        <f>P24*3000</f>
        <v>1500</v>
      </c>
      <c r="R24" s="33">
        <f>P24*40</f>
        <v>20</v>
      </c>
    </row>
    <row r="25">
      <c r="A25" s="19" t="s">
        <v>1814</v>
      </c>
      <c r="C25" s="19" t="s">
        <v>686</v>
      </c>
      <c r="G25" s="19" t="s">
        <v>1307</v>
      </c>
      <c r="H25" s="19" t="s">
        <v>374</v>
      </c>
      <c r="O25" s="30" t="s">
        <v>152</v>
      </c>
      <c r="T25" s="19"/>
    </row>
    <row r="26">
      <c r="A26" s="19" t="s">
        <v>1816</v>
      </c>
      <c r="C26" s="19" t="s">
        <v>1817</v>
      </c>
      <c r="G26" s="19" t="s">
        <v>1818</v>
      </c>
      <c r="H26" s="19" t="s">
        <v>1819</v>
      </c>
      <c r="O26" s="30" t="s">
        <v>340</v>
      </c>
      <c r="P26" s="30">
        <v>0.5</v>
      </c>
      <c r="Q26" s="33">
        <f>P26*1500</f>
        <v>750</v>
      </c>
      <c r="R26" s="33">
        <f>P26*40</f>
        <v>20</v>
      </c>
    </row>
    <row r="27">
      <c r="A27" s="19" t="s">
        <v>1823</v>
      </c>
      <c r="O27" s="36" t="s">
        <v>94</v>
      </c>
      <c r="Q27" s="37">
        <f t="shared" ref="Q27:R27" si="5">Q23+Q24+Q26</f>
        <v>4250</v>
      </c>
      <c r="R27" s="37">
        <f t="shared" si="5"/>
        <v>80</v>
      </c>
    </row>
    <row r="28">
      <c r="A28" s="19" t="s">
        <v>1829</v>
      </c>
      <c r="G28" s="63" t="s">
        <v>1830</v>
      </c>
      <c r="N28" s="31" t="s">
        <v>1831</v>
      </c>
      <c r="O28" s="30" t="s">
        <v>79</v>
      </c>
      <c r="P28" s="30">
        <v>14.0</v>
      </c>
      <c r="Q28" s="30">
        <f>P28*1000</f>
        <v>14000</v>
      </c>
      <c r="R28" s="33">
        <f>P28*20</f>
        <v>280</v>
      </c>
    </row>
    <row r="29">
      <c r="A29" s="19" t="s">
        <v>1834</v>
      </c>
      <c r="G29" s="19" t="s">
        <v>1835</v>
      </c>
      <c r="O29" s="30" t="s">
        <v>117</v>
      </c>
      <c r="P29" s="30">
        <v>6.0</v>
      </c>
      <c r="Q29" s="33">
        <f>P29*2000</f>
        <v>12000</v>
      </c>
      <c r="R29" s="33">
        <f t="shared" ref="R29:R30" si="6">P29*40</f>
        <v>240</v>
      </c>
    </row>
    <row r="30">
      <c r="A30" s="19" t="s">
        <v>1838</v>
      </c>
      <c r="G30" s="19" t="s">
        <v>1839</v>
      </c>
      <c r="O30" s="30" t="s">
        <v>270</v>
      </c>
      <c r="P30" s="30">
        <v>2.0</v>
      </c>
      <c r="Q30" s="33">
        <f>P30*3000</f>
        <v>6000</v>
      </c>
      <c r="R30" s="33">
        <f t="shared" si="6"/>
        <v>80</v>
      </c>
    </row>
    <row r="31">
      <c r="A31" s="19" t="s">
        <v>1842</v>
      </c>
      <c r="G31" s="19" t="s">
        <v>1843</v>
      </c>
      <c r="O31" s="30" t="s">
        <v>141</v>
      </c>
      <c r="P31" s="30">
        <v>7.5</v>
      </c>
      <c r="Q31" s="33">
        <f>P31*5000</f>
        <v>37500</v>
      </c>
      <c r="R31" s="33">
        <f>P31*100</f>
        <v>750</v>
      </c>
    </row>
    <row r="32">
      <c r="A32" s="19" t="s">
        <v>1848</v>
      </c>
      <c r="G32" s="19" t="s">
        <v>1849</v>
      </c>
      <c r="O32" s="30" t="s">
        <v>246</v>
      </c>
      <c r="P32" s="30">
        <v>2.0</v>
      </c>
      <c r="Q32" s="30">
        <f>P32*2000</f>
        <v>4000</v>
      </c>
      <c r="R32" s="33">
        <f>P32*20</f>
        <v>40</v>
      </c>
    </row>
    <row r="33">
      <c r="A33" s="19" t="s">
        <v>1857</v>
      </c>
      <c r="O33" s="30" t="s">
        <v>128</v>
      </c>
      <c r="P33" s="30">
        <v>10.5</v>
      </c>
      <c r="Q33" s="33">
        <f>P33*8000</f>
        <v>84000</v>
      </c>
      <c r="R33" s="33">
        <f>P33*80</f>
        <v>840</v>
      </c>
    </row>
    <row r="34">
      <c r="A34" s="19" t="s">
        <v>1860</v>
      </c>
      <c r="O34" s="30" t="s">
        <v>152</v>
      </c>
    </row>
    <row r="35">
      <c r="A35" s="19" t="s">
        <v>1863</v>
      </c>
      <c r="O35" s="30">
        <v>100.0</v>
      </c>
      <c r="P35" s="30">
        <v>1.0</v>
      </c>
      <c r="Q35" s="33">
        <f t="shared" ref="Q35:Q40" si="7">P35*1500</f>
        <v>1500</v>
      </c>
      <c r="R35" s="33">
        <f t="shared" ref="R35:R40" si="8">P35*40</f>
        <v>40</v>
      </c>
    </row>
    <row r="36">
      <c r="A36" s="19" t="s">
        <v>1871</v>
      </c>
      <c r="O36" s="30" t="s">
        <v>340</v>
      </c>
      <c r="P36" s="30">
        <v>12.0</v>
      </c>
      <c r="Q36" s="33">
        <f t="shared" si="7"/>
        <v>18000</v>
      </c>
      <c r="R36" s="33">
        <f t="shared" si="8"/>
        <v>480</v>
      </c>
    </row>
    <row r="37">
      <c r="A37" s="19" t="s">
        <v>1872</v>
      </c>
      <c r="O37" s="30" t="s">
        <v>162</v>
      </c>
      <c r="P37" s="30">
        <v>1.0</v>
      </c>
      <c r="Q37" s="33">
        <f t="shared" si="7"/>
        <v>1500</v>
      </c>
      <c r="R37" s="33">
        <f t="shared" si="8"/>
        <v>40</v>
      </c>
    </row>
    <row r="38">
      <c r="A38" s="19" t="s">
        <v>1878</v>
      </c>
      <c r="O38" s="30" t="s">
        <v>175</v>
      </c>
      <c r="P38" s="30">
        <v>1.5</v>
      </c>
      <c r="Q38" s="33">
        <f t="shared" si="7"/>
        <v>2250</v>
      </c>
      <c r="R38" s="33">
        <f t="shared" si="8"/>
        <v>60</v>
      </c>
    </row>
    <row r="39">
      <c r="A39" s="19" t="s">
        <v>1885</v>
      </c>
      <c r="O39" s="30" t="s">
        <v>191</v>
      </c>
      <c r="P39" s="30">
        <v>4.0</v>
      </c>
      <c r="Q39" s="33">
        <f t="shared" si="7"/>
        <v>6000</v>
      </c>
      <c r="R39" s="33">
        <f t="shared" si="8"/>
        <v>160</v>
      </c>
    </row>
    <row r="40">
      <c r="A40" s="19" t="s">
        <v>1890</v>
      </c>
      <c r="O40" s="30" t="s">
        <v>496</v>
      </c>
      <c r="P40" s="30">
        <v>1.0</v>
      </c>
      <c r="Q40" s="33">
        <f t="shared" si="7"/>
        <v>1500</v>
      </c>
      <c r="R40" s="33">
        <f t="shared" si="8"/>
        <v>40</v>
      </c>
    </row>
    <row r="41">
      <c r="O41" s="36" t="s">
        <v>94</v>
      </c>
      <c r="Q41" s="37">
        <f t="shared" ref="Q41:R41" si="9">Q28+Q29+Q30+Q31+Q32+Q33+Q35+Q36+Q37+Q38+Q39+Q40</f>
        <v>188250</v>
      </c>
      <c r="R41" s="37">
        <f t="shared" si="9"/>
        <v>3050</v>
      </c>
    </row>
    <row r="42">
      <c r="N42" s="31" t="s">
        <v>1899</v>
      </c>
      <c r="O42" s="30" t="s">
        <v>79</v>
      </c>
      <c r="P42" s="30">
        <v>5.0</v>
      </c>
      <c r="Q42" s="30">
        <f>P42*1000</f>
        <v>5000</v>
      </c>
      <c r="R42" s="33">
        <f>P42*20</f>
        <v>100</v>
      </c>
    </row>
    <row r="43">
      <c r="O43" s="30" t="s">
        <v>117</v>
      </c>
      <c r="P43" s="30">
        <v>2.0</v>
      </c>
      <c r="Q43" s="33">
        <f>P43*2000</f>
        <v>4000</v>
      </c>
      <c r="R43" s="33">
        <f>P43*40</f>
        <v>80</v>
      </c>
    </row>
    <row r="44">
      <c r="O44" s="30" t="s">
        <v>128</v>
      </c>
      <c r="P44" s="30">
        <v>1.0</v>
      </c>
      <c r="Q44" s="33">
        <f>P44*8000</f>
        <v>8000</v>
      </c>
      <c r="R44" s="33">
        <f>P44*80</f>
        <v>80</v>
      </c>
    </row>
    <row r="45">
      <c r="O45" s="30" t="s">
        <v>152</v>
      </c>
    </row>
    <row r="46">
      <c r="O46" s="30" t="s">
        <v>340</v>
      </c>
      <c r="P46" s="30">
        <v>2.0</v>
      </c>
      <c r="Q46" s="33">
        <f t="shared" ref="Q46:Q47" si="10">P46*1500</f>
        <v>3000</v>
      </c>
      <c r="R46" s="33">
        <f t="shared" ref="R46:R47" si="11">P46*40</f>
        <v>80</v>
      </c>
    </row>
    <row r="47">
      <c r="O47" s="30" t="s">
        <v>1782</v>
      </c>
      <c r="P47" s="30">
        <v>1.0</v>
      </c>
      <c r="Q47" s="33">
        <f t="shared" si="10"/>
        <v>1500</v>
      </c>
      <c r="R47" s="33">
        <f t="shared" si="11"/>
        <v>40</v>
      </c>
    </row>
    <row r="48">
      <c r="O48" s="36" t="s">
        <v>94</v>
      </c>
      <c r="Q48" s="37">
        <f t="shared" ref="Q48:R48" si="12">Q42+Q43+Q44+Q46+Q47</f>
        <v>21500</v>
      </c>
      <c r="R48" s="37">
        <f t="shared" si="12"/>
        <v>380</v>
      </c>
    </row>
    <row r="49">
      <c r="N49" s="31" t="s">
        <v>1918</v>
      </c>
      <c r="O49" s="30" t="s">
        <v>270</v>
      </c>
      <c r="P49" s="30">
        <v>1.0</v>
      </c>
      <c r="Q49" s="33">
        <f>P49*3000</f>
        <v>3000</v>
      </c>
      <c r="R49" s="33">
        <f>P49*40</f>
        <v>40</v>
      </c>
    </row>
    <row r="50">
      <c r="O50" s="30" t="s">
        <v>246</v>
      </c>
      <c r="P50" s="30">
        <v>1.0</v>
      </c>
      <c r="Q50" s="30">
        <f>P50*2000</f>
        <v>2000</v>
      </c>
      <c r="R50" s="33">
        <f>P50*20</f>
        <v>20</v>
      </c>
    </row>
    <row r="51">
      <c r="O51" s="30" t="s">
        <v>128</v>
      </c>
      <c r="P51" s="30">
        <v>4.0</v>
      </c>
      <c r="Q51" s="33">
        <f>P51*8000</f>
        <v>32000</v>
      </c>
      <c r="R51" s="33">
        <f>P51*80</f>
        <v>320</v>
      </c>
    </row>
    <row r="52">
      <c r="O52" s="30" t="s">
        <v>141</v>
      </c>
      <c r="P52" s="30">
        <v>0.5</v>
      </c>
      <c r="Q52" s="33">
        <f>P52*5000</f>
        <v>2500</v>
      </c>
      <c r="R52" s="33">
        <f>P52*100</f>
        <v>50</v>
      </c>
    </row>
    <row r="53">
      <c r="O53" s="30" t="s">
        <v>152</v>
      </c>
    </row>
    <row r="54">
      <c r="O54" s="30" t="s">
        <v>175</v>
      </c>
      <c r="P54" s="30">
        <v>2.0</v>
      </c>
      <c r="Q54" s="33">
        <f t="shared" ref="Q54:Q55" si="13">P54*1500</f>
        <v>3000</v>
      </c>
      <c r="R54" s="33">
        <f t="shared" ref="R54:R55" si="14">P54*40</f>
        <v>80</v>
      </c>
    </row>
    <row r="55">
      <c r="O55" s="30" t="s">
        <v>191</v>
      </c>
      <c r="P55" s="30">
        <v>2.0</v>
      </c>
      <c r="Q55" s="33">
        <f t="shared" si="13"/>
        <v>3000</v>
      </c>
      <c r="R55" s="33">
        <f t="shared" si="14"/>
        <v>80</v>
      </c>
    </row>
    <row r="56">
      <c r="O56" s="36" t="s">
        <v>94</v>
      </c>
      <c r="Q56" s="37">
        <f t="shared" ref="Q56:R56" si="15">Q49+Q50+Q51+Q54+Q55+Q52</f>
        <v>45500</v>
      </c>
      <c r="R56" s="37">
        <f t="shared" si="15"/>
        <v>590</v>
      </c>
    </row>
    <row r="68">
      <c r="A68" s="81" t="s">
        <v>504</v>
      </c>
    </row>
    <row r="69">
      <c r="A69" s="81">
        <f>A72+A84+A117+A152+A179+A200+A240+A260</f>
        <v>1554550</v>
      </c>
    </row>
    <row r="70">
      <c r="A70" s="87"/>
      <c r="B70" s="87"/>
      <c r="C70" s="87"/>
      <c r="D70" s="87"/>
      <c r="E70" s="87"/>
    </row>
    <row r="71">
      <c r="A71" s="84" t="s">
        <v>520</v>
      </c>
    </row>
    <row r="72">
      <c r="A72" s="84">
        <v>22300.0</v>
      </c>
    </row>
    <row r="73">
      <c r="A73" s="84">
        <v>2026.0</v>
      </c>
    </row>
    <row r="74">
      <c r="A74" s="86" t="s">
        <v>526</v>
      </c>
      <c r="B74" s="86" t="s">
        <v>528</v>
      </c>
      <c r="C74" s="86" t="s">
        <v>529</v>
      </c>
      <c r="D74" s="86" t="s">
        <v>531</v>
      </c>
      <c r="E74" s="86" t="s">
        <v>533</v>
      </c>
    </row>
    <row r="75">
      <c r="A75" s="63" t="s">
        <v>1958</v>
      </c>
      <c r="D75" s="63" t="s">
        <v>1304</v>
      </c>
      <c r="E75" s="63" t="s">
        <v>1959</v>
      </c>
    </row>
    <row r="76">
      <c r="A76" s="19" t="s">
        <v>1960</v>
      </c>
      <c r="D76" s="19" t="s">
        <v>1962</v>
      </c>
      <c r="E76" s="19" t="s">
        <v>1963</v>
      </c>
    </row>
    <row r="77">
      <c r="A77" s="19" t="s">
        <v>1367</v>
      </c>
      <c r="D77" s="19" t="s">
        <v>1968</v>
      </c>
      <c r="E77" s="19" t="s">
        <v>590</v>
      </c>
    </row>
    <row r="78">
      <c r="A78" s="19" t="s">
        <v>767</v>
      </c>
      <c r="D78" s="19" t="s">
        <v>950</v>
      </c>
      <c r="E78" s="19" t="s">
        <v>1973</v>
      </c>
    </row>
    <row r="79">
      <c r="A79" s="19" t="s">
        <v>624</v>
      </c>
      <c r="E79" s="19" t="s">
        <v>1843</v>
      </c>
    </row>
    <row r="80">
      <c r="A80" s="19" t="s">
        <v>922</v>
      </c>
      <c r="E80" s="19" t="s">
        <v>1367</v>
      </c>
    </row>
    <row r="81">
      <c r="A81" s="19" t="s">
        <v>932</v>
      </c>
      <c r="E81" s="19" t="s">
        <v>1973</v>
      </c>
    </row>
    <row r="82">
      <c r="A82" s="87"/>
    </row>
    <row r="83">
      <c r="A83" s="88" t="s">
        <v>1978</v>
      </c>
    </row>
    <row r="84">
      <c r="A84" s="88">
        <v>137880.0</v>
      </c>
    </row>
    <row r="85">
      <c r="A85" s="89">
        <v>2026.0</v>
      </c>
    </row>
    <row r="86">
      <c r="A86" s="177" t="s">
        <v>1980</v>
      </c>
    </row>
    <row r="87">
      <c r="A87" s="89" t="s">
        <v>1982</v>
      </c>
    </row>
    <row r="88">
      <c r="A88" s="86" t="s">
        <v>550</v>
      </c>
      <c r="B88" s="86" t="s">
        <v>551</v>
      </c>
      <c r="C88" s="86" t="s">
        <v>552</v>
      </c>
      <c r="D88" s="86" t="s">
        <v>554</v>
      </c>
      <c r="E88" s="86" t="s">
        <v>555</v>
      </c>
      <c r="F88" s="86" t="s">
        <v>557</v>
      </c>
    </row>
    <row r="89">
      <c r="A89" s="63" t="s">
        <v>1987</v>
      </c>
      <c r="B89" s="63" t="s">
        <v>1988</v>
      </c>
      <c r="C89" s="63" t="s">
        <v>1989</v>
      </c>
      <c r="D89" s="63" t="s">
        <v>1990</v>
      </c>
      <c r="E89" s="63" t="s">
        <v>1993</v>
      </c>
      <c r="F89" s="63" t="s">
        <v>1994</v>
      </c>
    </row>
    <row r="90">
      <c r="A90" s="19" t="s">
        <v>1995</v>
      </c>
      <c r="B90" s="19" t="s">
        <v>1655</v>
      </c>
      <c r="C90" s="19" t="s">
        <v>1997</v>
      </c>
      <c r="D90" s="19" t="s">
        <v>1694</v>
      </c>
      <c r="E90" s="19" t="s">
        <v>1960</v>
      </c>
      <c r="F90" s="19" t="s">
        <v>1835</v>
      </c>
    </row>
    <row r="91">
      <c r="A91" s="19" t="s">
        <v>2000</v>
      </c>
      <c r="B91" s="19" t="s">
        <v>2000</v>
      </c>
      <c r="C91" s="19" t="s">
        <v>2000</v>
      </c>
      <c r="D91" s="19" t="s">
        <v>2000</v>
      </c>
      <c r="E91" s="19" t="s">
        <v>2000</v>
      </c>
      <c r="F91" s="19" t="s">
        <v>2000</v>
      </c>
    </row>
    <row r="92">
      <c r="A92" s="19" t="s">
        <v>949</v>
      </c>
      <c r="B92" s="19" t="s">
        <v>927</v>
      </c>
      <c r="C92" s="19" t="s">
        <v>998</v>
      </c>
      <c r="D92" s="19" t="s">
        <v>927</v>
      </c>
      <c r="E92" s="19" t="s">
        <v>927</v>
      </c>
      <c r="F92" s="19" t="s">
        <v>2002</v>
      </c>
    </row>
    <row r="93">
      <c r="A93" s="19" t="s">
        <v>932</v>
      </c>
      <c r="B93" s="19" t="s">
        <v>1673</v>
      </c>
      <c r="C93" s="19" t="s">
        <v>999</v>
      </c>
      <c r="D93" s="19" t="s">
        <v>2004</v>
      </c>
      <c r="E93" s="19" t="s">
        <v>2005</v>
      </c>
      <c r="F93" s="19" t="s">
        <v>932</v>
      </c>
    </row>
    <row r="94">
      <c r="A94" s="19" t="s">
        <v>927</v>
      </c>
      <c r="B94" s="19" t="s">
        <v>2006</v>
      </c>
      <c r="C94" s="19" t="s">
        <v>2007</v>
      </c>
      <c r="D94" s="19" t="s">
        <v>2006</v>
      </c>
      <c r="E94" s="19" t="s">
        <v>1806</v>
      </c>
      <c r="F94" s="19" t="s">
        <v>999</v>
      </c>
    </row>
    <row r="95">
      <c r="A95" s="19" t="s">
        <v>2008</v>
      </c>
      <c r="B95" s="19" t="s">
        <v>581</v>
      </c>
      <c r="C95" s="19" t="s">
        <v>2006</v>
      </c>
      <c r="D95" s="19" t="s">
        <v>922</v>
      </c>
      <c r="E95" s="19" t="s">
        <v>2006</v>
      </c>
      <c r="F95" s="19" t="s">
        <v>2009</v>
      </c>
    </row>
    <row r="96">
      <c r="A96" s="19" t="s">
        <v>2010</v>
      </c>
      <c r="B96" s="19" t="s">
        <v>588</v>
      </c>
      <c r="C96" s="19" t="s">
        <v>2011</v>
      </c>
      <c r="D96" s="19" t="s">
        <v>932</v>
      </c>
      <c r="E96" s="19" t="s">
        <v>1374</v>
      </c>
      <c r="F96" s="19" t="s">
        <v>2013</v>
      </c>
    </row>
    <row r="97">
      <c r="A97" s="19" t="s">
        <v>2015</v>
      </c>
      <c r="B97" s="19" t="s">
        <v>2016</v>
      </c>
      <c r="C97" s="19" t="s">
        <v>624</v>
      </c>
      <c r="D97" s="19" t="s">
        <v>2017</v>
      </c>
      <c r="E97" s="19" t="s">
        <v>2018</v>
      </c>
      <c r="F97" s="19" t="s">
        <v>2006</v>
      </c>
    </row>
    <row r="98">
      <c r="A98" s="19" t="s">
        <v>2006</v>
      </c>
      <c r="B98" s="19" t="s">
        <v>624</v>
      </c>
      <c r="D98" s="19" t="s">
        <v>590</v>
      </c>
      <c r="E98" s="19" t="s">
        <v>590</v>
      </c>
      <c r="F98" s="19" t="s">
        <v>595</v>
      </c>
    </row>
    <row r="99">
      <c r="A99" s="19" t="s">
        <v>578</v>
      </c>
      <c r="D99" s="19" t="s">
        <v>2019</v>
      </c>
      <c r="E99" s="19" t="s">
        <v>1374</v>
      </c>
      <c r="F99" s="19" t="s">
        <v>2020</v>
      </c>
    </row>
    <row r="100">
      <c r="A100" s="19" t="s">
        <v>2022</v>
      </c>
      <c r="D100" s="19" t="s">
        <v>624</v>
      </c>
      <c r="E100" s="19" t="s">
        <v>2024</v>
      </c>
      <c r="F100" s="19" t="s">
        <v>1009</v>
      </c>
    </row>
    <row r="101">
      <c r="A101" s="19" t="s">
        <v>590</v>
      </c>
      <c r="D101" s="19" t="s">
        <v>2027</v>
      </c>
      <c r="E101" s="19" t="s">
        <v>572</v>
      </c>
      <c r="F101" s="19" t="s">
        <v>595</v>
      </c>
    </row>
    <row r="102">
      <c r="A102" s="19" t="s">
        <v>578</v>
      </c>
      <c r="D102" s="19" t="s">
        <v>624</v>
      </c>
      <c r="E102" s="19" t="s">
        <v>922</v>
      </c>
    </row>
    <row r="103">
      <c r="A103" s="19" t="s">
        <v>2031</v>
      </c>
      <c r="E103" s="19" t="s">
        <v>932</v>
      </c>
    </row>
    <row r="104">
      <c r="A104" s="19" t="s">
        <v>590</v>
      </c>
      <c r="E104" s="19" t="s">
        <v>1374</v>
      </c>
    </row>
    <row r="105">
      <c r="A105" s="19" t="s">
        <v>580</v>
      </c>
    </row>
    <row r="106">
      <c r="A106" s="19" t="s">
        <v>578</v>
      </c>
    </row>
    <row r="107">
      <c r="A107" s="19" t="s">
        <v>2039</v>
      </c>
    </row>
    <row r="108">
      <c r="A108" s="19" t="s">
        <v>624</v>
      </c>
    </row>
    <row r="109">
      <c r="A109" s="19" t="s">
        <v>578</v>
      </c>
    </row>
    <row r="110">
      <c r="A110" s="19" t="s">
        <v>2041</v>
      </c>
    </row>
    <row r="111">
      <c r="A111" s="19" t="s">
        <v>572</v>
      </c>
    </row>
    <row r="112">
      <c r="A112" s="19" t="s">
        <v>2042</v>
      </c>
    </row>
    <row r="113">
      <c r="A113" s="19" t="s">
        <v>578</v>
      </c>
    </row>
    <row r="114">
      <c r="A114" s="115" t="s">
        <v>2044</v>
      </c>
    </row>
    <row r="115">
      <c r="A115" s="87"/>
    </row>
    <row r="116">
      <c r="A116" s="2" t="s">
        <v>635</v>
      </c>
    </row>
    <row r="117">
      <c r="A117" s="2">
        <v>185700.0</v>
      </c>
    </row>
    <row r="118">
      <c r="A118" s="39">
        <v>2026.0</v>
      </c>
    </row>
    <row r="119">
      <c r="A119" s="92" t="s">
        <v>2050</v>
      </c>
    </row>
    <row r="120">
      <c r="A120" s="86" t="s">
        <v>646</v>
      </c>
      <c r="B120" s="86" t="s">
        <v>647</v>
      </c>
      <c r="C120" s="86" t="s">
        <v>648</v>
      </c>
      <c r="D120" s="86" t="s">
        <v>651</v>
      </c>
      <c r="E120" s="86" t="s">
        <v>653</v>
      </c>
      <c r="F120" s="86" t="s">
        <v>654</v>
      </c>
      <c r="G120" s="86" t="s">
        <v>655</v>
      </c>
      <c r="H120" s="86" t="s">
        <v>657</v>
      </c>
    </row>
    <row r="121">
      <c r="A121" s="79" t="s">
        <v>667</v>
      </c>
      <c r="B121" s="79" t="s">
        <v>1358</v>
      </c>
      <c r="C121" s="79" t="s">
        <v>2058</v>
      </c>
      <c r="D121" s="79" t="s">
        <v>1306</v>
      </c>
      <c r="E121" s="79" t="s">
        <v>2061</v>
      </c>
      <c r="F121" s="79" t="s">
        <v>667</v>
      </c>
      <c r="G121" s="79" t="s">
        <v>2062</v>
      </c>
      <c r="H121" s="79" t="s">
        <v>2063</v>
      </c>
    </row>
    <row r="122">
      <c r="B122" s="19" t="s">
        <v>2064</v>
      </c>
      <c r="C122" s="19" t="s">
        <v>2065</v>
      </c>
      <c r="D122" s="19" t="s">
        <v>2068</v>
      </c>
      <c r="E122" s="19" t="s">
        <v>1960</v>
      </c>
      <c r="G122" s="19" t="s">
        <v>1708</v>
      </c>
      <c r="H122" s="19" t="s">
        <v>2070</v>
      </c>
    </row>
    <row r="123">
      <c r="B123" s="19" t="s">
        <v>682</v>
      </c>
      <c r="C123" s="19" t="s">
        <v>1407</v>
      </c>
      <c r="D123" s="19" t="s">
        <v>573</v>
      </c>
      <c r="E123" s="19" t="s">
        <v>574</v>
      </c>
      <c r="G123" s="19" t="s">
        <v>878</v>
      </c>
      <c r="H123" s="19" t="s">
        <v>947</v>
      </c>
    </row>
    <row r="124">
      <c r="B124" s="19" t="s">
        <v>690</v>
      </c>
      <c r="C124" s="19" t="s">
        <v>652</v>
      </c>
      <c r="D124" s="19" t="s">
        <v>268</v>
      </c>
      <c r="E124" s="19" t="s">
        <v>2074</v>
      </c>
      <c r="G124" s="19" t="s">
        <v>1095</v>
      </c>
    </row>
    <row r="125">
      <c r="B125" s="19" t="s">
        <v>2076</v>
      </c>
      <c r="E125" s="19" t="s">
        <v>2077</v>
      </c>
      <c r="G125" s="19" t="s">
        <v>652</v>
      </c>
    </row>
    <row r="126">
      <c r="B126" s="19" t="s">
        <v>573</v>
      </c>
      <c r="E126" s="19" t="s">
        <v>1135</v>
      </c>
      <c r="G126" s="19" t="s">
        <v>2082</v>
      </c>
    </row>
    <row r="127">
      <c r="B127" s="19" t="s">
        <v>690</v>
      </c>
      <c r="E127" s="19" t="s">
        <v>1806</v>
      </c>
      <c r="G127" s="19" t="s">
        <v>695</v>
      </c>
    </row>
    <row r="128">
      <c r="B128" s="19" t="s">
        <v>2087</v>
      </c>
      <c r="E128" s="19" t="s">
        <v>1214</v>
      </c>
      <c r="G128" s="19" t="s">
        <v>2090</v>
      </c>
    </row>
    <row r="129">
      <c r="B129" s="19" t="s">
        <v>683</v>
      </c>
      <c r="E129" s="19" t="s">
        <v>1135</v>
      </c>
      <c r="G129" s="19" t="s">
        <v>573</v>
      </c>
    </row>
    <row r="130">
      <c r="B130" s="19" t="s">
        <v>1023</v>
      </c>
      <c r="E130" s="19" t="s">
        <v>2092</v>
      </c>
      <c r="G130" s="19" t="s">
        <v>695</v>
      </c>
    </row>
    <row r="131">
      <c r="B131" s="19" t="s">
        <v>690</v>
      </c>
      <c r="E131" s="19" t="s">
        <v>878</v>
      </c>
    </row>
    <row r="132">
      <c r="B132" s="19" t="s">
        <v>2095</v>
      </c>
      <c r="E132" s="19" t="s">
        <v>1023</v>
      </c>
    </row>
    <row r="133">
      <c r="B133" s="19" t="s">
        <v>573</v>
      </c>
      <c r="E133" s="19" t="s">
        <v>1135</v>
      </c>
    </row>
    <row r="134">
      <c r="B134" s="19" t="s">
        <v>690</v>
      </c>
      <c r="E134" s="19" t="s">
        <v>1810</v>
      </c>
    </row>
    <row r="135">
      <c r="E135" s="19" t="s">
        <v>1068</v>
      </c>
    </row>
    <row r="136">
      <c r="E136" s="19" t="s">
        <v>345</v>
      </c>
    </row>
    <row r="137">
      <c r="E137" s="19" t="s">
        <v>652</v>
      </c>
    </row>
    <row r="138">
      <c r="E138" s="19" t="s">
        <v>1135</v>
      </c>
    </row>
    <row r="139">
      <c r="E139" s="19" t="s">
        <v>2105</v>
      </c>
    </row>
    <row r="140">
      <c r="E140" s="19" t="s">
        <v>572</v>
      </c>
    </row>
    <row r="141">
      <c r="E141" s="19" t="s">
        <v>1135</v>
      </c>
    </row>
    <row r="151">
      <c r="A151" s="94" t="s">
        <v>719</v>
      </c>
    </row>
    <row r="152">
      <c r="A152" s="94">
        <f>A155</f>
        <v>124620</v>
      </c>
    </row>
    <row r="153">
      <c r="A153" s="94">
        <v>2026.0</v>
      </c>
    </row>
    <row r="154">
      <c r="A154" s="94" t="s">
        <v>724</v>
      </c>
    </row>
    <row r="155">
      <c r="A155" s="94">
        <f>A158+B158+C158+D158+E158+F158+G158+H158</f>
        <v>124620</v>
      </c>
    </row>
    <row r="156">
      <c r="A156" s="86" t="s">
        <v>731</v>
      </c>
      <c r="B156" s="86" t="s">
        <v>733</v>
      </c>
      <c r="C156" s="86" t="s">
        <v>735</v>
      </c>
      <c r="D156" s="86" t="s">
        <v>736</v>
      </c>
      <c r="E156" s="86" t="s">
        <v>737</v>
      </c>
      <c r="F156" s="86" t="s">
        <v>738</v>
      </c>
      <c r="G156" s="86" t="s">
        <v>740</v>
      </c>
      <c r="H156" s="86" t="s">
        <v>741</v>
      </c>
    </row>
    <row r="157">
      <c r="A157" s="14" t="s">
        <v>667</v>
      </c>
      <c r="B157" s="14" t="s">
        <v>667</v>
      </c>
      <c r="C157" s="14" t="s">
        <v>667</v>
      </c>
      <c r="D157" s="14" t="s">
        <v>667</v>
      </c>
      <c r="E157" s="14" t="s">
        <v>667</v>
      </c>
      <c r="F157" s="14" t="s">
        <v>667</v>
      </c>
      <c r="G157" s="14" t="s">
        <v>667</v>
      </c>
      <c r="H157" s="14" t="s">
        <v>667</v>
      </c>
    </row>
    <row r="158">
      <c r="A158" s="86">
        <v>15750.0</v>
      </c>
      <c r="B158" s="86">
        <v>11750.0</v>
      </c>
      <c r="C158" s="86">
        <v>36220.0</v>
      </c>
      <c r="D158" s="86">
        <v>4750.0</v>
      </c>
      <c r="E158" s="86">
        <v>0.0</v>
      </c>
      <c r="F158" s="86">
        <v>2000.0</v>
      </c>
      <c r="G158" s="86">
        <v>12000.0</v>
      </c>
      <c r="H158" s="86">
        <v>42150.0</v>
      </c>
    </row>
    <row r="159">
      <c r="A159" s="19" t="s">
        <v>1963</v>
      </c>
      <c r="B159" s="19" t="s">
        <v>1962</v>
      </c>
      <c r="C159" s="19" t="s">
        <v>2128</v>
      </c>
      <c r="D159" s="19" t="s">
        <v>2130</v>
      </c>
      <c r="F159" s="19" t="s">
        <v>2131</v>
      </c>
      <c r="G159" s="19" t="s">
        <v>1694</v>
      </c>
      <c r="H159" s="19" t="s">
        <v>1960</v>
      </c>
    </row>
    <row r="160">
      <c r="A160" s="19" t="s">
        <v>1173</v>
      </c>
      <c r="B160" s="19" t="s">
        <v>693</v>
      </c>
      <c r="C160" s="19" t="s">
        <v>711</v>
      </c>
      <c r="D160" s="19" t="s">
        <v>624</v>
      </c>
      <c r="F160" s="19" t="s">
        <v>624</v>
      </c>
      <c r="G160" s="19" t="s">
        <v>1214</v>
      </c>
      <c r="H160" s="19" t="s">
        <v>1108</v>
      </c>
    </row>
    <row r="161">
      <c r="A161" s="19" t="s">
        <v>760</v>
      </c>
      <c r="B161" s="19" t="s">
        <v>1051</v>
      </c>
      <c r="C161" s="19" t="s">
        <v>1052</v>
      </c>
      <c r="D161" s="19" t="s">
        <v>1451</v>
      </c>
      <c r="H161" s="19" t="s">
        <v>759</v>
      </c>
    </row>
    <row r="162">
      <c r="B162" s="19" t="s">
        <v>2142</v>
      </c>
      <c r="C162" s="19" t="s">
        <v>1054</v>
      </c>
      <c r="D162" s="19" t="s">
        <v>624</v>
      </c>
      <c r="H162" s="19" t="s">
        <v>1051</v>
      </c>
    </row>
    <row r="163">
      <c r="B163" s="19" t="s">
        <v>573</v>
      </c>
      <c r="C163" s="19" t="s">
        <v>2149</v>
      </c>
      <c r="D163" s="19" t="s">
        <v>1051</v>
      </c>
      <c r="H163" s="19" t="s">
        <v>766</v>
      </c>
    </row>
    <row r="164">
      <c r="C164" s="19" t="s">
        <v>590</v>
      </c>
      <c r="H164" s="19" t="s">
        <v>2004</v>
      </c>
    </row>
    <row r="165">
      <c r="C165" s="19" t="s">
        <v>1052</v>
      </c>
      <c r="H165" s="19" t="s">
        <v>947</v>
      </c>
    </row>
    <row r="166">
      <c r="C166" s="19" t="s">
        <v>1051</v>
      </c>
      <c r="H166" s="19" t="s">
        <v>766</v>
      </c>
    </row>
    <row r="167">
      <c r="C167" s="19" t="s">
        <v>1054</v>
      </c>
    </row>
    <row r="168">
      <c r="C168" s="19" t="s">
        <v>2159</v>
      </c>
    </row>
    <row r="169">
      <c r="C169" s="19" t="s">
        <v>573</v>
      </c>
    </row>
    <row r="170">
      <c r="C170" s="19" t="s">
        <v>1054</v>
      </c>
    </row>
    <row r="171">
      <c r="C171" s="19" t="s">
        <v>2161</v>
      </c>
    </row>
    <row r="172">
      <c r="C172" s="19" t="s">
        <v>572</v>
      </c>
    </row>
    <row r="173">
      <c r="C173" s="19" t="s">
        <v>1051</v>
      </c>
    </row>
    <row r="174">
      <c r="C174" s="19" t="s">
        <v>1054</v>
      </c>
    </row>
    <row r="178">
      <c r="A178" s="96" t="s">
        <v>1060</v>
      </c>
    </row>
    <row r="179">
      <c r="A179" s="96">
        <f>A182</f>
        <v>208900</v>
      </c>
    </row>
    <row r="180">
      <c r="A180" s="96">
        <v>2026.0</v>
      </c>
    </row>
    <row r="181">
      <c r="A181" s="96" t="s">
        <v>724</v>
      </c>
    </row>
    <row r="182">
      <c r="A182" s="116">
        <f>A185+B185+C185+D185+E185+F185+G185+H185+I185+J185</f>
        <v>208900</v>
      </c>
    </row>
    <row r="183">
      <c r="A183" s="109" t="s">
        <v>812</v>
      </c>
      <c r="B183" s="109" t="s">
        <v>815</v>
      </c>
      <c r="C183" s="109" t="s">
        <v>817</v>
      </c>
      <c r="D183" s="109" t="s">
        <v>819</v>
      </c>
      <c r="E183" s="109" t="s">
        <v>821</v>
      </c>
      <c r="F183" s="109" t="s">
        <v>822</v>
      </c>
      <c r="G183" s="109" t="s">
        <v>823</v>
      </c>
      <c r="H183" s="109" t="s">
        <v>825</v>
      </c>
      <c r="I183" s="99" t="s">
        <v>827</v>
      </c>
      <c r="J183" s="99" t="s">
        <v>829</v>
      </c>
    </row>
    <row r="184">
      <c r="A184" s="14" t="s">
        <v>667</v>
      </c>
      <c r="B184" s="14" t="s">
        <v>667</v>
      </c>
      <c r="C184" s="14" t="s">
        <v>667</v>
      </c>
      <c r="D184" s="14" t="s">
        <v>667</v>
      </c>
      <c r="E184" s="14" t="s">
        <v>667</v>
      </c>
      <c r="F184" s="14" t="s">
        <v>667</v>
      </c>
      <c r="G184" s="14" t="s">
        <v>667</v>
      </c>
      <c r="H184" s="14" t="s">
        <v>667</v>
      </c>
      <c r="I184" s="14" t="s">
        <v>667</v>
      </c>
      <c r="J184" s="14" t="s">
        <v>667</v>
      </c>
    </row>
    <row r="185">
      <c r="A185" s="86">
        <v>0.0</v>
      </c>
      <c r="B185" s="86">
        <v>0.0</v>
      </c>
      <c r="C185" s="86">
        <v>29500.0</v>
      </c>
      <c r="D185" s="86">
        <v>32000.0</v>
      </c>
      <c r="E185" s="86">
        <v>37900.0</v>
      </c>
      <c r="F185" s="86">
        <v>46000.0</v>
      </c>
      <c r="G185" s="86">
        <v>30000.0</v>
      </c>
      <c r="H185" s="86">
        <v>33500.0</v>
      </c>
      <c r="I185" s="86">
        <v>0.0</v>
      </c>
      <c r="J185" s="86">
        <v>0.0</v>
      </c>
    </row>
    <row r="186">
      <c r="C186" s="46" t="s">
        <v>1962</v>
      </c>
      <c r="D186" s="19" t="s">
        <v>2205</v>
      </c>
      <c r="E186" s="19" t="s">
        <v>2070</v>
      </c>
      <c r="F186" s="19" t="s">
        <v>2207</v>
      </c>
      <c r="G186" s="19" t="s">
        <v>1963</v>
      </c>
      <c r="H186" s="19" t="s">
        <v>1960</v>
      </c>
    </row>
    <row r="187">
      <c r="C187" s="46" t="s">
        <v>871</v>
      </c>
      <c r="D187" s="19" t="s">
        <v>1076</v>
      </c>
      <c r="E187" s="19" t="s">
        <v>693</v>
      </c>
      <c r="F187" s="19" t="s">
        <v>1076</v>
      </c>
      <c r="G187" s="19" t="s">
        <v>929</v>
      </c>
      <c r="H187" s="19" t="s">
        <v>871</v>
      </c>
    </row>
    <row r="188">
      <c r="C188" s="46" t="s">
        <v>1451</v>
      </c>
      <c r="D188" s="19" t="s">
        <v>851</v>
      </c>
      <c r="E188" s="19" t="s">
        <v>2149</v>
      </c>
      <c r="F188" s="19" t="s">
        <v>1843</v>
      </c>
      <c r="H188" s="19" t="s">
        <v>2015</v>
      </c>
    </row>
    <row r="189">
      <c r="C189" s="46" t="s">
        <v>1009</v>
      </c>
      <c r="D189" s="19" t="s">
        <v>865</v>
      </c>
      <c r="E189" s="19" t="s">
        <v>683</v>
      </c>
      <c r="F189" s="19" t="s">
        <v>1343</v>
      </c>
      <c r="H189" s="19" t="s">
        <v>939</v>
      </c>
    </row>
    <row r="190">
      <c r="C190" s="46" t="s">
        <v>2222</v>
      </c>
      <c r="D190" s="19" t="s">
        <v>2226</v>
      </c>
      <c r="E190" s="19" t="s">
        <v>2227</v>
      </c>
      <c r="F190" s="19" t="s">
        <v>2230</v>
      </c>
    </row>
    <row r="191">
      <c r="D191" s="19" t="s">
        <v>1048</v>
      </c>
      <c r="E191" s="19" t="s">
        <v>1045</v>
      </c>
      <c r="F191" s="19" t="s">
        <v>572</v>
      </c>
    </row>
    <row r="192">
      <c r="D192" s="19" t="s">
        <v>2236</v>
      </c>
      <c r="E192" s="19" t="s">
        <v>2161</v>
      </c>
      <c r="F192" s="19" t="s">
        <v>2237</v>
      </c>
    </row>
    <row r="193">
      <c r="D193" s="19" t="s">
        <v>624</v>
      </c>
      <c r="E193" s="19" t="s">
        <v>572</v>
      </c>
      <c r="F193" s="19" t="s">
        <v>572</v>
      </c>
    </row>
    <row r="194">
      <c r="E194" s="19" t="s">
        <v>2243</v>
      </c>
    </row>
    <row r="195">
      <c r="E195" s="19" t="s">
        <v>989</v>
      </c>
    </row>
    <row r="196">
      <c r="E196" s="19" t="s">
        <v>2249</v>
      </c>
    </row>
    <row r="197">
      <c r="E197" s="19" t="s">
        <v>872</v>
      </c>
    </row>
    <row r="198">
      <c r="A198" s="103" t="s">
        <v>882</v>
      </c>
    </row>
    <row r="199">
      <c r="A199" s="104" t="s">
        <v>884</v>
      </c>
    </row>
    <row r="200">
      <c r="A200" s="104">
        <f>A203</f>
        <v>455500</v>
      </c>
    </row>
    <row r="201">
      <c r="A201" s="104">
        <v>2026.0</v>
      </c>
    </row>
    <row r="202">
      <c r="A202" s="104" t="s">
        <v>724</v>
      </c>
    </row>
    <row r="203">
      <c r="A203" s="105">
        <f>A206+B206+C206+D206+E206+F206+G206+H206+I206+J206</f>
        <v>455500</v>
      </c>
    </row>
    <row r="204">
      <c r="A204" s="86" t="s">
        <v>887</v>
      </c>
      <c r="B204" s="86" t="s">
        <v>888</v>
      </c>
      <c r="C204" s="86" t="s">
        <v>891</v>
      </c>
      <c r="D204" s="86" t="s">
        <v>892</v>
      </c>
      <c r="E204" s="86" t="s">
        <v>893</v>
      </c>
      <c r="F204" s="86" t="s">
        <v>894</v>
      </c>
      <c r="G204" s="109" t="s">
        <v>895</v>
      </c>
      <c r="H204" s="102" t="s">
        <v>896</v>
      </c>
      <c r="I204" s="102" t="s">
        <v>897</v>
      </c>
      <c r="J204" s="102" t="s">
        <v>899</v>
      </c>
    </row>
    <row r="205">
      <c r="A205" s="14" t="s">
        <v>667</v>
      </c>
      <c r="B205" s="14" t="s">
        <v>667</v>
      </c>
      <c r="C205" s="14" t="s">
        <v>667</v>
      </c>
      <c r="D205" s="14" t="s">
        <v>667</v>
      </c>
      <c r="E205" s="14" t="s">
        <v>667</v>
      </c>
      <c r="F205" s="14" t="s">
        <v>667</v>
      </c>
      <c r="G205" s="14" t="s">
        <v>667</v>
      </c>
      <c r="H205" s="38" t="s">
        <v>667</v>
      </c>
      <c r="I205" s="38" t="s">
        <v>667</v>
      </c>
      <c r="J205" s="38" t="s">
        <v>667</v>
      </c>
    </row>
    <row r="206">
      <c r="A206" s="86">
        <v>12000.0</v>
      </c>
      <c r="B206" s="86"/>
      <c r="C206" s="86">
        <v>35000.0</v>
      </c>
      <c r="D206" s="86">
        <f>177500+116400</f>
        <v>293900</v>
      </c>
      <c r="E206" s="86"/>
      <c r="F206" s="86"/>
      <c r="G206" s="86"/>
      <c r="H206" s="86">
        <f>31500+77600</f>
        <v>109100</v>
      </c>
      <c r="I206" s="86">
        <v>5500.0</v>
      </c>
      <c r="J206" s="86"/>
    </row>
    <row r="207">
      <c r="A207" s="19" t="s">
        <v>2068</v>
      </c>
      <c r="C207" s="19" t="s">
        <v>2301</v>
      </c>
      <c r="D207" s="19" t="s">
        <v>1960</v>
      </c>
      <c r="H207" s="19" t="s">
        <v>2070</v>
      </c>
      <c r="I207" s="19" t="s">
        <v>2207</v>
      </c>
    </row>
    <row r="208">
      <c r="A208" s="19" t="s">
        <v>573</v>
      </c>
      <c r="C208" s="19" t="s">
        <v>573</v>
      </c>
      <c r="D208" s="19" t="s">
        <v>1380</v>
      </c>
      <c r="H208" s="19" t="s">
        <v>1426</v>
      </c>
      <c r="I208" s="19" t="s">
        <v>590</v>
      </c>
    </row>
    <row r="209">
      <c r="A209" s="19" t="s">
        <v>1121</v>
      </c>
      <c r="C209" s="19" t="s">
        <v>2309</v>
      </c>
      <c r="D209" s="19" t="s">
        <v>1428</v>
      </c>
      <c r="H209" s="19" t="s">
        <v>909</v>
      </c>
      <c r="I209" s="19" t="s">
        <v>1126</v>
      </c>
    </row>
    <row r="210">
      <c r="C210" s="19" t="s">
        <v>1514</v>
      </c>
      <c r="D210" s="19" t="s">
        <v>1806</v>
      </c>
      <c r="H210" s="19" t="s">
        <v>924</v>
      </c>
      <c r="I210" s="19" t="s">
        <v>2318</v>
      </c>
    </row>
    <row r="211">
      <c r="C211" s="19" t="s">
        <v>2320</v>
      </c>
      <c r="D211" s="19" t="s">
        <v>906</v>
      </c>
      <c r="H211" s="19" t="s">
        <v>1116</v>
      </c>
      <c r="I211" s="19" t="s">
        <v>573</v>
      </c>
    </row>
    <row r="212">
      <c r="C212" s="19" t="s">
        <v>2250</v>
      </c>
      <c r="D212" s="19" t="s">
        <v>909</v>
      </c>
      <c r="H212" s="19" t="s">
        <v>2325</v>
      </c>
    </row>
    <row r="213">
      <c r="D213" s="19" t="s">
        <v>2327</v>
      </c>
      <c r="H213" s="19" t="s">
        <v>624</v>
      </c>
    </row>
    <row r="214">
      <c r="D214" s="19" t="s">
        <v>2329</v>
      </c>
      <c r="H214" s="19" t="s">
        <v>1116</v>
      </c>
    </row>
    <row r="215">
      <c r="D215" s="19" t="s">
        <v>1428</v>
      </c>
    </row>
    <row r="216">
      <c r="D216" s="19" t="s">
        <v>1797</v>
      </c>
    </row>
    <row r="217">
      <c r="D217" s="19" t="s">
        <v>573</v>
      </c>
    </row>
    <row r="218">
      <c r="D218" s="19" t="s">
        <v>1428</v>
      </c>
    </row>
    <row r="219">
      <c r="D219" s="19" t="s">
        <v>2337</v>
      </c>
    </row>
    <row r="220">
      <c r="D220" s="19" t="s">
        <v>610</v>
      </c>
    </row>
    <row r="221">
      <c r="D221" s="19" t="s">
        <v>1428</v>
      </c>
    </row>
    <row r="222">
      <c r="D222" s="19" t="s">
        <v>2003</v>
      </c>
    </row>
    <row r="223">
      <c r="D223" s="19" t="s">
        <v>573</v>
      </c>
    </row>
    <row r="224">
      <c r="D224" s="19" t="s">
        <v>1428</v>
      </c>
    </row>
    <row r="225">
      <c r="D225" s="19" t="s">
        <v>2341</v>
      </c>
    </row>
    <row r="226">
      <c r="D226" s="19" t="s">
        <v>573</v>
      </c>
    </row>
    <row r="227">
      <c r="D227" s="19" t="s">
        <v>1428</v>
      </c>
    </row>
    <row r="239">
      <c r="A239" s="110" t="s">
        <v>943</v>
      </c>
    </row>
    <row r="240">
      <c r="A240" s="110">
        <f>A243</f>
        <v>118650</v>
      </c>
    </row>
    <row r="241">
      <c r="A241" s="110">
        <v>2026.0</v>
      </c>
    </row>
    <row r="242">
      <c r="A242" s="110" t="s">
        <v>724</v>
      </c>
    </row>
    <row r="243">
      <c r="A243" s="110">
        <f>A246+B246+C246+D246+E246+F246+G246+H246</f>
        <v>118650</v>
      </c>
    </row>
    <row r="244">
      <c r="A244" s="86" t="s">
        <v>953</v>
      </c>
      <c r="B244" s="86" t="s">
        <v>833</v>
      </c>
      <c r="C244" s="86" t="s">
        <v>834</v>
      </c>
      <c r="D244" s="86" t="s">
        <v>836</v>
      </c>
      <c r="E244" s="86" t="s">
        <v>956</v>
      </c>
      <c r="F244" s="86" t="s">
        <v>958</v>
      </c>
      <c r="G244" s="86" t="s">
        <v>844</v>
      </c>
      <c r="H244" s="86" t="s">
        <v>838</v>
      </c>
    </row>
    <row r="245">
      <c r="A245" s="14" t="s">
        <v>667</v>
      </c>
      <c r="B245" s="14" t="s">
        <v>667</v>
      </c>
      <c r="C245" s="14" t="s">
        <v>667</v>
      </c>
      <c r="D245" s="14" t="s">
        <v>667</v>
      </c>
      <c r="E245" s="14" t="s">
        <v>667</v>
      </c>
      <c r="F245" s="14" t="s">
        <v>667</v>
      </c>
      <c r="G245" s="14" t="s">
        <v>667</v>
      </c>
      <c r="H245" s="14" t="s">
        <v>667</v>
      </c>
    </row>
    <row r="246">
      <c r="A246" s="86">
        <v>17750.0</v>
      </c>
      <c r="B246" s="86">
        <v>0.0</v>
      </c>
      <c r="C246" s="86">
        <v>0.0</v>
      </c>
      <c r="D246" s="86">
        <f>9000+44400</f>
        <v>53400</v>
      </c>
      <c r="E246" s="86">
        <v>6500.0</v>
      </c>
      <c r="F246" s="86">
        <v>0.0</v>
      </c>
      <c r="G246" s="86">
        <v>41000.0</v>
      </c>
      <c r="H246" s="86">
        <v>0.0</v>
      </c>
    </row>
    <row r="247">
      <c r="A247" s="19" t="s">
        <v>1708</v>
      </c>
      <c r="D247" s="19" t="s">
        <v>2128</v>
      </c>
      <c r="E247" s="19" t="s">
        <v>2131</v>
      </c>
      <c r="G247" s="19" t="s">
        <v>2070</v>
      </c>
    </row>
    <row r="248">
      <c r="A248" s="19" t="s">
        <v>1108</v>
      </c>
      <c r="D248" s="19" t="s">
        <v>1119</v>
      </c>
      <c r="E248" s="19" t="s">
        <v>573</v>
      </c>
      <c r="G248" s="19" t="s">
        <v>573</v>
      </c>
    </row>
    <row r="249">
      <c r="A249" s="19" t="s">
        <v>1148</v>
      </c>
      <c r="D249" s="19" t="s">
        <v>1150</v>
      </c>
      <c r="E249" s="19" t="s">
        <v>1148</v>
      </c>
      <c r="G249" s="19" t="s">
        <v>2362</v>
      </c>
    </row>
    <row r="250">
      <c r="E250" s="19" t="s">
        <v>1488</v>
      </c>
      <c r="G250" s="19" t="s">
        <v>1384</v>
      </c>
    </row>
    <row r="251">
      <c r="E251" s="19" t="s">
        <v>1806</v>
      </c>
    </row>
    <row r="252">
      <c r="E252" s="19" t="s">
        <v>624</v>
      </c>
    </row>
    <row r="253">
      <c r="E253" s="19" t="s">
        <v>1797</v>
      </c>
    </row>
    <row r="254">
      <c r="E254" s="19" t="s">
        <v>573</v>
      </c>
    </row>
    <row r="259">
      <c r="A259" s="163" t="s">
        <v>963</v>
      </c>
    </row>
    <row r="260">
      <c r="A260" s="163">
        <f>A263</f>
        <v>301000</v>
      </c>
    </row>
    <row r="261">
      <c r="A261" s="163">
        <v>2026.0</v>
      </c>
    </row>
    <row r="262">
      <c r="A262" s="163" t="s">
        <v>724</v>
      </c>
    </row>
    <row r="263">
      <c r="A263" s="165">
        <f>A266+B266+C266+D266+E266+F266+G266+H266+I266+J266</f>
        <v>301000</v>
      </c>
    </row>
    <row r="264">
      <c r="A264" s="100" t="s">
        <v>965</v>
      </c>
      <c r="B264" s="100" t="s">
        <v>966</v>
      </c>
      <c r="C264" s="100" t="s">
        <v>968</v>
      </c>
      <c r="D264" s="100" t="s">
        <v>969</v>
      </c>
      <c r="E264" s="100" t="s">
        <v>970</v>
      </c>
      <c r="F264" s="100" t="s">
        <v>971</v>
      </c>
      <c r="G264" s="100" t="s">
        <v>972</v>
      </c>
      <c r="H264" s="100" t="s">
        <v>973</v>
      </c>
      <c r="I264" s="100" t="s">
        <v>974</v>
      </c>
      <c r="J264" s="100" t="s">
        <v>975</v>
      </c>
    </row>
    <row r="265">
      <c r="A265" s="38" t="s">
        <v>667</v>
      </c>
      <c r="B265" s="38" t="s">
        <v>667</v>
      </c>
      <c r="C265" s="38" t="s">
        <v>667</v>
      </c>
      <c r="D265" s="38" t="s">
        <v>667</v>
      </c>
      <c r="E265" s="38" t="s">
        <v>667</v>
      </c>
      <c r="F265" s="38" t="s">
        <v>667</v>
      </c>
      <c r="G265" s="38" t="s">
        <v>667</v>
      </c>
      <c r="H265" s="38" t="s">
        <v>667</v>
      </c>
      <c r="I265" s="38" t="s">
        <v>667</v>
      </c>
      <c r="J265" s="38" t="s">
        <v>667</v>
      </c>
    </row>
    <row r="266">
      <c r="A266" s="102">
        <v>2000.0</v>
      </c>
      <c r="B266" s="102">
        <v>2000.0</v>
      </c>
      <c r="C266" s="100">
        <v>0.0</v>
      </c>
      <c r="D266" s="102">
        <v>50000.0</v>
      </c>
      <c r="E266" s="102">
        <v>241000.0</v>
      </c>
      <c r="F266" s="100">
        <v>0.0</v>
      </c>
      <c r="G266" s="102">
        <v>6000.0</v>
      </c>
      <c r="H266" s="100">
        <v>0.0</v>
      </c>
      <c r="I266" s="100">
        <v>0.0</v>
      </c>
      <c r="J266" s="100">
        <v>0.0</v>
      </c>
    </row>
    <row r="267">
      <c r="A267" s="19" t="s">
        <v>2383</v>
      </c>
      <c r="B267" s="19" t="s">
        <v>2384</v>
      </c>
      <c r="D267" s="19" t="s">
        <v>2128</v>
      </c>
      <c r="E267" s="19" t="s">
        <v>1694</v>
      </c>
      <c r="G267" s="19" t="s">
        <v>2385</v>
      </c>
    </row>
    <row r="268">
      <c r="A268" s="19" t="s">
        <v>624</v>
      </c>
      <c r="B268" s="19" t="s">
        <v>624</v>
      </c>
      <c r="D268" s="19" t="s">
        <v>2386</v>
      </c>
      <c r="E268" s="19" t="s">
        <v>983</v>
      </c>
      <c r="G268" s="19" t="s">
        <v>624</v>
      </c>
    </row>
    <row r="269">
      <c r="D269" s="19" t="s">
        <v>2004</v>
      </c>
      <c r="E269" s="19" t="s">
        <v>1806</v>
      </c>
      <c r="G269" s="19" t="s">
        <v>2318</v>
      </c>
    </row>
    <row r="270">
      <c r="D270" s="19" t="s">
        <v>1107</v>
      </c>
      <c r="E270" s="19" t="s">
        <v>1426</v>
      </c>
      <c r="G270" s="19" t="s">
        <v>624</v>
      </c>
    </row>
    <row r="271">
      <c r="E271" s="19" t="s">
        <v>2392</v>
      </c>
      <c r="G271" s="19" t="s">
        <v>2395</v>
      </c>
    </row>
    <row r="272">
      <c r="E272" s="19" t="s">
        <v>984</v>
      </c>
      <c r="G272" s="19" t="s">
        <v>624</v>
      </c>
    </row>
    <row r="273">
      <c r="E273" s="19" t="s">
        <v>2398</v>
      </c>
    </row>
    <row r="274">
      <c r="E274" s="19" t="s">
        <v>1384</v>
      </c>
    </row>
    <row r="275">
      <c r="E275" s="19" t="s">
        <v>2401</v>
      </c>
    </row>
    <row r="276">
      <c r="E276" s="19" t="s">
        <v>624</v>
      </c>
    </row>
    <row r="277">
      <c r="E277" s="19" t="s">
        <v>2403</v>
      </c>
    </row>
    <row r="278">
      <c r="E278" s="19" t="s">
        <v>1445</v>
      </c>
    </row>
    <row r="279">
      <c r="E279" s="19" t="s">
        <v>2407</v>
      </c>
    </row>
    <row r="280">
      <c r="E280" s="19" t="s">
        <v>624</v>
      </c>
    </row>
    <row r="281">
      <c r="E281" s="19" t="s">
        <v>2408</v>
      </c>
    </row>
    <row r="282">
      <c r="E282" s="19" t="s">
        <v>624</v>
      </c>
    </row>
  </sheetData>
  <mergeCells count="70">
    <mergeCell ref="A116:H116"/>
    <mergeCell ref="A117:H117"/>
    <mergeCell ref="A118:H118"/>
    <mergeCell ref="A119:H119"/>
    <mergeCell ref="A151:H151"/>
    <mergeCell ref="A152:H152"/>
    <mergeCell ref="A153:H153"/>
    <mergeCell ref="A154:H154"/>
    <mergeCell ref="A155:H155"/>
    <mergeCell ref="A178:J178"/>
    <mergeCell ref="A179:J179"/>
    <mergeCell ref="A180:J180"/>
    <mergeCell ref="A181:J181"/>
    <mergeCell ref="A182:J182"/>
    <mergeCell ref="A261:J261"/>
    <mergeCell ref="A262:J262"/>
    <mergeCell ref="A263:J263"/>
    <mergeCell ref="A239:H239"/>
    <mergeCell ref="A240:H240"/>
    <mergeCell ref="A241:H241"/>
    <mergeCell ref="A242:H242"/>
    <mergeCell ref="A243:H243"/>
    <mergeCell ref="A259:J259"/>
    <mergeCell ref="A260:J260"/>
    <mergeCell ref="A1:R1"/>
    <mergeCell ref="A2:R2"/>
    <mergeCell ref="A3:R3"/>
    <mergeCell ref="A4:R4"/>
    <mergeCell ref="H5:J5"/>
    <mergeCell ref="K5:M5"/>
    <mergeCell ref="N5:R5"/>
    <mergeCell ref="N8:N22"/>
    <mergeCell ref="N23:N27"/>
    <mergeCell ref="N28:N41"/>
    <mergeCell ref="N42:N48"/>
    <mergeCell ref="N49:N56"/>
    <mergeCell ref="H6:J6"/>
    <mergeCell ref="K6:M6"/>
    <mergeCell ref="N6:R6"/>
    <mergeCell ref="K7:M7"/>
    <mergeCell ref="K8:M8"/>
    <mergeCell ref="O15:R15"/>
    <mergeCell ref="O22:P22"/>
    <mergeCell ref="O25:R25"/>
    <mergeCell ref="O27:P27"/>
    <mergeCell ref="O34:R34"/>
    <mergeCell ref="O41:P41"/>
    <mergeCell ref="O45:R45"/>
    <mergeCell ref="O48:P48"/>
    <mergeCell ref="O53:R53"/>
    <mergeCell ref="O56:P56"/>
    <mergeCell ref="A68:E68"/>
    <mergeCell ref="A69:E69"/>
    <mergeCell ref="A71:E71"/>
    <mergeCell ref="A72:E72"/>
    <mergeCell ref="A73:E73"/>
    <mergeCell ref="A82:F82"/>
    <mergeCell ref="A83:F83"/>
    <mergeCell ref="A84:F84"/>
    <mergeCell ref="A85:F85"/>
    <mergeCell ref="A86:F86"/>
    <mergeCell ref="A87:F87"/>
    <mergeCell ref="A114:F114"/>
    <mergeCell ref="A115:H115"/>
    <mergeCell ref="A198:J198"/>
    <mergeCell ref="A199:J199"/>
    <mergeCell ref="A200:J200"/>
    <mergeCell ref="A201:J201"/>
    <mergeCell ref="A202:J202"/>
    <mergeCell ref="A203:J203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75"/>
    <col customWidth="1" min="2" max="2" width="26.88"/>
    <col customWidth="1" min="3" max="3" width="32.0"/>
    <col customWidth="1" min="4" max="4" width="25.88"/>
    <col customWidth="1" min="5" max="5" width="31.75"/>
    <col customWidth="1" min="6" max="6" width="31.13"/>
    <col customWidth="1" min="7" max="7" width="27.25"/>
    <col customWidth="1" min="8" max="8" width="23.88"/>
    <col customWidth="1" min="9" max="9" width="25.13"/>
    <col customWidth="1" min="10" max="10" width="18.0"/>
    <col customWidth="1" min="11" max="11" width="28.5"/>
    <col customWidth="1" min="12" max="12" width="22.5"/>
    <col customWidth="1" min="15" max="15" width="17.25"/>
    <col customWidth="1" min="16" max="16" width="14.5"/>
    <col customWidth="1" min="20" max="20" width="26.13"/>
  </cols>
  <sheetData>
    <row r="1">
      <c r="A1" s="133" t="s">
        <v>1821</v>
      </c>
    </row>
    <row r="2">
      <c r="A2" s="133" t="s">
        <v>1824</v>
      </c>
    </row>
    <row r="3">
      <c r="A3" s="134" t="s">
        <v>6</v>
      </c>
    </row>
    <row r="4">
      <c r="A4" s="168">
        <f>100000+B6+C6+D6+F6+G6+H6+I6+A58+L6+O6</f>
        <v>915735</v>
      </c>
    </row>
    <row r="5">
      <c r="A5" s="14" t="s">
        <v>24</v>
      </c>
      <c r="B5" s="14" t="s">
        <v>25</v>
      </c>
      <c r="C5" s="14" t="s">
        <v>1137</v>
      </c>
      <c r="D5" s="14" t="s">
        <v>242</v>
      </c>
      <c r="E5" s="14" t="s">
        <v>28</v>
      </c>
      <c r="F5" s="14" t="s">
        <v>248</v>
      </c>
      <c r="G5" s="14" t="s">
        <v>1435</v>
      </c>
      <c r="H5" s="14" t="s">
        <v>1141</v>
      </c>
      <c r="I5" s="14" t="s">
        <v>43</v>
      </c>
      <c r="L5" s="14" t="s">
        <v>32</v>
      </c>
      <c r="O5" s="136" t="s">
        <v>33</v>
      </c>
    </row>
    <row r="6">
      <c r="A6" s="19" t="s">
        <v>1840</v>
      </c>
      <c r="B6" s="169">
        <v>-60000.0</v>
      </c>
      <c r="C6" s="169">
        <v>4000.0</v>
      </c>
      <c r="D6" s="169">
        <v>-500.0</v>
      </c>
      <c r="E6" s="19" t="s">
        <v>1844</v>
      </c>
      <c r="F6" s="169">
        <v>36100.0</v>
      </c>
      <c r="G6" s="169">
        <v>15000.0</v>
      </c>
      <c r="H6" s="169">
        <v>0.0</v>
      </c>
      <c r="I6" s="169">
        <v>38000.0</v>
      </c>
      <c r="L6" s="170">
        <f>L8</f>
        <v>0</v>
      </c>
      <c r="O6" s="170">
        <f>R11+R13+R15+R17+R22</f>
        <v>42500</v>
      </c>
      <c r="T6" s="14"/>
    </row>
    <row r="7">
      <c r="A7" s="19" t="s">
        <v>1851</v>
      </c>
      <c r="B7" s="61" t="s">
        <v>55</v>
      </c>
      <c r="C7" s="9" t="s">
        <v>1852</v>
      </c>
      <c r="D7" s="19" t="s">
        <v>1854</v>
      </c>
      <c r="E7" s="19" t="s">
        <v>1855</v>
      </c>
      <c r="F7" s="19" t="s">
        <v>59</v>
      </c>
      <c r="G7" s="19" t="s">
        <v>1856</v>
      </c>
      <c r="I7" s="19" t="s">
        <v>59</v>
      </c>
      <c r="J7" s="19" t="s">
        <v>1858</v>
      </c>
      <c r="K7" s="19" t="s">
        <v>61</v>
      </c>
      <c r="L7" s="14" t="s">
        <v>77</v>
      </c>
      <c r="O7" s="141" t="s">
        <v>64</v>
      </c>
      <c r="P7" s="141" t="s">
        <v>65</v>
      </c>
      <c r="Q7" s="141" t="s">
        <v>66</v>
      </c>
      <c r="R7" s="141" t="s">
        <v>0</v>
      </c>
      <c r="S7" s="141" t="s">
        <v>67</v>
      </c>
      <c r="T7" s="124"/>
    </row>
    <row r="8">
      <c r="A8" s="19" t="s">
        <v>1861</v>
      </c>
      <c r="B8" s="9" t="s">
        <v>200</v>
      </c>
      <c r="C8" s="9" t="s">
        <v>1862</v>
      </c>
      <c r="E8" s="19" t="s">
        <v>1864</v>
      </c>
      <c r="F8" s="19" t="s">
        <v>1865</v>
      </c>
      <c r="G8" s="19" t="s">
        <v>1866</v>
      </c>
      <c r="I8" s="19" t="s">
        <v>1867</v>
      </c>
      <c r="J8" s="19" t="s">
        <v>1868</v>
      </c>
      <c r="K8" s="19" t="s">
        <v>1869</v>
      </c>
      <c r="L8" s="171">
        <v>0.0</v>
      </c>
      <c r="O8" s="143" t="s">
        <v>1870</v>
      </c>
      <c r="P8" s="144" t="s">
        <v>145</v>
      </c>
      <c r="Q8" s="144">
        <v>2.5</v>
      </c>
      <c r="R8" s="144">
        <f>Q8*6000</f>
        <v>15000</v>
      </c>
      <c r="S8" s="145">
        <f>Q8*40</f>
        <v>100</v>
      </c>
    </row>
    <row r="9">
      <c r="A9" s="19" t="s">
        <v>1873</v>
      </c>
      <c r="B9" s="9" t="s">
        <v>223</v>
      </c>
      <c r="C9" s="9" t="s">
        <v>1875</v>
      </c>
      <c r="E9" s="19" t="s">
        <v>1877</v>
      </c>
      <c r="F9" s="19" t="s">
        <v>1879</v>
      </c>
      <c r="G9" s="19" t="s">
        <v>1880</v>
      </c>
      <c r="I9" s="19" t="s">
        <v>1870</v>
      </c>
      <c r="J9" s="19" t="s">
        <v>1882</v>
      </c>
      <c r="K9" s="19" t="s">
        <v>1883</v>
      </c>
      <c r="P9" s="144" t="s">
        <v>152</v>
      </c>
    </row>
    <row r="10">
      <c r="A10" s="19" t="s">
        <v>1884</v>
      </c>
      <c r="B10" s="61" t="s">
        <v>170</v>
      </c>
      <c r="C10" s="9" t="s">
        <v>1887</v>
      </c>
      <c r="E10" s="19" t="s">
        <v>1888</v>
      </c>
      <c r="F10" s="19" t="s">
        <v>1302</v>
      </c>
      <c r="G10" s="19" t="s">
        <v>1889</v>
      </c>
      <c r="I10" s="19" t="s">
        <v>193</v>
      </c>
      <c r="J10" s="19" t="s">
        <v>1891</v>
      </c>
      <c r="K10" s="19" t="s">
        <v>1892</v>
      </c>
      <c r="P10" s="144" t="s">
        <v>162</v>
      </c>
      <c r="Q10" s="144">
        <v>1.0</v>
      </c>
      <c r="R10" s="145">
        <f>Q10*1500</f>
        <v>1500</v>
      </c>
      <c r="S10" s="145">
        <f>Q10*40</f>
        <v>40</v>
      </c>
    </row>
    <row r="11">
      <c r="A11" s="19" t="s">
        <v>1893</v>
      </c>
      <c r="B11" s="9" t="s">
        <v>177</v>
      </c>
      <c r="C11" s="9" t="s">
        <v>1894</v>
      </c>
      <c r="E11" s="19" t="s">
        <v>1895</v>
      </c>
      <c r="F11" s="19" t="s">
        <v>1345</v>
      </c>
      <c r="G11" s="79" t="s">
        <v>1896</v>
      </c>
      <c r="I11" s="19" t="s">
        <v>460</v>
      </c>
      <c r="J11" s="19" t="s">
        <v>363</v>
      </c>
      <c r="K11" s="19" t="s">
        <v>1897</v>
      </c>
      <c r="P11" s="173" t="s">
        <v>94</v>
      </c>
      <c r="R11" s="174">
        <f t="shared" ref="R11:S11" si="1">R8+R10</f>
        <v>16500</v>
      </c>
      <c r="S11" s="174">
        <f t="shared" si="1"/>
        <v>140</v>
      </c>
    </row>
    <row r="12">
      <c r="A12" s="19" t="s">
        <v>1903</v>
      </c>
      <c r="B12" s="61" t="s">
        <v>196</v>
      </c>
      <c r="C12" s="19" t="s">
        <v>1904</v>
      </c>
      <c r="E12" s="19" t="s">
        <v>1905</v>
      </c>
      <c r="F12" s="19" t="s">
        <v>193</v>
      </c>
      <c r="G12" s="19" t="s">
        <v>1906</v>
      </c>
      <c r="I12" s="19" t="s">
        <v>1907</v>
      </c>
      <c r="J12" s="19" t="s">
        <v>1909</v>
      </c>
      <c r="K12" s="19" t="s">
        <v>1910</v>
      </c>
      <c r="O12" s="143" t="s">
        <v>1912</v>
      </c>
      <c r="P12" s="144" t="s">
        <v>270</v>
      </c>
      <c r="Q12" s="144">
        <v>0.5</v>
      </c>
      <c r="R12" s="145">
        <f>Q12*3000</f>
        <v>1500</v>
      </c>
      <c r="S12" s="145">
        <f>Q12*40</f>
        <v>20</v>
      </c>
    </row>
    <row r="13">
      <c r="A13" s="19" t="s">
        <v>1913</v>
      </c>
      <c r="B13" s="9" t="s">
        <v>177</v>
      </c>
      <c r="C13" s="19" t="s">
        <v>1914</v>
      </c>
      <c r="F13" s="19" t="s">
        <v>398</v>
      </c>
      <c r="G13" s="19" t="s">
        <v>1915</v>
      </c>
      <c r="I13" s="19" t="s">
        <v>139</v>
      </c>
      <c r="J13" s="19" t="s">
        <v>1916</v>
      </c>
      <c r="P13" s="173" t="s">
        <v>94</v>
      </c>
      <c r="R13" s="174">
        <f t="shared" ref="R13:S13" si="2">R12</f>
        <v>1500</v>
      </c>
      <c r="S13" s="174">
        <f t="shared" si="2"/>
        <v>20</v>
      </c>
    </row>
    <row r="14">
      <c r="A14" s="19" t="s">
        <v>1917</v>
      </c>
      <c r="C14" s="19" t="s">
        <v>1919</v>
      </c>
      <c r="F14" s="19" t="s">
        <v>1920</v>
      </c>
      <c r="G14" s="19" t="s">
        <v>1921</v>
      </c>
      <c r="I14" s="19" t="s">
        <v>522</v>
      </c>
      <c r="J14" s="19" t="s">
        <v>1729</v>
      </c>
      <c r="O14" s="143" t="s">
        <v>1922</v>
      </c>
      <c r="P14" s="144" t="s">
        <v>270</v>
      </c>
      <c r="Q14" s="144">
        <v>1.0</v>
      </c>
      <c r="R14" s="145">
        <f>Q14*3000</f>
        <v>3000</v>
      </c>
      <c r="S14" s="145">
        <f>Q14*40</f>
        <v>40</v>
      </c>
    </row>
    <row r="15">
      <c r="A15" s="19" t="s">
        <v>1927</v>
      </c>
      <c r="C15" s="19" t="s">
        <v>1929</v>
      </c>
      <c r="F15" s="19" t="s">
        <v>1931</v>
      </c>
      <c r="I15" s="19" t="s">
        <v>1932</v>
      </c>
      <c r="J15" s="19" t="s">
        <v>174</v>
      </c>
      <c r="P15" s="173" t="s">
        <v>94</v>
      </c>
      <c r="R15" s="174">
        <f t="shared" ref="R15:S15" si="3">R14</f>
        <v>3000</v>
      </c>
      <c r="S15" s="174">
        <f t="shared" si="3"/>
        <v>40</v>
      </c>
    </row>
    <row r="16">
      <c r="A16" s="19" t="s">
        <v>1933</v>
      </c>
      <c r="C16" s="19" t="s">
        <v>1934</v>
      </c>
      <c r="F16" s="175" t="s">
        <v>1936</v>
      </c>
      <c r="I16" s="19" t="s">
        <v>193</v>
      </c>
      <c r="O16" s="143" t="s">
        <v>1938</v>
      </c>
      <c r="P16" s="144" t="s">
        <v>128</v>
      </c>
      <c r="Q16" s="144">
        <v>1.0</v>
      </c>
      <c r="R16" s="145">
        <f>Q16*8000</f>
        <v>8000</v>
      </c>
      <c r="S16" s="145">
        <f>Q16*80</f>
        <v>80</v>
      </c>
    </row>
    <row r="17">
      <c r="A17" s="19" t="s">
        <v>1944</v>
      </c>
      <c r="C17" s="19" t="s">
        <v>124</v>
      </c>
      <c r="I17" s="19" t="s">
        <v>1945</v>
      </c>
      <c r="P17" s="173" t="s">
        <v>94</v>
      </c>
      <c r="R17" s="174">
        <f t="shared" ref="R17:S17" si="4">R16</f>
        <v>8000</v>
      </c>
      <c r="S17" s="174">
        <f t="shared" si="4"/>
        <v>80</v>
      </c>
    </row>
    <row r="18">
      <c r="A18" s="19" t="s">
        <v>1947</v>
      </c>
      <c r="C18" s="19" t="s">
        <v>1949</v>
      </c>
      <c r="F18" s="63" t="s">
        <v>1950</v>
      </c>
      <c r="I18" s="19" t="s">
        <v>374</v>
      </c>
      <c r="O18" s="143" t="s">
        <v>1951</v>
      </c>
      <c r="P18" s="144" t="s">
        <v>117</v>
      </c>
      <c r="Q18" s="144">
        <v>2.0</v>
      </c>
      <c r="R18" s="145">
        <f>Q18*2000</f>
        <v>4000</v>
      </c>
      <c r="S18" s="145">
        <f>Q18*40</f>
        <v>80</v>
      </c>
    </row>
    <row r="19">
      <c r="A19" s="19" t="s">
        <v>1952</v>
      </c>
      <c r="C19" s="19" t="s">
        <v>535</v>
      </c>
      <c r="F19" s="63" t="s">
        <v>1953</v>
      </c>
      <c r="I19" s="19" t="s">
        <v>1570</v>
      </c>
      <c r="P19" s="144" t="s">
        <v>128</v>
      </c>
      <c r="Q19" s="144">
        <v>1.0</v>
      </c>
      <c r="R19" s="145">
        <f>Q19*8000</f>
        <v>8000</v>
      </c>
      <c r="S19" s="145">
        <f>Q19*80</f>
        <v>80</v>
      </c>
    </row>
    <row r="20">
      <c r="A20" s="19" t="s">
        <v>1961</v>
      </c>
      <c r="C20" s="19" t="s">
        <v>1964</v>
      </c>
      <c r="I20" s="19" t="s">
        <v>1967</v>
      </c>
      <c r="P20" s="144" t="s">
        <v>152</v>
      </c>
    </row>
    <row r="21">
      <c r="A21" s="19" t="s">
        <v>1971</v>
      </c>
      <c r="C21" s="19" t="s">
        <v>1974</v>
      </c>
      <c r="I21" s="19" t="s">
        <v>193</v>
      </c>
      <c r="P21" s="144" t="s">
        <v>191</v>
      </c>
      <c r="Q21" s="144">
        <v>1.0</v>
      </c>
      <c r="R21" s="145">
        <f>Q21*1500</f>
        <v>1500</v>
      </c>
      <c r="S21" s="145">
        <f>Q21*40</f>
        <v>40</v>
      </c>
    </row>
    <row r="22">
      <c r="A22" s="19" t="s">
        <v>1979</v>
      </c>
      <c r="C22" s="19" t="s">
        <v>149</v>
      </c>
      <c r="I22" s="19" t="s">
        <v>1945</v>
      </c>
      <c r="P22" s="173" t="s">
        <v>94</v>
      </c>
      <c r="R22" s="174">
        <f t="shared" ref="R22:S22" si="5">R18+R19+R21</f>
        <v>13500</v>
      </c>
      <c r="S22" s="174">
        <f t="shared" si="5"/>
        <v>200</v>
      </c>
    </row>
    <row r="23">
      <c r="A23" s="19" t="s">
        <v>1985</v>
      </c>
      <c r="C23" s="19" t="s">
        <v>1560</v>
      </c>
      <c r="I23" s="19" t="s">
        <v>303</v>
      </c>
    </row>
    <row r="24">
      <c r="A24" s="19" t="s">
        <v>1992</v>
      </c>
      <c r="I24" s="19" t="s">
        <v>1570</v>
      </c>
    </row>
    <row r="25">
      <c r="A25" s="19" t="s">
        <v>1996</v>
      </c>
      <c r="I25" s="19" t="s">
        <v>1570</v>
      </c>
    </row>
    <row r="26">
      <c r="I26" s="19" t="s">
        <v>374</v>
      </c>
    </row>
    <row r="27">
      <c r="I27" s="19" t="s">
        <v>508</v>
      </c>
    </row>
    <row r="28">
      <c r="E28" s="18"/>
      <c r="F28" s="18"/>
      <c r="G28" s="18"/>
      <c r="I28" s="19" t="s">
        <v>2003</v>
      </c>
    </row>
    <row r="29">
      <c r="E29" s="14"/>
      <c r="F29" s="14"/>
      <c r="G29" s="14"/>
      <c r="I29" s="19" t="s">
        <v>193</v>
      </c>
    </row>
    <row r="30">
      <c r="E30" s="14"/>
      <c r="F30" s="14"/>
      <c r="G30" s="14"/>
      <c r="I30" s="19" t="s">
        <v>444</v>
      </c>
    </row>
    <row r="31">
      <c r="I31" s="19" t="s">
        <v>139</v>
      </c>
    </row>
    <row r="32">
      <c r="I32" s="19" t="s">
        <v>508</v>
      </c>
    </row>
    <row r="33">
      <c r="I33" s="19" t="s">
        <v>2014</v>
      </c>
    </row>
    <row r="34">
      <c r="I34" s="19" t="s">
        <v>193</v>
      </c>
    </row>
    <row r="35">
      <c r="I35" s="19" t="s">
        <v>435</v>
      </c>
    </row>
    <row r="36">
      <c r="I36" s="19" t="s">
        <v>374</v>
      </c>
    </row>
    <row r="37">
      <c r="I37" s="19" t="s">
        <v>450</v>
      </c>
    </row>
    <row r="38">
      <c r="I38" s="19" t="s">
        <v>2021</v>
      </c>
    </row>
    <row r="39">
      <c r="I39" s="19" t="s">
        <v>193</v>
      </c>
    </row>
    <row r="40">
      <c r="I40" s="19" t="s">
        <v>114</v>
      </c>
    </row>
    <row r="41">
      <c r="I41" s="19" t="s">
        <v>374</v>
      </c>
    </row>
    <row r="42">
      <c r="I42" s="19" t="s">
        <v>173</v>
      </c>
    </row>
    <row r="43">
      <c r="I43" s="19" t="s">
        <v>2033</v>
      </c>
    </row>
    <row r="44">
      <c r="I44" s="19" t="s">
        <v>256</v>
      </c>
    </row>
    <row r="45">
      <c r="I45" s="19" t="s">
        <v>450</v>
      </c>
    </row>
    <row r="46">
      <c r="I46" s="19" t="s">
        <v>187</v>
      </c>
    </row>
    <row r="47">
      <c r="I47" s="19"/>
    </row>
    <row r="48">
      <c r="J48" s="19"/>
    </row>
    <row r="49">
      <c r="J49" s="19"/>
    </row>
    <row r="50">
      <c r="J50" s="19"/>
    </row>
    <row r="51">
      <c r="J51" s="19"/>
    </row>
    <row r="52">
      <c r="J52" s="19"/>
    </row>
    <row r="53">
      <c r="J53" s="19"/>
    </row>
    <row r="54">
      <c r="J54" s="19"/>
    </row>
    <row r="57">
      <c r="A57" s="81" t="s">
        <v>504</v>
      </c>
    </row>
    <row r="58">
      <c r="A58" s="81">
        <f>A60+A72+A94+A107+A132+A156+A176+A190</f>
        <v>740635</v>
      </c>
    </row>
    <row r="59">
      <c r="A59" s="84" t="s">
        <v>520</v>
      </c>
    </row>
    <row r="60">
      <c r="A60" s="84">
        <v>17300.0</v>
      </c>
    </row>
    <row r="61">
      <c r="A61" s="84">
        <v>2026.0</v>
      </c>
    </row>
    <row r="62">
      <c r="A62" s="86" t="s">
        <v>526</v>
      </c>
      <c r="B62" s="86" t="s">
        <v>528</v>
      </c>
      <c r="C62" s="86" t="s">
        <v>529</v>
      </c>
      <c r="D62" s="86" t="s">
        <v>531</v>
      </c>
      <c r="E62" s="86" t="s">
        <v>533</v>
      </c>
    </row>
    <row r="63">
      <c r="A63" s="19" t="s">
        <v>2083</v>
      </c>
      <c r="B63" s="63" t="s">
        <v>669</v>
      </c>
      <c r="D63" s="19" t="s">
        <v>1870</v>
      </c>
    </row>
    <row r="64">
      <c r="A64" s="19" t="s">
        <v>573</v>
      </c>
      <c r="B64" s="19" t="s">
        <v>2089</v>
      </c>
      <c r="D64" s="19" t="s">
        <v>624</v>
      </c>
    </row>
    <row r="65">
      <c r="B65" s="19" t="s">
        <v>1367</v>
      </c>
      <c r="D65" s="19" t="s">
        <v>950</v>
      </c>
    </row>
    <row r="66">
      <c r="B66" s="19" t="s">
        <v>927</v>
      </c>
    </row>
    <row r="67">
      <c r="B67" s="19" t="s">
        <v>2097</v>
      </c>
    </row>
    <row r="68">
      <c r="B68" s="19" t="s">
        <v>2100</v>
      </c>
    </row>
    <row r="69">
      <c r="B69" s="19" t="s">
        <v>610</v>
      </c>
    </row>
    <row r="70">
      <c r="A70" s="87"/>
      <c r="B70" s="87"/>
      <c r="C70" s="87"/>
      <c r="D70" s="87"/>
      <c r="E70" s="87"/>
      <c r="F70" s="87"/>
    </row>
    <row r="71">
      <c r="A71" s="88" t="s">
        <v>978</v>
      </c>
    </row>
    <row r="72">
      <c r="A72" s="88">
        <v>67270.0</v>
      </c>
    </row>
    <row r="73">
      <c r="A73" s="89">
        <v>2026.0</v>
      </c>
    </row>
    <row r="74">
      <c r="A74" s="86" t="s">
        <v>550</v>
      </c>
      <c r="B74" s="86" t="s">
        <v>551</v>
      </c>
      <c r="C74" s="86" t="s">
        <v>552</v>
      </c>
      <c r="D74" s="86" t="s">
        <v>554</v>
      </c>
      <c r="E74" s="86" t="s">
        <v>555</v>
      </c>
      <c r="F74" s="86" t="s">
        <v>557</v>
      </c>
    </row>
    <row r="75">
      <c r="A75" s="63" t="s">
        <v>2107</v>
      </c>
      <c r="B75" s="63" t="s">
        <v>2108</v>
      </c>
      <c r="C75" s="63" t="s">
        <v>2109</v>
      </c>
    </row>
    <row r="76">
      <c r="A76" s="19" t="s">
        <v>2083</v>
      </c>
      <c r="B76" s="19" t="s">
        <v>2110</v>
      </c>
      <c r="C76" s="19" t="s">
        <v>2111</v>
      </c>
    </row>
    <row r="77">
      <c r="A77" s="19" t="s">
        <v>2112</v>
      </c>
      <c r="B77" s="19" t="s">
        <v>711</v>
      </c>
      <c r="C77" s="19" t="s">
        <v>989</v>
      </c>
    </row>
    <row r="78">
      <c r="A78" s="19" t="s">
        <v>581</v>
      </c>
      <c r="B78" s="19" t="s">
        <v>2100</v>
      </c>
      <c r="C78" s="19" t="s">
        <v>1851</v>
      </c>
    </row>
    <row r="79">
      <c r="A79" s="19" t="s">
        <v>1044</v>
      </c>
      <c r="B79" s="19" t="s">
        <v>610</v>
      </c>
      <c r="C79" s="19" t="s">
        <v>1403</v>
      </c>
    </row>
    <row r="80">
      <c r="A80" s="19" t="s">
        <v>578</v>
      </c>
      <c r="B80" s="19" t="s">
        <v>2115</v>
      </c>
      <c r="C80" s="19" t="s">
        <v>2118</v>
      </c>
    </row>
    <row r="81">
      <c r="A81" s="19" t="s">
        <v>2122</v>
      </c>
      <c r="B81" s="19" t="s">
        <v>573</v>
      </c>
      <c r="C81" s="19" t="s">
        <v>572</v>
      </c>
    </row>
    <row r="82">
      <c r="A82" s="19" t="s">
        <v>1334</v>
      </c>
      <c r="B82" s="19" t="s">
        <v>580</v>
      </c>
    </row>
    <row r="83">
      <c r="A83" s="19" t="s">
        <v>578</v>
      </c>
    </row>
    <row r="84">
      <c r="A84" s="19" t="s">
        <v>2129</v>
      </c>
    </row>
    <row r="85">
      <c r="A85" s="19" t="s">
        <v>572</v>
      </c>
    </row>
    <row r="86">
      <c r="A86" s="19" t="s">
        <v>581</v>
      </c>
    </row>
    <row r="87">
      <c r="A87" s="19" t="s">
        <v>2136</v>
      </c>
    </row>
    <row r="88">
      <c r="A88" s="19" t="s">
        <v>580</v>
      </c>
    </row>
    <row r="89">
      <c r="A89" s="19" t="s">
        <v>2140</v>
      </c>
    </row>
    <row r="90">
      <c r="A90" s="19" t="s">
        <v>2143</v>
      </c>
    </row>
    <row r="91">
      <c r="A91" s="19" t="s">
        <v>578</v>
      </c>
    </row>
    <row r="92">
      <c r="A92" s="87"/>
      <c r="B92" s="87"/>
      <c r="C92" s="87"/>
      <c r="D92" s="87"/>
      <c r="E92" s="87"/>
      <c r="F92" s="87"/>
    </row>
    <row r="93">
      <c r="A93" s="2" t="s">
        <v>2154</v>
      </c>
    </row>
    <row r="94">
      <c r="A94" s="2">
        <v>55400.0</v>
      </c>
    </row>
    <row r="95">
      <c r="A95" s="39">
        <v>2026.0</v>
      </c>
    </row>
    <row r="96">
      <c r="A96" s="86" t="s">
        <v>646</v>
      </c>
      <c r="B96" s="86" t="s">
        <v>647</v>
      </c>
      <c r="C96" s="86" t="s">
        <v>648</v>
      </c>
      <c r="D96" s="86" t="s">
        <v>651</v>
      </c>
      <c r="E96" s="86" t="s">
        <v>653</v>
      </c>
      <c r="F96" s="86" t="s">
        <v>654</v>
      </c>
      <c r="G96" s="86" t="s">
        <v>655</v>
      </c>
      <c r="H96" s="86" t="s">
        <v>657</v>
      </c>
    </row>
    <row r="97">
      <c r="A97" s="79" t="s">
        <v>667</v>
      </c>
      <c r="B97" s="79" t="s">
        <v>2169</v>
      </c>
      <c r="C97" s="79" t="s">
        <v>667</v>
      </c>
      <c r="D97" s="79" t="s">
        <v>667</v>
      </c>
      <c r="E97" s="79" t="s">
        <v>2171</v>
      </c>
      <c r="F97" s="79" t="s">
        <v>2173</v>
      </c>
      <c r="G97" s="79" t="s">
        <v>2174</v>
      </c>
      <c r="H97" s="79" t="s">
        <v>667</v>
      </c>
    </row>
    <row r="98">
      <c r="B98" s="19" t="s">
        <v>2178</v>
      </c>
      <c r="E98" s="19" t="s">
        <v>2179</v>
      </c>
      <c r="F98" s="19" t="s">
        <v>2180</v>
      </c>
      <c r="G98" s="19" t="s">
        <v>2181</v>
      </c>
    </row>
    <row r="99">
      <c r="B99" s="19" t="s">
        <v>693</v>
      </c>
      <c r="E99" s="19" t="s">
        <v>683</v>
      </c>
      <c r="F99" s="19" t="s">
        <v>590</v>
      </c>
      <c r="G99" s="19" t="s">
        <v>590</v>
      </c>
    </row>
    <row r="100">
      <c r="B100" s="19" t="s">
        <v>690</v>
      </c>
      <c r="E100" s="19" t="s">
        <v>1135</v>
      </c>
      <c r="F100" s="19" t="s">
        <v>2185</v>
      </c>
      <c r="G100" s="19" t="s">
        <v>345</v>
      </c>
    </row>
    <row r="101">
      <c r="B101" s="19" t="s">
        <v>2187</v>
      </c>
      <c r="E101" s="19" t="s">
        <v>2188</v>
      </c>
      <c r="F101" s="19" t="s">
        <v>1068</v>
      </c>
      <c r="G101" s="19" t="s">
        <v>695</v>
      </c>
    </row>
    <row r="102">
      <c r="B102" s="19" t="s">
        <v>876</v>
      </c>
      <c r="E102" s="19" t="s">
        <v>590</v>
      </c>
    </row>
    <row r="103">
      <c r="B103" s="19" t="s">
        <v>652</v>
      </c>
      <c r="E103" s="19" t="s">
        <v>652</v>
      </c>
    </row>
    <row r="104">
      <c r="B104" s="19" t="s">
        <v>690</v>
      </c>
      <c r="E104" s="19" t="s">
        <v>1135</v>
      </c>
    </row>
    <row r="106">
      <c r="A106" s="94" t="s">
        <v>2192</v>
      </c>
    </row>
    <row r="107">
      <c r="A107" s="94">
        <f>A110</f>
        <v>232365</v>
      </c>
    </row>
    <row r="108">
      <c r="A108" s="94">
        <v>2026.0</v>
      </c>
    </row>
    <row r="109">
      <c r="A109" s="94" t="s">
        <v>2199</v>
      </c>
    </row>
    <row r="110">
      <c r="A110" s="94">
        <f>A113+B113+C113+D113+E113+F113+G113+H113</f>
        <v>232365</v>
      </c>
    </row>
    <row r="111">
      <c r="A111" s="86" t="s">
        <v>731</v>
      </c>
      <c r="B111" s="86" t="s">
        <v>733</v>
      </c>
      <c r="C111" s="86" t="s">
        <v>735</v>
      </c>
      <c r="D111" s="86" t="s">
        <v>736</v>
      </c>
      <c r="E111" s="86" t="s">
        <v>737</v>
      </c>
      <c r="F111" s="86" t="s">
        <v>738</v>
      </c>
      <c r="G111" s="86" t="s">
        <v>740</v>
      </c>
      <c r="H111" s="86" t="s">
        <v>741</v>
      </c>
    </row>
    <row r="112">
      <c r="A112" s="14" t="s">
        <v>667</v>
      </c>
      <c r="B112" s="14" t="s">
        <v>667</v>
      </c>
      <c r="C112" s="14" t="s">
        <v>667</v>
      </c>
      <c r="D112" s="14" t="s">
        <v>667</v>
      </c>
      <c r="E112" s="14" t="s">
        <v>667</v>
      </c>
      <c r="F112" s="14" t="s">
        <v>667</v>
      </c>
      <c r="G112" s="14" t="s">
        <v>667</v>
      </c>
      <c r="H112" s="14" t="s">
        <v>667</v>
      </c>
    </row>
    <row r="113">
      <c r="A113" s="86">
        <v>0.0</v>
      </c>
      <c r="B113" s="86">
        <v>13250.0</v>
      </c>
      <c r="C113" s="86">
        <v>25415.0</v>
      </c>
      <c r="D113" s="86">
        <v>15250.0</v>
      </c>
      <c r="E113" s="86">
        <v>143800.0</v>
      </c>
      <c r="F113" s="86">
        <v>0.0</v>
      </c>
      <c r="G113" s="86">
        <v>8750.0</v>
      </c>
      <c r="H113" s="86">
        <v>25900.0</v>
      </c>
    </row>
    <row r="114">
      <c r="B114" s="19" t="s">
        <v>2208</v>
      </c>
      <c r="C114" s="19" t="s">
        <v>2209</v>
      </c>
      <c r="D114" s="19" t="s">
        <v>1870</v>
      </c>
      <c r="E114" s="19" t="s">
        <v>2210</v>
      </c>
      <c r="G114" s="19" t="s">
        <v>1879</v>
      </c>
      <c r="H114" s="19" t="s">
        <v>2211</v>
      </c>
    </row>
    <row r="115">
      <c r="B115" s="19" t="s">
        <v>758</v>
      </c>
      <c r="C115" s="19" t="s">
        <v>1220</v>
      </c>
      <c r="D115" s="19" t="s">
        <v>693</v>
      </c>
      <c r="E115" s="19" t="s">
        <v>2212</v>
      </c>
      <c r="G115" s="19" t="s">
        <v>755</v>
      </c>
      <c r="H115" s="19" t="s">
        <v>1260</v>
      </c>
    </row>
    <row r="116">
      <c r="B116" s="19" t="s">
        <v>760</v>
      </c>
      <c r="C116" s="19" t="s">
        <v>1054</v>
      </c>
      <c r="D116" s="19" t="s">
        <v>759</v>
      </c>
      <c r="E116" s="19" t="s">
        <v>1216</v>
      </c>
      <c r="G116" s="19" t="s">
        <v>1052</v>
      </c>
      <c r="H116" s="19" t="s">
        <v>766</v>
      </c>
    </row>
    <row r="117">
      <c r="B117" s="19" t="s">
        <v>2187</v>
      </c>
      <c r="C117" s="19" t="s">
        <v>2218</v>
      </c>
      <c r="D117" s="19" t="s">
        <v>760</v>
      </c>
      <c r="E117" s="19" t="s">
        <v>1051</v>
      </c>
      <c r="G117" s="19" t="s">
        <v>1051</v>
      </c>
      <c r="H117" s="19" t="s">
        <v>1907</v>
      </c>
    </row>
    <row r="118">
      <c r="B118" s="19" t="s">
        <v>758</v>
      </c>
      <c r="C118" s="19" t="s">
        <v>776</v>
      </c>
      <c r="D118" s="19" t="s">
        <v>2225</v>
      </c>
      <c r="E118" s="19" t="s">
        <v>760</v>
      </c>
      <c r="G118" s="19" t="s">
        <v>2229</v>
      </c>
      <c r="H118" s="19" t="s">
        <v>2232</v>
      </c>
    </row>
    <row r="119">
      <c r="B119" s="19" t="s">
        <v>2234</v>
      </c>
      <c r="C119" s="19" t="s">
        <v>1051</v>
      </c>
      <c r="D119" s="19" t="s">
        <v>755</v>
      </c>
      <c r="E119" s="19" t="s">
        <v>2235</v>
      </c>
      <c r="G119" s="19" t="s">
        <v>1009</v>
      </c>
      <c r="H119" s="19" t="s">
        <v>766</v>
      </c>
    </row>
    <row r="120">
      <c r="B120" s="19" t="s">
        <v>758</v>
      </c>
      <c r="C120" s="19" t="s">
        <v>1054</v>
      </c>
      <c r="E120" s="19" t="s">
        <v>764</v>
      </c>
    </row>
    <row r="121">
      <c r="B121" s="19" t="s">
        <v>2239</v>
      </c>
      <c r="C121" s="19" t="s">
        <v>2241</v>
      </c>
      <c r="E121" s="19" t="s">
        <v>2244</v>
      </c>
      <c r="G121" s="193"/>
      <c r="H121" s="193"/>
    </row>
    <row r="122">
      <c r="B122" s="19" t="s">
        <v>1202</v>
      </c>
      <c r="C122" s="19" t="s">
        <v>758</v>
      </c>
      <c r="E122" s="19" t="s">
        <v>776</v>
      </c>
      <c r="G122" s="193"/>
      <c r="H122" s="193"/>
    </row>
    <row r="123">
      <c r="B123" s="19" t="s">
        <v>2253</v>
      </c>
      <c r="C123" s="19" t="s">
        <v>1054</v>
      </c>
      <c r="E123" s="19" t="s">
        <v>764</v>
      </c>
      <c r="G123" s="193"/>
      <c r="H123" s="193"/>
    </row>
    <row r="124">
      <c r="B124" s="19" t="s">
        <v>776</v>
      </c>
      <c r="G124" s="193"/>
      <c r="H124" s="193"/>
    </row>
    <row r="125">
      <c r="B125" s="19" t="s">
        <v>2263</v>
      </c>
      <c r="G125" s="193"/>
      <c r="H125" s="193"/>
    </row>
    <row r="126">
      <c r="B126" s="19" t="s">
        <v>776</v>
      </c>
    </row>
    <row r="127">
      <c r="B127" s="19" t="s">
        <v>2268</v>
      </c>
    </row>
    <row r="128">
      <c r="B128" s="19" t="s">
        <v>776</v>
      </c>
    </row>
    <row r="131">
      <c r="A131" s="96" t="s">
        <v>1060</v>
      </c>
    </row>
    <row r="132">
      <c r="A132" s="96">
        <f>A136</f>
        <v>-123800</v>
      </c>
    </row>
    <row r="133">
      <c r="A133" s="96">
        <v>2026.0</v>
      </c>
    </row>
    <row r="134">
      <c r="A134" s="194" t="s">
        <v>2278</v>
      </c>
    </row>
    <row r="135">
      <c r="A135" s="96" t="s">
        <v>724</v>
      </c>
    </row>
    <row r="136">
      <c r="A136" s="116">
        <f>A139+B139+C139+D139+E139+F139+G139+H139+I139+J139-150000</f>
        <v>-123800</v>
      </c>
    </row>
    <row r="137">
      <c r="A137" s="109" t="s">
        <v>812</v>
      </c>
      <c r="B137" s="109" t="s">
        <v>815</v>
      </c>
      <c r="C137" s="109" t="s">
        <v>817</v>
      </c>
      <c r="D137" s="109" t="s">
        <v>819</v>
      </c>
      <c r="E137" s="109" t="s">
        <v>821</v>
      </c>
      <c r="F137" s="109" t="s">
        <v>822</v>
      </c>
      <c r="G137" s="109" t="s">
        <v>823</v>
      </c>
      <c r="H137" s="109" t="s">
        <v>825</v>
      </c>
      <c r="I137" s="99" t="s">
        <v>827</v>
      </c>
      <c r="J137" s="99" t="s">
        <v>829</v>
      </c>
    </row>
    <row r="138">
      <c r="A138" s="14" t="s">
        <v>667</v>
      </c>
      <c r="B138" s="14" t="s">
        <v>667</v>
      </c>
      <c r="C138" s="14" t="s">
        <v>667</v>
      </c>
      <c r="D138" s="14" t="s">
        <v>667</v>
      </c>
      <c r="E138" s="14" t="s">
        <v>667</v>
      </c>
      <c r="F138" s="14" t="s">
        <v>667</v>
      </c>
      <c r="G138" s="14" t="s">
        <v>667</v>
      </c>
      <c r="H138" s="14" t="s">
        <v>667</v>
      </c>
      <c r="I138" s="14" t="s">
        <v>667</v>
      </c>
      <c r="J138" s="14" t="s">
        <v>667</v>
      </c>
    </row>
    <row r="139">
      <c r="A139" s="86">
        <v>0.0</v>
      </c>
      <c r="B139" s="86">
        <v>0.0</v>
      </c>
      <c r="C139" s="86">
        <v>17200.0</v>
      </c>
      <c r="D139" s="86">
        <v>0.0</v>
      </c>
      <c r="E139" s="86">
        <v>500.0</v>
      </c>
      <c r="F139" s="86">
        <v>0.0</v>
      </c>
      <c r="G139" s="86">
        <v>8500.0</v>
      </c>
      <c r="H139" s="86">
        <v>0.0</v>
      </c>
      <c r="I139" s="86">
        <v>0.0</v>
      </c>
      <c r="J139" s="86">
        <v>0.0</v>
      </c>
    </row>
    <row r="140">
      <c r="C140" s="19" t="s">
        <v>2312</v>
      </c>
      <c r="E140" s="19" t="s">
        <v>2315</v>
      </c>
      <c r="G140" s="19" t="s">
        <v>2208</v>
      </c>
    </row>
    <row r="141">
      <c r="C141" s="19" t="s">
        <v>1279</v>
      </c>
      <c r="E141" s="19" t="s">
        <v>572</v>
      </c>
      <c r="G141" s="19" t="s">
        <v>1417</v>
      </c>
    </row>
    <row r="142">
      <c r="C142" s="19" t="s">
        <v>2323</v>
      </c>
      <c r="G142" s="19" t="s">
        <v>851</v>
      </c>
    </row>
    <row r="143">
      <c r="C143" s="19" t="s">
        <v>2324</v>
      </c>
      <c r="G143" s="19" t="s">
        <v>865</v>
      </c>
    </row>
    <row r="144">
      <c r="A144" s="73"/>
      <c r="B144" s="73"/>
      <c r="C144" s="19" t="s">
        <v>2330</v>
      </c>
      <c r="D144" s="73"/>
      <c r="E144" s="73"/>
      <c r="F144" s="73"/>
    </row>
    <row r="145">
      <c r="A145" s="195"/>
      <c r="B145" s="195"/>
      <c r="C145" s="19" t="s">
        <v>1009</v>
      </c>
      <c r="D145" s="195"/>
      <c r="E145" s="195"/>
      <c r="F145" s="195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</row>
    <row r="146">
      <c r="A146" s="195"/>
      <c r="B146" s="195"/>
      <c r="C146" s="28" t="s">
        <v>2339</v>
      </c>
      <c r="D146" s="195"/>
      <c r="E146" s="195"/>
      <c r="F146" s="195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</row>
    <row r="147">
      <c r="A147" s="195"/>
      <c r="B147" s="195"/>
      <c r="C147" s="195" t="s">
        <v>624</v>
      </c>
      <c r="D147" s="195"/>
      <c r="E147" s="195"/>
      <c r="F147" s="195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</row>
    <row r="148">
      <c r="A148" s="195"/>
      <c r="B148" s="195"/>
      <c r="C148" s="195" t="s">
        <v>2344</v>
      </c>
      <c r="D148" s="195"/>
      <c r="E148" s="195"/>
      <c r="F148" s="195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</row>
    <row r="149">
      <c r="A149" s="18"/>
      <c r="B149" s="18"/>
      <c r="C149" s="195" t="s">
        <v>572</v>
      </c>
      <c r="D149" s="18"/>
      <c r="E149" s="18"/>
      <c r="F149" s="18"/>
    </row>
    <row r="150">
      <c r="A150" s="196"/>
      <c r="B150" s="196"/>
      <c r="C150" s="60" t="s">
        <v>2350</v>
      </c>
      <c r="D150" s="196"/>
      <c r="E150" s="196"/>
      <c r="F150" s="196"/>
    </row>
    <row r="151">
      <c r="A151" s="166"/>
      <c r="B151" s="166"/>
      <c r="C151" s="192" t="s">
        <v>870</v>
      </c>
      <c r="D151" s="166"/>
      <c r="E151" s="166"/>
      <c r="F151" s="166"/>
    </row>
    <row r="152">
      <c r="A152" s="166"/>
      <c r="B152" s="166"/>
      <c r="C152" s="192" t="s">
        <v>2353</v>
      </c>
      <c r="D152" s="166"/>
      <c r="E152" s="166"/>
      <c r="F152" s="166"/>
    </row>
    <row r="153">
      <c r="A153" s="86"/>
      <c r="B153" s="86"/>
      <c r="C153" s="192" t="s">
        <v>870</v>
      </c>
      <c r="D153" s="86"/>
      <c r="E153" s="86"/>
      <c r="F153" s="86"/>
    </row>
    <row r="154">
      <c r="A154" s="103" t="s">
        <v>882</v>
      </c>
    </row>
    <row r="155">
      <c r="A155" s="104" t="s">
        <v>884</v>
      </c>
    </row>
    <row r="156">
      <c r="A156" s="104">
        <f>A159</f>
        <v>189600</v>
      </c>
    </row>
    <row r="157">
      <c r="A157" s="104">
        <v>2026.0</v>
      </c>
    </row>
    <row r="158">
      <c r="A158" s="104" t="s">
        <v>724</v>
      </c>
    </row>
    <row r="159">
      <c r="A159" s="105">
        <f>A162+B162+C162+D162+E162+F162+G162+H162+I162+J162</f>
        <v>189600</v>
      </c>
    </row>
    <row r="160">
      <c r="A160" s="86" t="s">
        <v>887</v>
      </c>
      <c r="B160" s="86" t="s">
        <v>888</v>
      </c>
      <c r="C160" s="86" t="s">
        <v>891</v>
      </c>
      <c r="D160" s="86" t="s">
        <v>892</v>
      </c>
      <c r="E160" s="86" t="s">
        <v>893</v>
      </c>
      <c r="F160" s="86" t="s">
        <v>894</v>
      </c>
      <c r="G160" s="109" t="s">
        <v>895</v>
      </c>
      <c r="H160" s="102" t="s">
        <v>896</v>
      </c>
      <c r="I160" s="102" t="s">
        <v>897</v>
      </c>
      <c r="J160" s="102" t="s">
        <v>899</v>
      </c>
    </row>
    <row r="161">
      <c r="A161" s="14" t="s">
        <v>667</v>
      </c>
      <c r="B161" s="14" t="s">
        <v>667</v>
      </c>
      <c r="C161" s="14" t="s">
        <v>667</v>
      </c>
      <c r="D161" s="14" t="s">
        <v>667</v>
      </c>
      <c r="E161" s="14" t="s">
        <v>667</v>
      </c>
      <c r="F161" s="14" t="s">
        <v>667</v>
      </c>
      <c r="G161" s="14" t="s">
        <v>667</v>
      </c>
      <c r="H161" s="38" t="s">
        <v>667</v>
      </c>
      <c r="I161" s="38" t="s">
        <v>667</v>
      </c>
      <c r="J161" s="38" t="s">
        <v>667</v>
      </c>
    </row>
    <row r="162">
      <c r="A162" s="86">
        <v>55500.0</v>
      </c>
      <c r="B162" s="86">
        <v>39000.0</v>
      </c>
      <c r="C162" s="86">
        <v>1000.0</v>
      </c>
      <c r="D162" s="86"/>
      <c r="E162" s="86"/>
      <c r="F162" s="86"/>
      <c r="G162" s="86"/>
      <c r="H162" s="86">
        <f>16500+77600</f>
        <v>94100</v>
      </c>
      <c r="I162" s="86"/>
      <c r="J162" s="86"/>
    </row>
    <row r="163">
      <c r="A163" s="19" t="s">
        <v>2372</v>
      </c>
      <c r="B163" s="19" t="s">
        <v>2373</v>
      </c>
      <c r="C163" s="19" t="s">
        <v>2374</v>
      </c>
      <c r="H163" s="19" t="s">
        <v>2312</v>
      </c>
    </row>
    <row r="164">
      <c r="A164" s="19" t="s">
        <v>2375</v>
      </c>
      <c r="B164" s="19" t="s">
        <v>906</v>
      </c>
      <c r="C164" s="19" t="s">
        <v>573</v>
      </c>
      <c r="H164" s="19" t="s">
        <v>682</v>
      </c>
    </row>
    <row r="165">
      <c r="A165" s="19" t="s">
        <v>1121</v>
      </c>
      <c r="B165" s="19" t="s">
        <v>2378</v>
      </c>
      <c r="H165" s="19" t="s">
        <v>1116</v>
      </c>
    </row>
    <row r="166">
      <c r="A166" s="19" t="s">
        <v>694</v>
      </c>
      <c r="B166" s="19" t="s">
        <v>573</v>
      </c>
      <c r="H166" s="19" t="s">
        <v>2380</v>
      </c>
    </row>
    <row r="167">
      <c r="A167" s="19" t="s">
        <v>624</v>
      </c>
      <c r="B167" s="19" t="s">
        <v>924</v>
      </c>
      <c r="H167" s="19" t="s">
        <v>573</v>
      </c>
    </row>
    <row r="168">
      <c r="A168" s="19" t="s">
        <v>909</v>
      </c>
      <c r="B168" s="19" t="s">
        <v>1126</v>
      </c>
      <c r="H168" s="19" t="s">
        <v>924</v>
      </c>
    </row>
    <row r="169">
      <c r="A169" s="19" t="s">
        <v>1126</v>
      </c>
      <c r="H169" s="19" t="s">
        <v>1116</v>
      </c>
    </row>
    <row r="170">
      <c r="A170" s="19" t="s">
        <v>1121</v>
      </c>
    </row>
    <row r="171">
      <c r="A171" s="19" t="s">
        <v>2382</v>
      </c>
    </row>
    <row r="172">
      <c r="A172" s="19" t="s">
        <v>573</v>
      </c>
    </row>
    <row r="173">
      <c r="A173" s="19" t="s">
        <v>1121</v>
      </c>
    </row>
    <row r="175">
      <c r="A175" s="110" t="s">
        <v>943</v>
      </c>
    </row>
    <row r="176">
      <c r="A176" s="110">
        <f>A179</f>
        <v>110500</v>
      </c>
    </row>
    <row r="177">
      <c r="A177" s="110">
        <v>2026.0</v>
      </c>
    </row>
    <row r="178">
      <c r="A178" s="110" t="s">
        <v>724</v>
      </c>
    </row>
    <row r="179">
      <c r="A179" s="110">
        <f>A182+B182+C182+D182+E182+F182+G182+H182</f>
        <v>110500</v>
      </c>
    </row>
    <row r="180">
      <c r="A180" s="86" t="s">
        <v>953</v>
      </c>
      <c r="B180" s="86" t="s">
        <v>833</v>
      </c>
      <c r="C180" s="86" t="s">
        <v>834</v>
      </c>
      <c r="D180" s="86" t="s">
        <v>836</v>
      </c>
      <c r="E180" s="86" t="s">
        <v>956</v>
      </c>
      <c r="F180" s="86" t="s">
        <v>958</v>
      </c>
      <c r="G180" s="86" t="s">
        <v>844</v>
      </c>
      <c r="H180" s="86" t="s">
        <v>838</v>
      </c>
    </row>
    <row r="181">
      <c r="A181" s="14" t="s">
        <v>667</v>
      </c>
      <c r="B181" s="14" t="s">
        <v>667</v>
      </c>
      <c r="C181" s="14" t="s">
        <v>667</v>
      </c>
      <c r="D181" s="14" t="s">
        <v>667</v>
      </c>
      <c r="E181" s="14" t="s">
        <v>667</v>
      </c>
      <c r="F181" s="14" t="s">
        <v>667</v>
      </c>
      <c r="G181" s="14" t="s">
        <v>667</v>
      </c>
      <c r="H181" s="14" t="s">
        <v>667</v>
      </c>
    </row>
    <row r="182">
      <c r="A182" s="86">
        <v>1000.0</v>
      </c>
      <c r="B182" s="86">
        <v>0.0</v>
      </c>
      <c r="C182" s="86">
        <v>0.0</v>
      </c>
      <c r="D182" s="86">
        <v>0.0</v>
      </c>
      <c r="E182" s="86">
        <v>5000.0</v>
      </c>
      <c r="F182" s="86">
        <v>3000.0</v>
      </c>
      <c r="G182" s="86">
        <v>78500.0</v>
      </c>
      <c r="H182" s="86">
        <f>1000+22000</f>
        <v>23000</v>
      </c>
    </row>
    <row r="183">
      <c r="A183" s="19" t="s">
        <v>2387</v>
      </c>
      <c r="B183" s="19" t="s">
        <v>2388</v>
      </c>
      <c r="E183" s="19" t="s">
        <v>2389</v>
      </c>
      <c r="F183" s="19" t="s">
        <v>2390</v>
      </c>
      <c r="G183" s="19" t="s">
        <v>2209</v>
      </c>
      <c r="H183" s="19" t="s">
        <v>2393</v>
      </c>
    </row>
    <row r="184">
      <c r="A184" s="19" t="s">
        <v>573</v>
      </c>
      <c r="B184" s="19" t="s">
        <v>624</v>
      </c>
      <c r="E184" s="19" t="s">
        <v>711</v>
      </c>
      <c r="F184" s="19" t="s">
        <v>590</v>
      </c>
      <c r="G184" s="19" t="s">
        <v>1603</v>
      </c>
      <c r="H184" s="19" t="s">
        <v>573</v>
      </c>
    </row>
    <row r="185">
      <c r="G185" s="19" t="s">
        <v>1148</v>
      </c>
      <c r="H185" s="19" t="s">
        <v>1450</v>
      </c>
    </row>
    <row r="186">
      <c r="G186" s="19" t="s">
        <v>2400</v>
      </c>
    </row>
    <row r="187">
      <c r="G187" s="19" t="s">
        <v>1340</v>
      </c>
    </row>
    <row r="188">
      <c r="G188" s="19" t="s">
        <v>1148</v>
      </c>
    </row>
    <row r="189">
      <c r="A189" s="163" t="s">
        <v>963</v>
      </c>
    </row>
    <row r="190">
      <c r="A190" s="163">
        <f>A193</f>
        <v>192000</v>
      </c>
    </row>
    <row r="191">
      <c r="A191" s="163">
        <v>2026.0</v>
      </c>
    </row>
    <row r="192">
      <c r="A192" s="163" t="s">
        <v>724</v>
      </c>
    </row>
    <row r="193">
      <c r="A193" s="165">
        <f>A196+B196+C196+D196+E196+F196+G196+H196+I196+J196</f>
        <v>192000</v>
      </c>
    </row>
    <row r="194">
      <c r="A194" s="100" t="s">
        <v>965</v>
      </c>
      <c r="B194" s="100" t="s">
        <v>966</v>
      </c>
      <c r="C194" s="100" t="s">
        <v>968</v>
      </c>
      <c r="D194" s="100" t="s">
        <v>969</v>
      </c>
      <c r="E194" s="100" t="s">
        <v>970</v>
      </c>
      <c r="F194" s="100" t="s">
        <v>971</v>
      </c>
      <c r="G194" s="100" t="s">
        <v>972</v>
      </c>
      <c r="H194" s="100" t="s">
        <v>973</v>
      </c>
      <c r="I194" s="100" t="s">
        <v>974</v>
      </c>
      <c r="J194" s="100" t="s">
        <v>975</v>
      </c>
    </row>
    <row r="195">
      <c r="A195" s="38" t="s">
        <v>667</v>
      </c>
      <c r="B195" s="38" t="s">
        <v>667</v>
      </c>
      <c r="C195" s="38" t="s">
        <v>667</v>
      </c>
      <c r="D195" s="38" t="s">
        <v>667</v>
      </c>
      <c r="E195" s="38" t="s">
        <v>667</v>
      </c>
      <c r="F195" s="38" t="s">
        <v>667</v>
      </c>
      <c r="G195" s="38" t="s">
        <v>667</v>
      </c>
      <c r="H195" s="38" t="s">
        <v>667</v>
      </c>
      <c r="I195" s="38" t="s">
        <v>667</v>
      </c>
      <c r="J195" s="38" t="s">
        <v>667</v>
      </c>
    </row>
    <row r="196">
      <c r="A196" s="102">
        <v>130000.0</v>
      </c>
      <c r="B196" s="100">
        <v>0.0</v>
      </c>
      <c r="C196" s="100">
        <v>0.0</v>
      </c>
      <c r="D196" s="100">
        <v>0.0</v>
      </c>
      <c r="E196" s="100">
        <v>0.0</v>
      </c>
      <c r="F196" s="100">
        <v>0.0</v>
      </c>
      <c r="G196" s="102">
        <v>31000.0</v>
      </c>
      <c r="H196" s="102">
        <v>29000.0</v>
      </c>
      <c r="I196" s="102">
        <v>2000.0</v>
      </c>
      <c r="J196" s="100">
        <v>0.0</v>
      </c>
    </row>
    <row r="197">
      <c r="A197" s="19" t="s">
        <v>2409</v>
      </c>
      <c r="G197" s="19" t="s">
        <v>2390</v>
      </c>
      <c r="H197" s="19" t="s">
        <v>2373</v>
      </c>
      <c r="I197" s="19" t="s">
        <v>2410</v>
      </c>
    </row>
    <row r="198">
      <c r="A198" s="19" t="s">
        <v>983</v>
      </c>
      <c r="G198" s="19" t="s">
        <v>1108</v>
      </c>
      <c r="H198" s="19" t="s">
        <v>1394</v>
      </c>
      <c r="I198" s="19" t="s">
        <v>624</v>
      </c>
    </row>
    <row r="199">
      <c r="A199" s="19" t="s">
        <v>2411</v>
      </c>
      <c r="G199" s="19" t="s">
        <v>2412</v>
      </c>
      <c r="H199" s="19" t="s">
        <v>1907</v>
      </c>
    </row>
    <row r="200">
      <c r="A200" s="19" t="s">
        <v>711</v>
      </c>
      <c r="G200" s="19" t="s">
        <v>1173</v>
      </c>
      <c r="H200" s="19" t="s">
        <v>624</v>
      </c>
    </row>
    <row r="201">
      <c r="A201" s="19" t="s">
        <v>1922</v>
      </c>
    </row>
    <row r="202">
      <c r="A202" s="19" t="s">
        <v>1076</v>
      </c>
    </row>
    <row r="203">
      <c r="A203" s="19" t="s">
        <v>2413</v>
      </c>
    </row>
    <row r="204">
      <c r="A204" s="19" t="s">
        <v>624</v>
      </c>
    </row>
    <row r="205">
      <c r="A205" s="19" t="s">
        <v>2414</v>
      </c>
    </row>
    <row r="206">
      <c r="A206" s="19" t="s">
        <v>624</v>
      </c>
    </row>
    <row r="207">
      <c r="A207" s="19" t="s">
        <v>2415</v>
      </c>
    </row>
    <row r="208">
      <c r="A208" s="19" t="s">
        <v>624</v>
      </c>
    </row>
  </sheetData>
  <mergeCells count="63">
    <mergeCell ref="A179:H179"/>
    <mergeCell ref="A189:J189"/>
    <mergeCell ref="A190:J190"/>
    <mergeCell ref="A191:J191"/>
    <mergeCell ref="A192:J192"/>
    <mergeCell ref="A193:J193"/>
    <mergeCell ref="A157:J157"/>
    <mergeCell ref="A158:J158"/>
    <mergeCell ref="A159:J159"/>
    <mergeCell ref="A175:H175"/>
    <mergeCell ref="A176:H176"/>
    <mergeCell ref="A177:H177"/>
    <mergeCell ref="A178:H178"/>
    <mergeCell ref="A1:S1"/>
    <mergeCell ref="A2:S2"/>
    <mergeCell ref="A3:S3"/>
    <mergeCell ref="A4:S4"/>
    <mergeCell ref="I5:K5"/>
    <mergeCell ref="L5:N5"/>
    <mergeCell ref="O5:S5"/>
    <mergeCell ref="I6:K6"/>
    <mergeCell ref="L6:N6"/>
    <mergeCell ref="O6:S6"/>
    <mergeCell ref="L7:N7"/>
    <mergeCell ref="L8:N8"/>
    <mergeCell ref="P9:S9"/>
    <mergeCell ref="P11:Q11"/>
    <mergeCell ref="O8:O11"/>
    <mergeCell ref="O12:O13"/>
    <mergeCell ref="P13:Q13"/>
    <mergeCell ref="O14:O15"/>
    <mergeCell ref="P15:Q15"/>
    <mergeCell ref="O16:O17"/>
    <mergeCell ref="O18:O22"/>
    <mergeCell ref="P22:Q22"/>
    <mergeCell ref="P17:Q17"/>
    <mergeCell ref="P20:S20"/>
    <mergeCell ref="A57:E57"/>
    <mergeCell ref="A58:E58"/>
    <mergeCell ref="A59:E59"/>
    <mergeCell ref="A60:E60"/>
    <mergeCell ref="A61:E61"/>
    <mergeCell ref="A71:F71"/>
    <mergeCell ref="A72:F72"/>
    <mergeCell ref="A73:F73"/>
    <mergeCell ref="F92:H92"/>
    <mergeCell ref="A93:H93"/>
    <mergeCell ref="A94:H94"/>
    <mergeCell ref="A95:H95"/>
    <mergeCell ref="A106:H106"/>
    <mergeCell ref="A107:H107"/>
    <mergeCell ref="A108:H108"/>
    <mergeCell ref="A109:H109"/>
    <mergeCell ref="A110:H110"/>
    <mergeCell ref="A131:J131"/>
    <mergeCell ref="A132:J132"/>
    <mergeCell ref="A133:J133"/>
    <mergeCell ref="A134:J134"/>
    <mergeCell ref="A135:J135"/>
    <mergeCell ref="A136:J136"/>
    <mergeCell ref="A154:J154"/>
    <mergeCell ref="A155:J155"/>
    <mergeCell ref="A156:J156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30.5"/>
    <col customWidth="1" min="3" max="3" width="22.5"/>
    <col customWidth="1" min="4" max="4" width="33.38"/>
    <col customWidth="1" min="5" max="5" width="31.5"/>
    <col customWidth="1" min="6" max="6" width="24.63"/>
    <col customWidth="1" min="7" max="7" width="30.0"/>
    <col customWidth="1" min="8" max="8" width="26.75"/>
    <col customWidth="1" min="9" max="9" width="20.38"/>
    <col customWidth="1" min="10" max="10" width="30.75"/>
    <col customWidth="1" min="11" max="11" width="23.25"/>
    <col customWidth="1" min="12" max="12" width="25.5"/>
    <col customWidth="1" min="13" max="13" width="22.5"/>
    <col customWidth="1" min="14" max="14" width="17.88"/>
    <col customWidth="1" min="17" max="17" width="14.25"/>
    <col customWidth="1" min="18" max="18" width="15.88"/>
    <col customWidth="1" min="22" max="22" width="25.25"/>
  </cols>
  <sheetData>
    <row r="1">
      <c r="A1" s="178" t="s">
        <v>1986</v>
      </c>
    </row>
    <row r="2">
      <c r="A2" s="179" t="s">
        <v>1999</v>
      </c>
    </row>
    <row r="3">
      <c r="A3" s="178" t="s">
        <v>10</v>
      </c>
    </row>
    <row r="4">
      <c r="A4" s="180">
        <f>100000+B6+B9+C6+D6+F6+F10+G6+I6+A64+E16+L6+N6+Q6</f>
        <v>8707840</v>
      </c>
    </row>
    <row r="5">
      <c r="A5" s="14" t="s">
        <v>24</v>
      </c>
      <c r="B5" s="14" t="s">
        <v>1435</v>
      </c>
      <c r="C5" s="14" t="s">
        <v>25</v>
      </c>
      <c r="D5" s="14" t="s">
        <v>1137</v>
      </c>
      <c r="E5" s="14" t="s">
        <v>28</v>
      </c>
      <c r="F5" s="14" t="s">
        <v>1646</v>
      </c>
      <c r="G5" s="14" t="s">
        <v>40</v>
      </c>
      <c r="I5" s="14" t="s">
        <v>29</v>
      </c>
      <c r="L5" s="14" t="s">
        <v>250</v>
      </c>
      <c r="N5" s="14" t="s">
        <v>252</v>
      </c>
      <c r="Q5" s="181" t="s">
        <v>33</v>
      </c>
    </row>
    <row r="6">
      <c r="A6" s="19" t="s">
        <v>2036</v>
      </c>
      <c r="B6" s="180">
        <v>-1000.0</v>
      </c>
      <c r="C6" s="180">
        <v>-30000.0</v>
      </c>
      <c r="D6" s="180">
        <v>28000.0</v>
      </c>
      <c r="E6" s="19" t="s">
        <v>2040</v>
      </c>
      <c r="F6" s="180">
        <v>2000.0</v>
      </c>
      <c r="G6" s="180">
        <v>117200.0</v>
      </c>
      <c r="I6" s="180">
        <v>47000.0</v>
      </c>
      <c r="L6" s="182">
        <v>145000.0</v>
      </c>
      <c r="N6" s="183">
        <v>-101000.0</v>
      </c>
      <c r="Q6" s="183">
        <f>T10+T14+T16+T18</f>
        <v>20500</v>
      </c>
      <c r="V6" s="14"/>
    </row>
    <row r="7">
      <c r="A7" s="19" t="s">
        <v>1664</v>
      </c>
      <c r="B7" s="19" t="s">
        <v>2052</v>
      </c>
      <c r="C7" s="61" t="s">
        <v>55</v>
      </c>
      <c r="D7" s="19" t="s">
        <v>2054</v>
      </c>
      <c r="E7" s="19" t="s">
        <v>2055</v>
      </c>
      <c r="F7" s="19" t="s">
        <v>2056</v>
      </c>
      <c r="G7" s="63" t="s">
        <v>59</v>
      </c>
      <c r="H7" s="63" t="s">
        <v>2057</v>
      </c>
      <c r="I7" s="19" t="s">
        <v>59</v>
      </c>
      <c r="J7" s="19" t="s">
        <v>2059</v>
      </c>
      <c r="K7" s="19" t="s">
        <v>61</v>
      </c>
      <c r="L7" s="63" t="s">
        <v>297</v>
      </c>
      <c r="M7" s="63" t="s">
        <v>298</v>
      </c>
      <c r="N7" s="14" t="s">
        <v>2066</v>
      </c>
      <c r="Q7" s="184" t="s">
        <v>64</v>
      </c>
      <c r="R7" s="184" t="s">
        <v>65</v>
      </c>
      <c r="S7" s="184" t="s">
        <v>66</v>
      </c>
      <c r="T7" s="184" t="s">
        <v>0</v>
      </c>
      <c r="U7" s="184" t="s">
        <v>67</v>
      </c>
      <c r="V7" s="185"/>
    </row>
    <row r="8">
      <c r="A8" s="19" t="s">
        <v>2072</v>
      </c>
      <c r="B8" s="14" t="s">
        <v>2073</v>
      </c>
      <c r="C8" s="9" t="s">
        <v>202</v>
      </c>
      <c r="D8" s="19" t="s">
        <v>2075</v>
      </c>
      <c r="E8" s="19" t="s">
        <v>2078</v>
      </c>
      <c r="F8" s="19" t="s">
        <v>2055</v>
      </c>
      <c r="G8" s="63" t="s">
        <v>2079</v>
      </c>
      <c r="H8" s="19" t="s">
        <v>2080</v>
      </c>
      <c r="I8" s="19" t="s">
        <v>2081</v>
      </c>
      <c r="J8" s="19" t="s">
        <v>2084</v>
      </c>
      <c r="K8" s="19" t="s">
        <v>2085</v>
      </c>
      <c r="L8" s="19" t="s">
        <v>366</v>
      </c>
      <c r="M8" s="19" t="s">
        <v>2086</v>
      </c>
      <c r="Q8" s="186" t="s">
        <v>2088</v>
      </c>
      <c r="R8" s="188" t="s">
        <v>152</v>
      </c>
    </row>
    <row r="9">
      <c r="A9" s="19" t="s">
        <v>2093</v>
      </c>
      <c r="B9" s="180">
        <v>-30000.0</v>
      </c>
      <c r="C9" s="9" t="s">
        <v>224</v>
      </c>
      <c r="D9" s="19" t="s">
        <v>2096</v>
      </c>
      <c r="E9" s="19" t="s">
        <v>2098</v>
      </c>
      <c r="F9" s="14" t="s">
        <v>184</v>
      </c>
      <c r="G9" s="19" t="s">
        <v>2099</v>
      </c>
      <c r="H9" s="19" t="s">
        <v>2101</v>
      </c>
      <c r="I9" s="19" t="s">
        <v>2102</v>
      </c>
      <c r="J9" s="19" t="s">
        <v>2103</v>
      </c>
      <c r="K9" s="19" t="s">
        <v>2104</v>
      </c>
      <c r="L9" s="19" t="s">
        <v>386</v>
      </c>
      <c r="M9" s="19" t="s">
        <v>2106</v>
      </c>
      <c r="R9" s="188">
        <v>100.0</v>
      </c>
      <c r="S9" s="188">
        <v>1.0</v>
      </c>
      <c r="T9" s="189">
        <f>S9*1500</f>
        <v>1500</v>
      </c>
      <c r="U9" s="189">
        <f>S9*40</f>
        <v>40</v>
      </c>
    </row>
    <row r="10">
      <c r="A10" s="19" t="s">
        <v>2113</v>
      </c>
      <c r="B10" s="19" t="s">
        <v>62</v>
      </c>
      <c r="C10" s="9" t="s">
        <v>249</v>
      </c>
      <c r="D10" s="19" t="s">
        <v>2116</v>
      </c>
      <c r="F10" s="180">
        <v>-1000.0</v>
      </c>
      <c r="G10" s="19" t="s">
        <v>2121</v>
      </c>
      <c r="H10" s="19" t="s">
        <v>2124</v>
      </c>
      <c r="I10" s="19" t="s">
        <v>139</v>
      </c>
      <c r="J10" s="19" t="s">
        <v>1778</v>
      </c>
      <c r="K10" s="19" t="s">
        <v>2125</v>
      </c>
      <c r="L10" s="19" t="s">
        <v>2126</v>
      </c>
      <c r="M10" s="19" t="s">
        <v>2127</v>
      </c>
      <c r="R10" s="121" t="s">
        <v>94</v>
      </c>
      <c r="T10" s="190">
        <f t="shared" ref="T10:U10" si="1">T9</f>
        <v>1500</v>
      </c>
      <c r="U10" s="190">
        <f t="shared" si="1"/>
        <v>40</v>
      </c>
    </row>
    <row r="11">
      <c r="A11" s="19" t="s">
        <v>2138</v>
      </c>
      <c r="B11" s="19" t="s">
        <v>76</v>
      </c>
      <c r="C11" s="61" t="s">
        <v>170</v>
      </c>
      <c r="D11" s="19" t="s">
        <v>2139</v>
      </c>
      <c r="F11" s="19" t="s">
        <v>2141</v>
      </c>
      <c r="G11" s="19" t="s">
        <v>593</v>
      </c>
      <c r="H11" s="19" t="s">
        <v>2144</v>
      </c>
      <c r="I11" s="19" t="s">
        <v>150</v>
      </c>
      <c r="J11" s="19" t="s">
        <v>2145</v>
      </c>
      <c r="K11" s="19" t="s">
        <v>2146</v>
      </c>
      <c r="L11" s="19" t="s">
        <v>2148</v>
      </c>
      <c r="M11" s="9">
        <v>100000.0</v>
      </c>
      <c r="Q11" s="186" t="s">
        <v>2152</v>
      </c>
      <c r="R11" s="188" t="s">
        <v>117</v>
      </c>
      <c r="S11" s="188">
        <v>1.0</v>
      </c>
      <c r="T11" s="189">
        <f>S11*2000</f>
        <v>2000</v>
      </c>
      <c r="U11" s="189">
        <f t="shared" ref="U11:U12" si="2">S11*40</f>
        <v>40</v>
      </c>
    </row>
    <row r="12">
      <c r="A12" s="19" t="s">
        <v>2162</v>
      </c>
      <c r="B12" s="19" t="s">
        <v>1707</v>
      </c>
      <c r="C12" s="9" t="s">
        <v>177</v>
      </c>
      <c r="D12" s="19" t="s">
        <v>2164</v>
      </c>
      <c r="E12" s="14" t="s">
        <v>2166</v>
      </c>
      <c r="F12" s="19" t="s">
        <v>2168</v>
      </c>
      <c r="G12" s="19" t="s">
        <v>1285</v>
      </c>
      <c r="H12" s="63" t="s">
        <v>2170</v>
      </c>
      <c r="I12" s="19" t="s">
        <v>2172</v>
      </c>
      <c r="J12" s="19" t="s">
        <v>2175</v>
      </c>
      <c r="K12" s="19" t="s">
        <v>2177</v>
      </c>
      <c r="R12" s="188" t="s">
        <v>270</v>
      </c>
      <c r="S12" s="188">
        <v>1.0</v>
      </c>
      <c r="T12" s="189">
        <f>S12*3000</f>
        <v>3000</v>
      </c>
      <c r="U12" s="189">
        <f t="shared" si="2"/>
        <v>40</v>
      </c>
    </row>
    <row r="13">
      <c r="A13" s="19" t="s">
        <v>2184</v>
      </c>
      <c r="C13" s="61" t="s">
        <v>196</v>
      </c>
      <c r="D13" s="19" t="s">
        <v>2186</v>
      </c>
      <c r="G13" s="19" t="s">
        <v>284</v>
      </c>
      <c r="I13" s="19" t="s">
        <v>444</v>
      </c>
      <c r="J13" s="19" t="s">
        <v>2190</v>
      </c>
      <c r="K13" s="19" t="s">
        <v>2191</v>
      </c>
      <c r="R13" s="188" t="s">
        <v>128</v>
      </c>
      <c r="S13" s="188">
        <v>1.0</v>
      </c>
      <c r="T13" s="189">
        <f>S13*8000</f>
        <v>8000</v>
      </c>
      <c r="U13" s="189">
        <f>S13*80</f>
        <v>80</v>
      </c>
    </row>
    <row r="14">
      <c r="A14" s="19" t="s">
        <v>2193</v>
      </c>
      <c r="C14" s="9" t="s">
        <v>177</v>
      </c>
      <c r="D14" s="19" t="s">
        <v>2194</v>
      </c>
      <c r="G14" s="19" t="s">
        <v>371</v>
      </c>
      <c r="H14" s="63" t="s">
        <v>2195</v>
      </c>
      <c r="I14" s="19" t="s">
        <v>2196</v>
      </c>
      <c r="J14" s="19" t="s">
        <v>2197</v>
      </c>
      <c r="K14" s="19" t="s">
        <v>2198</v>
      </c>
      <c r="R14" s="121" t="s">
        <v>94</v>
      </c>
      <c r="T14" s="190">
        <f t="shared" ref="T14:U14" si="3">T11+T12+T13</f>
        <v>13000</v>
      </c>
      <c r="U14" s="190">
        <f t="shared" si="3"/>
        <v>160</v>
      </c>
    </row>
    <row r="15">
      <c r="A15" s="19" t="s">
        <v>2200</v>
      </c>
      <c r="D15" s="19" t="s">
        <v>2201</v>
      </c>
      <c r="E15" s="38" t="s">
        <v>536</v>
      </c>
      <c r="G15" s="19" t="s">
        <v>636</v>
      </c>
      <c r="I15" s="19" t="s">
        <v>831</v>
      </c>
      <c r="J15" s="19" t="s">
        <v>2202</v>
      </c>
      <c r="K15" s="19" t="s">
        <v>2203</v>
      </c>
      <c r="Q15" s="186" t="s">
        <v>2204</v>
      </c>
      <c r="R15" s="188" t="s">
        <v>270</v>
      </c>
      <c r="S15" s="188">
        <v>1.0</v>
      </c>
      <c r="T15" s="189">
        <f>S15*3000</f>
        <v>3000</v>
      </c>
      <c r="U15" s="189">
        <f>S15*40</f>
        <v>40</v>
      </c>
    </row>
    <row r="16">
      <c r="A16" s="19" t="s">
        <v>2206</v>
      </c>
      <c r="E16" s="191">
        <v>10000.0</v>
      </c>
      <c r="G16" s="19" t="s">
        <v>2124</v>
      </c>
      <c r="H16" s="63" t="s">
        <v>2214</v>
      </c>
      <c r="I16" s="19" t="s">
        <v>2216</v>
      </c>
      <c r="J16" s="19" t="s">
        <v>363</v>
      </c>
      <c r="K16" s="19" t="s">
        <v>2217</v>
      </c>
      <c r="R16" s="121" t="s">
        <v>94</v>
      </c>
      <c r="T16" s="190">
        <f t="shared" ref="T16:U16" si="4">T15</f>
        <v>3000</v>
      </c>
      <c r="U16" s="190">
        <f t="shared" si="4"/>
        <v>40</v>
      </c>
    </row>
    <row r="17">
      <c r="A17" s="19" t="s">
        <v>2219</v>
      </c>
      <c r="E17" s="132" t="s">
        <v>2221</v>
      </c>
      <c r="G17" s="19" t="s">
        <v>2224</v>
      </c>
      <c r="I17" s="19" t="s">
        <v>374</v>
      </c>
      <c r="J17" s="19" t="s">
        <v>221</v>
      </c>
      <c r="Q17" s="186" t="s">
        <v>2233</v>
      </c>
      <c r="R17" s="188" t="s">
        <v>270</v>
      </c>
      <c r="S17" s="188">
        <v>1.0</v>
      </c>
      <c r="T17" s="189">
        <f>S17*3000</f>
        <v>3000</v>
      </c>
      <c r="U17" s="189">
        <f>S17*40</f>
        <v>40</v>
      </c>
    </row>
    <row r="18">
      <c r="A18" s="19" t="s">
        <v>2245</v>
      </c>
      <c r="G18" s="19" t="s">
        <v>570</v>
      </c>
      <c r="I18" s="19" t="s">
        <v>508</v>
      </c>
      <c r="J18" s="19" t="s">
        <v>208</v>
      </c>
      <c r="R18" s="121" t="s">
        <v>94</v>
      </c>
      <c r="T18" s="190">
        <f t="shared" ref="T18:U18" si="5">T17</f>
        <v>3000</v>
      </c>
      <c r="U18" s="190">
        <f t="shared" si="5"/>
        <v>40</v>
      </c>
    </row>
    <row r="19">
      <c r="A19" s="19" t="s">
        <v>2251</v>
      </c>
      <c r="G19" s="19" t="s">
        <v>1738</v>
      </c>
      <c r="I19" s="19" t="s">
        <v>2254</v>
      </c>
      <c r="J19" s="19" t="s">
        <v>2256</v>
      </c>
    </row>
    <row r="20">
      <c r="A20" s="19" t="s">
        <v>2257</v>
      </c>
      <c r="G20" s="19" t="s">
        <v>703</v>
      </c>
      <c r="I20" s="19" t="s">
        <v>374</v>
      </c>
      <c r="J20" s="19" t="s">
        <v>2259</v>
      </c>
    </row>
    <row r="21">
      <c r="A21" s="19" t="s">
        <v>2260</v>
      </c>
      <c r="G21" s="19" t="s">
        <v>2261</v>
      </c>
      <c r="I21" s="19" t="s">
        <v>150</v>
      </c>
      <c r="J21" s="19" t="s">
        <v>633</v>
      </c>
    </row>
    <row r="22">
      <c r="A22" s="19" t="s">
        <v>2264</v>
      </c>
      <c r="G22" s="19" t="s">
        <v>445</v>
      </c>
      <c r="I22" s="19" t="s">
        <v>2265</v>
      </c>
    </row>
    <row r="23">
      <c r="A23" s="19" t="s">
        <v>2267</v>
      </c>
      <c r="G23" s="19" t="s">
        <v>1731</v>
      </c>
      <c r="I23" s="19" t="s">
        <v>193</v>
      </c>
    </row>
    <row r="24">
      <c r="A24" s="19" t="s">
        <v>2269</v>
      </c>
      <c r="G24" s="19" t="s">
        <v>505</v>
      </c>
      <c r="I24" s="19" t="s">
        <v>1732</v>
      </c>
    </row>
    <row r="25">
      <c r="A25" s="19" t="s">
        <v>2270</v>
      </c>
      <c r="G25" s="19" t="s">
        <v>2271</v>
      </c>
      <c r="I25" s="19" t="s">
        <v>374</v>
      </c>
    </row>
    <row r="26">
      <c r="A26" s="19" t="s">
        <v>2272</v>
      </c>
      <c r="G26" s="19" t="s">
        <v>2265</v>
      </c>
      <c r="I26" s="19" t="s">
        <v>150</v>
      </c>
    </row>
    <row r="27">
      <c r="A27" s="19" t="s">
        <v>2273</v>
      </c>
      <c r="G27" s="19" t="s">
        <v>2274</v>
      </c>
      <c r="I27" s="19" t="s">
        <v>2275</v>
      </c>
    </row>
    <row r="28">
      <c r="A28" s="28" t="s">
        <v>2276</v>
      </c>
      <c r="G28" s="19" t="s">
        <v>371</v>
      </c>
      <c r="I28" s="19" t="s">
        <v>139</v>
      </c>
    </row>
    <row r="29">
      <c r="A29" s="28" t="s">
        <v>2277</v>
      </c>
      <c r="G29" s="19" t="s">
        <v>1731</v>
      </c>
      <c r="I29" s="19" t="s">
        <v>150</v>
      </c>
    </row>
    <row r="30">
      <c r="A30" s="28" t="s">
        <v>2279</v>
      </c>
      <c r="G30" s="19" t="s">
        <v>636</v>
      </c>
      <c r="I30" s="19" t="s">
        <v>2280</v>
      </c>
    </row>
    <row r="31">
      <c r="A31" s="28" t="s">
        <v>2281</v>
      </c>
      <c r="G31" s="19" t="s">
        <v>2282</v>
      </c>
      <c r="I31" s="19" t="s">
        <v>303</v>
      </c>
    </row>
    <row r="32">
      <c r="A32" s="28" t="s">
        <v>2283</v>
      </c>
      <c r="G32" s="19" t="s">
        <v>505</v>
      </c>
      <c r="I32" s="19" t="s">
        <v>508</v>
      </c>
    </row>
    <row r="33">
      <c r="A33" s="28" t="s">
        <v>2284</v>
      </c>
      <c r="G33" s="19" t="s">
        <v>2271</v>
      </c>
      <c r="I33" s="19" t="s">
        <v>187</v>
      </c>
    </row>
    <row r="34">
      <c r="A34" s="28" t="s">
        <v>2285</v>
      </c>
      <c r="G34" s="19" t="s">
        <v>2286</v>
      </c>
      <c r="I34" s="19" t="s">
        <v>2287</v>
      </c>
    </row>
    <row r="35">
      <c r="A35" s="28" t="s">
        <v>2288</v>
      </c>
      <c r="G35" s="19" t="s">
        <v>505</v>
      </c>
      <c r="I35" s="19" t="s">
        <v>193</v>
      </c>
    </row>
    <row r="36">
      <c r="A36" s="19" t="s">
        <v>2289</v>
      </c>
      <c r="G36" s="19" t="s">
        <v>2290</v>
      </c>
      <c r="I36" s="19" t="s">
        <v>2196</v>
      </c>
    </row>
    <row r="37">
      <c r="A37" s="19" t="s">
        <v>2291</v>
      </c>
      <c r="G37" s="19" t="s">
        <v>2292</v>
      </c>
      <c r="I37" s="19" t="s">
        <v>139</v>
      </c>
    </row>
    <row r="38">
      <c r="A38" s="19" t="s">
        <v>2293</v>
      </c>
      <c r="G38" s="19" t="s">
        <v>2121</v>
      </c>
      <c r="I38" s="19" t="s">
        <v>508</v>
      </c>
    </row>
    <row r="39">
      <c r="A39" s="19" t="s">
        <v>2294</v>
      </c>
      <c r="G39" s="19" t="s">
        <v>2295</v>
      </c>
      <c r="I39" s="19" t="s">
        <v>2296</v>
      </c>
    </row>
    <row r="40">
      <c r="A40" s="19" t="s">
        <v>2297</v>
      </c>
      <c r="I40" s="19" t="s">
        <v>139</v>
      </c>
    </row>
    <row r="41">
      <c r="A41" s="19" t="s">
        <v>2298</v>
      </c>
      <c r="I41" s="19" t="s">
        <v>859</v>
      </c>
    </row>
    <row r="42">
      <c r="A42" s="19" t="s">
        <v>2300</v>
      </c>
      <c r="I42" s="19" t="s">
        <v>2303</v>
      </c>
    </row>
    <row r="43">
      <c r="A43" s="19" t="s">
        <v>2304</v>
      </c>
      <c r="I43" s="19" t="s">
        <v>100</v>
      </c>
    </row>
    <row r="44">
      <c r="A44" s="19" t="s">
        <v>2305</v>
      </c>
      <c r="I44" s="19" t="s">
        <v>444</v>
      </c>
    </row>
    <row r="45">
      <c r="A45" s="19" t="s">
        <v>2306</v>
      </c>
      <c r="I45" s="19" t="s">
        <v>2216</v>
      </c>
    </row>
    <row r="46">
      <c r="A46" s="19" t="s">
        <v>2308</v>
      </c>
      <c r="I46" s="19" t="s">
        <v>494</v>
      </c>
    </row>
    <row r="47">
      <c r="A47" s="19" t="s">
        <v>2310</v>
      </c>
      <c r="I47" s="19" t="s">
        <v>508</v>
      </c>
    </row>
    <row r="48">
      <c r="A48" s="19" t="s">
        <v>2314</v>
      </c>
      <c r="I48" s="19" t="s">
        <v>477</v>
      </c>
    </row>
    <row r="49">
      <c r="I49" s="19" t="s">
        <v>2317</v>
      </c>
    </row>
    <row r="50">
      <c r="I50" s="19" t="s">
        <v>2321</v>
      </c>
    </row>
    <row r="51">
      <c r="I51" s="19" t="s">
        <v>193</v>
      </c>
    </row>
    <row r="52">
      <c r="I52" s="19" t="s">
        <v>1945</v>
      </c>
    </row>
    <row r="53">
      <c r="I53" s="19" t="s">
        <v>374</v>
      </c>
    </row>
    <row r="54">
      <c r="I54" s="19" t="s">
        <v>1570</v>
      </c>
    </row>
    <row r="55">
      <c r="I55" s="19" t="s">
        <v>2328</v>
      </c>
    </row>
    <row r="56">
      <c r="I56" s="19" t="s">
        <v>139</v>
      </c>
    </row>
    <row r="57">
      <c r="I57" s="19" t="s">
        <v>1570</v>
      </c>
    </row>
    <row r="63">
      <c r="A63" s="81" t="s">
        <v>504</v>
      </c>
    </row>
    <row r="64">
      <c r="A64" s="81">
        <f>A71+A86+A110+A126+A144+A226+A194</f>
        <v>8401140</v>
      </c>
    </row>
    <row r="65">
      <c r="A65" s="84" t="s">
        <v>1286</v>
      </c>
    </row>
    <row r="66">
      <c r="A66" s="84">
        <v>2026.0</v>
      </c>
    </row>
    <row r="67">
      <c r="A67" s="86" t="s">
        <v>526</v>
      </c>
      <c r="B67" s="86" t="s">
        <v>528</v>
      </c>
      <c r="C67" s="86" t="s">
        <v>529</v>
      </c>
      <c r="D67" s="86" t="s">
        <v>531</v>
      </c>
      <c r="E67" s="86" t="s">
        <v>533</v>
      </c>
    </row>
    <row r="68">
      <c r="A68" s="14" t="s">
        <v>2343</v>
      </c>
    </row>
    <row r="69">
      <c r="A69" s="87"/>
    </row>
    <row r="70">
      <c r="A70" s="88" t="s">
        <v>978</v>
      </c>
    </row>
    <row r="71">
      <c r="A71" s="88">
        <v>16940.0</v>
      </c>
    </row>
    <row r="72">
      <c r="A72" s="89">
        <v>2026.0</v>
      </c>
    </row>
    <row r="73">
      <c r="A73" s="86" t="s">
        <v>550</v>
      </c>
      <c r="B73" s="86" t="s">
        <v>551</v>
      </c>
      <c r="C73" s="86" t="s">
        <v>552</v>
      </c>
      <c r="D73" s="86" t="s">
        <v>554</v>
      </c>
      <c r="E73" s="86" t="s">
        <v>555</v>
      </c>
      <c r="F73" s="86" t="s">
        <v>557</v>
      </c>
    </row>
    <row r="74">
      <c r="B74" s="63" t="s">
        <v>2345</v>
      </c>
      <c r="C74" s="63" t="s">
        <v>2063</v>
      </c>
      <c r="D74" s="63"/>
      <c r="E74" s="63" t="s">
        <v>2346</v>
      </c>
    </row>
    <row r="75">
      <c r="B75" s="19" t="s">
        <v>2099</v>
      </c>
      <c r="C75" s="19" t="s">
        <v>2347</v>
      </c>
      <c r="E75" s="19" t="s">
        <v>2348</v>
      </c>
    </row>
    <row r="76">
      <c r="B76" s="19" t="s">
        <v>2349</v>
      </c>
      <c r="C76" s="19" t="s">
        <v>947</v>
      </c>
      <c r="E76" s="19" t="s">
        <v>590</v>
      </c>
    </row>
    <row r="77">
      <c r="E77" s="19" t="s">
        <v>1374</v>
      </c>
    </row>
    <row r="78">
      <c r="E78" s="19" t="s">
        <v>2351</v>
      </c>
    </row>
    <row r="79">
      <c r="E79" s="19" t="s">
        <v>572</v>
      </c>
    </row>
    <row r="80">
      <c r="E80" s="19" t="s">
        <v>1374</v>
      </c>
    </row>
    <row r="81">
      <c r="E81" s="19" t="s">
        <v>2352</v>
      </c>
    </row>
    <row r="82">
      <c r="E82" s="19" t="s">
        <v>610</v>
      </c>
    </row>
    <row r="83">
      <c r="E83" s="19" t="s">
        <v>1374</v>
      </c>
    </row>
    <row r="84">
      <c r="A84" s="87"/>
    </row>
    <row r="85">
      <c r="A85" s="2" t="s">
        <v>1298</v>
      </c>
    </row>
    <row r="86">
      <c r="A86" s="2">
        <v>95600.0</v>
      </c>
    </row>
    <row r="87">
      <c r="A87" s="39">
        <v>2026.0</v>
      </c>
    </row>
    <row r="88">
      <c r="A88" s="92" t="s">
        <v>2354</v>
      </c>
    </row>
    <row r="89">
      <c r="A89" s="86" t="s">
        <v>646</v>
      </c>
      <c r="B89" s="86" t="s">
        <v>647</v>
      </c>
      <c r="C89" s="86" t="s">
        <v>648</v>
      </c>
      <c r="D89" s="86" t="s">
        <v>651</v>
      </c>
      <c r="E89" s="86" t="s">
        <v>653</v>
      </c>
      <c r="F89" s="86" t="s">
        <v>654</v>
      </c>
      <c r="G89" s="86" t="s">
        <v>655</v>
      </c>
      <c r="H89" s="86" t="s">
        <v>657</v>
      </c>
    </row>
    <row r="90">
      <c r="A90" s="79" t="s">
        <v>2357</v>
      </c>
      <c r="B90" s="79" t="s">
        <v>2358</v>
      </c>
      <c r="C90" s="79" t="s">
        <v>1010</v>
      </c>
      <c r="D90" s="79" t="s">
        <v>1591</v>
      </c>
      <c r="E90" s="79" t="s">
        <v>2359</v>
      </c>
      <c r="F90" s="79" t="s">
        <v>667</v>
      </c>
      <c r="G90" s="79" t="s">
        <v>2360</v>
      </c>
      <c r="H90" s="79" t="s">
        <v>1010</v>
      </c>
    </row>
    <row r="91">
      <c r="A91" s="19" t="s">
        <v>2080</v>
      </c>
      <c r="B91" s="19" t="s">
        <v>2363</v>
      </c>
      <c r="C91" s="19" t="s">
        <v>2364</v>
      </c>
      <c r="D91" s="19" t="s">
        <v>2365</v>
      </c>
      <c r="E91" s="19" t="s">
        <v>2366</v>
      </c>
      <c r="G91" s="19" t="s">
        <v>2367</v>
      </c>
      <c r="H91" s="19" t="s">
        <v>2368</v>
      </c>
    </row>
    <row r="92">
      <c r="A92" s="19" t="s">
        <v>711</v>
      </c>
      <c r="B92" s="19" t="s">
        <v>572</v>
      </c>
      <c r="C92" s="19" t="s">
        <v>572</v>
      </c>
      <c r="D92" s="19" t="s">
        <v>947</v>
      </c>
      <c r="E92" s="19" t="s">
        <v>1364</v>
      </c>
      <c r="G92" s="19" t="s">
        <v>989</v>
      </c>
      <c r="H92" s="19" t="s">
        <v>572</v>
      </c>
    </row>
    <row r="93">
      <c r="A93" s="19" t="s">
        <v>652</v>
      </c>
      <c r="B93" s="19" t="s">
        <v>690</v>
      </c>
      <c r="D93" s="19" t="s">
        <v>652</v>
      </c>
      <c r="E93" s="19" t="s">
        <v>1095</v>
      </c>
      <c r="G93" s="19" t="s">
        <v>695</v>
      </c>
    </row>
    <row r="94">
      <c r="A94" s="19" t="s">
        <v>2370</v>
      </c>
      <c r="E94" s="19" t="s">
        <v>1135</v>
      </c>
      <c r="G94" s="19" t="s">
        <v>2371</v>
      </c>
    </row>
    <row r="95">
      <c r="A95" s="19" t="s">
        <v>947</v>
      </c>
      <c r="G95" s="19" t="s">
        <v>683</v>
      </c>
    </row>
    <row r="96">
      <c r="A96" s="19" t="s">
        <v>268</v>
      </c>
      <c r="G96" s="19" t="s">
        <v>695</v>
      </c>
    </row>
    <row r="97">
      <c r="G97" s="19" t="s">
        <v>2376</v>
      </c>
    </row>
    <row r="98">
      <c r="G98" s="19" t="s">
        <v>624</v>
      </c>
    </row>
    <row r="99">
      <c r="G99" s="19" t="s">
        <v>695</v>
      </c>
    </row>
    <row r="100">
      <c r="G100" s="19" t="s">
        <v>2379</v>
      </c>
    </row>
    <row r="101">
      <c r="G101" s="19" t="s">
        <v>876</v>
      </c>
    </row>
    <row r="102">
      <c r="G102" s="19" t="s">
        <v>652</v>
      </c>
    </row>
    <row r="103">
      <c r="G103" s="19" t="s">
        <v>695</v>
      </c>
    </row>
    <row r="104">
      <c r="G104" s="19" t="s">
        <v>2381</v>
      </c>
    </row>
    <row r="105">
      <c r="G105" s="19" t="s">
        <v>572</v>
      </c>
    </row>
    <row r="106">
      <c r="G106" s="19" t="s">
        <v>695</v>
      </c>
    </row>
    <row r="109">
      <c r="A109" s="197" t="s">
        <v>719</v>
      </c>
    </row>
    <row r="110">
      <c r="A110" s="197">
        <f>A113</f>
        <v>60400</v>
      </c>
    </row>
    <row r="111">
      <c r="A111" s="197">
        <v>2026.0</v>
      </c>
    </row>
    <row r="112">
      <c r="A112" s="197" t="s">
        <v>724</v>
      </c>
    </row>
    <row r="113">
      <c r="A113" s="197">
        <f>A116+B116+C116+D116+E116+F116+G116+H116</f>
        <v>60400</v>
      </c>
    </row>
    <row r="114">
      <c r="A114" s="100" t="s">
        <v>731</v>
      </c>
      <c r="B114" s="100" t="s">
        <v>733</v>
      </c>
      <c r="C114" s="100" t="s">
        <v>735</v>
      </c>
      <c r="D114" s="100" t="s">
        <v>736</v>
      </c>
      <c r="E114" s="100" t="s">
        <v>737</v>
      </c>
      <c r="F114" s="100" t="s">
        <v>738</v>
      </c>
      <c r="G114" s="100" t="s">
        <v>740</v>
      </c>
      <c r="H114" s="100" t="s">
        <v>741</v>
      </c>
    </row>
    <row r="115">
      <c r="A115" s="38" t="s">
        <v>667</v>
      </c>
      <c r="B115" s="38" t="s">
        <v>667</v>
      </c>
      <c r="C115" s="38" t="s">
        <v>667</v>
      </c>
      <c r="D115" s="38" t="s">
        <v>667</v>
      </c>
      <c r="E115" s="38" t="s">
        <v>667</v>
      </c>
      <c r="F115" s="38" t="s">
        <v>667</v>
      </c>
      <c r="G115" s="38" t="s">
        <v>667</v>
      </c>
      <c r="H115" s="38" t="s">
        <v>667</v>
      </c>
    </row>
    <row r="116">
      <c r="A116" s="102">
        <v>9500.0</v>
      </c>
      <c r="B116" s="100">
        <v>0.0</v>
      </c>
      <c r="C116" s="100">
        <v>0.0</v>
      </c>
      <c r="D116" s="102">
        <v>8000.0</v>
      </c>
      <c r="E116" s="100">
        <v>0.0</v>
      </c>
      <c r="F116" s="102">
        <v>11750.0</v>
      </c>
      <c r="G116" s="100">
        <v>0.0</v>
      </c>
      <c r="H116" s="102">
        <v>31150.0</v>
      </c>
    </row>
    <row r="117">
      <c r="A117" s="19" t="s">
        <v>2396</v>
      </c>
      <c r="D117" s="19" t="s">
        <v>2397</v>
      </c>
      <c r="F117" s="19" t="s">
        <v>2399</v>
      </c>
      <c r="H117" s="19" t="s">
        <v>2099</v>
      </c>
    </row>
    <row r="118">
      <c r="A118" s="19" t="s">
        <v>683</v>
      </c>
      <c r="D118" s="19" t="s">
        <v>1048</v>
      </c>
      <c r="F118" s="19" t="s">
        <v>878</v>
      </c>
      <c r="H118" s="19" t="s">
        <v>684</v>
      </c>
    </row>
    <row r="119">
      <c r="A119" s="19" t="s">
        <v>759</v>
      </c>
      <c r="F119" s="19" t="s">
        <v>760</v>
      </c>
      <c r="H119" s="19" t="s">
        <v>766</v>
      </c>
    </row>
    <row r="120">
      <c r="A120" s="19" t="s">
        <v>1051</v>
      </c>
      <c r="H120" s="19" t="s">
        <v>2404</v>
      </c>
    </row>
    <row r="121">
      <c r="A121" s="19" t="s">
        <v>2405</v>
      </c>
      <c r="H121" s="19" t="s">
        <v>624</v>
      </c>
    </row>
    <row r="122">
      <c r="A122" s="19" t="s">
        <v>2406</v>
      </c>
      <c r="H122" s="19" t="s">
        <v>759</v>
      </c>
    </row>
    <row r="123">
      <c r="A123" s="19" t="s">
        <v>683</v>
      </c>
      <c r="H123" s="19" t="s">
        <v>1051</v>
      </c>
    </row>
    <row r="124">
      <c r="H124" s="19" t="s">
        <v>766</v>
      </c>
    </row>
    <row r="125">
      <c r="A125" s="96" t="s">
        <v>1060</v>
      </c>
    </row>
    <row r="126">
      <c r="A126" s="96">
        <f>A129</f>
        <v>107400</v>
      </c>
    </row>
    <row r="127">
      <c r="A127" s="96">
        <v>2026.0</v>
      </c>
    </row>
    <row r="128">
      <c r="A128" s="96" t="s">
        <v>724</v>
      </c>
    </row>
    <row r="129">
      <c r="A129" s="116">
        <f>A132+B132+C132+D132+E132+F132+G132+H132+I132+J132</f>
        <v>107400</v>
      </c>
    </row>
    <row r="130">
      <c r="A130" s="109" t="s">
        <v>812</v>
      </c>
      <c r="B130" s="109" t="s">
        <v>815</v>
      </c>
      <c r="C130" s="109" t="s">
        <v>817</v>
      </c>
      <c r="D130" s="109" t="s">
        <v>819</v>
      </c>
      <c r="E130" s="109" t="s">
        <v>821</v>
      </c>
      <c r="F130" s="109" t="s">
        <v>822</v>
      </c>
      <c r="G130" s="109" t="s">
        <v>823</v>
      </c>
      <c r="H130" s="109" t="s">
        <v>825</v>
      </c>
      <c r="I130" s="99" t="s">
        <v>827</v>
      </c>
      <c r="J130" s="99" t="s">
        <v>829</v>
      </c>
    </row>
    <row r="131">
      <c r="A131" s="14" t="s">
        <v>667</v>
      </c>
      <c r="B131" s="14" t="s">
        <v>667</v>
      </c>
      <c r="C131" s="14" t="s">
        <v>667</v>
      </c>
      <c r="D131" s="14" t="s">
        <v>667</v>
      </c>
      <c r="E131" s="14" t="s">
        <v>667</v>
      </c>
      <c r="F131" s="14" t="s">
        <v>667</v>
      </c>
      <c r="G131" s="14" t="s">
        <v>667</v>
      </c>
      <c r="H131" s="14" t="s">
        <v>667</v>
      </c>
      <c r="I131" s="14" t="s">
        <v>667</v>
      </c>
      <c r="J131" s="14" t="s">
        <v>667</v>
      </c>
    </row>
    <row r="132">
      <c r="A132" s="86">
        <v>21000.0</v>
      </c>
      <c r="B132" s="86">
        <v>0.0</v>
      </c>
      <c r="C132" s="86">
        <v>31000.0</v>
      </c>
      <c r="D132" s="86">
        <v>500.0</v>
      </c>
      <c r="E132" s="86">
        <v>22500.0</v>
      </c>
      <c r="F132" s="86">
        <v>0.0</v>
      </c>
      <c r="G132" s="86">
        <v>7900.0</v>
      </c>
      <c r="H132" s="86">
        <v>20000.0</v>
      </c>
      <c r="I132" s="86">
        <v>3500.0</v>
      </c>
      <c r="J132" s="86">
        <v>1000.0</v>
      </c>
    </row>
    <row r="133">
      <c r="A133" s="19" t="s">
        <v>2366</v>
      </c>
      <c r="C133" s="19" t="s">
        <v>2088</v>
      </c>
      <c r="D133" s="19" t="s">
        <v>2416</v>
      </c>
      <c r="E133" s="19" t="s">
        <v>2417</v>
      </c>
      <c r="F133" s="19" t="s">
        <v>2364</v>
      </c>
      <c r="G133" s="19" t="s">
        <v>2418</v>
      </c>
      <c r="H133" s="19" t="s">
        <v>2080</v>
      </c>
      <c r="I133" s="19" t="s">
        <v>2419</v>
      </c>
      <c r="J133" s="19" t="s">
        <v>2420</v>
      </c>
    </row>
    <row r="134">
      <c r="A134" s="19" t="s">
        <v>1514</v>
      </c>
      <c r="C134" s="19" t="s">
        <v>939</v>
      </c>
      <c r="D134" s="19" t="s">
        <v>572</v>
      </c>
      <c r="E134" s="19" t="s">
        <v>1045</v>
      </c>
      <c r="F134" s="19" t="s">
        <v>2421</v>
      </c>
      <c r="G134" s="19" t="s">
        <v>1068</v>
      </c>
      <c r="H134" s="19" t="s">
        <v>984</v>
      </c>
      <c r="I134" s="19" t="s">
        <v>1009</v>
      </c>
      <c r="J134" s="19" t="s">
        <v>572</v>
      </c>
    </row>
    <row r="135">
      <c r="C135" s="19" t="s">
        <v>855</v>
      </c>
      <c r="E135" s="19" t="s">
        <v>2371</v>
      </c>
      <c r="G135" s="19" t="s">
        <v>851</v>
      </c>
      <c r="J135" s="19" t="s">
        <v>2152</v>
      </c>
    </row>
    <row r="136">
      <c r="C136" s="19" t="s">
        <v>2422</v>
      </c>
      <c r="E136" s="19" t="s">
        <v>698</v>
      </c>
      <c r="G136" s="19" t="s">
        <v>1349</v>
      </c>
      <c r="J136" s="19" t="s">
        <v>572</v>
      </c>
    </row>
    <row r="137">
      <c r="C137" s="19" t="s">
        <v>1514</v>
      </c>
      <c r="G137" s="19" t="s">
        <v>2423</v>
      </c>
    </row>
    <row r="138">
      <c r="C138" s="19" t="s">
        <v>2424</v>
      </c>
      <c r="G138" s="19" t="s">
        <v>870</v>
      </c>
    </row>
    <row r="139">
      <c r="G139" s="19" t="s">
        <v>2425</v>
      </c>
    </row>
    <row r="140">
      <c r="G140" s="19" t="s">
        <v>870</v>
      </c>
    </row>
    <row r="141">
      <c r="G141" s="19" t="s">
        <v>855</v>
      </c>
    </row>
    <row r="142">
      <c r="A142" s="103" t="s">
        <v>882</v>
      </c>
    </row>
    <row r="143">
      <c r="A143" s="104" t="s">
        <v>884</v>
      </c>
    </row>
    <row r="144">
      <c r="A144" s="104">
        <f>A147</f>
        <v>676200</v>
      </c>
    </row>
    <row r="145">
      <c r="A145" s="104">
        <v>2026.0</v>
      </c>
    </row>
    <row r="146">
      <c r="A146" s="104" t="s">
        <v>724</v>
      </c>
    </row>
    <row r="147">
      <c r="A147" s="105">
        <f>A150+B150+C150+D150+E150+F150+G150+H150+I150+J150</f>
        <v>676200</v>
      </c>
    </row>
    <row r="148">
      <c r="A148" s="86" t="s">
        <v>887</v>
      </c>
      <c r="B148" s="86" t="s">
        <v>888</v>
      </c>
      <c r="C148" s="86" t="s">
        <v>891</v>
      </c>
      <c r="D148" s="86" t="s">
        <v>892</v>
      </c>
      <c r="E148" s="86" t="s">
        <v>893</v>
      </c>
      <c r="F148" s="86" t="s">
        <v>894</v>
      </c>
      <c r="G148" s="109" t="s">
        <v>895</v>
      </c>
      <c r="H148" s="102" t="s">
        <v>896</v>
      </c>
      <c r="I148" s="102" t="s">
        <v>897</v>
      </c>
      <c r="J148" s="102" t="s">
        <v>899</v>
      </c>
    </row>
    <row r="149">
      <c r="A149" s="14" t="s">
        <v>667</v>
      </c>
      <c r="B149" s="14" t="s">
        <v>667</v>
      </c>
      <c r="C149" s="14" t="s">
        <v>667</v>
      </c>
      <c r="D149" s="14" t="s">
        <v>667</v>
      </c>
      <c r="E149" s="14" t="s">
        <v>667</v>
      </c>
      <c r="F149" s="14" t="s">
        <v>667</v>
      </c>
      <c r="G149" s="14" t="s">
        <v>667</v>
      </c>
      <c r="H149" s="38" t="s">
        <v>667</v>
      </c>
      <c r="I149" s="38" t="s">
        <v>667</v>
      </c>
      <c r="J149" s="38" t="s">
        <v>667</v>
      </c>
    </row>
    <row r="150">
      <c r="A150" s="86">
        <v>12000.0</v>
      </c>
      <c r="B150" s="86"/>
      <c r="C150" s="86"/>
      <c r="D150" s="86">
        <f>101500+19400</f>
        <v>120900</v>
      </c>
      <c r="E150" s="86"/>
      <c r="F150" s="86">
        <v>329000.0</v>
      </c>
      <c r="G150" s="86"/>
      <c r="H150" s="86">
        <f>35000+38800</f>
        <v>73800</v>
      </c>
      <c r="I150" s="86">
        <v>140500.0</v>
      </c>
      <c r="J150" s="86"/>
    </row>
    <row r="151">
      <c r="A151" s="19" t="s">
        <v>2426</v>
      </c>
      <c r="D151" s="19" t="s">
        <v>2427</v>
      </c>
      <c r="F151" s="19" t="s">
        <v>2397</v>
      </c>
      <c r="H151" s="19" t="s">
        <v>2363</v>
      </c>
      <c r="I151" s="19" t="s">
        <v>2080</v>
      </c>
    </row>
    <row r="152">
      <c r="A152" s="19" t="s">
        <v>2428</v>
      </c>
      <c r="D152" s="19" t="s">
        <v>1223</v>
      </c>
      <c r="F152" s="19" t="s">
        <v>1494</v>
      </c>
      <c r="H152" s="19" t="s">
        <v>906</v>
      </c>
      <c r="I152" s="19" t="s">
        <v>1380</v>
      </c>
    </row>
    <row r="153">
      <c r="A153" s="19" t="s">
        <v>1121</v>
      </c>
      <c r="D153" s="19" t="s">
        <v>2429</v>
      </c>
      <c r="F153" s="19" t="s">
        <v>1415</v>
      </c>
      <c r="H153" s="19" t="s">
        <v>1116</v>
      </c>
      <c r="I153" s="19" t="s">
        <v>2430</v>
      </c>
    </row>
    <row r="154">
      <c r="D154" s="19" t="s">
        <v>1112</v>
      </c>
      <c r="F154" s="19" t="s">
        <v>2370</v>
      </c>
      <c r="I154" s="19" t="s">
        <v>1045</v>
      </c>
    </row>
    <row r="155">
      <c r="D155" s="19" t="s">
        <v>934</v>
      </c>
      <c r="F155" s="19" t="s">
        <v>1380</v>
      </c>
      <c r="I155" s="19" t="s">
        <v>2431</v>
      </c>
    </row>
    <row r="156">
      <c r="D156" s="19" t="s">
        <v>2432</v>
      </c>
      <c r="F156" s="19" t="s">
        <v>2433</v>
      </c>
      <c r="I156" s="19" t="s">
        <v>1340</v>
      </c>
    </row>
    <row r="157">
      <c r="D157" s="19" t="s">
        <v>1428</v>
      </c>
      <c r="F157" s="19" t="s">
        <v>906</v>
      </c>
      <c r="I157" s="19" t="s">
        <v>924</v>
      </c>
    </row>
    <row r="158">
      <c r="F158" s="19" t="s">
        <v>2434</v>
      </c>
      <c r="I158" s="19" t="s">
        <v>2435</v>
      </c>
    </row>
    <row r="159">
      <c r="F159" s="19" t="s">
        <v>1394</v>
      </c>
      <c r="I159" s="19" t="s">
        <v>624</v>
      </c>
    </row>
    <row r="160">
      <c r="F160" s="19" t="s">
        <v>2436</v>
      </c>
      <c r="I160" s="19" t="s">
        <v>2280</v>
      </c>
    </row>
    <row r="161">
      <c r="F161" s="19" t="s">
        <v>1173</v>
      </c>
      <c r="I161" s="19" t="s">
        <v>1173</v>
      </c>
    </row>
    <row r="162">
      <c r="F162" s="19" t="s">
        <v>2437</v>
      </c>
      <c r="I162" s="19" t="s">
        <v>2438</v>
      </c>
    </row>
    <row r="163">
      <c r="F163" s="19" t="s">
        <v>573</v>
      </c>
      <c r="I163" s="19" t="s">
        <v>1076</v>
      </c>
    </row>
    <row r="164">
      <c r="F164" s="19" t="s">
        <v>2439</v>
      </c>
    </row>
    <row r="165">
      <c r="F165" s="19" t="s">
        <v>573</v>
      </c>
    </row>
    <row r="166">
      <c r="F166" s="19" t="s">
        <v>924</v>
      </c>
    </row>
    <row r="167">
      <c r="F167" s="19" t="s">
        <v>2440</v>
      </c>
    </row>
    <row r="168">
      <c r="F168" s="19" t="s">
        <v>1394</v>
      </c>
    </row>
    <row r="169">
      <c r="F169" s="19" t="s">
        <v>924</v>
      </c>
    </row>
    <row r="170">
      <c r="F170" s="19" t="s">
        <v>2441</v>
      </c>
    </row>
    <row r="171">
      <c r="F171" s="19" t="s">
        <v>1196</v>
      </c>
    </row>
    <row r="172">
      <c r="F172" s="19" t="s">
        <v>1126</v>
      </c>
    </row>
    <row r="173">
      <c r="F173" s="19" t="s">
        <v>2442</v>
      </c>
    </row>
    <row r="174">
      <c r="F174" s="19" t="s">
        <v>573</v>
      </c>
    </row>
    <row r="175">
      <c r="F175" s="19" t="s">
        <v>2443</v>
      </c>
    </row>
    <row r="176">
      <c r="F176" s="19" t="s">
        <v>947</v>
      </c>
    </row>
    <row r="177">
      <c r="F177" s="19" t="s">
        <v>933</v>
      </c>
    </row>
    <row r="178">
      <c r="F178" s="19" t="s">
        <v>924</v>
      </c>
    </row>
    <row r="179">
      <c r="F179" s="19" t="s">
        <v>2444</v>
      </c>
    </row>
    <row r="180">
      <c r="F180" s="19" t="s">
        <v>1173</v>
      </c>
    </row>
    <row r="181">
      <c r="F181" s="19" t="s">
        <v>1126</v>
      </c>
    </row>
    <row r="182">
      <c r="F182" s="19" t="s">
        <v>2445</v>
      </c>
    </row>
    <row r="183">
      <c r="F183" s="19" t="s">
        <v>573</v>
      </c>
    </row>
    <row r="184">
      <c r="F184" s="19" t="s">
        <v>2446</v>
      </c>
    </row>
    <row r="185">
      <c r="F185" s="19" t="s">
        <v>573</v>
      </c>
    </row>
    <row r="186">
      <c r="F186" s="19" t="s">
        <v>2447</v>
      </c>
    </row>
    <row r="187">
      <c r="F187" s="19" t="s">
        <v>684</v>
      </c>
    </row>
    <row r="193">
      <c r="A193" s="110" t="s">
        <v>943</v>
      </c>
    </row>
    <row r="194">
      <c r="A194" s="110">
        <f>A197</f>
        <v>556600</v>
      </c>
    </row>
    <row r="195">
      <c r="A195" s="110">
        <v>2026.0</v>
      </c>
    </row>
    <row r="196">
      <c r="A196" s="110" t="s">
        <v>724</v>
      </c>
    </row>
    <row r="197">
      <c r="A197" s="110">
        <f>A200+B200+C200+D200+E200+F200+G200+H200</f>
        <v>556600</v>
      </c>
    </row>
    <row r="198">
      <c r="A198" s="86" t="s">
        <v>953</v>
      </c>
      <c r="B198" s="86" t="s">
        <v>833</v>
      </c>
      <c r="C198" s="86" t="s">
        <v>834</v>
      </c>
      <c r="D198" s="86" t="s">
        <v>836</v>
      </c>
      <c r="E198" s="86" t="s">
        <v>956</v>
      </c>
      <c r="F198" s="86" t="s">
        <v>958</v>
      </c>
      <c r="G198" s="86" t="s">
        <v>844</v>
      </c>
      <c r="H198" s="86" t="s">
        <v>838</v>
      </c>
    </row>
    <row r="199">
      <c r="A199" s="14" t="s">
        <v>667</v>
      </c>
      <c r="B199" s="14" t="s">
        <v>667</v>
      </c>
      <c r="C199" s="14" t="s">
        <v>667</v>
      </c>
      <c r="D199" s="14" t="s">
        <v>667</v>
      </c>
      <c r="E199" s="14" t="s">
        <v>667</v>
      </c>
      <c r="F199" s="14" t="s">
        <v>667</v>
      </c>
      <c r="G199" s="14" t="s">
        <v>667</v>
      </c>
      <c r="H199" s="14" t="s">
        <v>667</v>
      </c>
    </row>
    <row r="200">
      <c r="A200" s="86">
        <v>27250.0</v>
      </c>
      <c r="B200" s="86">
        <v>20000.0</v>
      </c>
      <c r="C200" s="86">
        <f>26000+24800</f>
        <v>50800</v>
      </c>
      <c r="D200" s="86">
        <f>99750+(44400*7)</f>
        <v>410550</v>
      </c>
      <c r="E200" s="86">
        <v>12000.0</v>
      </c>
      <c r="F200" s="86">
        <v>2000.0</v>
      </c>
      <c r="G200" s="86">
        <v>0.0</v>
      </c>
      <c r="H200" s="86">
        <f>12000+22000</f>
        <v>34000</v>
      </c>
    </row>
    <row r="201">
      <c r="A201" s="19" t="s">
        <v>2448</v>
      </c>
      <c r="B201" s="19" t="s">
        <v>2449</v>
      </c>
      <c r="C201" s="19" t="s">
        <v>2450</v>
      </c>
      <c r="D201" s="19" t="s">
        <v>2451</v>
      </c>
      <c r="E201" s="19" t="s">
        <v>2427</v>
      </c>
      <c r="F201" s="19" t="s">
        <v>2452</v>
      </c>
      <c r="H201" s="19" t="s">
        <v>2453</v>
      </c>
    </row>
    <row r="202">
      <c r="A202" s="19" t="s">
        <v>984</v>
      </c>
      <c r="B202" s="19" t="s">
        <v>573</v>
      </c>
      <c r="C202" s="19" t="s">
        <v>984</v>
      </c>
      <c r="D202" s="19" t="s">
        <v>1426</v>
      </c>
      <c r="E202" s="19" t="s">
        <v>1214</v>
      </c>
      <c r="F202" s="19" t="s">
        <v>573</v>
      </c>
      <c r="H202" s="19" t="s">
        <v>1214</v>
      </c>
    </row>
    <row r="203">
      <c r="A203" s="19" t="s">
        <v>2152</v>
      </c>
      <c r="B203" s="19" t="s">
        <v>2454</v>
      </c>
      <c r="C203" s="19" t="s">
        <v>1474</v>
      </c>
      <c r="D203" s="19" t="s">
        <v>1150</v>
      </c>
      <c r="F203" s="19" t="s">
        <v>2455</v>
      </c>
      <c r="H203" s="19" t="s">
        <v>1450</v>
      </c>
    </row>
    <row r="204">
      <c r="A204" s="19" t="s">
        <v>624</v>
      </c>
      <c r="B204" s="19" t="s">
        <v>624</v>
      </c>
      <c r="C204" s="19" t="s">
        <v>2370</v>
      </c>
      <c r="D204" s="19" t="s">
        <v>2456</v>
      </c>
      <c r="F204" s="19" t="s">
        <v>573</v>
      </c>
    </row>
    <row r="205">
      <c r="A205" s="19" t="s">
        <v>1449</v>
      </c>
      <c r="B205" s="19" t="s">
        <v>2457</v>
      </c>
      <c r="C205" s="19" t="s">
        <v>989</v>
      </c>
      <c r="D205" s="19" t="s">
        <v>624</v>
      </c>
    </row>
    <row r="206">
      <c r="A206" s="19" t="s">
        <v>1488</v>
      </c>
      <c r="B206" s="19" t="s">
        <v>573</v>
      </c>
      <c r="C206" s="19" t="s">
        <v>1474</v>
      </c>
      <c r="D206" s="19" t="s">
        <v>1148</v>
      </c>
    </row>
    <row r="207">
      <c r="B207" s="19" t="s">
        <v>2458</v>
      </c>
      <c r="D207" s="19" t="s">
        <v>1150</v>
      </c>
    </row>
    <row r="208">
      <c r="B208" s="19" t="s">
        <v>573</v>
      </c>
      <c r="D208" s="19" t="s">
        <v>2425</v>
      </c>
    </row>
    <row r="209">
      <c r="B209" s="19" t="s">
        <v>2459</v>
      </c>
      <c r="D209" s="19" t="s">
        <v>573</v>
      </c>
    </row>
    <row r="210">
      <c r="B210" s="19" t="s">
        <v>682</v>
      </c>
      <c r="D210" s="19" t="s">
        <v>1150</v>
      </c>
    </row>
    <row r="211">
      <c r="B211" s="19" t="s">
        <v>2460</v>
      </c>
      <c r="D211" s="19" t="s">
        <v>2461</v>
      </c>
    </row>
    <row r="212">
      <c r="B212" s="19" t="s">
        <v>573</v>
      </c>
      <c r="D212" s="19" t="s">
        <v>573</v>
      </c>
    </row>
    <row r="213">
      <c r="D213" s="19" t="s">
        <v>1150</v>
      </c>
    </row>
    <row r="214">
      <c r="D214" s="19" t="s">
        <v>2462</v>
      </c>
    </row>
    <row r="215">
      <c r="D215" s="19" t="s">
        <v>573</v>
      </c>
    </row>
    <row r="216">
      <c r="D216" s="19" t="s">
        <v>1150</v>
      </c>
    </row>
    <row r="217">
      <c r="D217" s="19" t="s">
        <v>2463</v>
      </c>
    </row>
    <row r="218">
      <c r="D218" s="19" t="s">
        <v>573</v>
      </c>
    </row>
    <row r="219">
      <c r="D219" s="19" t="s">
        <v>1150</v>
      </c>
    </row>
    <row r="220">
      <c r="D220" s="19" t="s">
        <v>2464</v>
      </c>
    </row>
    <row r="221">
      <c r="D221" s="19" t="s">
        <v>1616</v>
      </c>
    </row>
    <row r="222">
      <c r="D222" s="19" t="s">
        <v>1604</v>
      </c>
    </row>
    <row r="223">
      <c r="D223" s="19" t="s">
        <v>1150</v>
      </c>
    </row>
    <row r="225">
      <c r="A225" s="113" t="s">
        <v>2465</v>
      </c>
    </row>
    <row r="226">
      <c r="A226" s="113">
        <f>A230-1200000</f>
        <v>6888000</v>
      </c>
    </row>
    <row r="227">
      <c r="A227" s="113">
        <v>2026.0</v>
      </c>
    </row>
    <row r="228">
      <c r="A228" s="198" t="s">
        <v>2468</v>
      </c>
    </row>
    <row r="229">
      <c r="A229" s="113" t="s">
        <v>724</v>
      </c>
    </row>
    <row r="230">
      <c r="A230" s="114">
        <f>A233+B233+C233+D233+E233+F233+G233+H233+I233+J233</f>
        <v>8088000</v>
      </c>
    </row>
    <row r="231">
      <c r="A231" s="86" t="s">
        <v>965</v>
      </c>
      <c r="B231" s="86" t="s">
        <v>966</v>
      </c>
      <c r="C231" s="86" t="s">
        <v>968</v>
      </c>
      <c r="D231" s="86" t="s">
        <v>969</v>
      </c>
      <c r="E231" s="86" t="s">
        <v>970</v>
      </c>
      <c r="F231" s="86" t="s">
        <v>971</v>
      </c>
      <c r="G231" s="86" t="s">
        <v>972</v>
      </c>
      <c r="H231" s="86" t="s">
        <v>973</v>
      </c>
      <c r="I231" s="86" t="s">
        <v>974</v>
      </c>
      <c r="J231" s="86" t="s">
        <v>975</v>
      </c>
    </row>
    <row r="232">
      <c r="A232" s="14" t="s">
        <v>667</v>
      </c>
      <c r="B232" s="14" t="s">
        <v>667</v>
      </c>
      <c r="C232" s="14" t="s">
        <v>667</v>
      </c>
      <c r="D232" s="14" t="s">
        <v>667</v>
      </c>
      <c r="E232" s="14" t="s">
        <v>667</v>
      </c>
      <c r="F232" s="14" t="s">
        <v>667</v>
      </c>
      <c r="G232" s="14" t="s">
        <v>667</v>
      </c>
      <c r="H232" s="38" t="s">
        <v>667</v>
      </c>
      <c r="I232" s="38" t="s">
        <v>667</v>
      </c>
      <c r="J232" s="38" t="s">
        <v>667</v>
      </c>
    </row>
    <row r="233">
      <c r="A233" s="86">
        <v>770000.0</v>
      </c>
      <c r="B233" s="86">
        <v>770000.0</v>
      </c>
      <c r="C233" s="86">
        <v>790000.0</v>
      </c>
      <c r="D233" s="86">
        <v>886000.0</v>
      </c>
      <c r="E233" s="86">
        <v>807000.0</v>
      </c>
      <c r="F233" s="86">
        <v>780000.0</v>
      </c>
      <c r="G233" s="86">
        <v>799000.0</v>
      </c>
      <c r="H233" s="86">
        <v>800000.0</v>
      </c>
      <c r="I233" s="86">
        <v>811000.0</v>
      </c>
      <c r="J233" s="86">
        <v>875000.0</v>
      </c>
    </row>
    <row r="234">
      <c r="A234" s="19" t="s">
        <v>2472</v>
      </c>
      <c r="B234" s="19" t="s">
        <v>2473</v>
      </c>
      <c r="C234" s="19" t="s">
        <v>2088</v>
      </c>
      <c r="D234" s="19" t="s">
        <v>2474</v>
      </c>
      <c r="E234" s="19" t="s">
        <v>2475</v>
      </c>
      <c r="F234" s="19" t="s">
        <v>2477</v>
      </c>
      <c r="G234" s="19" t="s">
        <v>2479</v>
      </c>
      <c r="H234" s="19" t="s">
        <v>2480</v>
      </c>
      <c r="I234" s="19" t="s">
        <v>2481</v>
      </c>
      <c r="J234" s="19" t="s">
        <v>2483</v>
      </c>
    </row>
    <row r="235">
      <c r="A235" s="19" t="s">
        <v>2484</v>
      </c>
      <c r="B235" s="19" t="s">
        <v>2484</v>
      </c>
      <c r="C235" s="19" t="s">
        <v>2484</v>
      </c>
      <c r="D235" s="19" t="s">
        <v>2484</v>
      </c>
      <c r="E235" s="19" t="s">
        <v>2484</v>
      </c>
      <c r="F235" s="19" t="s">
        <v>2484</v>
      </c>
      <c r="G235" s="19" t="s">
        <v>2484</v>
      </c>
      <c r="H235" s="19" t="s">
        <v>2484</v>
      </c>
      <c r="I235" s="19" t="s">
        <v>2484</v>
      </c>
      <c r="J235" s="19" t="s">
        <v>2484</v>
      </c>
    </row>
    <row r="236">
      <c r="A236" s="19" t="s">
        <v>2485</v>
      </c>
      <c r="B236" s="19" t="s">
        <v>2486</v>
      </c>
      <c r="C236" s="19" t="s">
        <v>2487</v>
      </c>
      <c r="D236" s="19" t="s">
        <v>2489</v>
      </c>
      <c r="E236" s="19" t="s">
        <v>2351</v>
      </c>
      <c r="F236" s="19" t="s">
        <v>2493</v>
      </c>
      <c r="G236" s="19" t="s">
        <v>2495</v>
      </c>
      <c r="H236" s="19" t="s">
        <v>2497</v>
      </c>
      <c r="I236" s="19" t="s">
        <v>2499</v>
      </c>
      <c r="J236" s="19" t="s">
        <v>2500</v>
      </c>
    </row>
    <row r="237">
      <c r="A237" s="19" t="s">
        <v>2502</v>
      </c>
      <c r="B237" s="19" t="s">
        <v>2502</v>
      </c>
      <c r="C237" s="19" t="s">
        <v>2502</v>
      </c>
      <c r="D237" s="19" t="s">
        <v>2502</v>
      </c>
      <c r="E237" s="19" t="s">
        <v>2502</v>
      </c>
      <c r="F237" s="19" t="s">
        <v>2502</v>
      </c>
      <c r="G237" s="19" t="s">
        <v>2502</v>
      </c>
      <c r="H237" s="19" t="s">
        <v>2502</v>
      </c>
      <c r="I237" s="19" t="s">
        <v>2502</v>
      </c>
      <c r="J237" s="19" t="s">
        <v>2502</v>
      </c>
    </row>
    <row r="238">
      <c r="A238" s="19" t="s">
        <v>2504</v>
      </c>
      <c r="B238" s="19" t="s">
        <v>2505</v>
      </c>
      <c r="C238" s="19" t="s">
        <v>2506</v>
      </c>
      <c r="D238" s="19" t="s">
        <v>2352</v>
      </c>
      <c r="E238" s="19" t="s">
        <v>2507</v>
      </c>
      <c r="F238" s="19" t="s">
        <v>2509</v>
      </c>
      <c r="G238" s="19" t="s">
        <v>2072</v>
      </c>
      <c r="H238" s="19" t="s">
        <v>2510</v>
      </c>
      <c r="I238" s="19" t="s">
        <v>2511</v>
      </c>
      <c r="J238" s="19" t="s">
        <v>2512</v>
      </c>
    </row>
    <row r="239">
      <c r="A239" s="19" t="s">
        <v>2513</v>
      </c>
      <c r="B239" s="19" t="s">
        <v>2514</v>
      </c>
      <c r="C239" s="19" t="s">
        <v>2513</v>
      </c>
      <c r="D239" s="19" t="s">
        <v>1539</v>
      </c>
      <c r="E239" s="19" t="s">
        <v>2516</v>
      </c>
      <c r="F239" s="19" t="s">
        <v>2517</v>
      </c>
      <c r="G239" s="19" t="s">
        <v>2520</v>
      </c>
      <c r="H239" s="19" t="s">
        <v>2513</v>
      </c>
      <c r="I239" s="19" t="s">
        <v>2513</v>
      </c>
      <c r="J239" s="19" t="s">
        <v>983</v>
      </c>
    </row>
    <row r="240">
      <c r="A240" s="210" t="s">
        <v>2525</v>
      </c>
      <c r="B240" s="19" t="s">
        <v>2529</v>
      </c>
      <c r="C240" s="19" t="s">
        <v>2275</v>
      </c>
      <c r="D240" s="19" t="s">
        <v>2530</v>
      </c>
      <c r="E240" s="19" t="s">
        <v>2531</v>
      </c>
      <c r="F240" s="19" t="s">
        <v>2532</v>
      </c>
      <c r="G240" s="19" t="s">
        <v>2533</v>
      </c>
      <c r="H240" s="19" t="s">
        <v>2534</v>
      </c>
      <c r="I240" s="19" t="s">
        <v>2535</v>
      </c>
      <c r="J240" s="19" t="s">
        <v>2536</v>
      </c>
    </row>
    <row r="241">
      <c r="A241" s="210" t="s">
        <v>1194</v>
      </c>
      <c r="B241" s="210" t="s">
        <v>2538</v>
      </c>
      <c r="C241" s="19" t="s">
        <v>2540</v>
      </c>
      <c r="D241" s="19" t="s">
        <v>2542</v>
      </c>
      <c r="E241" s="19" t="s">
        <v>2516</v>
      </c>
      <c r="F241" s="19" t="s">
        <v>2516</v>
      </c>
      <c r="G241" s="19" t="s">
        <v>2544</v>
      </c>
      <c r="H241" s="19" t="s">
        <v>2516</v>
      </c>
      <c r="I241" s="19" t="s">
        <v>1616</v>
      </c>
      <c r="J241" s="19" t="s">
        <v>2513</v>
      </c>
    </row>
    <row r="242">
      <c r="B242" s="213"/>
      <c r="D242" s="19" t="s">
        <v>2551</v>
      </c>
      <c r="E242" s="19" t="s">
        <v>2553</v>
      </c>
      <c r="G242" s="19" t="s">
        <v>2556</v>
      </c>
      <c r="I242" s="19" t="s">
        <v>2557</v>
      </c>
      <c r="J242" s="19" t="s">
        <v>2558</v>
      </c>
    </row>
    <row r="243">
      <c r="C243" s="218"/>
      <c r="D243" s="19" t="s">
        <v>1183</v>
      </c>
      <c r="E243" s="19" t="s">
        <v>2560</v>
      </c>
      <c r="G243" s="19" t="s">
        <v>2561</v>
      </c>
      <c r="H243" s="218"/>
      <c r="I243" s="19" t="s">
        <v>2562</v>
      </c>
      <c r="J243" s="19" t="s">
        <v>2563</v>
      </c>
    </row>
    <row r="244">
      <c r="C244" s="218"/>
      <c r="H244" s="218"/>
      <c r="I244" s="218"/>
    </row>
    <row r="245">
      <c r="G245" s="218"/>
      <c r="I245" s="218"/>
      <c r="J245" s="218"/>
    </row>
    <row r="246">
      <c r="D246" s="218"/>
      <c r="F246" s="218"/>
      <c r="G246" s="218"/>
      <c r="I246" s="218"/>
      <c r="J246" s="218"/>
    </row>
    <row r="247">
      <c r="D247" s="218"/>
      <c r="E247" s="218"/>
      <c r="F247" s="218"/>
      <c r="G247" s="218"/>
    </row>
    <row r="248">
      <c r="D248" s="218"/>
      <c r="E248" s="218"/>
    </row>
    <row r="249">
      <c r="E249" s="218"/>
    </row>
  </sheetData>
  <mergeCells count="65">
    <mergeCell ref="A142:J142"/>
    <mergeCell ref="A143:J143"/>
    <mergeCell ref="A144:J144"/>
    <mergeCell ref="A145:J145"/>
    <mergeCell ref="A146:J146"/>
    <mergeCell ref="A147:J147"/>
    <mergeCell ref="A193:H193"/>
    <mergeCell ref="A228:J228"/>
    <mergeCell ref="A229:J229"/>
    <mergeCell ref="A230:J230"/>
    <mergeCell ref="A194:H194"/>
    <mergeCell ref="A195:H195"/>
    <mergeCell ref="A196:H196"/>
    <mergeCell ref="A197:H197"/>
    <mergeCell ref="A225:J225"/>
    <mergeCell ref="A226:J226"/>
    <mergeCell ref="A227:J227"/>
    <mergeCell ref="G6:H6"/>
    <mergeCell ref="I6:K6"/>
    <mergeCell ref="L6:M6"/>
    <mergeCell ref="N6:P6"/>
    <mergeCell ref="Q6:U6"/>
    <mergeCell ref="N7:P7"/>
    <mergeCell ref="A1:U1"/>
    <mergeCell ref="A2:U2"/>
    <mergeCell ref="A3:U3"/>
    <mergeCell ref="A4:U4"/>
    <mergeCell ref="G5:H5"/>
    <mergeCell ref="I5:K5"/>
    <mergeCell ref="L5:M5"/>
    <mergeCell ref="N5:P5"/>
    <mergeCell ref="Q5:U5"/>
    <mergeCell ref="Q8:Q10"/>
    <mergeCell ref="R8:U8"/>
    <mergeCell ref="R10:S10"/>
    <mergeCell ref="Q11:Q14"/>
    <mergeCell ref="R14:S14"/>
    <mergeCell ref="Q15:Q16"/>
    <mergeCell ref="R16:S16"/>
    <mergeCell ref="Q17:Q18"/>
    <mergeCell ref="R18:S18"/>
    <mergeCell ref="A63:E63"/>
    <mergeCell ref="A64:E64"/>
    <mergeCell ref="A65:E65"/>
    <mergeCell ref="A66:E66"/>
    <mergeCell ref="A68:E68"/>
    <mergeCell ref="A69:F69"/>
    <mergeCell ref="A70:F70"/>
    <mergeCell ref="A71:F71"/>
    <mergeCell ref="A72:F72"/>
    <mergeCell ref="A84:H84"/>
    <mergeCell ref="A85:H85"/>
    <mergeCell ref="A86:H86"/>
    <mergeCell ref="A87:H87"/>
    <mergeCell ref="A88:H88"/>
    <mergeCell ref="A109:H109"/>
    <mergeCell ref="A110:H110"/>
    <mergeCell ref="A111:H111"/>
    <mergeCell ref="A112:H112"/>
    <mergeCell ref="A113:H113"/>
    <mergeCell ref="A125:J125"/>
    <mergeCell ref="A126:J126"/>
    <mergeCell ref="A127:J127"/>
    <mergeCell ref="A128:J128"/>
    <mergeCell ref="A129:J129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5.75"/>
    <col customWidth="1" min="3" max="4" width="29.13"/>
    <col customWidth="1" min="5" max="5" width="31.25"/>
    <col customWidth="1" min="6" max="6" width="21.63"/>
    <col customWidth="1" min="7" max="7" width="21.25"/>
    <col customWidth="1" min="8" max="8" width="28.0"/>
    <col customWidth="1" min="9" max="9" width="34.0"/>
    <col customWidth="1" min="10" max="10" width="22.25"/>
    <col customWidth="1" min="12" max="12" width="15.88"/>
    <col customWidth="1" min="18" max="18" width="23.25"/>
  </cols>
  <sheetData>
    <row r="1">
      <c r="A1" s="36" t="s">
        <v>2466</v>
      </c>
    </row>
    <row r="2">
      <c r="A2" s="36" t="s">
        <v>2467</v>
      </c>
    </row>
    <row r="3">
      <c r="A3" s="36" t="s">
        <v>10</v>
      </c>
    </row>
    <row r="4">
      <c r="A4" s="8">
        <f>100000+C6+B6+A44+D6+F6+I6+L6</f>
        <v>901550</v>
      </c>
    </row>
    <row r="5">
      <c r="A5" s="14" t="s">
        <v>2469</v>
      </c>
      <c r="B5" s="14" t="s">
        <v>25</v>
      </c>
      <c r="C5" s="14" t="s">
        <v>39</v>
      </c>
      <c r="D5" s="14" t="s">
        <v>1137</v>
      </c>
      <c r="E5" s="14" t="s">
        <v>37</v>
      </c>
      <c r="F5" s="14" t="s">
        <v>43</v>
      </c>
      <c r="I5" s="22" t="s">
        <v>44</v>
      </c>
      <c r="L5" s="15" t="s">
        <v>33</v>
      </c>
    </row>
    <row r="6">
      <c r="A6" s="19" t="s">
        <v>752</v>
      </c>
      <c r="B6" s="8">
        <v>-60000.0</v>
      </c>
      <c r="C6" s="8">
        <v>-55000.0</v>
      </c>
      <c r="D6" s="8">
        <v>-10000.0</v>
      </c>
      <c r="F6" s="8">
        <v>16500.0</v>
      </c>
      <c r="I6" s="200">
        <f>I8</f>
        <v>0</v>
      </c>
      <c r="L6" s="23">
        <f>O10+O12</f>
        <v>5500</v>
      </c>
      <c r="R6" s="14"/>
    </row>
    <row r="7">
      <c r="A7" s="19" t="s">
        <v>767</v>
      </c>
      <c r="B7" s="61" t="s">
        <v>55</v>
      </c>
      <c r="C7" s="19" t="s">
        <v>2476</v>
      </c>
      <c r="D7" s="19" t="s">
        <v>2478</v>
      </c>
      <c r="F7" s="19" t="s">
        <v>59</v>
      </c>
      <c r="G7" s="19" t="s">
        <v>2482</v>
      </c>
      <c r="H7" s="19" t="s">
        <v>61</v>
      </c>
      <c r="I7" s="38" t="s">
        <v>77</v>
      </c>
      <c r="L7" s="10" t="s">
        <v>64</v>
      </c>
      <c r="M7" s="10" t="s">
        <v>65</v>
      </c>
      <c r="N7" s="10" t="s">
        <v>66</v>
      </c>
      <c r="O7" s="10" t="s">
        <v>0</v>
      </c>
      <c r="P7" s="10" t="s">
        <v>67</v>
      </c>
      <c r="R7" s="40"/>
    </row>
    <row r="8">
      <c r="A8" s="19" t="s">
        <v>1020</v>
      </c>
      <c r="B8" s="9" t="s">
        <v>204</v>
      </c>
      <c r="C8" s="19" t="s">
        <v>2488</v>
      </c>
      <c r="D8" s="19" t="s">
        <v>2490</v>
      </c>
      <c r="F8" s="19" t="s">
        <v>2492</v>
      </c>
      <c r="G8" s="19" t="s">
        <v>2494</v>
      </c>
      <c r="H8" s="19" t="s">
        <v>2496</v>
      </c>
      <c r="I8" s="203">
        <v>0.0</v>
      </c>
      <c r="L8" s="204" t="s">
        <v>2501</v>
      </c>
      <c r="M8" s="30" t="s">
        <v>79</v>
      </c>
      <c r="N8" s="30">
        <v>1.0</v>
      </c>
      <c r="O8" s="30">
        <f>N8*1000</f>
        <v>1000</v>
      </c>
      <c r="P8" s="33">
        <f>N8*20</f>
        <v>20</v>
      </c>
    </row>
    <row r="9">
      <c r="A9" s="19" t="s">
        <v>2518</v>
      </c>
      <c r="B9" s="9" t="s">
        <v>229</v>
      </c>
      <c r="C9" s="19" t="s">
        <v>2522</v>
      </c>
      <c r="F9" s="19" t="s">
        <v>2524</v>
      </c>
      <c r="G9" s="19" t="s">
        <v>2527</v>
      </c>
      <c r="H9" s="19" t="s">
        <v>2528</v>
      </c>
      <c r="M9" s="30" t="s">
        <v>117</v>
      </c>
      <c r="N9" s="30">
        <v>1.0</v>
      </c>
      <c r="O9" s="33">
        <f>N9*2000</f>
        <v>2000</v>
      </c>
      <c r="P9" s="33">
        <f>N9*40</f>
        <v>40</v>
      </c>
    </row>
    <row r="10">
      <c r="A10" s="19" t="s">
        <v>2547</v>
      </c>
      <c r="B10" s="61" t="s">
        <v>170</v>
      </c>
      <c r="C10" s="19" t="s">
        <v>2550</v>
      </c>
      <c r="F10" s="19" t="s">
        <v>430</v>
      </c>
      <c r="G10" s="19" t="s">
        <v>2552</v>
      </c>
      <c r="H10" s="19" t="s">
        <v>2555</v>
      </c>
      <c r="M10" s="36" t="s">
        <v>94</v>
      </c>
      <c r="O10" s="37">
        <f t="shared" ref="O10:P10" si="1">O8+O9</f>
        <v>3000</v>
      </c>
      <c r="P10" s="37">
        <f t="shared" si="1"/>
        <v>60</v>
      </c>
    </row>
    <row r="11">
      <c r="A11" s="19" t="s">
        <v>2568</v>
      </c>
      <c r="B11" s="9" t="s">
        <v>177</v>
      </c>
      <c r="C11" s="19" t="s">
        <v>2570</v>
      </c>
      <c r="F11" s="19" t="s">
        <v>1732</v>
      </c>
      <c r="G11" s="19" t="s">
        <v>2573</v>
      </c>
      <c r="H11" s="19" t="s">
        <v>2575</v>
      </c>
      <c r="L11" s="204" t="s">
        <v>2578</v>
      </c>
      <c r="M11" s="30" t="s">
        <v>141</v>
      </c>
      <c r="N11" s="30">
        <v>0.5</v>
      </c>
      <c r="O11" s="33">
        <f>N11*5000</f>
        <v>2500</v>
      </c>
      <c r="P11" s="33">
        <f>N11*100</f>
        <v>50</v>
      </c>
    </row>
    <row r="12">
      <c r="A12" s="19" t="s">
        <v>2587</v>
      </c>
      <c r="B12" s="61" t="s">
        <v>196</v>
      </c>
      <c r="C12" s="19" t="s">
        <v>2590</v>
      </c>
      <c r="F12" s="19" t="s">
        <v>1732</v>
      </c>
      <c r="G12" s="19" t="s">
        <v>463</v>
      </c>
      <c r="M12" s="36" t="s">
        <v>94</v>
      </c>
      <c r="O12" s="37">
        <f t="shared" ref="O12:P12" si="2">O11</f>
        <v>2500</v>
      </c>
      <c r="P12" s="37">
        <f t="shared" si="2"/>
        <v>50</v>
      </c>
    </row>
    <row r="13">
      <c r="A13" s="19" t="s">
        <v>2606</v>
      </c>
      <c r="B13" s="9" t="s">
        <v>177</v>
      </c>
      <c r="C13" s="19" t="s">
        <v>2608</v>
      </c>
      <c r="F13" s="19" t="s">
        <v>460</v>
      </c>
    </row>
    <row r="14">
      <c r="A14" s="19" t="s">
        <v>2610</v>
      </c>
      <c r="C14" s="19" t="s">
        <v>2612</v>
      </c>
      <c r="F14" s="19" t="s">
        <v>460</v>
      </c>
    </row>
    <row r="15">
      <c r="A15" s="19" t="s">
        <v>2615</v>
      </c>
      <c r="C15" s="19" t="s">
        <v>2617</v>
      </c>
      <c r="F15" s="19" t="s">
        <v>139</v>
      </c>
    </row>
    <row r="16">
      <c r="A16" s="19" t="s">
        <v>2619</v>
      </c>
      <c r="F16" s="19" t="s">
        <v>508</v>
      </c>
    </row>
    <row r="17">
      <c r="A17" s="19" t="s">
        <v>2621</v>
      </c>
      <c r="F17" s="19" t="s">
        <v>256</v>
      </c>
    </row>
    <row r="18">
      <c r="A18" s="19" t="s">
        <v>2625</v>
      </c>
      <c r="F18" s="19" t="s">
        <v>150</v>
      </c>
    </row>
    <row r="19">
      <c r="A19" s="19" t="s">
        <v>2626</v>
      </c>
      <c r="F19" s="19" t="s">
        <v>522</v>
      </c>
    </row>
    <row r="20">
      <c r="A20" s="19" t="s">
        <v>2627</v>
      </c>
      <c r="F20" s="19" t="s">
        <v>2628</v>
      </c>
    </row>
    <row r="21">
      <c r="A21" s="19" t="s">
        <v>2629</v>
      </c>
      <c r="F21" s="19" t="s">
        <v>139</v>
      </c>
    </row>
    <row r="22">
      <c r="A22" s="19" t="s">
        <v>2631</v>
      </c>
      <c r="F22" s="19" t="s">
        <v>150</v>
      </c>
    </row>
    <row r="23">
      <c r="A23" s="19" t="s">
        <v>2634</v>
      </c>
      <c r="F23" s="19" t="s">
        <v>2636</v>
      </c>
    </row>
    <row r="24">
      <c r="A24" s="19" t="s">
        <v>2638</v>
      </c>
      <c r="F24" s="19" t="s">
        <v>139</v>
      </c>
    </row>
    <row r="25">
      <c r="A25" s="19" t="s">
        <v>2639</v>
      </c>
      <c r="F25" s="19" t="s">
        <v>150</v>
      </c>
    </row>
    <row r="26">
      <c r="A26" s="19" t="s">
        <v>2640</v>
      </c>
    </row>
    <row r="27">
      <c r="A27" s="19" t="s">
        <v>2641</v>
      </c>
    </row>
    <row r="43">
      <c r="A43" s="81" t="s">
        <v>2645</v>
      </c>
    </row>
    <row r="44">
      <c r="A44" s="222">
        <f>A46+A68+A96+A118+A136</f>
        <v>904550</v>
      </c>
    </row>
    <row r="45">
      <c r="A45" s="94" t="s">
        <v>1028</v>
      </c>
    </row>
    <row r="46">
      <c r="A46" s="94">
        <f>A49</f>
        <v>25150</v>
      </c>
    </row>
    <row r="47">
      <c r="A47" s="94">
        <v>2026.0</v>
      </c>
    </row>
    <row r="48">
      <c r="A48" s="94" t="s">
        <v>1152</v>
      </c>
    </row>
    <row r="49">
      <c r="A49" s="94">
        <f>A52+B52+C52+D52+E52+F52+G52+H52</f>
        <v>25150</v>
      </c>
    </row>
    <row r="50">
      <c r="A50" s="86" t="s">
        <v>731</v>
      </c>
      <c r="B50" s="86" t="s">
        <v>733</v>
      </c>
      <c r="C50" s="86" t="s">
        <v>735</v>
      </c>
      <c r="D50" s="86" t="s">
        <v>736</v>
      </c>
      <c r="E50" s="86" t="s">
        <v>737</v>
      </c>
      <c r="F50" s="86" t="s">
        <v>738</v>
      </c>
      <c r="G50" s="86" t="s">
        <v>740</v>
      </c>
      <c r="H50" s="86" t="s">
        <v>741</v>
      </c>
    </row>
    <row r="51">
      <c r="A51" s="14" t="s">
        <v>667</v>
      </c>
      <c r="B51" s="14" t="s">
        <v>667</v>
      </c>
      <c r="C51" s="14" t="s">
        <v>667</v>
      </c>
      <c r="D51" s="14" t="s">
        <v>744</v>
      </c>
      <c r="E51" s="14" t="s">
        <v>667</v>
      </c>
      <c r="F51" s="14" t="s">
        <v>667</v>
      </c>
      <c r="G51" s="14" t="s">
        <v>744</v>
      </c>
      <c r="H51" s="14" t="s">
        <v>667</v>
      </c>
    </row>
    <row r="52">
      <c r="A52" s="223">
        <v>0.0</v>
      </c>
      <c r="B52" s="223">
        <v>0.0</v>
      </c>
      <c r="C52" s="223">
        <v>0.0</v>
      </c>
      <c r="D52" s="223">
        <v>0.0</v>
      </c>
      <c r="E52" s="102">
        <v>24400.0</v>
      </c>
      <c r="F52" s="102">
        <v>750.0</v>
      </c>
      <c r="G52" s="100">
        <v>0.0</v>
      </c>
      <c r="H52" s="100">
        <v>0.0</v>
      </c>
    </row>
    <row r="53">
      <c r="E53" s="28" t="s">
        <v>1835</v>
      </c>
      <c r="F53" s="19" t="s">
        <v>1186</v>
      </c>
      <c r="G53" s="19" t="s">
        <v>2664</v>
      </c>
    </row>
    <row r="54">
      <c r="E54" s="19" t="s">
        <v>1279</v>
      </c>
      <c r="F54" s="19" t="s">
        <v>1279</v>
      </c>
      <c r="G54" s="19" t="s">
        <v>1279</v>
      </c>
    </row>
    <row r="55">
      <c r="E55" s="19" t="s">
        <v>1216</v>
      </c>
      <c r="F55" s="28" t="s">
        <v>2665</v>
      </c>
    </row>
    <row r="56">
      <c r="E56" s="19" t="s">
        <v>1051</v>
      </c>
      <c r="F56" s="28" t="s">
        <v>1279</v>
      </c>
    </row>
    <row r="57">
      <c r="E57" s="19" t="s">
        <v>760</v>
      </c>
      <c r="F57" s="28" t="s">
        <v>1020</v>
      </c>
    </row>
    <row r="58">
      <c r="E58" s="19" t="s">
        <v>764</v>
      </c>
      <c r="F58" s="28" t="s">
        <v>1279</v>
      </c>
    </row>
    <row r="59">
      <c r="F59" s="19" t="s">
        <v>1051</v>
      </c>
    </row>
    <row r="60">
      <c r="F60" s="28" t="s">
        <v>2518</v>
      </c>
    </row>
    <row r="61">
      <c r="F61" s="28" t="s">
        <v>1279</v>
      </c>
    </row>
    <row r="67">
      <c r="A67" s="224" t="s">
        <v>1060</v>
      </c>
    </row>
    <row r="68">
      <c r="A68" s="224">
        <f>A71</f>
        <v>74200</v>
      </c>
    </row>
    <row r="69">
      <c r="A69" s="224">
        <v>2026.0</v>
      </c>
    </row>
    <row r="70">
      <c r="A70" s="224" t="s">
        <v>724</v>
      </c>
    </row>
    <row r="71">
      <c r="A71" s="225">
        <f>A74+B74+C74+D74+E74+F74+G74+H74+I74+J74</f>
        <v>74200</v>
      </c>
    </row>
    <row r="72">
      <c r="A72" s="100" t="s">
        <v>812</v>
      </c>
      <c r="B72" s="100" t="s">
        <v>815</v>
      </c>
      <c r="C72" s="100" t="s">
        <v>817</v>
      </c>
      <c r="D72" s="100" t="s">
        <v>819</v>
      </c>
      <c r="E72" s="100" t="s">
        <v>821</v>
      </c>
      <c r="F72" s="100" t="s">
        <v>822</v>
      </c>
      <c r="G72" s="100" t="s">
        <v>823</v>
      </c>
      <c r="H72" s="100" t="s">
        <v>825</v>
      </c>
      <c r="I72" s="101" t="s">
        <v>827</v>
      </c>
      <c r="J72" s="101" t="s">
        <v>829</v>
      </c>
    </row>
    <row r="73">
      <c r="A73" s="38" t="s">
        <v>667</v>
      </c>
      <c r="B73" s="38" t="s">
        <v>667</v>
      </c>
      <c r="C73" s="38" t="s">
        <v>667</v>
      </c>
      <c r="D73" s="38" t="s">
        <v>667</v>
      </c>
      <c r="E73" s="38" t="s">
        <v>667</v>
      </c>
      <c r="F73" s="38" t="s">
        <v>667</v>
      </c>
      <c r="G73" s="38" t="s">
        <v>667</v>
      </c>
      <c r="H73" s="38" t="s">
        <v>667</v>
      </c>
      <c r="I73" s="38" t="s">
        <v>667</v>
      </c>
      <c r="J73" s="38" t="s">
        <v>667</v>
      </c>
    </row>
    <row r="74">
      <c r="A74" s="102">
        <v>18000.0</v>
      </c>
      <c r="B74" s="102">
        <v>47200.0</v>
      </c>
      <c r="C74" s="100">
        <v>0.0</v>
      </c>
      <c r="D74" s="102">
        <v>3000.0</v>
      </c>
      <c r="E74" s="100">
        <v>0.0</v>
      </c>
      <c r="F74" s="100">
        <v>0.0</v>
      </c>
      <c r="G74" s="102">
        <v>6000.0</v>
      </c>
      <c r="H74" s="100">
        <v>0.0</v>
      </c>
      <c r="I74" s="100">
        <v>0.0</v>
      </c>
      <c r="J74" s="100">
        <v>0.0</v>
      </c>
    </row>
    <row r="75">
      <c r="A75" s="192" t="s">
        <v>2688</v>
      </c>
      <c r="B75" s="19" t="s">
        <v>1312</v>
      </c>
      <c r="D75" s="19" t="s">
        <v>2689</v>
      </c>
      <c r="G75" s="19" t="s">
        <v>2690</v>
      </c>
    </row>
    <row r="76">
      <c r="A76" s="19" t="s">
        <v>590</v>
      </c>
      <c r="B76" s="19" t="s">
        <v>2692</v>
      </c>
      <c r="D76" s="19" t="s">
        <v>2692</v>
      </c>
      <c r="G76" s="19" t="s">
        <v>989</v>
      </c>
    </row>
    <row r="77">
      <c r="A77" s="192" t="s">
        <v>2694</v>
      </c>
      <c r="B77" s="19" t="s">
        <v>852</v>
      </c>
      <c r="D77" s="19" t="s">
        <v>851</v>
      </c>
    </row>
    <row r="78">
      <c r="A78" s="19" t="s">
        <v>947</v>
      </c>
      <c r="B78" s="19" t="s">
        <v>2692</v>
      </c>
      <c r="D78" s="19" t="s">
        <v>855</v>
      </c>
    </row>
    <row r="79">
      <c r="A79" s="19" t="s">
        <v>605</v>
      </c>
      <c r="B79" s="19" t="s">
        <v>2696</v>
      </c>
    </row>
    <row r="80">
      <c r="A80" s="19" t="s">
        <v>693</v>
      </c>
      <c r="B80" s="19" t="s">
        <v>698</v>
      </c>
    </row>
    <row r="81">
      <c r="A81" s="19" t="s">
        <v>2698</v>
      </c>
      <c r="B81" s="19" t="s">
        <v>2699</v>
      </c>
    </row>
    <row r="82">
      <c r="B82" s="19" t="s">
        <v>1214</v>
      </c>
    </row>
    <row r="83">
      <c r="B83" s="19" t="s">
        <v>2700</v>
      </c>
    </row>
    <row r="84">
      <c r="B84" s="19" t="s">
        <v>939</v>
      </c>
    </row>
    <row r="85">
      <c r="B85" s="19" t="s">
        <v>2702</v>
      </c>
    </row>
    <row r="86">
      <c r="B86" s="19" t="s">
        <v>1009</v>
      </c>
    </row>
    <row r="87">
      <c r="B87" s="19" t="s">
        <v>2703</v>
      </c>
    </row>
    <row r="88">
      <c r="B88" s="19" t="s">
        <v>572</v>
      </c>
    </row>
    <row r="89">
      <c r="B89" s="19" t="s">
        <v>883</v>
      </c>
    </row>
    <row r="90">
      <c r="B90" s="19" t="s">
        <v>711</v>
      </c>
    </row>
    <row r="91">
      <c r="B91" s="19" t="s">
        <v>2708</v>
      </c>
    </row>
    <row r="92">
      <c r="B92" s="19" t="s">
        <v>2713</v>
      </c>
    </row>
    <row r="93">
      <c r="B93" s="19" t="s">
        <v>855</v>
      </c>
    </row>
    <row r="94">
      <c r="A94" s="103" t="s">
        <v>882</v>
      </c>
    </row>
    <row r="95">
      <c r="A95" s="104" t="s">
        <v>884</v>
      </c>
    </row>
    <row r="96">
      <c r="A96" s="104">
        <f>A99</f>
        <v>212000</v>
      </c>
    </row>
    <row r="97">
      <c r="A97" s="104">
        <v>2026.0</v>
      </c>
    </row>
    <row r="98">
      <c r="A98" s="104" t="s">
        <v>724</v>
      </c>
    </row>
    <row r="99">
      <c r="A99" s="105">
        <f>A102+B102+C102+D102+E102+F102+G102+H102+I102+J102</f>
        <v>212000</v>
      </c>
    </row>
    <row r="100">
      <c r="A100" s="86" t="s">
        <v>887</v>
      </c>
      <c r="B100" s="86" t="s">
        <v>888</v>
      </c>
      <c r="C100" s="86" t="s">
        <v>891</v>
      </c>
      <c r="D100" s="86" t="s">
        <v>892</v>
      </c>
      <c r="E100" s="86" t="s">
        <v>893</v>
      </c>
      <c r="F100" s="86" t="s">
        <v>894</v>
      </c>
      <c r="G100" s="109" t="s">
        <v>895</v>
      </c>
      <c r="H100" s="102" t="s">
        <v>896</v>
      </c>
      <c r="I100" s="102" t="s">
        <v>897</v>
      </c>
      <c r="J100" s="102" t="s">
        <v>899</v>
      </c>
    </row>
    <row r="101">
      <c r="A101" s="14" t="s">
        <v>667</v>
      </c>
      <c r="B101" s="14" t="s">
        <v>667</v>
      </c>
      <c r="C101" s="14" t="s">
        <v>667</v>
      </c>
      <c r="D101" s="14" t="s">
        <v>667</v>
      </c>
      <c r="E101" s="14" t="s">
        <v>667</v>
      </c>
      <c r="F101" s="14" t="s">
        <v>667</v>
      </c>
      <c r="G101" s="14" t="s">
        <v>667</v>
      </c>
      <c r="H101" s="38" t="s">
        <v>667</v>
      </c>
      <c r="I101" s="38" t="s">
        <v>667</v>
      </c>
      <c r="J101" s="38" t="s">
        <v>667</v>
      </c>
    </row>
    <row r="102">
      <c r="A102" s="86"/>
      <c r="B102" s="86"/>
      <c r="C102" s="86">
        <v>22000.0</v>
      </c>
      <c r="D102" s="86"/>
      <c r="E102" s="86">
        <v>19500.0</v>
      </c>
      <c r="F102" s="86">
        <v>24500.0</v>
      </c>
      <c r="G102" s="86">
        <v>30500.0</v>
      </c>
      <c r="H102" s="86"/>
      <c r="I102" s="86">
        <v>115500.0</v>
      </c>
      <c r="J102" s="86"/>
    </row>
    <row r="103">
      <c r="C103" s="19" t="s">
        <v>2730</v>
      </c>
      <c r="E103" s="19" t="s">
        <v>2210</v>
      </c>
      <c r="F103" s="19" t="s">
        <v>2689</v>
      </c>
      <c r="G103" s="19" t="s">
        <v>2733</v>
      </c>
      <c r="I103" s="19" t="s">
        <v>2734</v>
      </c>
    </row>
    <row r="104">
      <c r="C104" s="19" t="s">
        <v>693</v>
      </c>
      <c r="E104" s="19" t="s">
        <v>1279</v>
      </c>
      <c r="F104" s="19" t="s">
        <v>984</v>
      </c>
      <c r="G104" s="19" t="s">
        <v>711</v>
      </c>
      <c r="I104" s="19" t="s">
        <v>906</v>
      </c>
    </row>
    <row r="105">
      <c r="C105" s="19" t="s">
        <v>2429</v>
      </c>
      <c r="E105" s="19" t="s">
        <v>916</v>
      </c>
      <c r="F105" s="19" t="s">
        <v>909</v>
      </c>
      <c r="G105" s="19" t="s">
        <v>2744</v>
      </c>
      <c r="I105" s="19" t="s">
        <v>2748</v>
      </c>
    </row>
    <row r="106">
      <c r="C106" s="19" t="s">
        <v>934</v>
      </c>
      <c r="E106" s="19" t="s">
        <v>2754</v>
      </c>
      <c r="F106" s="19" t="s">
        <v>924</v>
      </c>
      <c r="G106" s="19" t="s">
        <v>1514</v>
      </c>
      <c r="I106" s="19" t="s">
        <v>1119</v>
      </c>
    </row>
    <row r="107">
      <c r="E107" s="19" t="s">
        <v>1214</v>
      </c>
      <c r="G107" s="19" t="s">
        <v>909</v>
      </c>
      <c r="I107" s="19" t="s">
        <v>605</v>
      </c>
    </row>
    <row r="108">
      <c r="E108" s="19" t="s">
        <v>2758</v>
      </c>
      <c r="G108" s="19" t="s">
        <v>916</v>
      </c>
      <c r="I108" s="19" t="s">
        <v>1556</v>
      </c>
    </row>
    <row r="109">
      <c r="E109" s="19" t="s">
        <v>573</v>
      </c>
      <c r="I109" s="19" t="s">
        <v>916</v>
      </c>
    </row>
    <row r="110">
      <c r="E110" s="19" t="s">
        <v>2763</v>
      </c>
      <c r="I110" s="19" t="s">
        <v>2766</v>
      </c>
    </row>
    <row r="111">
      <c r="E111" s="19" t="s">
        <v>711</v>
      </c>
      <c r="I111" s="19" t="s">
        <v>1438</v>
      </c>
    </row>
    <row r="112">
      <c r="I112" s="19" t="s">
        <v>909</v>
      </c>
    </row>
    <row r="113">
      <c r="I113" s="19" t="s">
        <v>924</v>
      </c>
    </row>
    <row r="114">
      <c r="I114" s="19" t="s">
        <v>916</v>
      </c>
    </row>
    <row r="115">
      <c r="I115" s="19" t="s">
        <v>2781</v>
      </c>
    </row>
    <row r="116">
      <c r="I116" s="19" t="s">
        <v>939</v>
      </c>
    </row>
    <row r="117">
      <c r="A117" s="110" t="s">
        <v>943</v>
      </c>
      <c r="I117" s="19" t="s">
        <v>909</v>
      </c>
    </row>
    <row r="118">
      <c r="A118" s="110">
        <f>A121</f>
        <v>182200</v>
      </c>
      <c r="I118" s="19" t="s">
        <v>924</v>
      </c>
    </row>
    <row r="119">
      <c r="A119" s="110">
        <v>2026.0</v>
      </c>
      <c r="I119" s="19" t="s">
        <v>916</v>
      </c>
    </row>
    <row r="120">
      <c r="A120" s="110" t="s">
        <v>724</v>
      </c>
      <c r="I120" s="19" t="s">
        <v>2788</v>
      </c>
    </row>
    <row r="121">
      <c r="A121" s="110">
        <f>A124+B124+C124+D124+E124+F124+G124+H124</f>
        <v>182200</v>
      </c>
      <c r="I121" s="19" t="s">
        <v>939</v>
      </c>
    </row>
    <row r="122">
      <c r="A122" s="86" t="s">
        <v>953</v>
      </c>
      <c r="B122" s="86" t="s">
        <v>833</v>
      </c>
      <c r="C122" s="86" t="s">
        <v>834</v>
      </c>
      <c r="D122" s="86" t="s">
        <v>836</v>
      </c>
      <c r="E122" s="86" t="s">
        <v>956</v>
      </c>
      <c r="F122" s="86" t="s">
        <v>958</v>
      </c>
      <c r="G122" s="86" t="s">
        <v>844</v>
      </c>
      <c r="H122" s="86" t="s">
        <v>838</v>
      </c>
    </row>
    <row r="123">
      <c r="A123" s="14" t="s">
        <v>667</v>
      </c>
      <c r="B123" s="14" t="s">
        <v>667</v>
      </c>
      <c r="C123" s="14" t="s">
        <v>667</v>
      </c>
      <c r="D123" s="14" t="s">
        <v>667</v>
      </c>
      <c r="E123" s="14" t="s">
        <v>667</v>
      </c>
      <c r="F123" s="14" t="s">
        <v>667</v>
      </c>
      <c r="G123" s="14" t="s">
        <v>667</v>
      </c>
      <c r="H123" s="14" t="s">
        <v>667</v>
      </c>
    </row>
    <row r="124">
      <c r="A124" s="86">
        <v>1000.0</v>
      </c>
      <c r="B124" s="86">
        <v>0.0</v>
      </c>
      <c r="C124" s="86">
        <f>8000+12400</f>
        <v>20400</v>
      </c>
      <c r="D124" s="86">
        <f>11500+(2*44400)</f>
        <v>100300</v>
      </c>
      <c r="E124" s="86">
        <v>27000.0</v>
      </c>
      <c r="F124" s="86">
        <v>1000.0</v>
      </c>
      <c r="G124" s="86">
        <v>32500.0</v>
      </c>
      <c r="H124" s="86">
        <v>0.0</v>
      </c>
    </row>
    <row r="125">
      <c r="A125" s="19" t="s">
        <v>2853</v>
      </c>
      <c r="C125" s="19" t="s">
        <v>2178</v>
      </c>
      <c r="D125" s="19" t="s">
        <v>2730</v>
      </c>
      <c r="E125" s="19" t="s">
        <v>2857</v>
      </c>
      <c r="F125" s="19" t="s">
        <v>2860</v>
      </c>
      <c r="G125" s="19" t="s">
        <v>2862</v>
      </c>
    </row>
    <row r="126">
      <c r="A126" s="19" t="s">
        <v>573</v>
      </c>
      <c r="C126" s="19" t="s">
        <v>1048</v>
      </c>
      <c r="D126" s="19" t="s">
        <v>573</v>
      </c>
      <c r="E126" s="19" t="s">
        <v>1119</v>
      </c>
      <c r="F126" s="19" t="s">
        <v>573</v>
      </c>
      <c r="G126" s="19" t="s">
        <v>1045</v>
      </c>
    </row>
    <row r="127">
      <c r="C127" s="19" t="s">
        <v>1474</v>
      </c>
      <c r="D127" s="19" t="s">
        <v>1148</v>
      </c>
      <c r="E127" s="19" t="s">
        <v>767</v>
      </c>
      <c r="G127" s="19" t="s">
        <v>1449</v>
      </c>
    </row>
    <row r="128">
      <c r="D128" s="19" t="s">
        <v>1150</v>
      </c>
      <c r="E128" s="19" t="s">
        <v>1045</v>
      </c>
      <c r="G128" s="19" t="s">
        <v>1488</v>
      </c>
    </row>
    <row r="129">
      <c r="D129" s="19" t="s">
        <v>2049</v>
      </c>
      <c r="G129" s="19" t="s">
        <v>2872</v>
      </c>
    </row>
    <row r="130">
      <c r="D130" s="19" t="s">
        <v>1048</v>
      </c>
      <c r="G130" s="19" t="s">
        <v>947</v>
      </c>
    </row>
    <row r="131">
      <c r="D131" s="19" t="s">
        <v>1148</v>
      </c>
      <c r="G131" s="19" t="s">
        <v>1449</v>
      </c>
    </row>
    <row r="132">
      <c r="D132" s="19" t="s">
        <v>1150</v>
      </c>
      <c r="G132" s="19" t="s">
        <v>1148</v>
      </c>
    </row>
    <row r="135">
      <c r="A135" s="163" t="s">
        <v>963</v>
      </c>
    </row>
    <row r="136">
      <c r="A136" s="163">
        <f>A139</f>
        <v>411000</v>
      </c>
    </row>
    <row r="137">
      <c r="A137" s="163">
        <v>2026.0</v>
      </c>
    </row>
    <row r="138">
      <c r="A138" s="163" t="s">
        <v>724</v>
      </c>
    </row>
    <row r="139">
      <c r="A139" s="165">
        <f>A142+B142+C142+D142+E142+F142+G142+H142+I142+J142</f>
        <v>411000</v>
      </c>
    </row>
    <row r="140">
      <c r="A140" s="100" t="s">
        <v>965</v>
      </c>
      <c r="B140" s="100" t="s">
        <v>966</v>
      </c>
      <c r="C140" s="100" t="s">
        <v>968</v>
      </c>
      <c r="D140" s="100" t="s">
        <v>969</v>
      </c>
      <c r="E140" s="100" t="s">
        <v>970</v>
      </c>
      <c r="F140" s="100" t="s">
        <v>971</v>
      </c>
      <c r="G140" s="100" t="s">
        <v>972</v>
      </c>
      <c r="H140" s="100" t="s">
        <v>973</v>
      </c>
      <c r="I140" s="100" t="s">
        <v>974</v>
      </c>
      <c r="J140" s="100" t="s">
        <v>975</v>
      </c>
    </row>
    <row r="141">
      <c r="A141" s="38" t="s">
        <v>667</v>
      </c>
      <c r="B141" s="38" t="s">
        <v>667</v>
      </c>
      <c r="C141" s="38" t="s">
        <v>667</v>
      </c>
      <c r="D141" s="38" t="s">
        <v>667</v>
      </c>
      <c r="E141" s="38" t="s">
        <v>667</v>
      </c>
      <c r="F141" s="38" t="s">
        <v>667</v>
      </c>
      <c r="G141" s="38" t="s">
        <v>667</v>
      </c>
      <c r="H141" s="38" t="s">
        <v>667</v>
      </c>
      <c r="I141" s="38" t="s">
        <v>667</v>
      </c>
      <c r="J141" s="38" t="s">
        <v>667</v>
      </c>
    </row>
    <row r="142">
      <c r="A142" s="102">
        <v>32000.0</v>
      </c>
      <c r="B142" s="100">
        <v>0.0</v>
      </c>
      <c r="C142" s="102">
        <v>15000.0</v>
      </c>
      <c r="D142" s="102">
        <v>45000.0</v>
      </c>
      <c r="E142" s="100">
        <v>0.0</v>
      </c>
      <c r="F142" s="100">
        <v>0.0</v>
      </c>
      <c r="G142" s="102">
        <v>112000.0</v>
      </c>
      <c r="H142" s="102">
        <v>205000.0</v>
      </c>
      <c r="I142" s="100">
        <v>0.0</v>
      </c>
      <c r="J142" s="102">
        <v>2000.0</v>
      </c>
    </row>
    <row r="143">
      <c r="A143" s="19" t="s">
        <v>2524</v>
      </c>
      <c r="C143" s="19" t="s">
        <v>2210</v>
      </c>
      <c r="D143" s="19" t="s">
        <v>2853</v>
      </c>
      <c r="G143" s="19" t="s">
        <v>2688</v>
      </c>
      <c r="H143" s="19" t="s">
        <v>674</v>
      </c>
      <c r="J143" s="19" t="s">
        <v>2920</v>
      </c>
    </row>
    <row r="144">
      <c r="A144" s="19" t="s">
        <v>929</v>
      </c>
      <c r="C144" s="19" t="s">
        <v>1173</v>
      </c>
      <c r="D144" s="19" t="s">
        <v>1601</v>
      </c>
      <c r="G144" s="19" t="s">
        <v>624</v>
      </c>
      <c r="H144" s="19" t="s">
        <v>983</v>
      </c>
      <c r="J144" s="19" t="s">
        <v>624</v>
      </c>
    </row>
    <row r="145">
      <c r="A145" s="19" t="s">
        <v>1115</v>
      </c>
      <c r="G145" s="19" t="s">
        <v>2049</v>
      </c>
      <c r="H145" s="19" t="s">
        <v>767</v>
      </c>
    </row>
    <row r="146">
      <c r="A146" s="19" t="s">
        <v>624</v>
      </c>
      <c r="G146" s="19" t="s">
        <v>2336</v>
      </c>
      <c r="H146" s="19" t="s">
        <v>1426</v>
      </c>
    </row>
    <row r="147">
      <c r="G147" s="19" t="s">
        <v>2926</v>
      </c>
      <c r="H147" s="19" t="s">
        <v>2927</v>
      </c>
    </row>
    <row r="148">
      <c r="G148" s="19" t="s">
        <v>2336</v>
      </c>
      <c r="H148" s="19" t="s">
        <v>2930</v>
      </c>
    </row>
    <row r="149">
      <c r="G149" s="19" t="s">
        <v>1065</v>
      </c>
      <c r="H149" s="19" t="s">
        <v>2933</v>
      </c>
    </row>
    <row r="150">
      <c r="G150" s="19" t="s">
        <v>1108</v>
      </c>
      <c r="H150" s="19" t="s">
        <v>624</v>
      </c>
    </row>
    <row r="151">
      <c r="H151" s="19" t="s">
        <v>2935</v>
      </c>
    </row>
    <row r="152">
      <c r="H152" s="19" t="s">
        <v>624</v>
      </c>
    </row>
  </sheetData>
  <mergeCells count="44">
    <mergeCell ref="A1:P1"/>
    <mergeCell ref="A2:P2"/>
    <mergeCell ref="A3:P3"/>
    <mergeCell ref="A4:P4"/>
    <mergeCell ref="F5:H5"/>
    <mergeCell ref="I5:K5"/>
    <mergeCell ref="L5:P5"/>
    <mergeCell ref="F6:H6"/>
    <mergeCell ref="I6:K6"/>
    <mergeCell ref="L6:P6"/>
    <mergeCell ref="I7:K7"/>
    <mergeCell ref="I8:K8"/>
    <mergeCell ref="L8:L10"/>
    <mergeCell ref="M10:N10"/>
    <mergeCell ref="L11:L12"/>
    <mergeCell ref="M12:N12"/>
    <mergeCell ref="A43:H43"/>
    <mergeCell ref="A44:H44"/>
    <mergeCell ref="A45:H45"/>
    <mergeCell ref="A46:H46"/>
    <mergeCell ref="A47:H47"/>
    <mergeCell ref="A48:H48"/>
    <mergeCell ref="A49:H49"/>
    <mergeCell ref="A67:J67"/>
    <mergeCell ref="A68:J68"/>
    <mergeCell ref="A69:J69"/>
    <mergeCell ref="A70:J70"/>
    <mergeCell ref="A71:J71"/>
    <mergeCell ref="A94:J94"/>
    <mergeCell ref="A95:J95"/>
    <mergeCell ref="A96:J96"/>
    <mergeCell ref="A97:J97"/>
    <mergeCell ref="A98:J98"/>
    <mergeCell ref="A99:J99"/>
    <mergeCell ref="A117:H117"/>
    <mergeCell ref="A138:J138"/>
    <mergeCell ref="A139:J139"/>
    <mergeCell ref="A118:H118"/>
    <mergeCell ref="A119:H119"/>
    <mergeCell ref="A120:H120"/>
    <mergeCell ref="A121:H121"/>
    <mergeCell ref="A135:J135"/>
    <mergeCell ref="A136:J136"/>
    <mergeCell ref="A137:J137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88"/>
    <col customWidth="1" min="2" max="2" width="25.0"/>
    <col customWidth="1" min="3" max="3" width="31.63"/>
    <col customWidth="1" min="4" max="4" width="30.13"/>
    <col customWidth="1" min="5" max="5" width="31.0"/>
    <col customWidth="1" min="6" max="6" width="28.63"/>
    <col customWidth="1" min="7" max="7" width="22.88"/>
    <col customWidth="1" min="8" max="8" width="20.88"/>
    <col customWidth="1" min="9" max="9" width="31.13"/>
    <col customWidth="1" min="10" max="10" width="23.0"/>
    <col customWidth="1" min="14" max="14" width="15.88"/>
    <col customWidth="1" min="20" max="20" width="24.5"/>
  </cols>
  <sheetData>
    <row r="1">
      <c r="A1" s="199" t="s">
        <v>2470</v>
      </c>
    </row>
    <row r="2">
      <c r="A2" s="129" t="s">
        <v>2471</v>
      </c>
    </row>
    <row r="3">
      <c r="A3" s="129" t="s">
        <v>10</v>
      </c>
    </row>
    <row r="4">
      <c r="A4" s="201">
        <f>100000+B6+C6+E6+F6+G6+A34+J6</f>
        <v>584300</v>
      </c>
    </row>
    <row r="5">
      <c r="A5" s="14" t="s">
        <v>24</v>
      </c>
      <c r="B5" s="14" t="s">
        <v>25</v>
      </c>
      <c r="C5" s="14" t="s">
        <v>27</v>
      </c>
      <c r="D5" s="14" t="s">
        <v>37</v>
      </c>
      <c r="E5" s="14" t="s">
        <v>248</v>
      </c>
      <c r="F5" s="14" t="s">
        <v>1646</v>
      </c>
      <c r="G5" s="14" t="s">
        <v>43</v>
      </c>
      <c r="J5" s="14" t="s">
        <v>32</v>
      </c>
      <c r="M5" s="202" t="s">
        <v>33</v>
      </c>
      <c r="T5" s="14"/>
    </row>
    <row r="6">
      <c r="A6" s="19" t="s">
        <v>2491</v>
      </c>
      <c r="B6" s="201">
        <v>-60000.0</v>
      </c>
      <c r="C6" s="201">
        <v>43000.0</v>
      </c>
      <c r="D6" s="19" t="s">
        <v>2498</v>
      </c>
      <c r="E6" s="201">
        <v>16400.0</v>
      </c>
      <c r="F6" s="201">
        <v>1000.0</v>
      </c>
      <c r="G6" s="201">
        <v>-13500.0</v>
      </c>
      <c r="J6" s="206">
        <f>J8</f>
        <v>0</v>
      </c>
      <c r="M6" s="206">
        <f>P12+P14+P16</f>
        <v>30500</v>
      </c>
      <c r="T6" s="208"/>
    </row>
    <row r="7">
      <c r="A7" s="19" t="s">
        <v>2515</v>
      </c>
      <c r="B7" s="61" t="s">
        <v>55</v>
      </c>
      <c r="C7" s="19" t="s">
        <v>2519</v>
      </c>
      <c r="D7" s="19" t="s">
        <v>2521</v>
      </c>
      <c r="E7" s="19" t="s">
        <v>59</v>
      </c>
      <c r="F7" s="19" t="s">
        <v>2523</v>
      </c>
      <c r="G7" s="19" t="s">
        <v>59</v>
      </c>
      <c r="H7" s="19" t="s">
        <v>2526</v>
      </c>
      <c r="I7" s="19" t="s">
        <v>61</v>
      </c>
      <c r="J7" s="14" t="s">
        <v>77</v>
      </c>
      <c r="M7" s="211" t="s">
        <v>64</v>
      </c>
      <c r="N7" s="211" t="s">
        <v>65</v>
      </c>
      <c r="O7" s="211" t="s">
        <v>66</v>
      </c>
      <c r="P7" s="211" t="s">
        <v>0</v>
      </c>
      <c r="Q7" s="211" t="s">
        <v>67</v>
      </c>
    </row>
    <row r="8">
      <c r="A8" s="19" t="s">
        <v>2539</v>
      </c>
      <c r="B8" s="9" t="s">
        <v>207</v>
      </c>
      <c r="C8" s="19" t="s">
        <v>2543</v>
      </c>
      <c r="D8" s="19" t="s">
        <v>2545</v>
      </c>
      <c r="E8" s="19" t="s">
        <v>2546</v>
      </c>
      <c r="G8" s="19" t="s">
        <v>1156</v>
      </c>
      <c r="H8" s="19" t="s">
        <v>2548</v>
      </c>
      <c r="I8" s="19" t="s">
        <v>2549</v>
      </c>
      <c r="J8" s="214">
        <v>0.0</v>
      </c>
      <c r="M8" s="216" t="s">
        <v>2554</v>
      </c>
      <c r="N8" s="217" t="s">
        <v>79</v>
      </c>
      <c r="O8" s="217">
        <v>18.0</v>
      </c>
      <c r="P8" s="217">
        <f>O8*1000</f>
        <v>18000</v>
      </c>
      <c r="Q8" s="219">
        <f>O8*20</f>
        <v>360</v>
      </c>
    </row>
    <row r="9">
      <c r="A9" s="19" t="s">
        <v>2572</v>
      </c>
      <c r="B9" s="9" t="s">
        <v>230</v>
      </c>
      <c r="C9" s="19" t="s">
        <v>2577</v>
      </c>
      <c r="D9" s="19" t="s">
        <v>2579</v>
      </c>
      <c r="E9" s="19" t="s">
        <v>2580</v>
      </c>
      <c r="G9" s="19" t="s">
        <v>2554</v>
      </c>
      <c r="H9" s="19" t="s">
        <v>2581</v>
      </c>
      <c r="I9" s="19" t="s">
        <v>2582</v>
      </c>
      <c r="N9" s="217" t="s">
        <v>128</v>
      </c>
      <c r="O9" s="217">
        <v>1.0</v>
      </c>
      <c r="P9" s="219">
        <f>O9*8000</f>
        <v>8000</v>
      </c>
      <c r="Q9" s="219">
        <f>O9*80</f>
        <v>80</v>
      </c>
    </row>
    <row r="10">
      <c r="A10" s="19" t="s">
        <v>2588</v>
      </c>
      <c r="B10" s="61" t="s">
        <v>170</v>
      </c>
      <c r="C10" s="19" t="s">
        <v>2591</v>
      </c>
      <c r="D10" s="19" t="s">
        <v>2592</v>
      </c>
      <c r="E10" s="19" t="s">
        <v>266</v>
      </c>
      <c r="G10" s="19" t="s">
        <v>374</v>
      </c>
      <c r="H10" s="19" t="s">
        <v>2595</v>
      </c>
      <c r="I10" s="19" t="s">
        <v>2597</v>
      </c>
      <c r="N10" s="217" t="s">
        <v>152</v>
      </c>
    </row>
    <row r="11">
      <c r="A11" s="19" t="s">
        <v>2601</v>
      </c>
      <c r="B11" s="9" t="s">
        <v>177</v>
      </c>
      <c r="C11" s="19" t="s">
        <v>2603</v>
      </c>
      <c r="D11" s="19" t="s">
        <v>2604</v>
      </c>
      <c r="E11" s="19" t="s">
        <v>1731</v>
      </c>
      <c r="G11" s="19" t="s">
        <v>1193</v>
      </c>
      <c r="H11" s="19" t="s">
        <v>1891</v>
      </c>
      <c r="N11" s="217" t="s">
        <v>162</v>
      </c>
      <c r="O11" s="217">
        <v>1.0</v>
      </c>
      <c r="P11" s="219">
        <f>O11*1500</f>
        <v>1500</v>
      </c>
      <c r="Q11" s="219">
        <f>O11*40</f>
        <v>40</v>
      </c>
    </row>
    <row r="12">
      <c r="A12" s="19" t="s">
        <v>2620</v>
      </c>
      <c r="B12" s="61" t="s">
        <v>196</v>
      </c>
      <c r="C12" s="19" t="s">
        <v>1510</v>
      </c>
      <c r="D12" s="19" t="s">
        <v>2622</v>
      </c>
      <c r="E12" s="19" t="s">
        <v>2623</v>
      </c>
      <c r="G12" s="19" t="s">
        <v>2624</v>
      </c>
      <c r="H12" s="19" t="s">
        <v>136</v>
      </c>
      <c r="N12" s="220" t="s">
        <v>94</v>
      </c>
      <c r="P12" s="221">
        <f t="shared" ref="P12:Q12" si="1">P8+P9+P11</f>
        <v>27500</v>
      </c>
      <c r="Q12" s="221">
        <f t="shared" si="1"/>
        <v>480</v>
      </c>
    </row>
    <row r="13">
      <c r="A13" s="19" t="s">
        <v>2630</v>
      </c>
      <c r="B13" s="9" t="s">
        <v>177</v>
      </c>
      <c r="C13" s="19" t="s">
        <v>2632</v>
      </c>
      <c r="D13" s="19" t="s">
        <v>2633</v>
      </c>
      <c r="E13" s="19" t="s">
        <v>193</v>
      </c>
      <c r="G13" s="19" t="s">
        <v>193</v>
      </c>
      <c r="H13" s="19" t="s">
        <v>2635</v>
      </c>
      <c r="M13" s="216" t="s">
        <v>2637</v>
      </c>
      <c r="N13" s="217" t="s">
        <v>79</v>
      </c>
      <c r="O13" s="217">
        <v>2.0</v>
      </c>
      <c r="P13" s="217">
        <f>O13*1000</f>
        <v>2000</v>
      </c>
      <c r="Q13" s="219">
        <f>O13*20</f>
        <v>40</v>
      </c>
    </row>
    <row r="14">
      <c r="A14" s="19" t="s">
        <v>2642</v>
      </c>
      <c r="C14" s="19" t="s">
        <v>2643</v>
      </c>
      <c r="E14" s="19" t="s">
        <v>703</v>
      </c>
      <c r="G14" s="19" t="s">
        <v>435</v>
      </c>
      <c r="H14" s="19" t="s">
        <v>2644</v>
      </c>
      <c r="N14" s="220" t="s">
        <v>94</v>
      </c>
      <c r="P14" s="221">
        <f t="shared" ref="P14:Q14" si="2">P13</f>
        <v>2000</v>
      </c>
      <c r="Q14" s="221">
        <f t="shared" si="2"/>
        <v>40</v>
      </c>
    </row>
    <row r="15">
      <c r="A15" s="19" t="s">
        <v>2646</v>
      </c>
      <c r="C15" s="19" t="s">
        <v>2647</v>
      </c>
      <c r="E15" s="19" t="s">
        <v>2648</v>
      </c>
      <c r="G15" s="19" t="s">
        <v>139</v>
      </c>
      <c r="M15" s="216" t="s">
        <v>2649</v>
      </c>
      <c r="N15" s="217" t="s">
        <v>79</v>
      </c>
      <c r="O15" s="217">
        <v>1.0</v>
      </c>
      <c r="P15" s="217">
        <f>O15*1000</f>
        <v>1000</v>
      </c>
      <c r="Q15" s="219">
        <f>O15*20</f>
        <v>20</v>
      </c>
    </row>
    <row r="16">
      <c r="A16" s="19" t="s">
        <v>2650</v>
      </c>
      <c r="C16" s="19" t="s">
        <v>208</v>
      </c>
      <c r="E16" s="19" t="s">
        <v>266</v>
      </c>
      <c r="G16" s="19" t="s">
        <v>173</v>
      </c>
      <c r="N16" s="220" t="s">
        <v>94</v>
      </c>
      <c r="P16" s="221">
        <f t="shared" ref="P16:Q16" si="3">P15</f>
        <v>1000</v>
      </c>
      <c r="Q16" s="221">
        <f t="shared" si="3"/>
        <v>20</v>
      </c>
    </row>
    <row r="17">
      <c r="A17" s="19" t="s">
        <v>2651</v>
      </c>
      <c r="C17" s="19" t="s">
        <v>136</v>
      </c>
      <c r="E17" s="19" t="s">
        <v>458</v>
      </c>
      <c r="G17" s="19" t="s">
        <v>374</v>
      </c>
    </row>
    <row r="18">
      <c r="A18" s="19" t="s">
        <v>2652</v>
      </c>
      <c r="C18" s="19" t="s">
        <v>2527</v>
      </c>
      <c r="E18" s="19" t="s">
        <v>2653</v>
      </c>
      <c r="G18" s="19" t="s">
        <v>450</v>
      </c>
    </row>
    <row r="19">
      <c r="A19" s="19" t="s">
        <v>2654</v>
      </c>
      <c r="C19" s="19" t="s">
        <v>1560</v>
      </c>
      <c r="E19" s="19" t="s">
        <v>266</v>
      </c>
      <c r="G19" s="19" t="s">
        <v>2655</v>
      </c>
    </row>
    <row r="20">
      <c r="A20" s="19" t="s">
        <v>2656</v>
      </c>
      <c r="E20" s="19" t="s">
        <v>1222</v>
      </c>
      <c r="G20" s="19" t="s">
        <v>193</v>
      </c>
    </row>
    <row r="21">
      <c r="A21" s="19" t="s">
        <v>2657</v>
      </c>
      <c r="E21" s="19" t="s">
        <v>553</v>
      </c>
      <c r="G21" s="19" t="s">
        <v>1732</v>
      </c>
    </row>
    <row r="22">
      <c r="A22" s="19" t="s">
        <v>2658</v>
      </c>
      <c r="G22" s="19" t="s">
        <v>139</v>
      </c>
    </row>
    <row r="23">
      <c r="A23" s="19" t="s">
        <v>2659</v>
      </c>
      <c r="E23" s="63" t="s">
        <v>1350</v>
      </c>
      <c r="G23" s="19" t="s">
        <v>150</v>
      </c>
    </row>
    <row r="24">
      <c r="E24" s="19" t="s">
        <v>2580</v>
      </c>
      <c r="G24" s="19" t="s">
        <v>2660</v>
      </c>
    </row>
    <row r="25">
      <c r="E25" s="19" t="s">
        <v>2661</v>
      </c>
      <c r="G25" s="19" t="s">
        <v>193</v>
      </c>
    </row>
    <row r="26">
      <c r="E26" s="63" t="s">
        <v>2662</v>
      </c>
      <c r="G26" s="19" t="s">
        <v>114</v>
      </c>
    </row>
    <row r="27">
      <c r="E27" s="63" t="s">
        <v>2663</v>
      </c>
      <c r="G27" s="19" t="s">
        <v>374</v>
      </c>
    </row>
    <row r="28">
      <c r="E28" s="63"/>
      <c r="G28" s="19" t="s">
        <v>173</v>
      </c>
    </row>
    <row r="29">
      <c r="E29" s="63"/>
      <c r="G29" s="19"/>
    </row>
    <row r="30">
      <c r="E30" s="63"/>
      <c r="G30" s="19"/>
    </row>
    <row r="31">
      <c r="F31" s="63"/>
      <c r="H31" s="19"/>
    </row>
    <row r="33">
      <c r="A33" s="81" t="s">
        <v>504</v>
      </c>
    </row>
    <row r="34">
      <c r="A34" s="81">
        <f>A36+A52+A75+A97+A117+A138+A159</f>
        <v>497400</v>
      </c>
    </row>
    <row r="35">
      <c r="A35" s="84" t="s">
        <v>520</v>
      </c>
    </row>
    <row r="36">
      <c r="A36" s="84">
        <v>29550.0</v>
      </c>
    </row>
    <row r="37">
      <c r="A37" s="84">
        <v>2026.0</v>
      </c>
    </row>
    <row r="38">
      <c r="A38" s="86" t="s">
        <v>526</v>
      </c>
      <c r="B38" s="86" t="s">
        <v>528</v>
      </c>
      <c r="C38" s="86" t="s">
        <v>529</v>
      </c>
      <c r="D38" s="86" t="s">
        <v>531</v>
      </c>
      <c r="E38" s="86" t="s">
        <v>533</v>
      </c>
    </row>
    <row r="39">
      <c r="A39" s="19" t="s">
        <v>2666</v>
      </c>
      <c r="C39" s="19" t="s">
        <v>2667</v>
      </c>
      <c r="D39" s="19" t="s">
        <v>2668</v>
      </c>
      <c r="E39" s="63" t="s">
        <v>2669</v>
      </c>
    </row>
    <row r="40">
      <c r="A40" s="19" t="s">
        <v>1008</v>
      </c>
      <c r="C40" s="19" t="s">
        <v>1027</v>
      </c>
      <c r="D40" s="19" t="s">
        <v>947</v>
      </c>
      <c r="E40" s="19" t="s">
        <v>2670</v>
      </c>
    </row>
    <row r="41">
      <c r="A41" s="19" t="s">
        <v>2671</v>
      </c>
      <c r="D41" s="19" t="s">
        <v>950</v>
      </c>
      <c r="E41" s="19" t="s">
        <v>1008</v>
      </c>
    </row>
    <row r="42">
      <c r="A42" s="19" t="s">
        <v>1364</v>
      </c>
      <c r="E42" s="19" t="s">
        <v>1973</v>
      </c>
    </row>
    <row r="43">
      <c r="A43" s="111" t="s">
        <v>2672</v>
      </c>
      <c r="E43" s="19" t="s">
        <v>2673</v>
      </c>
    </row>
    <row r="44">
      <c r="A44" s="111" t="s">
        <v>573</v>
      </c>
      <c r="E44" s="19" t="s">
        <v>1364</v>
      </c>
    </row>
    <row r="45">
      <c r="A45" s="19" t="s">
        <v>2674</v>
      </c>
      <c r="E45" s="19" t="s">
        <v>1973</v>
      </c>
    </row>
    <row r="46">
      <c r="A46" s="19" t="s">
        <v>573</v>
      </c>
      <c r="E46" s="19" t="s">
        <v>2675</v>
      </c>
    </row>
    <row r="47">
      <c r="E47" s="19" t="s">
        <v>573</v>
      </c>
    </row>
    <row r="48">
      <c r="E48" s="19" t="s">
        <v>1973</v>
      </c>
    </row>
    <row r="50">
      <c r="A50" s="87"/>
    </row>
    <row r="51">
      <c r="A51" s="88" t="s">
        <v>2676</v>
      </c>
    </row>
    <row r="52">
      <c r="A52" s="88">
        <v>37140.0</v>
      </c>
    </row>
    <row r="53">
      <c r="A53" s="89">
        <v>2026.0</v>
      </c>
    </row>
    <row r="54">
      <c r="A54" s="86" t="s">
        <v>550</v>
      </c>
      <c r="B54" s="86" t="s">
        <v>551</v>
      </c>
      <c r="C54" s="86" t="s">
        <v>552</v>
      </c>
      <c r="D54" s="86" t="s">
        <v>554</v>
      </c>
      <c r="E54" s="86" t="s">
        <v>555</v>
      </c>
      <c r="F54" s="86" t="s">
        <v>557</v>
      </c>
    </row>
    <row r="55">
      <c r="A55" s="63" t="s">
        <v>2677</v>
      </c>
      <c r="B55" s="63" t="s">
        <v>2678</v>
      </c>
      <c r="E55" s="63" t="s">
        <v>2679</v>
      </c>
      <c r="F55" s="63" t="s">
        <v>2680</v>
      </c>
    </row>
    <row r="56">
      <c r="A56" s="19" t="s">
        <v>2681</v>
      </c>
      <c r="B56" s="19" t="s">
        <v>2682</v>
      </c>
      <c r="E56" s="19" t="s">
        <v>2666</v>
      </c>
      <c r="F56" s="19" t="s">
        <v>2683</v>
      </c>
    </row>
    <row r="57">
      <c r="A57" s="19" t="s">
        <v>573</v>
      </c>
      <c r="B57" s="19" t="s">
        <v>870</v>
      </c>
      <c r="E57" s="19" t="s">
        <v>2684</v>
      </c>
      <c r="F57" s="19" t="s">
        <v>572</v>
      </c>
    </row>
    <row r="58">
      <c r="A58" s="19" t="s">
        <v>578</v>
      </c>
      <c r="E58" s="19" t="s">
        <v>1374</v>
      </c>
      <c r="F58" s="19" t="s">
        <v>595</v>
      </c>
    </row>
    <row r="59">
      <c r="A59" s="19" t="s">
        <v>2685</v>
      </c>
      <c r="E59" s="19" t="s">
        <v>2686</v>
      </c>
      <c r="F59" s="19" t="s">
        <v>2687</v>
      </c>
    </row>
    <row r="60">
      <c r="A60" s="19" t="s">
        <v>573</v>
      </c>
      <c r="E60" s="19" t="s">
        <v>1417</v>
      </c>
      <c r="F60" s="19" t="s">
        <v>572</v>
      </c>
    </row>
    <row r="61">
      <c r="A61" s="19" t="s">
        <v>578</v>
      </c>
      <c r="E61" s="19" t="s">
        <v>1935</v>
      </c>
      <c r="F61" s="19" t="s">
        <v>595</v>
      </c>
    </row>
    <row r="62">
      <c r="E62" s="19" t="s">
        <v>1374</v>
      </c>
    </row>
    <row r="63">
      <c r="E63" s="19" t="s">
        <v>2691</v>
      </c>
    </row>
    <row r="64">
      <c r="E64" s="19" t="s">
        <v>572</v>
      </c>
    </row>
    <row r="65">
      <c r="E65" s="19" t="s">
        <v>1374</v>
      </c>
    </row>
    <row r="66">
      <c r="E66" s="19" t="s">
        <v>2693</v>
      </c>
    </row>
    <row r="67">
      <c r="E67" s="19" t="s">
        <v>572</v>
      </c>
    </row>
    <row r="68">
      <c r="E68" s="19" t="s">
        <v>927</v>
      </c>
    </row>
    <row r="69">
      <c r="E69" s="19" t="s">
        <v>1374</v>
      </c>
    </row>
    <row r="70">
      <c r="E70" s="19" t="s">
        <v>2695</v>
      </c>
    </row>
    <row r="71">
      <c r="E71" s="19" t="s">
        <v>572</v>
      </c>
    </row>
    <row r="72">
      <c r="E72" s="19" t="s">
        <v>1374</v>
      </c>
    </row>
    <row r="73">
      <c r="A73" s="87"/>
    </row>
    <row r="74">
      <c r="A74" s="2" t="s">
        <v>2697</v>
      </c>
    </row>
    <row r="75">
      <c r="A75" s="2">
        <v>44500.0</v>
      </c>
    </row>
    <row r="76">
      <c r="A76" s="39">
        <v>2026.0</v>
      </c>
    </row>
    <row r="77">
      <c r="A77" s="92" t="s">
        <v>2701</v>
      </c>
    </row>
    <row r="78">
      <c r="A78" s="86" t="s">
        <v>646</v>
      </c>
      <c r="B78" s="86" t="s">
        <v>647</v>
      </c>
      <c r="C78" s="86" t="s">
        <v>648</v>
      </c>
      <c r="D78" s="86" t="s">
        <v>651</v>
      </c>
      <c r="E78" s="86" t="s">
        <v>653</v>
      </c>
      <c r="F78" s="86" t="s">
        <v>654</v>
      </c>
      <c r="G78" s="86" t="s">
        <v>655</v>
      </c>
      <c r="H78" s="86" t="s">
        <v>657</v>
      </c>
    </row>
    <row r="79">
      <c r="A79" s="79" t="s">
        <v>2704</v>
      </c>
      <c r="B79" s="79" t="s">
        <v>667</v>
      </c>
      <c r="C79" s="79" t="s">
        <v>667</v>
      </c>
      <c r="D79" s="79" t="s">
        <v>1591</v>
      </c>
      <c r="E79" s="79" t="s">
        <v>2706</v>
      </c>
      <c r="F79" s="79" t="s">
        <v>2707</v>
      </c>
      <c r="G79" s="79" t="s">
        <v>667</v>
      </c>
      <c r="H79" s="79" t="s">
        <v>667</v>
      </c>
    </row>
    <row r="80">
      <c r="A80" s="19" t="s">
        <v>2709</v>
      </c>
      <c r="D80" s="19" t="s">
        <v>2711</v>
      </c>
      <c r="E80" s="19" t="s">
        <v>2712</v>
      </c>
      <c r="F80" s="19" t="s">
        <v>2670</v>
      </c>
    </row>
    <row r="81">
      <c r="A81" s="19" t="s">
        <v>573</v>
      </c>
      <c r="D81" s="19" t="s">
        <v>590</v>
      </c>
      <c r="E81" s="19" t="s">
        <v>624</v>
      </c>
      <c r="F81" s="19" t="s">
        <v>574</v>
      </c>
    </row>
    <row r="82">
      <c r="A82" s="19" t="s">
        <v>2714</v>
      </c>
      <c r="D82" s="19" t="s">
        <v>345</v>
      </c>
      <c r="E82" s="19" t="s">
        <v>1135</v>
      </c>
      <c r="F82" s="19" t="s">
        <v>2715</v>
      </c>
    </row>
    <row r="83">
      <c r="A83" s="19" t="s">
        <v>1009</v>
      </c>
      <c r="D83" s="19" t="s">
        <v>268</v>
      </c>
      <c r="E83" s="19" t="s">
        <v>2716</v>
      </c>
      <c r="F83" s="19" t="s">
        <v>682</v>
      </c>
    </row>
    <row r="84">
      <c r="A84" s="19" t="s">
        <v>2717</v>
      </c>
      <c r="E84" s="19" t="s">
        <v>572</v>
      </c>
      <c r="F84" s="19" t="s">
        <v>2691</v>
      </c>
    </row>
    <row r="85">
      <c r="A85" s="19" t="s">
        <v>683</v>
      </c>
      <c r="E85" s="19" t="s">
        <v>1135</v>
      </c>
      <c r="F85" s="19" t="s">
        <v>1364</v>
      </c>
    </row>
    <row r="86">
      <c r="A86" s="19" t="s">
        <v>2718</v>
      </c>
      <c r="E86" s="19" t="s">
        <v>2719</v>
      </c>
      <c r="F86" s="19" t="s">
        <v>2720</v>
      </c>
    </row>
    <row r="87">
      <c r="A87" s="19" t="s">
        <v>572</v>
      </c>
      <c r="E87" s="19" t="s">
        <v>2721</v>
      </c>
      <c r="F87" s="19" t="s">
        <v>573</v>
      </c>
    </row>
    <row r="88">
      <c r="E88" s="19" t="s">
        <v>268</v>
      </c>
      <c r="F88" s="19" t="s">
        <v>2695</v>
      </c>
    </row>
    <row r="89">
      <c r="E89" s="19" t="s">
        <v>1135</v>
      </c>
      <c r="F89" s="19" t="s">
        <v>1038</v>
      </c>
    </row>
    <row r="96">
      <c r="A96" s="94" t="s">
        <v>719</v>
      </c>
    </row>
    <row r="97">
      <c r="A97" s="94">
        <f>A100</f>
        <v>145710</v>
      </c>
    </row>
    <row r="98">
      <c r="A98" s="94">
        <v>2026.0</v>
      </c>
    </row>
    <row r="99">
      <c r="A99" s="94" t="s">
        <v>724</v>
      </c>
    </row>
    <row r="100">
      <c r="A100" s="94">
        <f>A103+B103+C103+D103+E103+F103+G103+H103</f>
        <v>145710</v>
      </c>
    </row>
    <row r="101">
      <c r="A101" s="86" t="s">
        <v>731</v>
      </c>
      <c r="B101" s="86" t="s">
        <v>733</v>
      </c>
      <c r="C101" s="86" t="s">
        <v>735</v>
      </c>
      <c r="D101" s="86" t="s">
        <v>736</v>
      </c>
      <c r="E101" s="86" t="s">
        <v>737</v>
      </c>
      <c r="F101" s="86" t="s">
        <v>738</v>
      </c>
      <c r="G101" s="86" t="s">
        <v>740</v>
      </c>
      <c r="H101" s="86" t="s">
        <v>741</v>
      </c>
    </row>
    <row r="102">
      <c r="A102" s="14" t="s">
        <v>667</v>
      </c>
      <c r="B102" s="14" t="s">
        <v>667</v>
      </c>
      <c r="C102" s="14" t="s">
        <v>667</v>
      </c>
      <c r="D102" s="14" t="s">
        <v>667</v>
      </c>
      <c r="E102" s="14" t="s">
        <v>667</v>
      </c>
      <c r="F102" s="14" t="s">
        <v>667</v>
      </c>
      <c r="G102" s="14" t="s">
        <v>667</v>
      </c>
      <c r="H102" s="14" t="s">
        <v>667</v>
      </c>
    </row>
    <row r="103">
      <c r="A103" s="86">
        <v>8750.0</v>
      </c>
      <c r="B103" s="86">
        <v>20000.0</v>
      </c>
      <c r="C103" s="86">
        <v>14110.0</v>
      </c>
      <c r="D103" s="86">
        <v>0.0</v>
      </c>
      <c r="E103" s="86">
        <v>86600.0</v>
      </c>
      <c r="F103" s="86">
        <v>10250.0</v>
      </c>
      <c r="G103" s="86">
        <v>6000.0</v>
      </c>
      <c r="H103" s="86">
        <v>0.0</v>
      </c>
    </row>
    <row r="104">
      <c r="A104" s="19" t="s">
        <v>2667</v>
      </c>
      <c r="B104" s="19" t="s">
        <v>2554</v>
      </c>
      <c r="C104" s="19" t="s">
        <v>2745</v>
      </c>
      <c r="E104" s="19" t="s">
        <v>2711</v>
      </c>
      <c r="F104" s="19" t="s">
        <v>2755</v>
      </c>
      <c r="G104" s="19" t="s">
        <v>2666</v>
      </c>
    </row>
    <row r="105">
      <c r="A105" s="19" t="s">
        <v>711</v>
      </c>
      <c r="B105" s="19" t="s">
        <v>756</v>
      </c>
      <c r="C105" s="19" t="s">
        <v>573</v>
      </c>
      <c r="E105" s="19" t="s">
        <v>1417</v>
      </c>
      <c r="F105" s="19" t="s">
        <v>1417</v>
      </c>
      <c r="G105" s="19" t="s">
        <v>989</v>
      </c>
    </row>
    <row r="106">
      <c r="A106" s="19" t="s">
        <v>1051</v>
      </c>
      <c r="C106" s="19" t="s">
        <v>1054</v>
      </c>
      <c r="E106" s="19" t="s">
        <v>764</v>
      </c>
      <c r="F106" s="19" t="s">
        <v>760</v>
      </c>
    </row>
    <row r="107">
      <c r="A107" s="19" t="s">
        <v>2671</v>
      </c>
      <c r="C107" s="19" t="s">
        <v>2759</v>
      </c>
      <c r="E107" s="19" t="s">
        <v>2687</v>
      </c>
      <c r="F107" s="19" t="s">
        <v>2673</v>
      </c>
    </row>
    <row r="108">
      <c r="A108" s="19" t="s">
        <v>573</v>
      </c>
      <c r="C108" s="19" t="s">
        <v>624</v>
      </c>
      <c r="E108" s="19" t="s">
        <v>572</v>
      </c>
      <c r="F108" s="19" t="s">
        <v>590</v>
      </c>
    </row>
    <row r="109">
      <c r="A109" s="19" t="s">
        <v>2672</v>
      </c>
      <c r="C109" s="19" t="s">
        <v>1054</v>
      </c>
      <c r="E109" s="19" t="s">
        <v>764</v>
      </c>
      <c r="F109" s="19" t="s">
        <v>2770</v>
      </c>
    </row>
    <row r="110">
      <c r="A110" s="19" t="s">
        <v>624</v>
      </c>
      <c r="E110" s="19" t="s">
        <v>2772</v>
      </c>
      <c r="F110" s="19" t="s">
        <v>573</v>
      </c>
    </row>
    <row r="111">
      <c r="E111" s="19" t="s">
        <v>572</v>
      </c>
    </row>
    <row r="112">
      <c r="E112" s="19" t="s">
        <v>764</v>
      </c>
    </row>
    <row r="113">
      <c r="E113" s="19" t="s">
        <v>2778</v>
      </c>
    </row>
    <row r="114">
      <c r="E114" s="19" t="s">
        <v>572</v>
      </c>
    </row>
    <row r="115">
      <c r="E115" s="19" t="s">
        <v>764</v>
      </c>
    </row>
    <row r="116">
      <c r="A116" s="226" t="s">
        <v>1060</v>
      </c>
    </row>
    <row r="117">
      <c r="A117" s="226">
        <f>A120</f>
        <v>45800</v>
      </c>
    </row>
    <row r="118">
      <c r="A118" s="226">
        <v>2026.0</v>
      </c>
    </row>
    <row r="119">
      <c r="A119" s="226" t="s">
        <v>724</v>
      </c>
    </row>
    <row r="120">
      <c r="A120" s="227">
        <f>A123+B123+C123+D123+E123+F123+G123+H123+I123+J123</f>
        <v>45800</v>
      </c>
    </row>
    <row r="121">
      <c r="A121" s="223" t="s">
        <v>812</v>
      </c>
      <c r="B121" s="223" t="s">
        <v>815</v>
      </c>
      <c r="C121" s="223" t="s">
        <v>817</v>
      </c>
      <c r="D121" s="223" t="s">
        <v>819</v>
      </c>
      <c r="E121" s="223" t="s">
        <v>821</v>
      </c>
      <c r="F121" s="223" t="s">
        <v>822</v>
      </c>
      <c r="G121" s="100" t="s">
        <v>823</v>
      </c>
      <c r="H121" s="100" t="s">
        <v>825</v>
      </c>
      <c r="I121" s="101" t="s">
        <v>827</v>
      </c>
      <c r="J121" s="101" t="s">
        <v>829</v>
      </c>
    </row>
    <row r="122">
      <c r="A122" s="228" t="s">
        <v>667</v>
      </c>
      <c r="B122" s="228" t="s">
        <v>667</v>
      </c>
      <c r="C122" s="228" t="s">
        <v>667</v>
      </c>
      <c r="D122" s="228" t="s">
        <v>667</v>
      </c>
      <c r="E122" s="228" t="s">
        <v>667</v>
      </c>
      <c r="F122" s="228" t="s">
        <v>667</v>
      </c>
      <c r="G122" s="38" t="s">
        <v>667</v>
      </c>
      <c r="H122" s="38" t="s">
        <v>667</v>
      </c>
      <c r="I122" s="38" t="s">
        <v>667</v>
      </c>
      <c r="J122" s="38" t="s">
        <v>667</v>
      </c>
    </row>
    <row r="123">
      <c r="A123" s="223">
        <v>0.0</v>
      </c>
      <c r="B123" s="102">
        <v>1300.0</v>
      </c>
      <c r="C123" s="102">
        <v>9000.0</v>
      </c>
      <c r="D123" s="223">
        <v>0.0</v>
      </c>
      <c r="E123" s="223">
        <v>0.0</v>
      </c>
      <c r="F123" s="223">
        <v>0.0</v>
      </c>
      <c r="G123" s="102">
        <v>4000.0</v>
      </c>
      <c r="H123" s="102">
        <v>5500.0</v>
      </c>
      <c r="I123" s="102">
        <v>23900.0</v>
      </c>
      <c r="J123" s="102">
        <v>2100.0</v>
      </c>
    </row>
    <row r="124">
      <c r="B124" s="19" t="s">
        <v>2755</v>
      </c>
      <c r="C124" s="19" t="s">
        <v>2711</v>
      </c>
      <c r="G124" s="19" t="s">
        <v>2807</v>
      </c>
      <c r="H124" s="19" t="s">
        <v>2808</v>
      </c>
      <c r="I124" s="19" t="s">
        <v>2554</v>
      </c>
      <c r="J124" s="19" t="s">
        <v>2683</v>
      </c>
    </row>
    <row r="125">
      <c r="B125" s="19" t="s">
        <v>880</v>
      </c>
      <c r="C125" s="19" t="s">
        <v>698</v>
      </c>
      <c r="G125" s="19" t="s">
        <v>947</v>
      </c>
      <c r="H125" s="19" t="s">
        <v>1975</v>
      </c>
      <c r="I125" s="19" t="s">
        <v>984</v>
      </c>
      <c r="J125" s="19" t="s">
        <v>572</v>
      </c>
    </row>
    <row r="126">
      <c r="C126" s="19" t="s">
        <v>2671</v>
      </c>
      <c r="H126" s="19" t="s">
        <v>2623</v>
      </c>
      <c r="I126" s="19" t="s">
        <v>2810</v>
      </c>
      <c r="J126" s="19" t="s">
        <v>2673</v>
      </c>
    </row>
    <row r="127">
      <c r="C127" s="19" t="s">
        <v>698</v>
      </c>
      <c r="H127" s="19" t="s">
        <v>1068</v>
      </c>
      <c r="I127" s="19" t="s">
        <v>870</v>
      </c>
      <c r="J127" s="19" t="s">
        <v>876</v>
      </c>
    </row>
    <row r="128">
      <c r="H128" s="19" t="s">
        <v>2811</v>
      </c>
      <c r="I128" s="19" t="s">
        <v>2812</v>
      </c>
    </row>
    <row r="129">
      <c r="H129" s="19" t="s">
        <v>872</v>
      </c>
      <c r="I129" s="19" t="s">
        <v>572</v>
      </c>
    </row>
    <row r="130">
      <c r="H130" s="19" t="s">
        <v>2816</v>
      </c>
      <c r="I130" s="19" t="s">
        <v>2817</v>
      </c>
    </row>
    <row r="131">
      <c r="H131" s="19" t="s">
        <v>1068</v>
      </c>
      <c r="I131" s="19" t="s">
        <v>572</v>
      </c>
    </row>
    <row r="132">
      <c r="I132" s="19" t="s">
        <v>2819</v>
      </c>
    </row>
    <row r="133">
      <c r="I133" s="19" t="s">
        <v>2820</v>
      </c>
    </row>
    <row r="134">
      <c r="I134" s="19" t="s">
        <v>2821</v>
      </c>
    </row>
    <row r="135">
      <c r="I135" s="19" t="s">
        <v>572</v>
      </c>
    </row>
    <row r="136">
      <c r="A136" s="103" t="s">
        <v>882</v>
      </c>
    </row>
    <row r="137">
      <c r="A137" s="104" t="s">
        <v>884</v>
      </c>
    </row>
    <row r="138">
      <c r="A138" s="104">
        <f>A141</f>
        <v>86400</v>
      </c>
    </row>
    <row r="139">
      <c r="A139" s="104">
        <v>2026.0</v>
      </c>
    </row>
    <row r="140">
      <c r="A140" s="104" t="s">
        <v>724</v>
      </c>
    </row>
    <row r="141">
      <c r="A141" s="105">
        <f>A144+B144+C144+D144+E144+F144+G144+H144+I144+J144</f>
        <v>86400</v>
      </c>
    </row>
    <row r="142">
      <c r="A142" s="86" t="s">
        <v>887</v>
      </c>
      <c r="B142" s="86" t="s">
        <v>888</v>
      </c>
      <c r="C142" s="86" t="s">
        <v>891</v>
      </c>
      <c r="D142" s="86" t="s">
        <v>892</v>
      </c>
      <c r="E142" s="86" t="s">
        <v>893</v>
      </c>
      <c r="F142" s="86" t="s">
        <v>894</v>
      </c>
      <c r="G142" s="109" t="s">
        <v>895</v>
      </c>
      <c r="H142" s="102" t="s">
        <v>896</v>
      </c>
      <c r="I142" s="102" t="s">
        <v>897</v>
      </c>
      <c r="J142" s="102" t="s">
        <v>899</v>
      </c>
    </row>
    <row r="143">
      <c r="A143" s="14" t="s">
        <v>667</v>
      </c>
      <c r="B143" s="14" t="s">
        <v>667</v>
      </c>
      <c r="C143" s="14" t="s">
        <v>667</v>
      </c>
      <c r="D143" s="14" t="s">
        <v>667</v>
      </c>
      <c r="E143" s="14" t="s">
        <v>667</v>
      </c>
      <c r="F143" s="14" t="s">
        <v>667</v>
      </c>
      <c r="G143" s="14" t="s">
        <v>667</v>
      </c>
      <c r="H143" s="38" t="s">
        <v>667</v>
      </c>
      <c r="I143" s="38" t="s">
        <v>667</v>
      </c>
      <c r="J143" s="38" t="s">
        <v>667</v>
      </c>
    </row>
    <row r="144">
      <c r="A144" s="86"/>
      <c r="B144" s="86"/>
      <c r="C144" s="86">
        <v>10000.0</v>
      </c>
      <c r="D144" s="86">
        <f>24500+19400</f>
        <v>43900</v>
      </c>
      <c r="E144" s="86">
        <v>12000.0</v>
      </c>
      <c r="F144" s="86"/>
      <c r="G144" s="86">
        <v>6500.0</v>
      </c>
      <c r="H144" s="86"/>
      <c r="I144" s="86"/>
      <c r="J144" s="86">
        <v>14000.0</v>
      </c>
    </row>
    <row r="145">
      <c r="C145" s="19" t="s">
        <v>2755</v>
      </c>
      <c r="D145" s="19" t="s">
        <v>2554</v>
      </c>
      <c r="E145" s="19" t="s">
        <v>2807</v>
      </c>
      <c r="G145" s="19" t="s">
        <v>2808</v>
      </c>
      <c r="J145" s="19" t="s">
        <v>2854</v>
      </c>
    </row>
    <row r="146">
      <c r="C146" s="19" t="s">
        <v>693</v>
      </c>
      <c r="D146" s="19" t="s">
        <v>1514</v>
      </c>
      <c r="E146" s="19" t="s">
        <v>1214</v>
      </c>
      <c r="G146" s="19" t="s">
        <v>1223</v>
      </c>
      <c r="J146" s="19" t="s">
        <v>573</v>
      </c>
    </row>
    <row r="147">
      <c r="D147" s="19" t="s">
        <v>909</v>
      </c>
      <c r="J147" s="19" t="s">
        <v>2623</v>
      </c>
    </row>
    <row r="148">
      <c r="D148" s="19" t="s">
        <v>1126</v>
      </c>
      <c r="J148" s="19" t="s">
        <v>573</v>
      </c>
    </row>
    <row r="149">
      <c r="D149" s="19" t="s">
        <v>1428</v>
      </c>
      <c r="J149" s="19" t="s">
        <v>2655</v>
      </c>
    </row>
    <row r="150">
      <c r="J150" s="19" t="s">
        <v>1214</v>
      </c>
    </row>
    <row r="158">
      <c r="A158" s="110" t="s">
        <v>943</v>
      </c>
    </row>
    <row r="159">
      <c r="A159" s="110">
        <f>A162</f>
        <v>108300</v>
      </c>
    </row>
    <row r="160">
      <c r="A160" s="110">
        <v>2026.0</v>
      </c>
    </row>
    <row r="161">
      <c r="A161" s="110" t="s">
        <v>724</v>
      </c>
    </row>
    <row r="162">
      <c r="A162" s="110">
        <f>A165+B165+C165+D165+E165+F165+G165+H165</f>
        <v>108300</v>
      </c>
    </row>
    <row r="163">
      <c r="A163" s="86" t="s">
        <v>953</v>
      </c>
      <c r="B163" s="86" t="s">
        <v>833</v>
      </c>
      <c r="C163" s="86" t="s">
        <v>834</v>
      </c>
      <c r="D163" s="86" t="s">
        <v>836</v>
      </c>
      <c r="E163" s="86" t="s">
        <v>956</v>
      </c>
      <c r="F163" s="86" t="s">
        <v>958</v>
      </c>
      <c r="G163" s="86" t="s">
        <v>844</v>
      </c>
      <c r="H163" s="86" t="s">
        <v>838</v>
      </c>
    </row>
    <row r="164">
      <c r="A164" s="14" t="s">
        <v>667</v>
      </c>
      <c r="B164" s="14" t="s">
        <v>667</v>
      </c>
      <c r="C164" s="14" t="s">
        <v>667</v>
      </c>
      <c r="D164" s="14" t="s">
        <v>667</v>
      </c>
      <c r="E164" s="14" t="s">
        <v>667</v>
      </c>
      <c r="F164" s="14" t="s">
        <v>667</v>
      </c>
      <c r="G164" s="14" t="s">
        <v>667</v>
      </c>
      <c r="H164" s="14" t="s">
        <v>667</v>
      </c>
    </row>
    <row r="165">
      <c r="A165" s="86">
        <v>0.0</v>
      </c>
      <c r="B165" s="86">
        <v>0.0</v>
      </c>
      <c r="C165" s="86">
        <f>1000+12400</f>
        <v>13400</v>
      </c>
      <c r="D165" s="86">
        <f>10000+44400</f>
        <v>54400</v>
      </c>
      <c r="E165" s="86">
        <v>5000.0</v>
      </c>
      <c r="F165" s="86">
        <v>12500.0</v>
      </c>
      <c r="G165" s="86">
        <v>0.0</v>
      </c>
      <c r="H165" s="86">
        <f>1000+22000</f>
        <v>23000</v>
      </c>
    </row>
    <row r="166">
      <c r="C166" s="19" t="s">
        <v>2900</v>
      </c>
      <c r="D166" s="19" t="s">
        <v>2902</v>
      </c>
      <c r="E166" s="19" t="s">
        <v>2807</v>
      </c>
      <c r="F166" s="19" t="s">
        <v>2683</v>
      </c>
      <c r="H166" s="19" t="s">
        <v>2906</v>
      </c>
    </row>
    <row r="167">
      <c r="C167" s="19" t="s">
        <v>573</v>
      </c>
      <c r="D167" s="19" t="s">
        <v>693</v>
      </c>
      <c r="E167" s="19" t="s">
        <v>711</v>
      </c>
      <c r="F167" s="19" t="s">
        <v>573</v>
      </c>
      <c r="H167" s="19" t="s">
        <v>573</v>
      </c>
    </row>
    <row r="168">
      <c r="C168" s="19" t="s">
        <v>1474</v>
      </c>
      <c r="D168" s="19" t="s">
        <v>1150</v>
      </c>
      <c r="F168" s="19" t="s">
        <v>2624</v>
      </c>
      <c r="H168" s="19" t="s">
        <v>1450</v>
      </c>
    </row>
    <row r="169">
      <c r="F169" s="19" t="s">
        <v>573</v>
      </c>
    </row>
    <row r="170">
      <c r="F170" s="19" t="s">
        <v>1604</v>
      </c>
    </row>
    <row r="171">
      <c r="F171" s="19" t="s">
        <v>1457</v>
      </c>
    </row>
    <row r="174">
      <c r="A174" s="163" t="s">
        <v>963</v>
      </c>
    </row>
    <row r="175">
      <c r="A175" s="163">
        <f>A178</f>
        <v>0</v>
      </c>
    </row>
    <row r="176">
      <c r="A176" s="163">
        <v>2026.0</v>
      </c>
    </row>
    <row r="177">
      <c r="A177" s="163" t="s">
        <v>724</v>
      </c>
    </row>
    <row r="178">
      <c r="A178" s="165">
        <f>A181+B181+C181+D181+E181+F181+G181+H181+I181+J181</f>
        <v>0</v>
      </c>
    </row>
    <row r="179">
      <c r="A179" s="100" t="s">
        <v>965</v>
      </c>
      <c r="B179" s="100" t="s">
        <v>966</v>
      </c>
      <c r="C179" s="100" t="s">
        <v>968</v>
      </c>
      <c r="D179" s="100" t="s">
        <v>969</v>
      </c>
      <c r="E179" s="100" t="s">
        <v>970</v>
      </c>
      <c r="F179" s="100" t="s">
        <v>971</v>
      </c>
      <c r="G179" s="100" t="s">
        <v>972</v>
      </c>
      <c r="H179" s="100" t="s">
        <v>973</v>
      </c>
      <c r="I179" s="100" t="s">
        <v>974</v>
      </c>
      <c r="J179" s="100" t="s">
        <v>975</v>
      </c>
    </row>
    <row r="180">
      <c r="A180" s="38" t="s">
        <v>667</v>
      </c>
      <c r="B180" s="38" t="s">
        <v>667</v>
      </c>
      <c r="C180" s="38" t="s">
        <v>667</v>
      </c>
      <c r="D180" s="38" t="s">
        <v>667</v>
      </c>
      <c r="E180" s="38" t="s">
        <v>667</v>
      </c>
      <c r="F180" s="38" t="s">
        <v>667</v>
      </c>
      <c r="G180" s="38" t="s">
        <v>667</v>
      </c>
      <c r="H180" s="38" t="s">
        <v>667</v>
      </c>
      <c r="I180" s="38" t="s">
        <v>667</v>
      </c>
      <c r="J180" s="38" t="s">
        <v>667</v>
      </c>
    </row>
    <row r="181">
      <c r="A181" s="100">
        <v>0.0</v>
      </c>
      <c r="B181" s="100">
        <v>0.0</v>
      </c>
      <c r="C181" s="100">
        <v>0.0</v>
      </c>
      <c r="D181" s="100">
        <v>0.0</v>
      </c>
      <c r="E181" s="100">
        <v>0.0</v>
      </c>
      <c r="F181" s="100">
        <v>0.0</v>
      </c>
      <c r="G181" s="100">
        <v>0.0</v>
      </c>
      <c r="H181" s="100">
        <v>0.0</v>
      </c>
      <c r="I181" s="100">
        <v>0.0</v>
      </c>
      <c r="J181" s="100">
        <v>0.0</v>
      </c>
    </row>
  </sheetData>
  <mergeCells count="59">
    <mergeCell ref="A176:J176"/>
    <mergeCell ref="A177:J177"/>
    <mergeCell ref="A178:J178"/>
    <mergeCell ref="A158:H158"/>
    <mergeCell ref="A159:H159"/>
    <mergeCell ref="A160:H160"/>
    <mergeCell ref="A161:H161"/>
    <mergeCell ref="A162:H162"/>
    <mergeCell ref="A174:J174"/>
    <mergeCell ref="A175:J175"/>
    <mergeCell ref="A1:Q1"/>
    <mergeCell ref="A2:Q2"/>
    <mergeCell ref="A3:Q3"/>
    <mergeCell ref="A4:Q4"/>
    <mergeCell ref="G5:I5"/>
    <mergeCell ref="J5:L5"/>
    <mergeCell ref="M5:Q5"/>
    <mergeCell ref="G6:I6"/>
    <mergeCell ref="J6:L6"/>
    <mergeCell ref="M6:Q6"/>
    <mergeCell ref="J7:L7"/>
    <mergeCell ref="J8:L8"/>
    <mergeCell ref="N10:Q10"/>
    <mergeCell ref="N12:O12"/>
    <mergeCell ref="M8:M12"/>
    <mergeCell ref="M13:M14"/>
    <mergeCell ref="N14:O14"/>
    <mergeCell ref="M15:M16"/>
    <mergeCell ref="N16:O16"/>
    <mergeCell ref="A33:E33"/>
    <mergeCell ref="A34:E34"/>
    <mergeCell ref="A35:E35"/>
    <mergeCell ref="A36:E36"/>
    <mergeCell ref="A37:E37"/>
    <mergeCell ref="A50:F50"/>
    <mergeCell ref="A51:F51"/>
    <mergeCell ref="A52:F52"/>
    <mergeCell ref="A53:F53"/>
    <mergeCell ref="A73:H73"/>
    <mergeCell ref="A74:H74"/>
    <mergeCell ref="A75:H75"/>
    <mergeCell ref="A76:H76"/>
    <mergeCell ref="A77:H77"/>
    <mergeCell ref="A96:H96"/>
    <mergeCell ref="A97:H97"/>
    <mergeCell ref="A98:H98"/>
    <mergeCell ref="A99:H99"/>
    <mergeCell ref="A100:H100"/>
    <mergeCell ref="A116:J116"/>
    <mergeCell ref="A117:J117"/>
    <mergeCell ref="A118:J118"/>
    <mergeCell ref="A119:J119"/>
    <mergeCell ref="A120:J120"/>
    <mergeCell ref="A136:J136"/>
    <mergeCell ref="A137:J137"/>
    <mergeCell ref="A138:J138"/>
    <mergeCell ref="A139:J139"/>
    <mergeCell ref="A140:J140"/>
    <mergeCell ref="A141:J14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88"/>
    <col customWidth="1" min="3" max="3" width="28.5"/>
    <col customWidth="1" min="4" max="4" width="37.0"/>
    <col customWidth="1" min="5" max="5" width="17.63"/>
    <col customWidth="1" min="6" max="6" width="27.5"/>
    <col customWidth="1" min="7" max="7" width="24.38"/>
  </cols>
  <sheetData>
    <row r="1">
      <c r="A1" s="205" t="s">
        <v>2503</v>
      </c>
    </row>
    <row r="2">
      <c r="A2" s="207" t="s">
        <v>2508</v>
      </c>
    </row>
    <row r="3">
      <c r="A3" s="205" t="s">
        <v>10</v>
      </c>
    </row>
    <row r="4">
      <c r="A4" s="209">
        <f>100000+B6+C6+E6+H6</f>
        <v>51500</v>
      </c>
    </row>
    <row r="5">
      <c r="A5" s="14" t="s">
        <v>2469</v>
      </c>
      <c r="B5" s="14" t="s">
        <v>25</v>
      </c>
      <c r="C5" s="14" t="s">
        <v>1137</v>
      </c>
      <c r="D5" s="14" t="s">
        <v>37</v>
      </c>
      <c r="E5" s="14" t="s">
        <v>29</v>
      </c>
      <c r="H5" s="38" t="s">
        <v>32</v>
      </c>
    </row>
    <row r="6">
      <c r="A6" s="19" t="s">
        <v>2537</v>
      </c>
      <c r="B6" s="201">
        <v>-30000.0</v>
      </c>
      <c r="C6" s="201">
        <v>-5000.0</v>
      </c>
      <c r="D6" s="19" t="s">
        <v>2541</v>
      </c>
      <c r="E6" s="212">
        <v>-13500.0</v>
      </c>
      <c r="H6" s="215">
        <f>H8</f>
        <v>0</v>
      </c>
    </row>
    <row r="7">
      <c r="A7" s="19" t="s">
        <v>1000</v>
      </c>
      <c r="B7" s="61" t="s">
        <v>55</v>
      </c>
      <c r="C7" s="19" t="s">
        <v>1560</v>
      </c>
      <c r="D7" s="19" t="s">
        <v>2559</v>
      </c>
      <c r="E7" s="9" t="s">
        <v>59</v>
      </c>
      <c r="F7" s="9" t="s">
        <v>1680</v>
      </c>
      <c r="G7" s="9" t="s">
        <v>61</v>
      </c>
      <c r="H7" s="38" t="s">
        <v>77</v>
      </c>
    </row>
    <row r="8">
      <c r="A8" s="19" t="s">
        <v>2564</v>
      </c>
      <c r="B8" s="9" t="s">
        <v>209</v>
      </c>
      <c r="C8" s="19" t="s">
        <v>2565</v>
      </c>
      <c r="D8" s="19" t="s">
        <v>2566</v>
      </c>
      <c r="E8" s="9" t="s">
        <v>2567</v>
      </c>
      <c r="F8" s="9" t="s">
        <v>2569</v>
      </c>
      <c r="G8" s="16"/>
      <c r="H8" s="65">
        <v>0.0</v>
      </c>
    </row>
    <row r="9">
      <c r="A9" s="19" t="s">
        <v>2571</v>
      </c>
      <c r="B9" s="61" t="s">
        <v>170</v>
      </c>
      <c r="C9" s="19" t="s">
        <v>172</v>
      </c>
      <c r="D9" s="19" t="s">
        <v>2574</v>
      </c>
      <c r="E9" s="9" t="s">
        <v>1385</v>
      </c>
      <c r="F9" s="9" t="s">
        <v>2576</v>
      </c>
      <c r="G9" s="16"/>
    </row>
    <row r="10">
      <c r="A10" s="19" t="s">
        <v>2583</v>
      </c>
      <c r="B10" s="9" t="s">
        <v>177</v>
      </c>
      <c r="C10" s="19" t="s">
        <v>2584</v>
      </c>
      <c r="E10" s="9" t="s">
        <v>139</v>
      </c>
      <c r="F10" s="16"/>
      <c r="G10" s="16"/>
    </row>
    <row r="11">
      <c r="A11" s="19" t="s">
        <v>2585</v>
      </c>
      <c r="B11" s="61" t="s">
        <v>196</v>
      </c>
      <c r="C11" s="19" t="s">
        <v>136</v>
      </c>
      <c r="E11" s="9" t="s">
        <v>281</v>
      </c>
      <c r="F11" s="16"/>
      <c r="G11" s="16"/>
    </row>
    <row r="12">
      <c r="A12" s="19" t="s">
        <v>2586</v>
      </c>
      <c r="B12" s="9" t="s">
        <v>177</v>
      </c>
      <c r="C12" s="19" t="s">
        <v>2589</v>
      </c>
      <c r="E12" s="9" t="s">
        <v>1000</v>
      </c>
      <c r="F12" s="16"/>
      <c r="G12" s="16"/>
    </row>
    <row r="13">
      <c r="A13" s="19" t="s">
        <v>2593</v>
      </c>
      <c r="C13" s="19" t="s">
        <v>2594</v>
      </c>
      <c r="E13" s="9" t="s">
        <v>139</v>
      </c>
      <c r="F13" s="16"/>
      <c r="G13" s="16"/>
    </row>
    <row r="14">
      <c r="A14" s="19" t="s">
        <v>2596</v>
      </c>
      <c r="C14" s="19" t="s">
        <v>2598</v>
      </c>
      <c r="E14" s="9" t="s">
        <v>281</v>
      </c>
      <c r="F14" s="16"/>
      <c r="G14" s="16"/>
    </row>
    <row r="15">
      <c r="A15" s="19" t="s">
        <v>2599</v>
      </c>
      <c r="E15" s="9" t="s">
        <v>2600</v>
      </c>
      <c r="F15" s="16"/>
      <c r="G15" s="16"/>
    </row>
    <row r="16">
      <c r="A16" s="19" t="s">
        <v>2602</v>
      </c>
      <c r="E16" s="9" t="s">
        <v>374</v>
      </c>
      <c r="F16" s="16"/>
      <c r="G16" s="16"/>
    </row>
    <row r="17">
      <c r="A17" s="19" t="s">
        <v>2605</v>
      </c>
      <c r="E17" s="9" t="s">
        <v>281</v>
      </c>
      <c r="F17" s="16"/>
      <c r="G17" s="16"/>
    </row>
    <row r="18">
      <c r="A18" s="19" t="s">
        <v>2607</v>
      </c>
      <c r="E18" s="16"/>
      <c r="F18" s="16"/>
      <c r="G18" s="16"/>
    </row>
    <row r="19">
      <c r="A19" s="19" t="s">
        <v>2609</v>
      </c>
      <c r="E19" s="16"/>
      <c r="F19" s="16"/>
      <c r="G19" s="16"/>
    </row>
    <row r="20">
      <c r="A20" s="19" t="s">
        <v>2611</v>
      </c>
      <c r="E20" s="16"/>
      <c r="F20" s="16"/>
      <c r="G20" s="16"/>
    </row>
    <row r="21">
      <c r="A21" s="19" t="s">
        <v>2613</v>
      </c>
      <c r="E21" s="16"/>
      <c r="F21" s="16"/>
      <c r="G21" s="16"/>
    </row>
    <row r="22">
      <c r="A22" s="19" t="s">
        <v>2614</v>
      </c>
      <c r="E22" s="16"/>
      <c r="F22" s="16"/>
      <c r="G22" s="16"/>
    </row>
    <row r="23">
      <c r="A23" s="19" t="s">
        <v>2616</v>
      </c>
      <c r="E23" s="16"/>
      <c r="F23" s="16"/>
      <c r="G23" s="16"/>
    </row>
    <row r="24">
      <c r="A24" s="19" t="s">
        <v>2618</v>
      </c>
      <c r="E24" s="16"/>
      <c r="F24" s="16"/>
      <c r="G24" s="16"/>
    </row>
    <row r="25">
      <c r="E25" s="16"/>
      <c r="F25" s="16"/>
      <c r="G25" s="16"/>
    </row>
  </sheetData>
  <mergeCells count="10">
    <mergeCell ref="H6:J6"/>
    <mergeCell ref="H7:J7"/>
    <mergeCell ref="H8:J8"/>
    <mergeCell ref="A1:J1"/>
    <mergeCell ref="A2:J2"/>
    <mergeCell ref="A3:J3"/>
    <mergeCell ref="A4:J4"/>
    <mergeCell ref="E5:G5"/>
    <mergeCell ref="H5:J5"/>
    <mergeCell ref="E6:G6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55.13"/>
    <col customWidth="1" min="3" max="3" width="37.75"/>
    <col customWidth="1" min="4" max="4" width="37.5"/>
    <col customWidth="1" min="5" max="5" width="32.25"/>
    <col customWidth="1" min="6" max="6" width="29.63"/>
    <col customWidth="1" min="7" max="7" width="21.0"/>
    <col customWidth="1" min="8" max="8" width="34.13"/>
    <col customWidth="1" min="9" max="9" width="27.38"/>
    <col customWidth="1" min="10" max="10" width="30.13"/>
    <col customWidth="1" min="11" max="11" width="26.0"/>
    <col customWidth="1" min="12" max="12" width="23.0"/>
    <col customWidth="1" min="13" max="13" width="16.63"/>
    <col customWidth="1" min="16" max="16" width="16.63"/>
    <col customWidth="1" min="17" max="17" width="16.75"/>
    <col customWidth="1" min="23" max="23" width="27.75"/>
  </cols>
  <sheetData>
    <row r="1">
      <c r="A1" s="173" t="s">
        <v>2705</v>
      </c>
    </row>
    <row r="2">
      <c r="A2" s="173" t="s">
        <v>2710</v>
      </c>
    </row>
    <row r="3">
      <c r="A3" s="173" t="s">
        <v>10</v>
      </c>
    </row>
    <row r="4">
      <c r="A4" s="170">
        <f>100000+B6+C6+E6+F6+I6+I11+J6+A52+K6+D27+M6+P6</f>
        <v>3040750</v>
      </c>
      <c r="W4" s="14"/>
    </row>
    <row r="5">
      <c r="A5" s="14" t="s">
        <v>24</v>
      </c>
      <c r="B5" s="14" t="s">
        <v>25</v>
      </c>
      <c r="C5" s="14" t="s">
        <v>1137</v>
      </c>
      <c r="D5" s="14" t="s">
        <v>37</v>
      </c>
      <c r="E5" s="14" t="s">
        <v>40</v>
      </c>
      <c r="F5" s="14" t="s">
        <v>43</v>
      </c>
      <c r="I5" s="14" t="s">
        <v>439</v>
      </c>
      <c r="J5" s="14" t="s">
        <v>1646</v>
      </c>
      <c r="K5" s="14" t="s">
        <v>250</v>
      </c>
      <c r="M5" s="22" t="s">
        <v>44</v>
      </c>
      <c r="P5" s="136" t="s">
        <v>33</v>
      </c>
      <c r="W5" s="157"/>
    </row>
    <row r="6">
      <c r="A6" s="19" t="s">
        <v>2722</v>
      </c>
      <c r="B6" s="170">
        <v>-230000.0</v>
      </c>
      <c r="C6" s="170">
        <v>48000.0</v>
      </c>
      <c r="D6" s="19" t="s">
        <v>2723</v>
      </c>
      <c r="E6" s="170">
        <v>35100.0</v>
      </c>
      <c r="F6" s="170">
        <v>20000.0</v>
      </c>
      <c r="I6" s="170">
        <v>-30000.0</v>
      </c>
      <c r="J6" s="170">
        <v>1000.0</v>
      </c>
      <c r="K6" s="168">
        <v>40000.0</v>
      </c>
      <c r="M6" s="137">
        <f>M8</f>
        <v>0</v>
      </c>
      <c r="P6" s="170">
        <f>S11+S15+S19+S22+S25+S28+S31+S34+S37+S40+S43</f>
        <v>35750</v>
      </c>
    </row>
    <row r="7">
      <c r="A7" s="19" t="s">
        <v>2726</v>
      </c>
      <c r="B7" s="61" t="s">
        <v>55</v>
      </c>
      <c r="C7" s="19" t="s">
        <v>2727</v>
      </c>
      <c r="D7" s="19" t="s">
        <v>2728</v>
      </c>
      <c r="E7" s="19" t="s">
        <v>59</v>
      </c>
      <c r="F7" s="19" t="s">
        <v>59</v>
      </c>
      <c r="G7" s="19" t="s">
        <v>2729</v>
      </c>
      <c r="H7" s="19" t="s">
        <v>61</v>
      </c>
      <c r="I7" s="19" t="s">
        <v>62</v>
      </c>
      <c r="J7" s="19" t="s">
        <v>2731</v>
      </c>
      <c r="K7" s="63" t="s">
        <v>297</v>
      </c>
      <c r="L7" s="63" t="s">
        <v>298</v>
      </c>
      <c r="M7" s="38" t="s">
        <v>77</v>
      </c>
      <c r="P7" s="141" t="s">
        <v>64</v>
      </c>
      <c r="Q7" s="141" t="s">
        <v>65</v>
      </c>
      <c r="R7" s="141" t="s">
        <v>66</v>
      </c>
      <c r="S7" s="141" t="s">
        <v>0</v>
      </c>
      <c r="T7" s="141" t="s">
        <v>67</v>
      </c>
    </row>
    <row r="8">
      <c r="A8" s="19" t="s">
        <v>2740</v>
      </c>
      <c r="B8" s="9" t="s">
        <v>210</v>
      </c>
      <c r="C8" s="19" t="s">
        <v>2743</v>
      </c>
      <c r="D8" s="19" t="s">
        <v>2746</v>
      </c>
      <c r="E8" s="19" t="s">
        <v>2749</v>
      </c>
      <c r="F8" s="19" t="s">
        <v>1867</v>
      </c>
      <c r="G8" s="19" t="s">
        <v>2751</v>
      </c>
      <c r="H8" s="19" t="s">
        <v>2753</v>
      </c>
      <c r="I8" s="19" t="s">
        <v>1473</v>
      </c>
      <c r="K8" s="19" t="s">
        <v>330</v>
      </c>
      <c r="L8" s="19" t="s">
        <v>331</v>
      </c>
      <c r="M8" s="142">
        <v>0.0</v>
      </c>
      <c r="P8" s="143" t="s">
        <v>2757</v>
      </c>
      <c r="Q8" s="144" t="s">
        <v>79</v>
      </c>
      <c r="R8" s="144">
        <v>4.0</v>
      </c>
      <c r="S8" s="144">
        <f>R8*1000</f>
        <v>4000</v>
      </c>
      <c r="T8" s="145">
        <f>R8*20</f>
        <v>80</v>
      </c>
    </row>
    <row r="9">
      <c r="A9" s="19" t="s">
        <v>2760</v>
      </c>
      <c r="B9" s="9" t="s">
        <v>232</v>
      </c>
      <c r="C9" s="19" t="s">
        <v>2761</v>
      </c>
      <c r="D9" s="19" t="s">
        <v>2762</v>
      </c>
      <c r="E9" s="19" t="s">
        <v>2764</v>
      </c>
      <c r="F9" s="19" t="s">
        <v>2765</v>
      </c>
      <c r="G9" s="19" t="s">
        <v>2767</v>
      </c>
      <c r="H9" s="19" t="s">
        <v>2768</v>
      </c>
      <c r="I9" s="19" t="s">
        <v>2769</v>
      </c>
      <c r="K9" s="19" t="s">
        <v>366</v>
      </c>
      <c r="L9" s="19" t="s">
        <v>2771</v>
      </c>
      <c r="Q9" s="144" t="s">
        <v>152</v>
      </c>
    </row>
    <row r="10">
      <c r="A10" s="19" t="s">
        <v>2773</v>
      </c>
      <c r="B10" s="9" t="s">
        <v>251</v>
      </c>
      <c r="C10" s="19" t="s">
        <v>2774</v>
      </c>
      <c r="D10" s="19" t="s">
        <v>2775</v>
      </c>
      <c r="E10" s="19" t="s">
        <v>1853</v>
      </c>
      <c r="F10" s="19" t="s">
        <v>2776</v>
      </c>
      <c r="G10" s="19" t="s">
        <v>1791</v>
      </c>
      <c r="H10" s="19" t="s">
        <v>2777</v>
      </c>
      <c r="I10" s="14" t="s">
        <v>2779</v>
      </c>
      <c r="K10" s="19" t="s">
        <v>2780</v>
      </c>
      <c r="L10" s="19" t="s">
        <v>2782</v>
      </c>
      <c r="Q10" s="144" t="s">
        <v>496</v>
      </c>
      <c r="R10" s="144">
        <v>4.0</v>
      </c>
      <c r="S10" s="145">
        <f>R10*1500</f>
        <v>6000</v>
      </c>
      <c r="T10" s="145">
        <f>R10*40</f>
        <v>160</v>
      </c>
    </row>
    <row r="11">
      <c r="A11" s="19" t="s">
        <v>2783</v>
      </c>
      <c r="B11" s="9" t="s">
        <v>278</v>
      </c>
      <c r="C11" s="19" t="s">
        <v>2784</v>
      </c>
      <c r="D11" s="19" t="s">
        <v>2785</v>
      </c>
      <c r="E11" s="19" t="s">
        <v>570</v>
      </c>
      <c r="F11" s="19" t="s">
        <v>831</v>
      </c>
      <c r="G11" s="19" t="s">
        <v>2786</v>
      </c>
      <c r="H11" s="19" t="s">
        <v>2787</v>
      </c>
      <c r="I11" s="170">
        <v>30000.0</v>
      </c>
      <c r="Q11" s="173" t="s">
        <v>94</v>
      </c>
      <c r="S11" s="174">
        <f t="shared" ref="S11:T11" si="1">S8+S10</f>
        <v>10000</v>
      </c>
      <c r="T11" s="174">
        <f t="shared" si="1"/>
        <v>240</v>
      </c>
    </row>
    <row r="12">
      <c r="A12" s="19" t="s">
        <v>2789</v>
      </c>
      <c r="B12" s="9" t="s">
        <v>299</v>
      </c>
      <c r="C12" s="19" t="s">
        <v>2790</v>
      </c>
      <c r="D12" s="19" t="s">
        <v>2791</v>
      </c>
      <c r="E12" s="19" t="s">
        <v>231</v>
      </c>
      <c r="F12" s="19" t="s">
        <v>2792</v>
      </c>
      <c r="G12" s="19" t="s">
        <v>2793</v>
      </c>
      <c r="H12" s="19" t="s">
        <v>2794</v>
      </c>
      <c r="I12" s="19" t="s">
        <v>2795</v>
      </c>
      <c r="P12" s="143" t="s">
        <v>2796</v>
      </c>
      <c r="Q12" s="144" t="s">
        <v>79</v>
      </c>
      <c r="R12" s="144">
        <v>1.0</v>
      </c>
      <c r="S12" s="144">
        <f>R12*1000</f>
        <v>1000</v>
      </c>
      <c r="T12" s="145">
        <f>R12*20</f>
        <v>20</v>
      </c>
    </row>
    <row r="13">
      <c r="A13" s="19" t="s">
        <v>2797</v>
      </c>
      <c r="B13" s="9" t="s">
        <v>326</v>
      </c>
      <c r="C13" s="19" t="s">
        <v>2798</v>
      </c>
      <c r="D13" s="19" t="s">
        <v>2799</v>
      </c>
      <c r="E13" s="19" t="s">
        <v>703</v>
      </c>
      <c r="F13" s="19" t="s">
        <v>2800</v>
      </c>
      <c r="G13" s="19" t="s">
        <v>2801</v>
      </c>
      <c r="H13" s="19" t="s">
        <v>2802</v>
      </c>
      <c r="I13" s="19" t="s">
        <v>2803</v>
      </c>
      <c r="Q13" s="144" t="s">
        <v>152</v>
      </c>
    </row>
    <row r="14">
      <c r="A14" s="19" t="s">
        <v>2804</v>
      </c>
      <c r="B14" s="9" t="s">
        <v>347</v>
      </c>
      <c r="C14" s="19" t="s">
        <v>2805</v>
      </c>
      <c r="D14" s="19" t="s">
        <v>2806</v>
      </c>
      <c r="E14" s="19" t="s">
        <v>266</v>
      </c>
      <c r="F14" s="19" t="s">
        <v>114</v>
      </c>
      <c r="G14" s="19" t="s">
        <v>2809</v>
      </c>
      <c r="Q14" s="144" t="s">
        <v>496</v>
      </c>
      <c r="R14" s="144">
        <v>3.0</v>
      </c>
      <c r="S14" s="145">
        <f>R14*1500</f>
        <v>4500</v>
      </c>
      <c r="T14" s="145">
        <f>R14*40</f>
        <v>120</v>
      </c>
    </row>
    <row r="15">
      <c r="A15" s="19" t="s">
        <v>2813</v>
      </c>
      <c r="B15" s="9" t="s">
        <v>369</v>
      </c>
      <c r="C15" s="19" t="s">
        <v>2814</v>
      </c>
      <c r="D15" s="19" t="s">
        <v>2815</v>
      </c>
      <c r="E15" s="19" t="s">
        <v>284</v>
      </c>
      <c r="F15" s="19" t="s">
        <v>2818</v>
      </c>
      <c r="G15" s="19" t="s">
        <v>1210</v>
      </c>
      <c r="Q15" s="173" t="s">
        <v>94</v>
      </c>
      <c r="S15" s="174">
        <f t="shared" ref="S15:T15" si="2">S12+S14</f>
        <v>5500</v>
      </c>
      <c r="T15" s="174">
        <f t="shared" si="2"/>
        <v>140</v>
      </c>
    </row>
    <row r="16">
      <c r="A16" s="19" t="s">
        <v>2822</v>
      </c>
      <c r="B16" s="61" t="s">
        <v>170</v>
      </c>
      <c r="C16" s="19" t="s">
        <v>2823</v>
      </c>
      <c r="D16" s="19" t="s">
        <v>2824</v>
      </c>
      <c r="E16" s="19" t="s">
        <v>2825</v>
      </c>
      <c r="F16" s="19" t="s">
        <v>494</v>
      </c>
      <c r="G16" s="19" t="s">
        <v>2826</v>
      </c>
      <c r="P16" s="143" t="s">
        <v>2827</v>
      </c>
      <c r="Q16" s="144" t="s">
        <v>152</v>
      </c>
    </row>
    <row r="17">
      <c r="A17" s="19" t="s">
        <v>2828</v>
      </c>
      <c r="B17" s="9" t="s">
        <v>177</v>
      </c>
      <c r="C17" s="19" t="s">
        <v>2829</v>
      </c>
      <c r="D17" s="19" t="s">
        <v>2830</v>
      </c>
      <c r="E17" s="19" t="s">
        <v>1285</v>
      </c>
      <c r="F17" s="19" t="s">
        <v>859</v>
      </c>
      <c r="G17" s="19" t="s">
        <v>2831</v>
      </c>
      <c r="Q17" s="144" t="s">
        <v>327</v>
      </c>
      <c r="R17" s="144">
        <v>1.0</v>
      </c>
      <c r="S17" s="145">
        <f t="shared" ref="S17:S18" si="3">R17*1500</f>
        <v>1500</v>
      </c>
      <c r="T17" s="145">
        <f t="shared" ref="T17:T18" si="4">R17*40</f>
        <v>40</v>
      </c>
    </row>
    <row r="18">
      <c r="A18" s="19" t="s">
        <v>2832</v>
      </c>
      <c r="B18" s="61" t="s">
        <v>196</v>
      </c>
      <c r="C18" s="19" t="s">
        <v>2201</v>
      </c>
      <c r="D18" s="19" t="s">
        <v>2833</v>
      </c>
      <c r="E18" s="19" t="s">
        <v>371</v>
      </c>
      <c r="F18" s="19" t="s">
        <v>173</v>
      </c>
      <c r="Q18" s="144" t="s">
        <v>1845</v>
      </c>
      <c r="R18" s="144">
        <v>1.0</v>
      </c>
      <c r="S18" s="145">
        <f t="shared" si="3"/>
        <v>1500</v>
      </c>
      <c r="T18" s="145">
        <f t="shared" si="4"/>
        <v>40</v>
      </c>
    </row>
    <row r="19">
      <c r="A19" s="19" t="s">
        <v>2834</v>
      </c>
      <c r="B19" s="9" t="s">
        <v>177</v>
      </c>
      <c r="C19" s="19" t="s">
        <v>2835</v>
      </c>
      <c r="D19" s="19" t="s">
        <v>2836</v>
      </c>
      <c r="E19" s="19" t="s">
        <v>284</v>
      </c>
      <c r="F19" s="19" t="s">
        <v>1193</v>
      </c>
      <c r="Q19" s="173" t="s">
        <v>94</v>
      </c>
      <c r="S19" s="174">
        <f t="shared" ref="S19:T19" si="5">S17+S18</f>
        <v>3000</v>
      </c>
      <c r="T19" s="174">
        <f t="shared" si="5"/>
        <v>80</v>
      </c>
    </row>
    <row r="20">
      <c r="A20" s="19" t="s">
        <v>2837</v>
      </c>
      <c r="C20" s="19" t="s">
        <v>2838</v>
      </c>
      <c r="D20" s="19" t="s">
        <v>2839</v>
      </c>
      <c r="E20" s="19" t="s">
        <v>2840</v>
      </c>
      <c r="F20" s="19" t="s">
        <v>2841</v>
      </c>
      <c r="P20" s="143" t="s">
        <v>2842</v>
      </c>
      <c r="Q20" s="144" t="s">
        <v>152</v>
      </c>
    </row>
    <row r="21">
      <c r="A21" s="19" t="s">
        <v>2843</v>
      </c>
      <c r="C21" s="19" t="s">
        <v>2844</v>
      </c>
      <c r="E21" s="19" t="s">
        <v>505</v>
      </c>
      <c r="F21" s="19" t="s">
        <v>2776</v>
      </c>
      <c r="Q21" s="144" t="s">
        <v>496</v>
      </c>
      <c r="R21" s="144">
        <v>1.5</v>
      </c>
      <c r="S21" s="145">
        <f>R21*1500</f>
        <v>2250</v>
      </c>
      <c r="T21" s="145">
        <f>R21*40</f>
        <v>60</v>
      </c>
    </row>
    <row r="22">
      <c r="A22" s="19" t="s">
        <v>2846</v>
      </c>
      <c r="C22" s="19" t="s">
        <v>2847</v>
      </c>
      <c r="E22" s="19" t="s">
        <v>371</v>
      </c>
      <c r="F22" s="19" t="s">
        <v>831</v>
      </c>
      <c r="Q22" s="173" t="s">
        <v>94</v>
      </c>
      <c r="S22" s="174">
        <f t="shared" ref="S22:T22" si="6">S21</f>
        <v>2250</v>
      </c>
      <c r="T22" s="174">
        <f t="shared" si="6"/>
        <v>60</v>
      </c>
    </row>
    <row r="23">
      <c r="A23" s="19" t="s">
        <v>2850</v>
      </c>
      <c r="C23" s="19" t="s">
        <v>124</v>
      </c>
      <c r="E23" s="19" t="s">
        <v>2852</v>
      </c>
      <c r="F23" s="19" t="s">
        <v>2760</v>
      </c>
      <c r="P23" s="143" t="s">
        <v>2855</v>
      </c>
      <c r="Q23" s="144" t="s">
        <v>152</v>
      </c>
    </row>
    <row r="24">
      <c r="A24" s="28" t="s">
        <v>2858</v>
      </c>
      <c r="C24" s="19" t="s">
        <v>2861</v>
      </c>
      <c r="E24" s="19" t="s">
        <v>2863</v>
      </c>
      <c r="F24" s="19" t="s">
        <v>139</v>
      </c>
      <c r="Q24" s="144" t="s">
        <v>496</v>
      </c>
      <c r="R24" s="144">
        <v>2.5</v>
      </c>
      <c r="S24" s="145">
        <f>R24*1500</f>
        <v>3750</v>
      </c>
      <c r="T24" s="145">
        <f>R24*40</f>
        <v>100</v>
      </c>
    </row>
    <row r="25">
      <c r="A25" s="19" t="s">
        <v>2866</v>
      </c>
      <c r="C25" s="19" t="s">
        <v>1172</v>
      </c>
      <c r="E25" s="19" t="s">
        <v>398</v>
      </c>
      <c r="F25" s="19" t="s">
        <v>859</v>
      </c>
      <c r="Q25" s="173" t="s">
        <v>94</v>
      </c>
      <c r="S25" s="174">
        <f t="shared" ref="S25:T25" si="7">S24</f>
        <v>3750</v>
      </c>
      <c r="T25" s="174">
        <f t="shared" si="7"/>
        <v>100</v>
      </c>
    </row>
    <row r="26">
      <c r="A26" s="19" t="s">
        <v>2871</v>
      </c>
      <c r="C26" s="19" t="s">
        <v>2873</v>
      </c>
      <c r="D26" s="14" t="s">
        <v>314</v>
      </c>
      <c r="E26" s="19" t="s">
        <v>1738</v>
      </c>
      <c r="F26" s="19" t="s">
        <v>2876</v>
      </c>
      <c r="P26" s="143" t="s">
        <v>2877</v>
      </c>
      <c r="Q26" s="144" t="s">
        <v>152</v>
      </c>
    </row>
    <row r="27">
      <c r="A27" s="19" t="s">
        <v>2878</v>
      </c>
      <c r="C27" s="19" t="s">
        <v>482</v>
      </c>
      <c r="D27" s="168">
        <v>50000.0</v>
      </c>
      <c r="E27" s="19" t="s">
        <v>505</v>
      </c>
      <c r="F27" s="19" t="s">
        <v>2776</v>
      </c>
      <c r="Q27" s="144" t="s">
        <v>496</v>
      </c>
      <c r="R27" s="144">
        <v>0.5</v>
      </c>
      <c r="S27" s="145">
        <f>R27*1500</f>
        <v>750</v>
      </c>
      <c r="T27" s="145">
        <f>R27*40</f>
        <v>20</v>
      </c>
    </row>
    <row r="28">
      <c r="A28" s="19" t="s">
        <v>2880</v>
      </c>
      <c r="C28" s="19" t="s">
        <v>2881</v>
      </c>
      <c r="D28" s="9" t="s">
        <v>681</v>
      </c>
      <c r="E28" s="19" t="s">
        <v>1731</v>
      </c>
      <c r="F28" s="19" t="s">
        <v>368</v>
      </c>
      <c r="Q28" s="173" t="s">
        <v>94</v>
      </c>
      <c r="S28" s="174">
        <f t="shared" ref="S28:T28" si="8">S27</f>
        <v>750</v>
      </c>
      <c r="T28" s="174">
        <f t="shared" si="8"/>
        <v>20</v>
      </c>
    </row>
    <row r="29">
      <c r="A29" s="19" t="s">
        <v>2886</v>
      </c>
      <c r="C29" s="19" t="s">
        <v>2887</v>
      </c>
      <c r="D29" s="9" t="s">
        <v>2888</v>
      </c>
      <c r="E29" s="19" t="s">
        <v>445</v>
      </c>
      <c r="F29" s="19" t="s">
        <v>2889</v>
      </c>
      <c r="P29" s="143" t="s">
        <v>2891</v>
      </c>
      <c r="Q29" s="144" t="s">
        <v>152</v>
      </c>
    </row>
    <row r="30">
      <c r="A30" s="19" t="s">
        <v>2895</v>
      </c>
      <c r="C30" s="19" t="s">
        <v>422</v>
      </c>
      <c r="E30" s="19" t="s">
        <v>1731</v>
      </c>
      <c r="F30" s="19" t="s">
        <v>139</v>
      </c>
      <c r="Q30" s="144" t="s">
        <v>496</v>
      </c>
      <c r="R30" s="144">
        <v>2.0</v>
      </c>
      <c r="S30" s="145">
        <f>R30*1500</f>
        <v>3000</v>
      </c>
      <c r="T30" s="145">
        <f>R30*40</f>
        <v>80</v>
      </c>
    </row>
    <row r="31">
      <c r="A31" s="19" t="s">
        <v>2905</v>
      </c>
      <c r="C31" s="19" t="s">
        <v>1817</v>
      </c>
      <c r="E31" s="19" t="s">
        <v>2907</v>
      </c>
      <c r="F31" s="19" t="s">
        <v>206</v>
      </c>
      <c r="Q31" s="173" t="s">
        <v>94</v>
      </c>
      <c r="S31" s="174">
        <f t="shared" ref="S31:T31" si="9">S30</f>
        <v>3000</v>
      </c>
      <c r="T31" s="174">
        <f t="shared" si="9"/>
        <v>80</v>
      </c>
    </row>
    <row r="32">
      <c r="A32" s="28" t="s">
        <v>2911</v>
      </c>
      <c r="C32" s="19" t="s">
        <v>2912</v>
      </c>
      <c r="E32" s="19" t="s">
        <v>1746</v>
      </c>
      <c r="F32" s="19" t="s">
        <v>2913</v>
      </c>
      <c r="P32" s="143" t="s">
        <v>2914</v>
      </c>
      <c r="Q32" s="144" t="s">
        <v>152</v>
      </c>
    </row>
    <row r="33">
      <c r="A33" s="28" t="s">
        <v>2915</v>
      </c>
      <c r="C33" s="19" t="s">
        <v>2917</v>
      </c>
      <c r="E33" s="19" t="s">
        <v>593</v>
      </c>
      <c r="F33" s="19" t="s">
        <v>139</v>
      </c>
      <c r="Q33" s="144" t="s">
        <v>496</v>
      </c>
      <c r="R33" s="144">
        <v>3.0</v>
      </c>
      <c r="S33" s="145">
        <f>R33*1500</f>
        <v>4500</v>
      </c>
      <c r="T33" s="145">
        <f>R33*40</f>
        <v>120</v>
      </c>
    </row>
    <row r="34">
      <c r="A34" s="28" t="s">
        <v>2921</v>
      </c>
      <c r="C34" s="19" t="s">
        <v>2923</v>
      </c>
      <c r="E34" s="19" t="s">
        <v>266</v>
      </c>
      <c r="F34" s="19" t="s">
        <v>1193</v>
      </c>
      <c r="Q34" s="173" t="s">
        <v>94</v>
      </c>
      <c r="S34" s="174">
        <f t="shared" ref="S34:T34" si="10">S33</f>
        <v>4500</v>
      </c>
      <c r="T34" s="174">
        <f t="shared" si="10"/>
        <v>120</v>
      </c>
    </row>
    <row r="35">
      <c r="A35" s="28" t="s">
        <v>2928</v>
      </c>
      <c r="E35" s="19" t="s">
        <v>636</v>
      </c>
      <c r="F35" s="19" t="s">
        <v>374</v>
      </c>
      <c r="P35" s="143" t="s">
        <v>2804</v>
      </c>
      <c r="Q35" s="144" t="s">
        <v>152</v>
      </c>
    </row>
    <row r="36">
      <c r="A36" s="28" t="s">
        <v>2936</v>
      </c>
      <c r="E36" s="79" t="s">
        <v>1348</v>
      </c>
      <c r="F36" s="19" t="s">
        <v>1570</v>
      </c>
      <c r="Q36" s="144" t="s">
        <v>496</v>
      </c>
      <c r="R36" s="144">
        <v>0.5</v>
      </c>
      <c r="S36" s="145">
        <f>R36*1500</f>
        <v>750</v>
      </c>
      <c r="T36" s="145">
        <f>R36*40</f>
        <v>20</v>
      </c>
    </row>
    <row r="37">
      <c r="A37" s="28" t="s">
        <v>2939</v>
      </c>
      <c r="F37" s="19" t="s">
        <v>2942</v>
      </c>
      <c r="Q37" s="173" t="s">
        <v>94</v>
      </c>
      <c r="S37" s="174">
        <f t="shared" ref="S37:T37" si="11">S36</f>
        <v>750</v>
      </c>
      <c r="T37" s="174">
        <f t="shared" si="11"/>
        <v>20</v>
      </c>
    </row>
    <row r="38">
      <c r="A38" s="28" t="s">
        <v>2943</v>
      </c>
      <c r="E38" s="63" t="s">
        <v>1350</v>
      </c>
      <c r="F38" s="19" t="s">
        <v>374</v>
      </c>
      <c r="P38" s="143" t="s">
        <v>2945</v>
      </c>
      <c r="Q38" s="144" t="s">
        <v>152</v>
      </c>
    </row>
    <row r="39">
      <c r="A39" s="19" t="s">
        <v>2946</v>
      </c>
      <c r="E39" s="19" t="s">
        <v>2757</v>
      </c>
      <c r="F39" s="19" t="s">
        <v>1242</v>
      </c>
      <c r="Q39" s="144" t="s">
        <v>496</v>
      </c>
      <c r="R39" s="144">
        <v>0.5</v>
      </c>
      <c r="S39" s="145">
        <f>R39*1500</f>
        <v>750</v>
      </c>
      <c r="T39" s="145">
        <f>R39*40</f>
        <v>20</v>
      </c>
    </row>
    <row r="40">
      <c r="E40" s="19" t="s">
        <v>2950</v>
      </c>
      <c r="F40" s="19" t="s">
        <v>2951</v>
      </c>
      <c r="Q40" s="173" t="s">
        <v>94</v>
      </c>
      <c r="S40" s="174">
        <f t="shared" ref="S40:T40" si="12">S39</f>
        <v>750</v>
      </c>
      <c r="T40" s="174">
        <f t="shared" si="12"/>
        <v>20</v>
      </c>
    </row>
    <row r="41">
      <c r="E41" s="63" t="s">
        <v>2953</v>
      </c>
      <c r="F41" s="19" t="s">
        <v>2776</v>
      </c>
      <c r="P41" s="231" t="s">
        <v>2954</v>
      </c>
      <c r="Q41" s="144" t="s">
        <v>152</v>
      </c>
    </row>
    <row r="42">
      <c r="E42" s="63" t="s">
        <v>2955</v>
      </c>
      <c r="F42" s="19" t="s">
        <v>1945</v>
      </c>
      <c r="Q42" s="144" t="s">
        <v>2956</v>
      </c>
      <c r="R42" s="144">
        <v>1.0</v>
      </c>
      <c r="S42" s="145">
        <f>R42*1500</f>
        <v>1500</v>
      </c>
      <c r="T42" s="145">
        <f>R42*40</f>
        <v>40</v>
      </c>
    </row>
    <row r="43">
      <c r="E43" s="19"/>
      <c r="F43" s="19" t="s">
        <v>374</v>
      </c>
      <c r="Q43" s="173" t="s">
        <v>94</v>
      </c>
      <c r="S43" s="174">
        <f t="shared" ref="S43:T43" si="13">S42</f>
        <v>1500</v>
      </c>
      <c r="T43" s="174">
        <f t="shared" si="13"/>
        <v>40</v>
      </c>
    </row>
    <row r="44">
      <c r="E44" s="19"/>
      <c r="F44" s="19" t="s">
        <v>1570</v>
      </c>
    </row>
    <row r="45">
      <c r="E45" s="19"/>
      <c r="F45" s="19" t="s">
        <v>2960</v>
      </c>
    </row>
    <row r="46">
      <c r="E46" s="19"/>
      <c r="F46" s="19" t="s">
        <v>139</v>
      </c>
    </row>
    <row r="47">
      <c r="E47" s="19"/>
      <c r="F47" s="19" t="s">
        <v>1570</v>
      </c>
    </row>
    <row r="48">
      <c r="F48" s="19"/>
      <c r="G48" s="19"/>
    </row>
    <row r="49">
      <c r="F49" s="19"/>
      <c r="G49" s="19"/>
    </row>
    <row r="51">
      <c r="A51" s="81" t="s">
        <v>504</v>
      </c>
    </row>
    <row r="52">
      <c r="A52" s="81">
        <f>A54+A69+A81+A93+A109+A121+A140+A182</f>
        <v>2940900</v>
      </c>
      <c r="F52" s="63"/>
    </row>
    <row r="53">
      <c r="A53" s="84" t="s">
        <v>520</v>
      </c>
    </row>
    <row r="54">
      <c r="A54" s="84">
        <v>22000.0</v>
      </c>
    </row>
    <row r="55">
      <c r="A55" s="84">
        <v>2026.0</v>
      </c>
    </row>
    <row r="56">
      <c r="A56" s="86" t="s">
        <v>526</v>
      </c>
      <c r="B56" s="86" t="s">
        <v>528</v>
      </c>
      <c r="C56" s="86" t="s">
        <v>529</v>
      </c>
      <c r="D56" s="86" t="s">
        <v>531</v>
      </c>
      <c r="E56" s="86" t="s">
        <v>533</v>
      </c>
    </row>
    <row r="57">
      <c r="B57" s="63" t="s">
        <v>2969</v>
      </c>
      <c r="C57" s="63" t="s">
        <v>2971</v>
      </c>
      <c r="D57" s="63" t="s">
        <v>2025</v>
      </c>
    </row>
    <row r="58">
      <c r="B58" s="19" t="s">
        <v>2972</v>
      </c>
      <c r="C58" s="19" t="s">
        <v>2973</v>
      </c>
      <c r="D58" s="19" t="s">
        <v>2974</v>
      </c>
    </row>
    <row r="59">
      <c r="B59" s="19" t="s">
        <v>590</v>
      </c>
      <c r="C59" s="19" t="s">
        <v>624</v>
      </c>
      <c r="D59" s="19" t="s">
        <v>1367</v>
      </c>
    </row>
    <row r="60">
      <c r="B60" s="232" t="s">
        <v>2976</v>
      </c>
      <c r="C60" s="19" t="s">
        <v>2979</v>
      </c>
      <c r="D60" s="19" t="s">
        <v>950</v>
      </c>
    </row>
    <row r="61">
      <c r="B61" s="232" t="s">
        <v>624</v>
      </c>
      <c r="C61" s="19" t="s">
        <v>573</v>
      </c>
    </row>
    <row r="62">
      <c r="B62" s="19" t="s">
        <v>2980</v>
      </c>
      <c r="C62" s="19" t="s">
        <v>932</v>
      </c>
    </row>
    <row r="63">
      <c r="B63" s="19" t="s">
        <v>1027</v>
      </c>
      <c r="C63" s="19" t="s">
        <v>2981</v>
      </c>
    </row>
    <row r="64">
      <c r="C64" s="19" t="s">
        <v>947</v>
      </c>
    </row>
    <row r="65">
      <c r="C65" s="19" t="s">
        <v>2983</v>
      </c>
    </row>
    <row r="66">
      <c r="C66" s="19" t="s">
        <v>683</v>
      </c>
    </row>
    <row r="67">
      <c r="A67" s="87"/>
    </row>
    <row r="68">
      <c r="A68" s="88" t="s">
        <v>978</v>
      </c>
    </row>
    <row r="69">
      <c r="A69" s="88">
        <v>26250.0</v>
      </c>
    </row>
    <row r="70">
      <c r="A70" s="89">
        <v>2026.0</v>
      </c>
    </row>
    <row r="71">
      <c r="A71" s="86" t="s">
        <v>550</v>
      </c>
      <c r="B71" s="86" t="s">
        <v>551</v>
      </c>
      <c r="C71" s="86" t="s">
        <v>552</v>
      </c>
      <c r="D71" s="86" t="s">
        <v>554</v>
      </c>
      <c r="E71" s="86" t="s">
        <v>555</v>
      </c>
      <c r="F71" s="86" t="s">
        <v>557</v>
      </c>
    </row>
    <row r="72">
      <c r="A72" s="63" t="s">
        <v>2988</v>
      </c>
      <c r="D72" s="63" t="s">
        <v>2990</v>
      </c>
      <c r="E72" s="63" t="s">
        <v>2991</v>
      </c>
      <c r="F72" s="63" t="s">
        <v>2993</v>
      </c>
    </row>
    <row r="73">
      <c r="A73" s="19" t="s">
        <v>2995</v>
      </c>
      <c r="D73" s="19" t="s">
        <v>2996</v>
      </c>
      <c r="E73" s="19" t="s">
        <v>2974</v>
      </c>
      <c r="F73" s="19" t="s">
        <v>2997</v>
      </c>
    </row>
    <row r="74">
      <c r="A74" s="19" t="s">
        <v>572</v>
      </c>
      <c r="D74" s="19" t="s">
        <v>572</v>
      </c>
      <c r="E74" s="19" t="s">
        <v>624</v>
      </c>
      <c r="F74" s="19" t="s">
        <v>610</v>
      </c>
    </row>
    <row r="75">
      <c r="A75" s="19" t="s">
        <v>2999</v>
      </c>
      <c r="D75" s="19" t="s">
        <v>1059</v>
      </c>
      <c r="E75" s="19" t="s">
        <v>949</v>
      </c>
      <c r="F75" s="19" t="s">
        <v>927</v>
      </c>
    </row>
    <row r="76">
      <c r="A76" s="19" t="s">
        <v>927</v>
      </c>
      <c r="E76" s="19" t="s">
        <v>3001</v>
      </c>
      <c r="F76" s="19" t="s">
        <v>595</v>
      </c>
    </row>
    <row r="77">
      <c r="A77" s="19" t="s">
        <v>578</v>
      </c>
      <c r="E77" s="19" t="s">
        <v>1596</v>
      </c>
    </row>
    <row r="78">
      <c r="E78" s="19" t="s">
        <v>1374</v>
      </c>
    </row>
    <row r="79">
      <c r="A79" s="87"/>
    </row>
    <row r="80">
      <c r="A80" s="2" t="s">
        <v>635</v>
      </c>
    </row>
    <row r="81">
      <c r="A81" s="2">
        <v>43900.0</v>
      </c>
    </row>
    <row r="82">
      <c r="A82" s="39">
        <v>2026.0</v>
      </c>
    </row>
    <row r="83">
      <c r="A83" s="92" t="s">
        <v>3002</v>
      </c>
    </row>
    <row r="84">
      <c r="A84" s="86" t="s">
        <v>646</v>
      </c>
      <c r="B84" s="86" t="s">
        <v>647</v>
      </c>
      <c r="C84" s="86" t="s">
        <v>648</v>
      </c>
      <c r="D84" s="86" t="s">
        <v>651</v>
      </c>
      <c r="E84" s="86" t="s">
        <v>653</v>
      </c>
      <c r="F84" s="86" t="s">
        <v>654</v>
      </c>
      <c r="G84" s="86" t="s">
        <v>655</v>
      </c>
      <c r="H84" s="86" t="s">
        <v>657</v>
      </c>
    </row>
    <row r="85">
      <c r="A85" s="79" t="s">
        <v>667</v>
      </c>
      <c r="B85" s="79" t="s">
        <v>3003</v>
      </c>
      <c r="C85" s="79" t="s">
        <v>667</v>
      </c>
      <c r="D85" s="79" t="s">
        <v>671</v>
      </c>
      <c r="E85" s="79" t="s">
        <v>3004</v>
      </c>
      <c r="F85" s="79" t="s">
        <v>1304</v>
      </c>
      <c r="G85" s="79" t="s">
        <v>1015</v>
      </c>
      <c r="H85" s="79" t="s">
        <v>1304</v>
      </c>
    </row>
    <row r="86">
      <c r="B86" s="19" t="s">
        <v>2757</v>
      </c>
      <c r="D86" s="19" t="s">
        <v>2996</v>
      </c>
      <c r="E86" s="19" t="s">
        <v>3005</v>
      </c>
      <c r="F86" s="19" t="s">
        <v>2997</v>
      </c>
      <c r="G86" s="19" t="s">
        <v>3006</v>
      </c>
      <c r="H86" s="19" t="s">
        <v>3007</v>
      </c>
    </row>
    <row r="87">
      <c r="B87" s="19" t="s">
        <v>574</v>
      </c>
      <c r="D87" s="19" t="s">
        <v>573</v>
      </c>
      <c r="E87" s="19" t="s">
        <v>693</v>
      </c>
      <c r="F87" s="19" t="s">
        <v>572</v>
      </c>
      <c r="G87" s="19" t="s">
        <v>573</v>
      </c>
      <c r="H87" s="19" t="s">
        <v>572</v>
      </c>
    </row>
    <row r="88">
      <c r="B88" s="19" t="s">
        <v>690</v>
      </c>
      <c r="D88" s="19" t="s">
        <v>2796</v>
      </c>
      <c r="E88" s="19" t="s">
        <v>1135</v>
      </c>
      <c r="F88" s="19" t="s">
        <v>3009</v>
      </c>
      <c r="G88" s="19" t="s">
        <v>695</v>
      </c>
      <c r="H88" s="19" t="s">
        <v>3010</v>
      </c>
    </row>
    <row r="89">
      <c r="B89" s="19" t="s">
        <v>3012</v>
      </c>
      <c r="D89" s="19" t="s">
        <v>572</v>
      </c>
      <c r="F89" s="19" t="s">
        <v>572</v>
      </c>
      <c r="H89" s="19" t="s">
        <v>572</v>
      </c>
    </row>
    <row r="90">
      <c r="B90" s="19" t="s">
        <v>572</v>
      </c>
      <c r="D90" s="19" t="s">
        <v>652</v>
      </c>
    </row>
    <row r="91">
      <c r="B91" s="19" t="s">
        <v>690</v>
      </c>
    </row>
    <row r="92">
      <c r="A92" s="94" t="s">
        <v>719</v>
      </c>
    </row>
    <row r="93">
      <c r="A93" s="94">
        <f>A96</f>
        <v>58800</v>
      </c>
    </row>
    <row r="94">
      <c r="A94" s="94">
        <v>2026.0</v>
      </c>
    </row>
    <row r="95">
      <c r="A95" s="94" t="s">
        <v>724</v>
      </c>
    </row>
    <row r="96">
      <c r="A96" s="94">
        <f>A99+B99+C99+D99+E99+F99+G99+H99</f>
        <v>58800</v>
      </c>
    </row>
    <row r="97">
      <c r="A97" s="86" t="s">
        <v>731</v>
      </c>
      <c r="B97" s="86" t="s">
        <v>733</v>
      </c>
      <c r="C97" s="86" t="s">
        <v>735</v>
      </c>
      <c r="D97" s="86" t="s">
        <v>736</v>
      </c>
      <c r="E97" s="86" t="s">
        <v>737</v>
      </c>
      <c r="F97" s="86" t="s">
        <v>738</v>
      </c>
      <c r="G97" s="86" t="s">
        <v>740</v>
      </c>
      <c r="H97" s="86" t="s">
        <v>741</v>
      </c>
    </row>
    <row r="98">
      <c r="A98" s="14" t="s">
        <v>667</v>
      </c>
      <c r="B98" s="14" t="s">
        <v>667</v>
      </c>
      <c r="C98" s="14" t="s">
        <v>667</v>
      </c>
      <c r="D98" s="14" t="s">
        <v>667</v>
      </c>
      <c r="E98" s="14" t="s">
        <v>667</v>
      </c>
      <c r="F98" s="14" t="s">
        <v>667</v>
      </c>
      <c r="G98" s="14" t="s">
        <v>667</v>
      </c>
      <c r="H98" s="14" t="s">
        <v>667</v>
      </c>
    </row>
    <row r="99">
      <c r="A99" s="86">
        <v>0.0</v>
      </c>
      <c r="B99" s="86">
        <v>0.0</v>
      </c>
      <c r="C99" s="86">
        <v>2000.0</v>
      </c>
      <c r="D99" s="86">
        <v>11500.0</v>
      </c>
      <c r="E99" s="86">
        <v>41300.0</v>
      </c>
      <c r="F99" s="86">
        <v>500.0</v>
      </c>
      <c r="G99" s="86">
        <v>3500.0</v>
      </c>
      <c r="H99" s="86">
        <v>0.0</v>
      </c>
    </row>
    <row r="100">
      <c r="C100" s="46" t="s">
        <v>3021</v>
      </c>
      <c r="D100" s="19" t="s">
        <v>3005</v>
      </c>
      <c r="E100" s="19" t="s">
        <v>2995</v>
      </c>
      <c r="F100" s="19" t="s">
        <v>3022</v>
      </c>
      <c r="G100" s="19" t="s">
        <v>3024</v>
      </c>
    </row>
    <row r="101">
      <c r="C101" s="46" t="s">
        <v>753</v>
      </c>
      <c r="D101" s="19" t="s">
        <v>3026</v>
      </c>
      <c r="E101" s="19" t="s">
        <v>776</v>
      </c>
      <c r="F101" s="19" t="s">
        <v>572</v>
      </c>
      <c r="G101" s="19" t="s">
        <v>1260</v>
      </c>
    </row>
    <row r="102">
      <c r="D102" s="19" t="s">
        <v>2796</v>
      </c>
      <c r="E102" s="19" t="s">
        <v>764</v>
      </c>
    </row>
    <row r="103">
      <c r="D103" s="19" t="s">
        <v>3028</v>
      </c>
      <c r="E103" s="19" t="s">
        <v>3029</v>
      </c>
    </row>
    <row r="104">
      <c r="D104" s="19" t="s">
        <v>3030</v>
      </c>
      <c r="E104" s="19" t="s">
        <v>758</v>
      </c>
    </row>
    <row r="105">
      <c r="D105" s="19" t="s">
        <v>776</v>
      </c>
      <c r="E105" s="19" t="s">
        <v>764</v>
      </c>
    </row>
    <row r="108">
      <c r="A108" s="226" t="s">
        <v>1060</v>
      </c>
    </row>
    <row r="109">
      <c r="A109" s="226">
        <f>A112</f>
        <v>3000</v>
      </c>
    </row>
    <row r="110">
      <c r="A110" s="226">
        <v>2026.0</v>
      </c>
    </row>
    <row r="111">
      <c r="A111" s="226" t="s">
        <v>724</v>
      </c>
    </row>
    <row r="112">
      <c r="A112" s="227">
        <f>A115+B115+C115+D115+E115+F115+G115+H115+I115+J115</f>
        <v>3000</v>
      </c>
    </row>
    <row r="113">
      <c r="A113" s="223" t="s">
        <v>812</v>
      </c>
      <c r="B113" s="223" t="s">
        <v>815</v>
      </c>
      <c r="C113" s="223" t="s">
        <v>817</v>
      </c>
      <c r="D113" s="223" t="s">
        <v>819</v>
      </c>
      <c r="E113" s="223" t="s">
        <v>821</v>
      </c>
      <c r="F113" s="223" t="s">
        <v>822</v>
      </c>
      <c r="G113" s="100" t="s">
        <v>823</v>
      </c>
      <c r="H113" s="100" t="s">
        <v>825</v>
      </c>
      <c r="I113" s="101" t="s">
        <v>827</v>
      </c>
      <c r="J113" s="101" t="s">
        <v>829</v>
      </c>
    </row>
    <row r="114">
      <c r="A114" s="228" t="s">
        <v>667</v>
      </c>
      <c r="B114" s="228" t="s">
        <v>667</v>
      </c>
      <c r="C114" s="228" t="s">
        <v>667</v>
      </c>
      <c r="D114" s="228" t="s">
        <v>667</v>
      </c>
      <c r="E114" s="228" t="s">
        <v>667</v>
      </c>
      <c r="F114" s="228" t="s">
        <v>667</v>
      </c>
      <c r="G114" s="38" t="s">
        <v>667</v>
      </c>
      <c r="H114" s="38" t="s">
        <v>667</v>
      </c>
      <c r="I114" s="38" t="s">
        <v>667</v>
      </c>
      <c r="J114" s="38" t="s">
        <v>667</v>
      </c>
    </row>
    <row r="115">
      <c r="A115" s="223">
        <v>0.0</v>
      </c>
      <c r="B115" s="223">
        <v>0.0</v>
      </c>
      <c r="C115" s="223">
        <v>0.0</v>
      </c>
      <c r="D115" s="102">
        <v>3000.0</v>
      </c>
      <c r="E115" s="223">
        <v>0.0</v>
      </c>
      <c r="F115" s="223">
        <v>0.0</v>
      </c>
      <c r="G115" s="100">
        <v>0.0</v>
      </c>
      <c r="H115" s="100">
        <v>0.0</v>
      </c>
      <c r="I115" s="100">
        <v>0.0</v>
      </c>
      <c r="J115" s="100">
        <v>0.0</v>
      </c>
    </row>
    <row r="116">
      <c r="D116" s="19" t="s">
        <v>2764</v>
      </c>
    </row>
    <row r="117">
      <c r="D117" s="19" t="s">
        <v>624</v>
      </c>
    </row>
    <row r="118">
      <c r="D118" s="19" t="s">
        <v>855</v>
      </c>
    </row>
    <row r="119">
      <c r="A119" s="103" t="s">
        <v>882</v>
      </c>
    </row>
    <row r="120">
      <c r="A120" s="104" t="s">
        <v>884</v>
      </c>
    </row>
    <row r="121">
      <c r="A121" s="104">
        <f>A124</f>
        <v>287400</v>
      </c>
    </row>
    <row r="122">
      <c r="A122" s="104">
        <v>2026.0</v>
      </c>
    </row>
    <row r="123">
      <c r="A123" s="104" t="s">
        <v>724</v>
      </c>
    </row>
    <row r="124">
      <c r="A124" s="105">
        <f>A127+B127+C127+D127+E127+F127+G127+H127+I127+J127</f>
        <v>287400</v>
      </c>
    </row>
    <row r="125">
      <c r="A125" s="86" t="s">
        <v>887</v>
      </c>
      <c r="B125" s="86" t="s">
        <v>888</v>
      </c>
      <c r="C125" s="86" t="s">
        <v>891</v>
      </c>
      <c r="D125" s="86" t="s">
        <v>892</v>
      </c>
      <c r="E125" s="86" t="s">
        <v>893</v>
      </c>
      <c r="F125" s="86" t="s">
        <v>894</v>
      </c>
      <c r="G125" s="109" t="s">
        <v>895</v>
      </c>
      <c r="H125" s="102" t="s">
        <v>896</v>
      </c>
      <c r="I125" s="102" t="s">
        <v>897</v>
      </c>
      <c r="J125" s="102" t="s">
        <v>899</v>
      </c>
    </row>
    <row r="126">
      <c r="A126" s="14" t="s">
        <v>667</v>
      </c>
      <c r="B126" s="14" t="s">
        <v>667</v>
      </c>
      <c r="C126" s="14" t="s">
        <v>667</v>
      </c>
      <c r="D126" s="14" t="s">
        <v>667</v>
      </c>
      <c r="E126" s="14" t="s">
        <v>667</v>
      </c>
      <c r="F126" s="14" t="s">
        <v>667</v>
      </c>
      <c r="G126" s="14" t="s">
        <v>667</v>
      </c>
      <c r="H126" s="38" t="s">
        <v>667</v>
      </c>
      <c r="I126" s="38" t="s">
        <v>667</v>
      </c>
      <c r="J126" s="38" t="s">
        <v>667</v>
      </c>
    </row>
    <row r="127">
      <c r="A127" s="86">
        <v>71500.0</v>
      </c>
      <c r="B127" s="86">
        <v>13000.0</v>
      </c>
      <c r="C127" s="86"/>
      <c r="D127" s="86">
        <f>42500+38800</f>
        <v>81300</v>
      </c>
      <c r="E127" s="86"/>
      <c r="F127" s="86"/>
      <c r="G127" s="86">
        <v>11500.0</v>
      </c>
      <c r="H127" s="86">
        <f>6500+77600</f>
        <v>84100</v>
      </c>
      <c r="I127" s="86">
        <v>9000.0</v>
      </c>
      <c r="J127" s="86">
        <v>17000.0</v>
      </c>
    </row>
    <row r="128">
      <c r="A128" s="19" t="s">
        <v>2974</v>
      </c>
      <c r="B128" s="19" t="s">
        <v>3052</v>
      </c>
      <c r="D128" s="19" t="s">
        <v>3053</v>
      </c>
      <c r="G128" s="19" t="s">
        <v>2996</v>
      </c>
      <c r="H128" s="19" t="s">
        <v>3055</v>
      </c>
      <c r="I128" s="19" t="s">
        <v>3056</v>
      </c>
      <c r="J128" s="19" t="s">
        <v>3057</v>
      </c>
    </row>
    <row r="129">
      <c r="A129" s="19" t="s">
        <v>931</v>
      </c>
      <c r="B129" s="19" t="s">
        <v>573</v>
      </c>
      <c r="D129" s="19" t="s">
        <v>947</v>
      </c>
      <c r="G129" s="19" t="s">
        <v>693</v>
      </c>
      <c r="H129" s="19" t="s">
        <v>1009</v>
      </c>
      <c r="I129" s="19" t="s">
        <v>1119</v>
      </c>
      <c r="J129" s="19" t="s">
        <v>590</v>
      </c>
    </row>
    <row r="130">
      <c r="A130" s="19" t="s">
        <v>1126</v>
      </c>
      <c r="B130" s="19" t="s">
        <v>3065</v>
      </c>
      <c r="D130" s="19" t="s">
        <v>1428</v>
      </c>
      <c r="G130" s="19" t="s">
        <v>924</v>
      </c>
      <c r="H130" s="19" t="s">
        <v>1116</v>
      </c>
      <c r="J130" s="19" t="s">
        <v>1401</v>
      </c>
    </row>
    <row r="131">
      <c r="A131" s="19" t="s">
        <v>1121</v>
      </c>
      <c r="B131" s="19" t="s">
        <v>1119</v>
      </c>
      <c r="D131" s="19" t="s">
        <v>3070</v>
      </c>
      <c r="G131" s="19" t="s">
        <v>3071</v>
      </c>
      <c r="H131" s="19" t="s">
        <v>2796</v>
      </c>
      <c r="J131" s="19" t="s">
        <v>573</v>
      </c>
    </row>
    <row r="132">
      <c r="A132" s="19" t="s">
        <v>3079</v>
      </c>
      <c r="B132" s="19" t="s">
        <v>1112</v>
      </c>
      <c r="D132" s="19" t="s">
        <v>2332</v>
      </c>
      <c r="G132" s="19" t="s">
        <v>907</v>
      </c>
      <c r="H132" s="19" t="s">
        <v>590</v>
      </c>
      <c r="J132" s="19" t="s">
        <v>3084</v>
      </c>
    </row>
    <row r="133">
      <c r="A133" s="19" t="s">
        <v>573</v>
      </c>
      <c r="D133" s="19" t="s">
        <v>924</v>
      </c>
      <c r="H133" s="19" t="s">
        <v>1116</v>
      </c>
      <c r="J133" s="19" t="s">
        <v>2250</v>
      </c>
    </row>
    <row r="134">
      <c r="A134" s="19" t="s">
        <v>1121</v>
      </c>
      <c r="D134" s="19" t="s">
        <v>1428</v>
      </c>
    </row>
    <row r="135">
      <c r="A135" s="19" t="s">
        <v>3105</v>
      </c>
    </row>
    <row r="136">
      <c r="A136" s="19" t="s">
        <v>684</v>
      </c>
    </row>
    <row r="137">
      <c r="A137" s="19" t="s">
        <v>1121</v>
      </c>
    </row>
    <row r="139">
      <c r="A139" s="110" t="s">
        <v>3112</v>
      </c>
    </row>
    <row r="140">
      <c r="A140" s="110">
        <f>-400000+A144</f>
        <v>2053550</v>
      </c>
    </row>
    <row r="141">
      <c r="A141" s="110">
        <v>2026.0</v>
      </c>
    </row>
    <row r="142">
      <c r="A142" s="240" t="s">
        <v>3127</v>
      </c>
    </row>
    <row r="143">
      <c r="A143" s="110" t="s">
        <v>1414</v>
      </c>
    </row>
    <row r="144">
      <c r="A144" s="110">
        <f>A147+B147+C147+D147+E147+F147+G147+H147</f>
        <v>2453550</v>
      </c>
    </row>
    <row r="145">
      <c r="A145" s="86" t="s">
        <v>953</v>
      </c>
      <c r="B145" s="86" t="s">
        <v>833</v>
      </c>
      <c r="C145" s="86" t="s">
        <v>834</v>
      </c>
      <c r="D145" s="86" t="s">
        <v>836</v>
      </c>
      <c r="E145" s="86" t="s">
        <v>956</v>
      </c>
      <c r="F145" s="86" t="s">
        <v>958</v>
      </c>
      <c r="G145" s="86" t="s">
        <v>844</v>
      </c>
      <c r="H145" s="86" t="s">
        <v>838</v>
      </c>
    </row>
    <row r="146">
      <c r="A146" s="14" t="s">
        <v>667</v>
      </c>
      <c r="B146" s="14" t="s">
        <v>744</v>
      </c>
      <c r="C146" s="14" t="s">
        <v>744</v>
      </c>
      <c r="D146" s="14" t="s">
        <v>744</v>
      </c>
      <c r="E146" s="14" t="s">
        <v>744</v>
      </c>
      <c r="F146" s="14" t="s">
        <v>744</v>
      </c>
      <c r="G146" s="14" t="s">
        <v>667</v>
      </c>
      <c r="H146" s="14" t="s">
        <v>744</v>
      </c>
    </row>
    <row r="147">
      <c r="A147" s="86">
        <v>211000.0</v>
      </c>
      <c r="B147" s="86">
        <v>387250.0</v>
      </c>
      <c r="C147" s="86">
        <f>256750+63800</f>
        <v>320550</v>
      </c>
      <c r="D147" s="86">
        <f>403750+267200</f>
        <v>670950</v>
      </c>
      <c r="E147" s="86">
        <v>168750.0</v>
      </c>
      <c r="F147" s="86">
        <v>214000.0</v>
      </c>
      <c r="G147" s="86">
        <v>14000.0</v>
      </c>
      <c r="H147" s="86">
        <f>354250+112800</f>
        <v>467050</v>
      </c>
    </row>
    <row r="148">
      <c r="A148" s="19" t="s">
        <v>2996</v>
      </c>
      <c r="B148" s="19" t="s">
        <v>3024</v>
      </c>
      <c r="C148" s="19" t="s">
        <v>3163</v>
      </c>
      <c r="D148" s="19" t="s">
        <v>2765</v>
      </c>
      <c r="E148" s="19" t="s">
        <v>3053</v>
      </c>
      <c r="F148" s="19" t="s">
        <v>3165</v>
      </c>
      <c r="G148" s="19" t="s">
        <v>1316</v>
      </c>
      <c r="H148" s="19" t="s">
        <v>2972</v>
      </c>
    </row>
    <row r="149">
      <c r="A149" s="19" t="s">
        <v>3168</v>
      </c>
      <c r="B149" s="19" t="s">
        <v>3168</v>
      </c>
      <c r="C149" s="19" t="s">
        <v>3168</v>
      </c>
      <c r="D149" s="19" t="s">
        <v>3168</v>
      </c>
      <c r="E149" s="19" t="s">
        <v>3168</v>
      </c>
      <c r="F149" s="19" t="s">
        <v>3168</v>
      </c>
      <c r="G149" s="19" t="s">
        <v>1048</v>
      </c>
      <c r="H149" s="19" t="s">
        <v>3168</v>
      </c>
    </row>
    <row r="150">
      <c r="A150" s="19" t="s">
        <v>1449</v>
      </c>
      <c r="B150" s="19" t="s">
        <v>3172</v>
      </c>
      <c r="C150" s="19" t="s">
        <v>1453</v>
      </c>
      <c r="D150" s="19" t="s">
        <v>1449</v>
      </c>
      <c r="E150" s="19" t="s">
        <v>1488</v>
      </c>
      <c r="F150" s="19" t="s">
        <v>1449</v>
      </c>
      <c r="G150" s="19" t="s">
        <v>3174</v>
      </c>
      <c r="H150" s="19" t="s">
        <v>1604</v>
      </c>
    </row>
    <row r="151">
      <c r="A151" s="19" t="s">
        <v>1488</v>
      </c>
      <c r="B151" s="19" t="s">
        <v>1447</v>
      </c>
      <c r="C151" s="19" t="s">
        <v>3177</v>
      </c>
      <c r="D151" s="19" t="s">
        <v>1488</v>
      </c>
      <c r="E151" s="19" t="s">
        <v>3070</v>
      </c>
      <c r="F151" s="19" t="s">
        <v>3065</v>
      </c>
      <c r="G151" s="19" t="s">
        <v>989</v>
      </c>
      <c r="H151" s="19" t="s">
        <v>1457</v>
      </c>
    </row>
    <row r="152">
      <c r="A152" s="19" t="s">
        <v>3071</v>
      </c>
      <c r="B152" s="19" t="s">
        <v>3075</v>
      </c>
      <c r="C152" s="19" t="s">
        <v>3181</v>
      </c>
      <c r="D152" s="19" t="s">
        <v>3182</v>
      </c>
      <c r="E152" s="19" t="s">
        <v>1447</v>
      </c>
      <c r="F152" s="19" t="s">
        <v>1447</v>
      </c>
      <c r="H152" s="19" t="s">
        <v>3183</v>
      </c>
    </row>
    <row r="153">
      <c r="A153" s="19" t="s">
        <v>1447</v>
      </c>
      <c r="B153" s="19" t="s">
        <v>1603</v>
      </c>
      <c r="C153" s="19" t="s">
        <v>1447</v>
      </c>
      <c r="D153" s="19" t="s">
        <v>3185</v>
      </c>
      <c r="E153" s="19" t="s">
        <v>1449</v>
      </c>
      <c r="F153" s="19" t="s">
        <v>1148</v>
      </c>
      <c r="H153" s="19" t="s">
        <v>3187</v>
      </c>
    </row>
    <row r="154">
      <c r="A154" s="19" t="s">
        <v>3191</v>
      </c>
      <c r="B154" s="19" t="s">
        <v>3192</v>
      </c>
      <c r="C154" s="19" t="s">
        <v>1449</v>
      </c>
      <c r="D154" s="19" t="s">
        <v>1447</v>
      </c>
      <c r="E154" s="19" t="s">
        <v>1148</v>
      </c>
      <c r="F154" s="19" t="s">
        <v>3194</v>
      </c>
      <c r="H154" s="19" t="s">
        <v>3196</v>
      </c>
    </row>
    <row r="155">
      <c r="A155" s="19" t="s">
        <v>1603</v>
      </c>
      <c r="B155" s="19" t="s">
        <v>1119</v>
      </c>
      <c r="C155" s="19" t="s">
        <v>1148</v>
      </c>
      <c r="D155" s="19" t="s">
        <v>1150</v>
      </c>
      <c r="E155" s="19" t="s">
        <v>1488</v>
      </c>
      <c r="F155" s="19" t="s">
        <v>1603</v>
      </c>
      <c r="H155" s="19" t="s">
        <v>1447</v>
      </c>
    </row>
    <row r="156">
      <c r="A156" s="19" t="s">
        <v>3201</v>
      </c>
      <c r="B156" s="19" t="s">
        <v>3202</v>
      </c>
      <c r="C156" s="19" t="s">
        <v>1474</v>
      </c>
      <c r="D156" s="19" t="s">
        <v>3204</v>
      </c>
      <c r="F156" s="19" t="s">
        <v>1449</v>
      </c>
      <c r="H156" s="19" t="s">
        <v>1450</v>
      </c>
    </row>
    <row r="157">
      <c r="A157" s="19" t="s">
        <v>590</v>
      </c>
      <c r="B157" s="19" t="s">
        <v>1384</v>
      </c>
      <c r="C157" s="19" t="s">
        <v>2840</v>
      </c>
      <c r="D157" s="19" t="s">
        <v>1603</v>
      </c>
      <c r="F157" s="19" t="s">
        <v>1488</v>
      </c>
      <c r="H157" s="19" t="s">
        <v>3209</v>
      </c>
    </row>
    <row r="158">
      <c r="A158" s="19" t="s">
        <v>1148</v>
      </c>
      <c r="B158" s="19" t="s">
        <v>3210</v>
      </c>
      <c r="C158" s="19" t="s">
        <v>1603</v>
      </c>
      <c r="D158" s="19" t="s">
        <v>1604</v>
      </c>
      <c r="F158" s="19" t="s">
        <v>3211</v>
      </c>
      <c r="H158" s="19" t="s">
        <v>1603</v>
      </c>
    </row>
    <row r="159">
      <c r="A159" s="19" t="s">
        <v>3212</v>
      </c>
      <c r="B159" s="19" t="s">
        <v>1384</v>
      </c>
      <c r="C159" s="19" t="s">
        <v>1449</v>
      </c>
      <c r="D159" s="19" t="s">
        <v>1488</v>
      </c>
      <c r="F159" s="19" t="s">
        <v>1340</v>
      </c>
      <c r="H159" s="19" t="s">
        <v>1488</v>
      </c>
    </row>
    <row r="160">
      <c r="A160" s="19" t="s">
        <v>573</v>
      </c>
      <c r="B160" s="19" t="s">
        <v>1457</v>
      </c>
      <c r="C160" s="19" t="s">
        <v>1488</v>
      </c>
      <c r="D160" s="19" t="s">
        <v>1150</v>
      </c>
      <c r="F160" s="19" t="s">
        <v>3213</v>
      </c>
      <c r="H160" s="19" t="s">
        <v>1450</v>
      </c>
    </row>
    <row r="161">
      <c r="B161" s="19" t="s">
        <v>3214</v>
      </c>
      <c r="C161" s="19" t="s">
        <v>1474</v>
      </c>
      <c r="D161" s="19" t="s">
        <v>3215</v>
      </c>
      <c r="F161" s="19" t="s">
        <v>3216</v>
      </c>
      <c r="H161" s="19" t="s">
        <v>3217</v>
      </c>
    </row>
    <row r="162">
      <c r="B162" s="19" t="s">
        <v>3218</v>
      </c>
      <c r="C162" s="19" t="s">
        <v>3219</v>
      </c>
      <c r="D162" s="19" t="s">
        <v>989</v>
      </c>
      <c r="F162" s="19" t="s">
        <v>1449</v>
      </c>
      <c r="H162" s="19" t="s">
        <v>684</v>
      </c>
    </row>
    <row r="163">
      <c r="B163" s="19" t="s">
        <v>1601</v>
      </c>
      <c r="C163" s="19" t="s">
        <v>3220</v>
      </c>
      <c r="D163" s="19" t="s">
        <v>1150</v>
      </c>
      <c r="H163" s="19" t="s">
        <v>1450</v>
      </c>
    </row>
    <row r="164">
      <c r="C164" s="19" t="s">
        <v>1474</v>
      </c>
      <c r="D164" s="19" t="s">
        <v>3221</v>
      </c>
      <c r="H164" s="19" t="s">
        <v>3222</v>
      </c>
    </row>
    <row r="165">
      <c r="C165" s="19" t="s">
        <v>2462</v>
      </c>
      <c r="D165" s="19" t="s">
        <v>3223</v>
      </c>
      <c r="H165" s="19" t="s">
        <v>1340</v>
      </c>
    </row>
    <row r="166">
      <c r="C166" s="19" t="s">
        <v>1340</v>
      </c>
      <c r="D166" s="19" t="s">
        <v>1150</v>
      </c>
      <c r="H166" s="19" t="s">
        <v>1450</v>
      </c>
    </row>
    <row r="167">
      <c r="C167" s="19" t="s">
        <v>1488</v>
      </c>
      <c r="D167" s="19" t="s">
        <v>3224</v>
      </c>
    </row>
    <row r="168">
      <c r="C168" s="19" t="s">
        <v>1474</v>
      </c>
      <c r="D168" s="19" t="s">
        <v>3225</v>
      </c>
    </row>
    <row r="169">
      <c r="D169" s="19" t="s">
        <v>1604</v>
      </c>
    </row>
    <row r="170">
      <c r="D170" s="19" t="s">
        <v>1762</v>
      </c>
    </row>
    <row r="171">
      <c r="D171" s="19" t="s">
        <v>3226</v>
      </c>
    </row>
    <row r="172">
      <c r="D172" s="19" t="s">
        <v>1150</v>
      </c>
    </row>
    <row r="181">
      <c r="A181" s="163" t="s">
        <v>963</v>
      </c>
    </row>
    <row r="182">
      <c r="A182" s="163">
        <f>A185</f>
        <v>446000</v>
      </c>
    </row>
    <row r="183">
      <c r="A183" s="163">
        <v>2026.0</v>
      </c>
    </row>
    <row r="184">
      <c r="A184" s="163" t="s">
        <v>724</v>
      </c>
    </row>
    <row r="185">
      <c r="A185" s="165">
        <f>A188+B188+C188+D188+E188+F188+G188+H188+I188+J188</f>
        <v>446000</v>
      </c>
    </row>
    <row r="186">
      <c r="A186" s="100" t="s">
        <v>965</v>
      </c>
      <c r="B186" s="100" t="s">
        <v>966</v>
      </c>
      <c r="C186" s="100" t="s">
        <v>968</v>
      </c>
      <c r="D186" s="100" t="s">
        <v>969</v>
      </c>
      <c r="E186" s="100" t="s">
        <v>970</v>
      </c>
      <c r="F186" s="100" t="s">
        <v>971</v>
      </c>
      <c r="G186" s="100" t="s">
        <v>972</v>
      </c>
      <c r="H186" s="100" t="s">
        <v>973</v>
      </c>
      <c r="I186" s="100" t="s">
        <v>974</v>
      </c>
      <c r="J186" s="100" t="s">
        <v>975</v>
      </c>
    </row>
    <row r="187">
      <c r="A187" s="38" t="s">
        <v>667</v>
      </c>
      <c r="B187" s="38" t="s">
        <v>667</v>
      </c>
      <c r="C187" s="38" t="s">
        <v>667</v>
      </c>
      <c r="D187" s="38" t="s">
        <v>667</v>
      </c>
      <c r="E187" s="38" t="s">
        <v>667</v>
      </c>
      <c r="F187" s="38" t="s">
        <v>667</v>
      </c>
      <c r="G187" s="38" t="s">
        <v>667</v>
      </c>
      <c r="H187" s="38" t="s">
        <v>667</v>
      </c>
      <c r="I187" s="38" t="s">
        <v>667</v>
      </c>
      <c r="J187" s="38" t="s">
        <v>667</v>
      </c>
    </row>
    <row r="188">
      <c r="A188" s="102">
        <v>29000.0</v>
      </c>
      <c r="B188" s="102">
        <v>52000.0</v>
      </c>
      <c r="C188" s="102">
        <v>65000.0</v>
      </c>
      <c r="D188" s="102">
        <v>152000.0</v>
      </c>
      <c r="E188" s="102">
        <v>40000.0</v>
      </c>
      <c r="F188" s="102">
        <v>2000.0</v>
      </c>
      <c r="G188" s="102">
        <v>27000.0</v>
      </c>
      <c r="H188" s="102">
        <v>2000.0</v>
      </c>
      <c r="I188" s="102">
        <v>67000.0</v>
      </c>
      <c r="J188" s="102">
        <v>10000.0</v>
      </c>
    </row>
    <row r="189">
      <c r="A189" s="19" t="s">
        <v>3228</v>
      </c>
      <c r="B189" s="19" t="s">
        <v>3005</v>
      </c>
      <c r="C189" s="19" t="s">
        <v>3229</v>
      </c>
      <c r="D189" s="19" t="s">
        <v>3056</v>
      </c>
      <c r="E189" s="19" t="s">
        <v>3230</v>
      </c>
      <c r="F189" s="19" t="s">
        <v>3231</v>
      </c>
      <c r="G189" s="19" t="s">
        <v>3232</v>
      </c>
      <c r="H189" s="19" t="s">
        <v>3052</v>
      </c>
      <c r="I189" s="19" t="s">
        <v>3233</v>
      </c>
      <c r="J189" s="19" t="s">
        <v>1385</v>
      </c>
    </row>
    <row r="190">
      <c r="A190" s="28" t="s">
        <v>1556</v>
      </c>
      <c r="B190" s="19" t="s">
        <v>1426</v>
      </c>
      <c r="C190" s="19" t="s">
        <v>929</v>
      </c>
      <c r="D190" s="19" t="s">
        <v>624</v>
      </c>
      <c r="E190" s="19" t="s">
        <v>1384</v>
      </c>
      <c r="F190" s="19" t="s">
        <v>624</v>
      </c>
      <c r="G190" s="19" t="s">
        <v>1426</v>
      </c>
      <c r="H190" s="19" t="s">
        <v>624</v>
      </c>
      <c r="I190" s="19" t="s">
        <v>1426</v>
      </c>
      <c r="J190" s="19" t="s">
        <v>624</v>
      </c>
    </row>
    <row r="191">
      <c r="A191" s="19" t="s">
        <v>3234</v>
      </c>
      <c r="B191" s="19" t="s">
        <v>3235</v>
      </c>
      <c r="C191" s="19" t="s">
        <v>3236</v>
      </c>
      <c r="D191" s="19" t="s">
        <v>3238</v>
      </c>
      <c r="G191" s="19" t="s">
        <v>2792</v>
      </c>
      <c r="I191" s="19" t="s">
        <v>3012</v>
      </c>
      <c r="J191" s="19" t="s">
        <v>3239</v>
      </c>
    </row>
    <row r="192">
      <c r="A192" s="19" t="s">
        <v>693</v>
      </c>
      <c r="B192" s="19" t="s">
        <v>1426</v>
      </c>
      <c r="C192" s="19" t="s">
        <v>1426</v>
      </c>
      <c r="D192" s="19" t="s">
        <v>624</v>
      </c>
      <c r="G192" s="19" t="s">
        <v>624</v>
      </c>
      <c r="I192" s="19" t="s">
        <v>1108</v>
      </c>
      <c r="J192" s="19" t="s">
        <v>624</v>
      </c>
    </row>
    <row r="193">
      <c r="A193" s="19" t="s">
        <v>3240</v>
      </c>
      <c r="B193" s="19" t="s">
        <v>3241</v>
      </c>
      <c r="C193" s="19" t="s">
        <v>3242</v>
      </c>
      <c r="D193" s="19" t="s">
        <v>3243</v>
      </c>
      <c r="I193" s="19" t="s">
        <v>2981</v>
      </c>
      <c r="J193" s="19" t="s">
        <v>3245</v>
      </c>
    </row>
    <row r="194">
      <c r="A194" s="19" t="s">
        <v>624</v>
      </c>
      <c r="B194" s="19" t="s">
        <v>624</v>
      </c>
      <c r="C194" s="19" t="s">
        <v>1048</v>
      </c>
      <c r="D194" s="19" t="s">
        <v>1119</v>
      </c>
      <c r="I194" s="19" t="s">
        <v>1048</v>
      </c>
      <c r="J194" s="19" t="s">
        <v>624</v>
      </c>
    </row>
    <row r="195">
      <c r="C195" s="19" t="s">
        <v>3192</v>
      </c>
      <c r="D195" s="19" t="s">
        <v>3247</v>
      </c>
      <c r="I195" s="19" t="s">
        <v>3248</v>
      </c>
      <c r="J195" s="19" t="s">
        <v>3249</v>
      </c>
    </row>
    <row r="196">
      <c r="A196" s="28"/>
      <c r="C196" s="19" t="s">
        <v>624</v>
      </c>
      <c r="D196" s="19" t="s">
        <v>624</v>
      </c>
      <c r="I196" s="19" t="s">
        <v>624</v>
      </c>
      <c r="J196" s="19" t="s">
        <v>624</v>
      </c>
    </row>
    <row r="197">
      <c r="A197" s="28"/>
      <c r="D197" s="19" t="s">
        <v>3251</v>
      </c>
      <c r="I197" s="19" t="s">
        <v>3221</v>
      </c>
      <c r="J197" s="19" t="s">
        <v>3213</v>
      </c>
    </row>
    <row r="198">
      <c r="D198" s="19" t="s">
        <v>624</v>
      </c>
      <c r="I198" s="19" t="s">
        <v>1214</v>
      </c>
      <c r="J198" s="19" t="s">
        <v>624</v>
      </c>
    </row>
    <row r="199">
      <c r="D199" s="19" t="s">
        <v>3252</v>
      </c>
      <c r="I199" s="19" t="s">
        <v>3253</v>
      </c>
    </row>
    <row r="200">
      <c r="A200" s="28"/>
      <c r="D200" s="19" t="s">
        <v>1514</v>
      </c>
      <c r="I200" s="19" t="s">
        <v>624</v>
      </c>
    </row>
    <row r="201">
      <c r="D201" s="19" t="s">
        <v>3256</v>
      </c>
      <c r="I201" s="19" t="s">
        <v>3257</v>
      </c>
    </row>
    <row r="202">
      <c r="D202" s="19" t="s">
        <v>1616</v>
      </c>
      <c r="I202" s="19" t="s">
        <v>624</v>
      </c>
    </row>
    <row r="203">
      <c r="D203" s="19" t="s">
        <v>3258</v>
      </c>
    </row>
    <row r="204">
      <c r="D204" s="19" t="s">
        <v>3259</v>
      </c>
    </row>
  </sheetData>
  <mergeCells count="88">
    <mergeCell ref="A54:E54"/>
    <mergeCell ref="A55:E55"/>
    <mergeCell ref="A67:F67"/>
    <mergeCell ref="A68:F68"/>
    <mergeCell ref="A69:F69"/>
    <mergeCell ref="A70:F70"/>
    <mergeCell ref="A79:H79"/>
    <mergeCell ref="A80:H80"/>
    <mergeCell ref="A81:H81"/>
    <mergeCell ref="A82:H82"/>
    <mergeCell ref="A83:H83"/>
    <mergeCell ref="A92:H92"/>
    <mergeCell ref="A93:H93"/>
    <mergeCell ref="A94:H94"/>
    <mergeCell ref="A95:H95"/>
    <mergeCell ref="A96:H96"/>
    <mergeCell ref="A108:J108"/>
    <mergeCell ref="A109:J109"/>
    <mergeCell ref="A110:J110"/>
    <mergeCell ref="A111:J111"/>
    <mergeCell ref="A112:J112"/>
    <mergeCell ref="A119:J119"/>
    <mergeCell ref="A120:J120"/>
    <mergeCell ref="A121:J121"/>
    <mergeCell ref="A122:J122"/>
    <mergeCell ref="A123:J123"/>
    <mergeCell ref="A124:J124"/>
    <mergeCell ref="A139:H139"/>
    <mergeCell ref="A183:J183"/>
    <mergeCell ref="A184:J184"/>
    <mergeCell ref="A185:J185"/>
    <mergeCell ref="A140:H140"/>
    <mergeCell ref="A141:H141"/>
    <mergeCell ref="A142:H142"/>
    <mergeCell ref="A143:H143"/>
    <mergeCell ref="A144:H144"/>
    <mergeCell ref="A181:J181"/>
    <mergeCell ref="A182:J182"/>
    <mergeCell ref="A1:T1"/>
    <mergeCell ref="A2:T2"/>
    <mergeCell ref="A3:T3"/>
    <mergeCell ref="A4:T4"/>
    <mergeCell ref="K5:L5"/>
    <mergeCell ref="M5:O5"/>
    <mergeCell ref="P5:T5"/>
    <mergeCell ref="F5:H5"/>
    <mergeCell ref="F6:H6"/>
    <mergeCell ref="K6:L6"/>
    <mergeCell ref="M6:O6"/>
    <mergeCell ref="P6:T6"/>
    <mergeCell ref="M7:O7"/>
    <mergeCell ref="P8:P11"/>
    <mergeCell ref="Q11:R11"/>
    <mergeCell ref="M8:O8"/>
    <mergeCell ref="Q9:T9"/>
    <mergeCell ref="P12:P15"/>
    <mergeCell ref="Q13:T13"/>
    <mergeCell ref="Q15:R15"/>
    <mergeCell ref="Q16:T16"/>
    <mergeCell ref="Q19:R19"/>
    <mergeCell ref="Q20:T20"/>
    <mergeCell ref="P16:P19"/>
    <mergeCell ref="P20:P22"/>
    <mergeCell ref="Q22:R22"/>
    <mergeCell ref="P23:P25"/>
    <mergeCell ref="Q23:T23"/>
    <mergeCell ref="Q25:R25"/>
    <mergeCell ref="Q26:T26"/>
    <mergeCell ref="Q34:R34"/>
    <mergeCell ref="Q37:R37"/>
    <mergeCell ref="Q38:T38"/>
    <mergeCell ref="Q40:R40"/>
    <mergeCell ref="Q41:T41"/>
    <mergeCell ref="Q43:R43"/>
    <mergeCell ref="P26:P28"/>
    <mergeCell ref="Q28:R28"/>
    <mergeCell ref="P29:P31"/>
    <mergeCell ref="Q29:T29"/>
    <mergeCell ref="Q31:R31"/>
    <mergeCell ref="Q32:T32"/>
    <mergeCell ref="Q35:T35"/>
    <mergeCell ref="P32:P34"/>
    <mergeCell ref="P35:P37"/>
    <mergeCell ref="P38:P40"/>
    <mergeCell ref="P41:P43"/>
    <mergeCell ref="A51:E51"/>
    <mergeCell ref="A52:E52"/>
    <mergeCell ref="A53:E53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24.0"/>
  </cols>
  <sheetData>
    <row r="1">
      <c r="A1" s="7" t="s">
        <v>2724</v>
      </c>
    </row>
    <row r="2">
      <c r="A2" s="3" t="s">
        <v>2725</v>
      </c>
    </row>
    <row r="3">
      <c r="A3" s="7" t="s">
        <v>10</v>
      </c>
    </row>
    <row r="4">
      <c r="A4" s="32">
        <f>100000+B6</f>
        <v>90000</v>
      </c>
    </row>
    <row r="5">
      <c r="A5" s="14" t="s">
        <v>24</v>
      </c>
      <c r="B5" s="14" t="s">
        <v>1435</v>
      </c>
    </row>
    <row r="6">
      <c r="A6" s="19" t="s">
        <v>2732</v>
      </c>
      <c r="B6" s="32">
        <v>-10000.0</v>
      </c>
    </row>
    <row r="7">
      <c r="A7" s="19" t="s">
        <v>2735</v>
      </c>
      <c r="B7" s="19" t="s">
        <v>2736</v>
      </c>
    </row>
    <row r="8">
      <c r="A8" s="19" t="s">
        <v>2737</v>
      </c>
      <c r="B8" s="19" t="s">
        <v>2738</v>
      </c>
    </row>
    <row r="9">
      <c r="A9" s="19" t="s">
        <v>2739</v>
      </c>
    </row>
    <row r="10">
      <c r="A10" s="19" t="s">
        <v>2741</v>
      </c>
    </row>
    <row r="11">
      <c r="A11" s="19" t="s">
        <v>2742</v>
      </c>
    </row>
    <row r="12">
      <c r="A12" s="19" t="s">
        <v>2747</v>
      </c>
    </row>
    <row r="13">
      <c r="A13" s="19" t="s">
        <v>2750</v>
      </c>
    </row>
    <row r="14">
      <c r="A14" s="19" t="s">
        <v>2752</v>
      </c>
    </row>
    <row r="15">
      <c r="A15" s="19" t="s">
        <v>2756</v>
      </c>
    </row>
  </sheetData>
  <mergeCells count="4">
    <mergeCell ref="A1:J1"/>
    <mergeCell ref="A2:J2"/>
    <mergeCell ref="A3:J3"/>
    <mergeCell ref="A4:J4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6.88"/>
    <col customWidth="1" min="3" max="3" width="22.5"/>
    <col customWidth="1" min="4" max="4" width="24.25"/>
    <col customWidth="1" min="7" max="7" width="15.38"/>
    <col customWidth="1" min="10" max="10" width="4.25"/>
    <col customWidth="1" min="11" max="11" width="23.38"/>
    <col customWidth="1" min="14" max="14" width="16.5"/>
  </cols>
  <sheetData>
    <row r="1">
      <c r="A1" s="81" t="s">
        <v>2845</v>
      </c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67" t="s">
        <v>2848</v>
      </c>
      <c r="B2" s="167" t="s">
        <v>2849</v>
      </c>
      <c r="C2" s="167" t="s">
        <v>2851</v>
      </c>
      <c r="D2" s="14"/>
      <c r="J2" s="53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9" t="s">
        <v>2856</v>
      </c>
      <c r="B3" s="9" t="s">
        <v>2859</v>
      </c>
      <c r="C3" s="9" t="s">
        <v>19</v>
      </c>
      <c r="D3" s="9"/>
      <c r="J3" s="53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9" t="s">
        <v>2864</v>
      </c>
      <c r="B4" s="9" t="s">
        <v>2865</v>
      </c>
      <c r="C4" s="9" t="s">
        <v>23</v>
      </c>
      <c r="D4" s="9"/>
      <c r="J4" s="53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9" t="s">
        <v>2867</v>
      </c>
      <c r="B5" s="9" t="s">
        <v>2868</v>
      </c>
      <c r="C5" s="9" t="s">
        <v>12</v>
      </c>
      <c r="D5" s="9"/>
      <c r="J5" s="53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9" t="s">
        <v>2869</v>
      </c>
      <c r="B6" s="9" t="s">
        <v>2870</v>
      </c>
      <c r="C6" s="9" t="s">
        <v>13</v>
      </c>
      <c r="D6" s="9"/>
      <c r="J6" s="53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9" t="s">
        <v>2874</v>
      </c>
      <c r="B7" s="9" t="s">
        <v>2875</v>
      </c>
      <c r="C7" s="9" t="s">
        <v>20</v>
      </c>
      <c r="D7" s="9"/>
      <c r="J7" s="53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6"/>
      <c r="B8" s="16"/>
      <c r="C8" s="9" t="s">
        <v>16</v>
      </c>
      <c r="D8" s="9"/>
      <c r="J8" s="53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67" t="s">
        <v>2879</v>
      </c>
      <c r="J9" s="53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229" t="s">
        <v>2882</v>
      </c>
      <c r="B10" s="229" t="s">
        <v>2883</v>
      </c>
      <c r="C10" s="229" t="s">
        <v>2884</v>
      </c>
      <c r="D10" s="229" t="s">
        <v>2885</v>
      </c>
      <c r="E10" s="229" t="s">
        <v>587</v>
      </c>
      <c r="F10" s="229" t="s">
        <v>579</v>
      </c>
      <c r="J10" s="53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9" t="s">
        <v>2890</v>
      </c>
      <c r="B11" s="9" t="s">
        <v>16</v>
      </c>
      <c r="C11" s="9" t="s">
        <v>2892</v>
      </c>
      <c r="D11" s="9" t="s">
        <v>2893</v>
      </c>
      <c r="E11" s="9" t="s">
        <v>2893</v>
      </c>
      <c r="F11" s="9" t="s">
        <v>2894</v>
      </c>
      <c r="J11" s="53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9" t="s">
        <v>2896</v>
      </c>
      <c r="B12" s="9" t="s">
        <v>13</v>
      </c>
      <c r="C12" s="9" t="s">
        <v>2897</v>
      </c>
      <c r="D12" s="9" t="s">
        <v>629</v>
      </c>
      <c r="E12" s="9" t="s">
        <v>2898</v>
      </c>
      <c r="F12" s="9" t="s">
        <v>629</v>
      </c>
      <c r="J12" s="53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9" t="s">
        <v>2899</v>
      </c>
      <c r="B13" s="9" t="s">
        <v>13</v>
      </c>
      <c r="C13" s="9" t="s">
        <v>2901</v>
      </c>
      <c r="D13" s="9" t="s">
        <v>2903</v>
      </c>
      <c r="E13" s="9" t="s">
        <v>2904</v>
      </c>
      <c r="F13" s="9" t="s">
        <v>2903</v>
      </c>
      <c r="J13" s="53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9" t="s">
        <v>2908</v>
      </c>
      <c r="B14" s="9" t="s">
        <v>20</v>
      </c>
      <c r="C14" s="9" t="s">
        <v>2901</v>
      </c>
      <c r="D14" s="9" t="s">
        <v>2909</v>
      </c>
      <c r="E14" s="9" t="s">
        <v>2910</v>
      </c>
      <c r="F14" s="9" t="s">
        <v>2909</v>
      </c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9" t="s">
        <v>2916</v>
      </c>
      <c r="B15" s="9" t="s">
        <v>21</v>
      </c>
      <c r="C15" s="9" t="s">
        <v>2892</v>
      </c>
      <c r="D15" s="9" t="s">
        <v>2918</v>
      </c>
      <c r="E15" s="9" t="s">
        <v>2919</v>
      </c>
      <c r="F15" s="9" t="s">
        <v>2918</v>
      </c>
      <c r="J15" s="230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9" t="s">
        <v>2922</v>
      </c>
      <c r="B16" s="9" t="s">
        <v>13</v>
      </c>
      <c r="C16" s="9" t="s">
        <v>2897</v>
      </c>
      <c r="D16" s="9" t="s">
        <v>2924</v>
      </c>
      <c r="E16" s="9" t="s">
        <v>2925</v>
      </c>
      <c r="F16" s="9" t="s">
        <v>2924</v>
      </c>
      <c r="J16" s="230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9" t="s">
        <v>2929</v>
      </c>
      <c r="B17" s="9" t="s">
        <v>16</v>
      </c>
      <c r="C17" s="9" t="s">
        <v>2931</v>
      </c>
      <c r="D17" s="9" t="s">
        <v>2932</v>
      </c>
      <c r="E17" s="9" t="s">
        <v>2932</v>
      </c>
      <c r="F17" s="9" t="s">
        <v>2934</v>
      </c>
      <c r="J17" s="230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9" t="s">
        <v>2937</v>
      </c>
      <c r="B18" s="9" t="s">
        <v>20</v>
      </c>
      <c r="C18" s="9" t="s">
        <v>2938</v>
      </c>
      <c r="D18" s="9" t="s">
        <v>2940</v>
      </c>
      <c r="E18" s="9" t="s">
        <v>2941</v>
      </c>
      <c r="F18" s="9" t="s">
        <v>2940</v>
      </c>
      <c r="J18" s="230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9" t="s">
        <v>2944</v>
      </c>
      <c r="B19" s="9" t="s">
        <v>16</v>
      </c>
      <c r="C19" s="9" t="s">
        <v>2897</v>
      </c>
      <c r="D19" s="9" t="s">
        <v>2893</v>
      </c>
      <c r="E19" s="9" t="s">
        <v>2903</v>
      </c>
      <c r="F19" s="9" t="s">
        <v>2893</v>
      </c>
      <c r="J19" s="230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9" t="s">
        <v>2947</v>
      </c>
      <c r="B20" s="9" t="s">
        <v>17</v>
      </c>
      <c r="C20" s="9" t="s">
        <v>2948</v>
      </c>
      <c r="D20" s="9" t="s">
        <v>2898</v>
      </c>
      <c r="E20" s="9" t="s">
        <v>2898</v>
      </c>
      <c r="F20" s="9" t="s">
        <v>2949</v>
      </c>
      <c r="J20" s="230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67" t="s">
        <v>2952</v>
      </c>
      <c r="J21" s="230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229" t="s">
        <v>2882</v>
      </c>
      <c r="B22" s="229" t="s">
        <v>2883</v>
      </c>
      <c r="C22" s="229" t="s">
        <v>2884</v>
      </c>
      <c r="D22" s="229" t="s">
        <v>2885</v>
      </c>
      <c r="E22" s="229" t="s">
        <v>587</v>
      </c>
      <c r="F22" s="229" t="s">
        <v>579</v>
      </c>
      <c r="J22" s="230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9" t="s">
        <v>2957</v>
      </c>
      <c r="B23" s="9" t="s">
        <v>12</v>
      </c>
      <c r="C23" s="9" t="s">
        <v>2958</v>
      </c>
      <c r="D23" s="9" t="s">
        <v>2959</v>
      </c>
      <c r="E23" s="9" t="s">
        <v>2892</v>
      </c>
      <c r="F23" s="9" t="s">
        <v>2959</v>
      </c>
      <c r="J23" s="230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9" t="s">
        <v>2961</v>
      </c>
      <c r="B24" s="9" t="s">
        <v>23</v>
      </c>
      <c r="C24" s="9" t="s">
        <v>2897</v>
      </c>
      <c r="D24" s="9" t="s">
        <v>2962</v>
      </c>
      <c r="E24" s="9" t="s">
        <v>2963</v>
      </c>
      <c r="F24" s="9" t="s">
        <v>2962</v>
      </c>
      <c r="J24" s="230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9" t="s">
        <v>2964</v>
      </c>
      <c r="B25" s="9" t="s">
        <v>9</v>
      </c>
      <c r="C25" s="9" t="s">
        <v>2948</v>
      </c>
      <c r="D25" s="9" t="s">
        <v>645</v>
      </c>
      <c r="E25" s="9" t="s">
        <v>645</v>
      </c>
      <c r="F25" s="9" t="s">
        <v>2965</v>
      </c>
      <c r="G25" s="16"/>
      <c r="H25" s="16"/>
      <c r="I25" s="16"/>
      <c r="J25" s="230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9" t="s">
        <v>2966</v>
      </c>
      <c r="B26" s="9" t="s">
        <v>12</v>
      </c>
      <c r="C26" s="9" t="s">
        <v>2938</v>
      </c>
      <c r="D26" s="9" t="s">
        <v>2967</v>
      </c>
      <c r="E26" s="9" t="s">
        <v>2968</v>
      </c>
      <c r="F26" s="9" t="s">
        <v>2967</v>
      </c>
      <c r="J26" s="230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9" t="s">
        <v>2970</v>
      </c>
      <c r="B27" s="9" t="s">
        <v>23</v>
      </c>
      <c r="C27" s="9" t="s">
        <v>2897</v>
      </c>
      <c r="D27" s="9" t="s">
        <v>2962</v>
      </c>
      <c r="E27" s="9" t="s">
        <v>2962</v>
      </c>
      <c r="F27" s="9" t="s">
        <v>2962</v>
      </c>
      <c r="J27" s="230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9" t="s">
        <v>2975</v>
      </c>
      <c r="B28" s="9" t="s">
        <v>549</v>
      </c>
      <c r="C28" s="9" t="s">
        <v>2977</v>
      </c>
      <c r="D28" s="9" t="s">
        <v>2978</v>
      </c>
      <c r="E28" s="9" t="s">
        <v>2892</v>
      </c>
      <c r="F28" s="9" t="s">
        <v>2978</v>
      </c>
      <c r="J28" s="230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9" t="s">
        <v>2982</v>
      </c>
      <c r="B29" s="9" t="s">
        <v>12</v>
      </c>
      <c r="C29" s="9" t="s">
        <v>2897</v>
      </c>
      <c r="D29" s="9" t="s">
        <v>2984</v>
      </c>
      <c r="E29" s="9" t="s">
        <v>2984</v>
      </c>
      <c r="F29" s="9" t="s">
        <v>2985</v>
      </c>
      <c r="J29" s="230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9" t="s">
        <v>2986</v>
      </c>
      <c r="B30" s="9" t="s">
        <v>19</v>
      </c>
      <c r="C30" s="9" t="s">
        <v>2948</v>
      </c>
      <c r="D30" s="9" t="s">
        <v>692</v>
      </c>
      <c r="E30" s="9" t="s">
        <v>2987</v>
      </c>
      <c r="F30" s="9" t="s">
        <v>692</v>
      </c>
      <c r="J30" s="230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9" t="s">
        <v>2989</v>
      </c>
      <c r="B31" s="9" t="s">
        <v>23</v>
      </c>
      <c r="C31" s="9" t="s">
        <v>2977</v>
      </c>
      <c r="D31" s="9" t="s">
        <v>2992</v>
      </c>
      <c r="E31" s="9" t="s">
        <v>2994</v>
      </c>
      <c r="F31" s="9" t="s">
        <v>2992</v>
      </c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9" t="s">
        <v>2998</v>
      </c>
      <c r="B32" s="9" t="s">
        <v>12</v>
      </c>
      <c r="C32" s="9" t="s">
        <v>2938</v>
      </c>
      <c r="D32" s="9" t="s">
        <v>2985</v>
      </c>
      <c r="E32" s="9" t="s">
        <v>3000</v>
      </c>
      <c r="F32" s="9" t="s">
        <v>2985</v>
      </c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67" t="s">
        <v>2851</v>
      </c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229" t="s">
        <v>2882</v>
      </c>
      <c r="B34" s="229" t="s">
        <v>2883</v>
      </c>
      <c r="C34" s="229" t="s">
        <v>2884</v>
      </c>
      <c r="D34" s="229" t="s">
        <v>2885</v>
      </c>
      <c r="E34" s="229" t="s">
        <v>587</v>
      </c>
      <c r="F34" s="229" t="s">
        <v>579</v>
      </c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9" t="s">
        <v>3008</v>
      </c>
      <c r="B35" s="9" t="s">
        <v>23</v>
      </c>
      <c r="C35" s="9" t="s">
        <v>2977</v>
      </c>
      <c r="D35" s="9" t="s">
        <v>2962</v>
      </c>
      <c r="E35" s="9" t="s">
        <v>2962</v>
      </c>
      <c r="F35" s="9" t="s">
        <v>2962</v>
      </c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9" t="s">
        <v>3011</v>
      </c>
      <c r="B36" s="9" t="s">
        <v>19</v>
      </c>
      <c r="C36" s="9" t="s">
        <v>2948</v>
      </c>
      <c r="D36" s="9" t="s">
        <v>692</v>
      </c>
      <c r="E36" s="9" t="s">
        <v>3013</v>
      </c>
      <c r="F36" s="9" t="s">
        <v>692</v>
      </c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9" t="s">
        <v>3014</v>
      </c>
      <c r="B37" s="9" t="s">
        <v>12</v>
      </c>
      <c r="C37" s="9" t="s">
        <v>2977</v>
      </c>
      <c r="D37" s="9" t="s">
        <v>2967</v>
      </c>
      <c r="E37" s="9" t="s">
        <v>3015</v>
      </c>
      <c r="F37" s="9" t="s">
        <v>2967</v>
      </c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9" t="s">
        <v>3016</v>
      </c>
      <c r="B38" s="9" t="s">
        <v>12</v>
      </c>
      <c r="C38" s="9" t="s">
        <v>2938</v>
      </c>
      <c r="D38" s="9" t="s">
        <v>2984</v>
      </c>
      <c r="E38" s="9" t="s">
        <v>2984</v>
      </c>
      <c r="F38" s="9" t="s">
        <v>3017</v>
      </c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9" t="s">
        <v>3018</v>
      </c>
      <c r="B39" s="9" t="s">
        <v>13</v>
      </c>
      <c r="C39" s="9" t="s">
        <v>2977</v>
      </c>
      <c r="D39" s="9" t="s">
        <v>3019</v>
      </c>
      <c r="E39" s="9" t="s">
        <v>3020</v>
      </c>
      <c r="F39" s="9" t="s">
        <v>2903</v>
      </c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9" t="s">
        <v>3023</v>
      </c>
      <c r="B40" s="9" t="s">
        <v>19</v>
      </c>
      <c r="C40" s="9" t="s">
        <v>2901</v>
      </c>
      <c r="D40" s="9" t="s">
        <v>3025</v>
      </c>
      <c r="E40" s="9" t="s">
        <v>3027</v>
      </c>
      <c r="F40" s="9" t="s">
        <v>3025</v>
      </c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9" t="s">
        <v>3031</v>
      </c>
      <c r="B41" s="9" t="s">
        <v>23</v>
      </c>
      <c r="C41" s="9" t="s">
        <v>3032</v>
      </c>
      <c r="D41" s="9" t="s">
        <v>3033</v>
      </c>
      <c r="E41" s="9" t="s">
        <v>3033</v>
      </c>
      <c r="F41" s="9" t="s">
        <v>3033</v>
      </c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9" t="s">
        <v>3034</v>
      </c>
      <c r="B42" s="9" t="s">
        <v>19</v>
      </c>
      <c r="C42" s="9" t="s">
        <v>2931</v>
      </c>
      <c r="D42" s="9" t="s">
        <v>692</v>
      </c>
      <c r="E42" s="9" t="s">
        <v>3027</v>
      </c>
      <c r="F42" s="9" t="s">
        <v>692</v>
      </c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9" t="s">
        <v>3035</v>
      </c>
      <c r="B43" s="9" t="s">
        <v>23</v>
      </c>
      <c r="C43" s="9" t="s">
        <v>2977</v>
      </c>
      <c r="D43" s="9" t="s">
        <v>2992</v>
      </c>
      <c r="E43" s="9" t="s">
        <v>2992</v>
      </c>
      <c r="F43" s="9" t="s">
        <v>2924</v>
      </c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67" t="s">
        <v>3036</v>
      </c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229" t="s">
        <v>2882</v>
      </c>
      <c r="B45" s="229" t="s">
        <v>2883</v>
      </c>
      <c r="C45" s="229" t="s">
        <v>2884</v>
      </c>
      <c r="D45" s="229" t="s">
        <v>2885</v>
      </c>
      <c r="E45" s="229" t="s">
        <v>587</v>
      </c>
      <c r="F45" s="229" t="s">
        <v>579</v>
      </c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9" t="s">
        <v>3037</v>
      </c>
      <c r="B46" s="9" t="s">
        <v>12</v>
      </c>
      <c r="C46" s="9" t="s">
        <v>2977</v>
      </c>
      <c r="D46" s="9" t="s">
        <v>3038</v>
      </c>
      <c r="E46" s="9" t="s">
        <v>3039</v>
      </c>
      <c r="F46" s="9" t="s">
        <v>3038</v>
      </c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9" t="s">
        <v>3011</v>
      </c>
      <c r="B47" s="9" t="s">
        <v>19</v>
      </c>
      <c r="C47" s="9" t="s">
        <v>3032</v>
      </c>
      <c r="D47" s="9" t="s">
        <v>692</v>
      </c>
      <c r="E47" s="9" t="s">
        <v>813</v>
      </c>
      <c r="F47" s="9" t="s">
        <v>3025</v>
      </c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67" t="s">
        <v>3040</v>
      </c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229" t="s">
        <v>2882</v>
      </c>
      <c r="B49" s="229" t="s">
        <v>2883</v>
      </c>
      <c r="C49" s="229" t="s">
        <v>2884</v>
      </c>
      <c r="D49" s="229" t="s">
        <v>2885</v>
      </c>
      <c r="E49" s="229" t="s">
        <v>587</v>
      </c>
      <c r="F49" s="229" t="s">
        <v>579</v>
      </c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9" t="s">
        <v>2998</v>
      </c>
      <c r="B50" s="9" t="s">
        <v>19</v>
      </c>
      <c r="C50" s="9" t="s">
        <v>2977</v>
      </c>
      <c r="D50" s="9" t="s">
        <v>3047</v>
      </c>
      <c r="E50" s="9" t="s">
        <v>3048</v>
      </c>
      <c r="F50" s="9" t="s">
        <v>3050</v>
      </c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236" t="s">
        <v>499</v>
      </c>
      <c r="E53" s="1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50" t="s">
        <v>509</v>
      </c>
      <c r="B54" s="150" t="s">
        <v>511</v>
      </c>
      <c r="C54" s="150" t="s">
        <v>3083</v>
      </c>
      <c r="D54" s="150" t="s">
        <v>3085</v>
      </c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9" t="s">
        <v>524</v>
      </c>
      <c r="B55" s="9" t="s">
        <v>525</v>
      </c>
      <c r="C55" s="9" t="s">
        <v>12</v>
      </c>
      <c r="D55" s="9">
        <v>5000.0</v>
      </c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9" t="s">
        <v>540</v>
      </c>
      <c r="B56" s="9" t="s">
        <v>542</v>
      </c>
      <c r="C56" s="9" t="s">
        <v>9</v>
      </c>
      <c r="D56" s="9">
        <v>5000.0</v>
      </c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9" t="s">
        <v>558</v>
      </c>
      <c r="B57" s="9" t="s">
        <v>562</v>
      </c>
      <c r="C57" s="9" t="s">
        <v>21</v>
      </c>
      <c r="D57" s="9">
        <v>5000.0</v>
      </c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9" t="s">
        <v>575</v>
      </c>
      <c r="B58" s="9" t="s">
        <v>577</v>
      </c>
      <c r="C58" s="9" t="s">
        <v>17</v>
      </c>
      <c r="D58" s="9">
        <v>5000.0</v>
      </c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9" t="s">
        <v>585</v>
      </c>
      <c r="B59" s="9" t="s">
        <v>586</v>
      </c>
      <c r="C59" s="9" t="s">
        <v>12</v>
      </c>
      <c r="D59" s="9">
        <v>5000.0</v>
      </c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9" t="s">
        <v>594</v>
      </c>
      <c r="B60" s="9" t="s">
        <v>596</v>
      </c>
      <c r="C60" s="9" t="s">
        <v>12</v>
      </c>
      <c r="D60" s="9">
        <v>5000.0</v>
      </c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9" t="s">
        <v>609</v>
      </c>
      <c r="B61" s="9" t="s">
        <v>586</v>
      </c>
      <c r="C61" s="9" t="s">
        <v>12</v>
      </c>
      <c r="D61" s="9">
        <v>5000.0</v>
      </c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9" t="s">
        <v>565</v>
      </c>
      <c r="B62" s="9" t="s">
        <v>617</v>
      </c>
      <c r="C62" s="9" t="s">
        <v>19</v>
      </c>
      <c r="D62" s="9">
        <v>5000.0</v>
      </c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9" t="s">
        <v>627</v>
      </c>
      <c r="B63" s="9" t="s">
        <v>629</v>
      </c>
      <c r="C63" s="9" t="s">
        <v>19</v>
      </c>
      <c r="D63" s="9">
        <v>5000.0</v>
      </c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9" t="s">
        <v>644</v>
      </c>
      <c r="B64" s="9" t="s">
        <v>645</v>
      </c>
      <c r="C64" s="9" t="s">
        <v>9</v>
      </c>
      <c r="D64" s="9">
        <v>5000.0</v>
      </c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9" t="s">
        <v>656</v>
      </c>
      <c r="B65" s="9" t="s">
        <v>658</v>
      </c>
      <c r="C65" s="9" t="s">
        <v>17</v>
      </c>
      <c r="D65" s="9">
        <v>5000.0</v>
      </c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9" t="s">
        <v>3207</v>
      </c>
      <c r="B66" s="9" t="s">
        <v>349</v>
      </c>
      <c r="C66" s="9" t="s">
        <v>9</v>
      </c>
      <c r="D66" s="9">
        <v>5000.0</v>
      </c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9" t="s">
        <v>679</v>
      </c>
      <c r="B67" s="9" t="s">
        <v>681</v>
      </c>
      <c r="C67" s="9" t="s">
        <v>23</v>
      </c>
      <c r="D67" s="9">
        <v>5000.0</v>
      </c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9" t="s">
        <v>659</v>
      </c>
      <c r="B68" s="9" t="s">
        <v>692</v>
      </c>
      <c r="C68" s="9" t="s">
        <v>19</v>
      </c>
      <c r="D68" s="9">
        <v>10000.0</v>
      </c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9" t="s">
        <v>587</v>
      </c>
      <c r="B69" s="9" t="s">
        <v>586</v>
      </c>
      <c r="C69" s="9" t="s">
        <v>12</v>
      </c>
      <c r="D69" s="9">
        <v>10000.0</v>
      </c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9" t="s">
        <v>709</v>
      </c>
      <c r="B70" s="9" t="s">
        <v>692</v>
      </c>
      <c r="C70" s="9" t="s">
        <v>19</v>
      </c>
      <c r="D70" s="9">
        <v>20000.0</v>
      </c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9" t="s">
        <v>613</v>
      </c>
      <c r="C71" s="9" t="s">
        <v>12</v>
      </c>
      <c r="D71" s="9">
        <v>40000.0</v>
      </c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9" t="s">
        <v>620</v>
      </c>
      <c r="C72" s="9" t="s">
        <v>19</v>
      </c>
      <c r="D72" s="9">
        <v>80000.0</v>
      </c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243" t="s">
        <v>3227</v>
      </c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39" t="s">
        <v>509</v>
      </c>
      <c r="B75" s="39" t="s">
        <v>511</v>
      </c>
      <c r="C75" s="39" t="s">
        <v>3083</v>
      </c>
      <c r="D75" s="39" t="s">
        <v>3085</v>
      </c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9" t="s">
        <v>2883</v>
      </c>
      <c r="B76" s="9" t="s">
        <v>3237</v>
      </c>
      <c r="C76" s="9" t="s">
        <v>549</v>
      </c>
      <c r="D76" s="9">
        <v>30000.0</v>
      </c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9" t="s">
        <v>3244</v>
      </c>
      <c r="B77" s="9" t="s">
        <v>3246</v>
      </c>
      <c r="C77" s="9" t="s">
        <v>22</v>
      </c>
      <c r="D77" s="9">
        <v>20000.0</v>
      </c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9" t="s">
        <v>3250</v>
      </c>
      <c r="B78" s="9" t="s">
        <v>837</v>
      </c>
      <c r="C78" s="9" t="s">
        <v>23</v>
      </c>
      <c r="D78" s="9">
        <v>100000.0</v>
      </c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9" t="s">
        <v>3254</v>
      </c>
      <c r="B79" s="9" t="s">
        <v>3255</v>
      </c>
      <c r="C79" s="9" t="s">
        <v>21</v>
      </c>
      <c r="D79" s="9">
        <v>5000.0</v>
      </c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9" t="s">
        <v>3260</v>
      </c>
      <c r="B80" s="9" t="s">
        <v>3261</v>
      </c>
      <c r="C80" s="9" t="s">
        <v>22</v>
      </c>
      <c r="D80" s="9">
        <v>5000.0</v>
      </c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3" t="s">
        <v>3262</v>
      </c>
      <c r="D82" s="1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84" t="s">
        <v>509</v>
      </c>
      <c r="B83" s="184" t="s">
        <v>3083</v>
      </c>
      <c r="C83" s="184" t="s">
        <v>3085</v>
      </c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9" t="s">
        <v>3263</v>
      </c>
      <c r="B84" s="9" t="s">
        <v>12</v>
      </c>
      <c r="C84" s="9">
        <v>20000.0</v>
      </c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9" t="s">
        <v>3264</v>
      </c>
      <c r="B85" s="9" t="s">
        <v>13</v>
      </c>
      <c r="C85" s="9">
        <v>10000.0</v>
      </c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9" t="s">
        <v>3265</v>
      </c>
      <c r="B86" s="9" t="s">
        <v>9</v>
      </c>
      <c r="C86" s="9">
        <v>5000.0</v>
      </c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9" t="s">
        <v>3266</v>
      </c>
      <c r="B87" s="9" t="s">
        <v>19</v>
      </c>
      <c r="C87" s="9">
        <v>5000.0</v>
      </c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3" t="s">
        <v>3267</v>
      </c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84" t="s">
        <v>65</v>
      </c>
      <c r="B90" s="184" t="s">
        <v>3083</v>
      </c>
      <c r="C90" s="184" t="s">
        <v>3268</v>
      </c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9" t="s">
        <v>3269</v>
      </c>
      <c r="B91" s="9" t="s">
        <v>9</v>
      </c>
      <c r="C91" s="9">
        <v>30000.0</v>
      </c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9" t="s">
        <v>3273</v>
      </c>
      <c r="B92" s="9" t="s">
        <v>17</v>
      </c>
      <c r="C92" s="9">
        <v>10000.0</v>
      </c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B93" s="9" t="s">
        <v>21</v>
      </c>
      <c r="C93" s="9">
        <v>10000.0</v>
      </c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B94" s="9" t="s">
        <v>9</v>
      </c>
      <c r="C94" s="9">
        <v>10000.0</v>
      </c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B95" s="9" t="s">
        <v>549</v>
      </c>
      <c r="C95" s="9">
        <v>10000.0</v>
      </c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9" t="s">
        <v>3283</v>
      </c>
      <c r="B96" s="9" t="s">
        <v>16</v>
      </c>
      <c r="C96" s="9">
        <v>15000.0</v>
      </c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B97" s="9" t="s">
        <v>20</v>
      </c>
      <c r="C97" s="9">
        <v>15000.0</v>
      </c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9" t="s">
        <v>791</v>
      </c>
      <c r="B98" s="9" t="s">
        <v>23</v>
      </c>
      <c r="C98" s="9">
        <v>20000.0</v>
      </c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B99" s="9" t="s">
        <v>13</v>
      </c>
      <c r="C99" s="9">
        <v>20000.0</v>
      </c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mergeCells count="15">
    <mergeCell ref="A71:B71"/>
    <mergeCell ref="A72:B72"/>
    <mergeCell ref="A74:D74"/>
    <mergeCell ref="A82:C82"/>
    <mergeCell ref="A89:C89"/>
    <mergeCell ref="A92:A95"/>
    <mergeCell ref="A96:A97"/>
    <mergeCell ref="A98:A99"/>
    <mergeCell ref="A1:P1"/>
    <mergeCell ref="A9:F9"/>
    <mergeCell ref="A21:F21"/>
    <mergeCell ref="A33:F33"/>
    <mergeCell ref="A44:F44"/>
    <mergeCell ref="A48:F48"/>
    <mergeCell ref="A53:D53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7" max="7" width="15.63"/>
    <col customWidth="1" min="9" max="9" width="15.25"/>
    <col customWidth="1" min="11" max="11" width="16.25"/>
  </cols>
  <sheetData>
    <row r="1">
      <c r="A1" s="233" t="s">
        <v>3041</v>
      </c>
      <c r="F1" s="233" t="s">
        <v>3042</v>
      </c>
    </row>
    <row r="2">
      <c r="A2" s="234" t="s">
        <v>19</v>
      </c>
      <c r="B2" s="234" t="s">
        <v>16</v>
      </c>
      <c r="C2" s="234" t="s">
        <v>23</v>
      </c>
      <c r="D2" s="234" t="s">
        <v>12</v>
      </c>
      <c r="E2" s="16"/>
      <c r="F2" s="234" t="s">
        <v>3043</v>
      </c>
      <c r="G2" s="234" t="s">
        <v>3044</v>
      </c>
      <c r="H2" s="234" t="s">
        <v>3045</v>
      </c>
      <c r="I2" s="234" t="s">
        <v>3046</v>
      </c>
      <c r="J2" s="234" t="s">
        <v>3049</v>
      </c>
      <c r="K2" s="234" t="s">
        <v>3051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>
      <c r="A3" s="235" t="s">
        <v>3054</v>
      </c>
      <c r="B3" s="235" t="s">
        <v>3058</v>
      </c>
      <c r="C3" s="235" t="s">
        <v>3059</v>
      </c>
      <c r="D3" s="235" t="s">
        <v>3060</v>
      </c>
      <c r="F3" s="9" t="s">
        <v>19</v>
      </c>
      <c r="G3" s="9" t="s">
        <v>16</v>
      </c>
      <c r="H3" s="9" t="s">
        <v>3061</v>
      </c>
      <c r="I3" s="9" t="s">
        <v>3062</v>
      </c>
      <c r="J3" s="9" t="s">
        <v>19</v>
      </c>
      <c r="K3" s="9" t="s">
        <v>3063</v>
      </c>
    </row>
    <row r="4">
      <c r="A4" s="19" t="s">
        <v>1402</v>
      </c>
      <c r="B4" s="235" t="s">
        <v>3064</v>
      </c>
      <c r="C4" s="235" t="s">
        <v>3066</v>
      </c>
      <c r="D4" s="235" t="s">
        <v>3067</v>
      </c>
      <c r="F4" s="9" t="s">
        <v>23</v>
      </c>
      <c r="G4" s="9" t="s">
        <v>12</v>
      </c>
      <c r="H4" s="9" t="s">
        <v>3061</v>
      </c>
      <c r="I4" s="9" t="s">
        <v>3068</v>
      </c>
      <c r="J4" s="9" t="s">
        <v>12</v>
      </c>
      <c r="K4" s="9" t="s">
        <v>3069</v>
      </c>
    </row>
    <row r="5">
      <c r="A5" s="19" t="s">
        <v>3072</v>
      </c>
      <c r="B5" s="235" t="s">
        <v>3074</v>
      </c>
      <c r="C5" s="235" t="s">
        <v>3075</v>
      </c>
      <c r="D5" s="235" t="s">
        <v>3076</v>
      </c>
      <c r="F5" s="9" t="s">
        <v>23</v>
      </c>
      <c r="G5" s="9" t="s">
        <v>19</v>
      </c>
      <c r="H5" s="40" t="s">
        <v>3077</v>
      </c>
      <c r="I5" s="9" t="s">
        <v>3068</v>
      </c>
      <c r="J5" s="9" t="s">
        <v>19</v>
      </c>
      <c r="K5" s="40" t="s">
        <v>3078</v>
      </c>
    </row>
    <row r="6">
      <c r="A6" s="235" t="s">
        <v>2458</v>
      </c>
      <c r="B6" s="235" t="s">
        <v>3080</v>
      </c>
      <c r="C6" s="235" t="s">
        <v>3081</v>
      </c>
      <c r="D6" s="19" t="s">
        <v>3082</v>
      </c>
      <c r="F6" s="9" t="s">
        <v>12</v>
      </c>
      <c r="G6" s="9" t="s">
        <v>16</v>
      </c>
      <c r="H6" s="9" t="s">
        <v>3077</v>
      </c>
      <c r="I6" s="9" t="s">
        <v>3086</v>
      </c>
      <c r="J6" s="9" t="s">
        <v>12</v>
      </c>
      <c r="K6" s="9" t="s">
        <v>3069</v>
      </c>
    </row>
    <row r="7">
      <c r="A7" s="235" t="s">
        <v>3088</v>
      </c>
      <c r="B7" s="19" t="s">
        <v>3090</v>
      </c>
      <c r="C7" s="235" t="s">
        <v>3092</v>
      </c>
      <c r="D7" s="235" t="s">
        <v>3093</v>
      </c>
      <c r="F7" s="9" t="s">
        <v>19</v>
      </c>
      <c r="G7" s="9" t="s">
        <v>12</v>
      </c>
      <c r="H7" s="9" t="s">
        <v>3096</v>
      </c>
      <c r="I7" s="9" t="s">
        <v>3062</v>
      </c>
      <c r="J7" s="9" t="s">
        <v>19</v>
      </c>
      <c r="K7" s="9" t="s">
        <v>3099</v>
      </c>
    </row>
    <row r="8">
      <c r="A8" s="19" t="s">
        <v>3100</v>
      </c>
      <c r="B8" s="19" t="s">
        <v>3102</v>
      </c>
      <c r="C8" s="235" t="s">
        <v>2877</v>
      </c>
      <c r="D8" s="235" t="s">
        <v>3104</v>
      </c>
      <c r="F8" s="9" t="s">
        <v>3106</v>
      </c>
      <c r="G8" s="9" t="s">
        <v>23</v>
      </c>
      <c r="H8" s="9" t="s">
        <v>3096</v>
      </c>
      <c r="I8" s="9" t="s">
        <v>3107</v>
      </c>
      <c r="J8" s="9" t="s">
        <v>23</v>
      </c>
      <c r="K8" s="9" t="s">
        <v>3108</v>
      </c>
    </row>
    <row r="9">
      <c r="A9" s="235" t="s">
        <v>2439</v>
      </c>
      <c r="B9" s="235" t="s">
        <v>3111</v>
      </c>
      <c r="C9" s="235" t="s">
        <v>3113</v>
      </c>
      <c r="D9" s="19" t="s">
        <v>3114</v>
      </c>
      <c r="F9" s="9" t="s">
        <v>3106</v>
      </c>
      <c r="G9" s="9" t="s">
        <v>19</v>
      </c>
      <c r="H9" s="9" t="s">
        <v>3115</v>
      </c>
      <c r="I9" s="9" t="s">
        <v>3107</v>
      </c>
      <c r="J9" s="9" t="s">
        <v>16</v>
      </c>
      <c r="K9" s="9" t="s">
        <v>3117</v>
      </c>
    </row>
    <row r="10">
      <c r="A10" s="19" t="s">
        <v>3118</v>
      </c>
      <c r="B10" s="19" t="s">
        <v>3119</v>
      </c>
      <c r="C10" s="235" t="s">
        <v>3121</v>
      </c>
      <c r="D10" s="19" t="s">
        <v>3122</v>
      </c>
      <c r="F10" s="9" t="s">
        <v>12</v>
      </c>
      <c r="G10" s="9" t="s">
        <v>23</v>
      </c>
      <c r="H10" s="9" t="s">
        <v>3115</v>
      </c>
      <c r="I10" s="9" t="s">
        <v>3086</v>
      </c>
      <c r="J10" s="9" t="s">
        <v>23</v>
      </c>
      <c r="K10" s="9" t="s">
        <v>3125</v>
      </c>
    </row>
    <row r="11">
      <c r="A11" s="235" t="s">
        <v>3128</v>
      </c>
      <c r="B11" s="19" t="s">
        <v>3129</v>
      </c>
      <c r="C11" s="235" t="s">
        <v>3130</v>
      </c>
      <c r="D11" s="19" t="s">
        <v>3131</v>
      </c>
      <c r="F11" s="9" t="s">
        <v>3132</v>
      </c>
      <c r="G11" s="40" t="s">
        <v>23</v>
      </c>
      <c r="H11" s="9" t="s">
        <v>3133</v>
      </c>
      <c r="I11" s="40" t="s">
        <v>3062</v>
      </c>
      <c r="J11" s="9" t="s">
        <v>23</v>
      </c>
      <c r="K11" s="9" t="s">
        <v>3134</v>
      </c>
    </row>
    <row r="12">
      <c r="A12" s="235" t="s">
        <v>3135</v>
      </c>
      <c r="B12" s="235" t="s">
        <v>3136</v>
      </c>
      <c r="C12" s="235" t="s">
        <v>3137</v>
      </c>
      <c r="D12" s="19" t="s">
        <v>3138</v>
      </c>
      <c r="F12" s="9" t="s">
        <v>3106</v>
      </c>
      <c r="G12" s="9" t="s">
        <v>12</v>
      </c>
      <c r="H12" s="9" t="s">
        <v>3133</v>
      </c>
      <c r="I12" s="9" t="s">
        <v>3107</v>
      </c>
      <c r="J12" s="9" t="s">
        <v>12</v>
      </c>
      <c r="K12" s="9" t="s">
        <v>3069</v>
      </c>
    </row>
    <row r="13">
      <c r="F13" s="9" t="s">
        <v>12</v>
      </c>
      <c r="G13" s="9" t="s">
        <v>19</v>
      </c>
      <c r="H13" s="9" t="s">
        <v>3140</v>
      </c>
      <c r="I13" s="9" t="s">
        <v>3086</v>
      </c>
      <c r="J13" s="9" t="s">
        <v>12</v>
      </c>
      <c r="K13" s="9" t="s">
        <v>3142</v>
      </c>
    </row>
    <row r="14">
      <c r="F14" s="9" t="s">
        <v>23</v>
      </c>
      <c r="G14" s="9" t="s">
        <v>16</v>
      </c>
      <c r="H14" s="9" t="s">
        <v>3140</v>
      </c>
      <c r="I14" s="9" t="s">
        <v>3068</v>
      </c>
      <c r="J14" s="9" t="s">
        <v>16</v>
      </c>
      <c r="K14" s="9" t="s">
        <v>3145</v>
      </c>
    </row>
    <row r="15">
      <c r="F15" s="9" t="s">
        <v>12</v>
      </c>
      <c r="G15" s="9" t="s">
        <v>19</v>
      </c>
      <c r="H15" s="9" t="s">
        <v>3146</v>
      </c>
      <c r="I15" s="9" t="s">
        <v>3086</v>
      </c>
      <c r="J15" s="9" t="s">
        <v>19</v>
      </c>
      <c r="K15" s="9" t="s">
        <v>3063</v>
      </c>
    </row>
    <row r="16">
      <c r="F16" s="16"/>
      <c r="G16" s="16"/>
      <c r="H16" s="16"/>
      <c r="I16" s="16"/>
      <c r="J16" s="16"/>
      <c r="K16" s="16"/>
    </row>
    <row r="17">
      <c r="F17" s="16"/>
      <c r="G17" s="16"/>
      <c r="H17" s="16"/>
      <c r="I17" s="16"/>
      <c r="J17" s="16"/>
      <c r="K17" s="16"/>
    </row>
    <row r="18">
      <c r="F18" s="16"/>
      <c r="G18" s="16"/>
      <c r="H18" s="16"/>
      <c r="I18" s="16"/>
      <c r="J18" s="16"/>
      <c r="K18" s="16"/>
    </row>
    <row r="19">
      <c r="A19" s="39" t="s">
        <v>3154</v>
      </c>
      <c r="E19" s="18"/>
      <c r="F19" s="16"/>
      <c r="G19" s="16"/>
      <c r="H19" s="16"/>
      <c r="I19" s="16"/>
      <c r="J19" s="16"/>
      <c r="K19" s="16"/>
    </row>
    <row r="20">
      <c r="A20" s="150" t="s">
        <v>509</v>
      </c>
      <c r="B20" s="150" t="s">
        <v>511</v>
      </c>
      <c r="C20" s="150" t="s">
        <v>513</v>
      </c>
      <c r="D20" s="150" t="s">
        <v>3085</v>
      </c>
      <c r="F20" s="16"/>
      <c r="G20" s="16"/>
      <c r="H20" s="16"/>
      <c r="I20" s="16"/>
      <c r="J20" s="16"/>
      <c r="K20" s="16"/>
    </row>
    <row r="21">
      <c r="A21" s="9" t="s">
        <v>761</v>
      </c>
      <c r="B21" s="9" t="s">
        <v>763</v>
      </c>
      <c r="D21" s="9">
        <v>30000.0</v>
      </c>
      <c r="F21" s="16"/>
      <c r="G21" s="16"/>
      <c r="H21" s="16"/>
      <c r="I21" s="16"/>
      <c r="J21" s="16"/>
      <c r="K21" s="16"/>
    </row>
    <row r="22">
      <c r="A22" s="9" t="s">
        <v>768</v>
      </c>
      <c r="B22" s="9" t="s">
        <v>769</v>
      </c>
      <c r="D22" s="9">
        <v>30000.0</v>
      </c>
      <c r="F22" s="16"/>
      <c r="G22" s="16"/>
      <c r="H22" s="16"/>
      <c r="I22" s="16"/>
      <c r="J22" s="16"/>
      <c r="K22" s="16"/>
    </row>
    <row r="23">
      <c r="A23" s="9" t="s">
        <v>772</v>
      </c>
      <c r="B23" s="9" t="s">
        <v>773</v>
      </c>
      <c r="D23" s="9">
        <v>30000.0</v>
      </c>
      <c r="F23" s="16"/>
      <c r="G23" s="16"/>
      <c r="H23" s="16"/>
      <c r="I23" s="16"/>
      <c r="J23" s="16"/>
      <c r="K23" s="16"/>
    </row>
    <row r="24">
      <c r="A24" s="9" t="s">
        <v>679</v>
      </c>
      <c r="B24" s="9" t="s">
        <v>729</v>
      </c>
      <c r="C24" s="9" t="s">
        <v>19</v>
      </c>
      <c r="D24" s="9">
        <v>20000.0</v>
      </c>
      <c r="F24" s="16"/>
      <c r="G24" s="16"/>
      <c r="H24" s="16"/>
      <c r="I24" s="16"/>
      <c r="J24" s="16"/>
      <c r="K24" s="16"/>
    </row>
    <row r="25">
      <c r="A25" s="9" t="s">
        <v>579</v>
      </c>
      <c r="B25" s="9" t="s">
        <v>739</v>
      </c>
      <c r="C25" s="9" t="s">
        <v>23</v>
      </c>
      <c r="D25" s="9">
        <v>20000.0</v>
      </c>
      <c r="F25" s="16"/>
      <c r="G25" s="16"/>
      <c r="H25" s="16"/>
      <c r="I25" s="16"/>
      <c r="J25" s="16"/>
      <c r="K25" s="16"/>
    </row>
    <row r="26">
      <c r="A26" s="9" t="s">
        <v>587</v>
      </c>
      <c r="B26" s="9" t="s">
        <v>746</v>
      </c>
      <c r="C26" s="9" t="s">
        <v>12</v>
      </c>
      <c r="D26" s="9">
        <v>20000.0</v>
      </c>
      <c r="F26" s="16"/>
      <c r="G26" s="16"/>
      <c r="H26" s="16"/>
      <c r="I26" s="16"/>
      <c r="J26" s="16"/>
      <c r="K26" s="16"/>
    </row>
    <row r="27">
      <c r="A27" s="9" t="s">
        <v>600</v>
      </c>
      <c r="B27" s="9" t="s">
        <v>746</v>
      </c>
      <c r="C27" s="9" t="s">
        <v>12</v>
      </c>
      <c r="D27" s="9">
        <v>25000.0</v>
      </c>
      <c r="F27" s="16"/>
      <c r="G27" s="16"/>
      <c r="H27" s="16"/>
      <c r="I27" s="16"/>
      <c r="J27" s="16"/>
      <c r="K27" s="16"/>
    </row>
    <row r="28">
      <c r="A28" s="9" t="s">
        <v>613</v>
      </c>
      <c r="B28" s="9" t="s">
        <v>12</v>
      </c>
      <c r="D28" s="9">
        <v>50000.0</v>
      </c>
      <c r="F28" s="16"/>
      <c r="G28" s="16"/>
      <c r="H28" s="16"/>
      <c r="I28" s="16"/>
      <c r="J28" s="16"/>
      <c r="K28" s="16"/>
    </row>
    <row r="29">
      <c r="A29" s="9" t="s">
        <v>620</v>
      </c>
      <c r="B29" s="9" t="s">
        <v>19</v>
      </c>
      <c r="D29" s="9">
        <v>100000.0</v>
      </c>
      <c r="F29" s="16"/>
      <c r="G29" s="16"/>
      <c r="H29" s="16"/>
      <c r="I29" s="16"/>
      <c r="J29" s="16"/>
      <c r="K29" s="16"/>
    </row>
    <row r="30">
      <c r="F30" s="16"/>
      <c r="G30" s="16"/>
      <c r="H30" s="16"/>
      <c r="I30" s="16"/>
      <c r="J30" s="16"/>
      <c r="K30" s="16"/>
    </row>
    <row r="31">
      <c r="F31" s="16"/>
      <c r="G31" s="16"/>
      <c r="H31" s="16"/>
      <c r="I31" s="16"/>
      <c r="J31" s="16"/>
      <c r="K31" s="16"/>
    </row>
    <row r="32">
      <c r="F32" s="16"/>
      <c r="G32" s="16"/>
      <c r="H32" s="16"/>
      <c r="I32" s="16"/>
      <c r="J32" s="16"/>
      <c r="K32" s="16"/>
    </row>
    <row r="33">
      <c r="F33" s="16"/>
      <c r="G33" s="16"/>
      <c r="H33" s="16"/>
      <c r="I33" s="16"/>
      <c r="J33" s="16"/>
      <c r="K33" s="16"/>
    </row>
    <row r="34">
      <c r="F34" s="16"/>
      <c r="G34" s="16"/>
      <c r="H34" s="16"/>
      <c r="I34" s="16"/>
      <c r="J34" s="16"/>
      <c r="K34" s="16"/>
    </row>
    <row r="35">
      <c r="F35" s="16"/>
      <c r="G35" s="16"/>
      <c r="H35" s="16"/>
      <c r="I35" s="16"/>
      <c r="J35" s="16"/>
      <c r="K35" s="16"/>
    </row>
    <row r="36">
      <c r="F36" s="16"/>
      <c r="G36" s="16"/>
      <c r="H36" s="16"/>
      <c r="I36" s="16"/>
      <c r="J36" s="16"/>
      <c r="K36" s="16"/>
    </row>
    <row r="37">
      <c r="F37" s="16"/>
      <c r="G37" s="16"/>
      <c r="H37" s="16"/>
      <c r="I37" s="16"/>
      <c r="J37" s="16"/>
      <c r="K37" s="16"/>
    </row>
    <row r="38">
      <c r="F38" s="16"/>
      <c r="G38" s="16"/>
      <c r="H38" s="16"/>
      <c r="I38" s="16"/>
      <c r="J38" s="16"/>
      <c r="K38" s="16"/>
    </row>
    <row r="39">
      <c r="F39" s="16"/>
      <c r="G39" s="16"/>
      <c r="H39" s="16"/>
      <c r="I39" s="16"/>
      <c r="J39" s="16"/>
      <c r="K39" s="16"/>
    </row>
    <row r="40">
      <c r="F40" s="16"/>
      <c r="G40" s="16"/>
      <c r="H40" s="16"/>
      <c r="I40" s="16"/>
      <c r="J40" s="16"/>
      <c r="K40" s="16"/>
    </row>
    <row r="41">
      <c r="F41" s="16"/>
      <c r="G41" s="16"/>
      <c r="H41" s="16"/>
      <c r="I41" s="16"/>
      <c r="J41" s="16"/>
      <c r="K41" s="16"/>
    </row>
    <row r="42">
      <c r="F42" s="16"/>
      <c r="G42" s="16"/>
      <c r="H42" s="16"/>
      <c r="I42" s="16"/>
      <c r="J42" s="16"/>
      <c r="K42" s="16"/>
    </row>
    <row r="43">
      <c r="F43" s="16"/>
      <c r="G43" s="16"/>
      <c r="H43" s="16"/>
      <c r="I43" s="16"/>
      <c r="J43" s="16"/>
      <c r="K43" s="16"/>
    </row>
    <row r="44">
      <c r="F44" s="16"/>
      <c r="G44" s="16"/>
      <c r="H44" s="16"/>
      <c r="I44" s="16"/>
      <c r="J44" s="16"/>
      <c r="K44" s="16"/>
    </row>
    <row r="45">
      <c r="F45" s="16"/>
      <c r="G45" s="16"/>
      <c r="H45" s="16"/>
      <c r="I45" s="16"/>
      <c r="J45" s="16"/>
      <c r="K45" s="16"/>
    </row>
    <row r="46">
      <c r="F46" s="16"/>
      <c r="G46" s="16"/>
      <c r="H46" s="16"/>
      <c r="I46" s="16"/>
      <c r="J46" s="16"/>
      <c r="K46" s="16"/>
    </row>
    <row r="47">
      <c r="F47" s="16"/>
      <c r="G47" s="16"/>
      <c r="H47" s="16"/>
      <c r="I47" s="16"/>
      <c r="J47" s="16"/>
      <c r="K47" s="16"/>
    </row>
    <row r="48">
      <c r="F48" s="16"/>
      <c r="G48" s="16"/>
      <c r="H48" s="16"/>
      <c r="I48" s="16"/>
      <c r="J48" s="16"/>
      <c r="K48" s="16"/>
    </row>
    <row r="49">
      <c r="F49" s="16"/>
      <c r="G49" s="16"/>
      <c r="H49" s="16"/>
      <c r="I49" s="16"/>
      <c r="J49" s="16"/>
      <c r="K49" s="16"/>
    </row>
    <row r="50">
      <c r="F50" s="16"/>
      <c r="G50" s="16"/>
      <c r="H50" s="16"/>
      <c r="I50" s="16"/>
      <c r="J50" s="16"/>
      <c r="K50" s="16"/>
    </row>
    <row r="51">
      <c r="F51" s="16"/>
      <c r="G51" s="16"/>
      <c r="H51" s="16"/>
      <c r="I51" s="16"/>
      <c r="J51" s="16"/>
      <c r="K51" s="16"/>
    </row>
    <row r="52">
      <c r="F52" s="16"/>
      <c r="G52" s="16"/>
      <c r="H52" s="16"/>
      <c r="I52" s="16"/>
      <c r="J52" s="16"/>
      <c r="K52" s="16"/>
    </row>
    <row r="53">
      <c r="F53" s="16"/>
      <c r="G53" s="16"/>
      <c r="H53" s="16"/>
      <c r="I53" s="16"/>
      <c r="J53" s="16"/>
      <c r="K53" s="16"/>
    </row>
    <row r="54">
      <c r="F54" s="16"/>
      <c r="G54" s="16"/>
      <c r="H54" s="16"/>
      <c r="I54" s="16"/>
      <c r="J54" s="16"/>
      <c r="K54" s="16"/>
    </row>
    <row r="55">
      <c r="F55" s="16"/>
      <c r="G55" s="16"/>
      <c r="H55" s="16"/>
      <c r="I55" s="16"/>
      <c r="J55" s="16"/>
      <c r="K55" s="16"/>
    </row>
    <row r="56">
      <c r="F56" s="16"/>
      <c r="G56" s="16"/>
      <c r="H56" s="16"/>
      <c r="I56" s="16"/>
      <c r="J56" s="16"/>
      <c r="K56" s="16"/>
    </row>
    <row r="57">
      <c r="F57" s="16"/>
      <c r="G57" s="16"/>
      <c r="H57" s="16"/>
      <c r="I57" s="16"/>
      <c r="J57" s="16"/>
      <c r="K57" s="16"/>
    </row>
    <row r="58">
      <c r="F58" s="16"/>
      <c r="G58" s="16"/>
      <c r="H58" s="16"/>
      <c r="I58" s="16"/>
      <c r="J58" s="16"/>
      <c r="K58" s="16"/>
    </row>
    <row r="59">
      <c r="F59" s="16"/>
      <c r="G59" s="16"/>
      <c r="H59" s="16"/>
      <c r="I59" s="16"/>
      <c r="J59" s="16"/>
      <c r="K59" s="16"/>
    </row>
    <row r="60">
      <c r="F60" s="16"/>
      <c r="G60" s="16"/>
      <c r="H60" s="16"/>
      <c r="I60" s="16"/>
      <c r="J60" s="16"/>
      <c r="K60" s="16"/>
    </row>
    <row r="61">
      <c r="F61" s="16"/>
      <c r="G61" s="16"/>
      <c r="H61" s="16"/>
      <c r="I61" s="16"/>
      <c r="J61" s="16"/>
      <c r="K61" s="16"/>
    </row>
    <row r="62">
      <c r="F62" s="16"/>
      <c r="G62" s="16"/>
      <c r="H62" s="16"/>
      <c r="I62" s="16"/>
      <c r="J62" s="16"/>
      <c r="K62" s="16"/>
    </row>
    <row r="63">
      <c r="F63" s="16"/>
      <c r="G63" s="16"/>
      <c r="H63" s="16"/>
      <c r="I63" s="16"/>
      <c r="J63" s="16"/>
      <c r="K63" s="16"/>
    </row>
    <row r="64">
      <c r="F64" s="16"/>
      <c r="G64" s="16"/>
      <c r="H64" s="16"/>
      <c r="I64" s="16"/>
      <c r="J64" s="16"/>
      <c r="K64" s="16"/>
    </row>
    <row r="65">
      <c r="F65" s="16"/>
      <c r="G65" s="16"/>
      <c r="H65" s="16"/>
      <c r="I65" s="16"/>
      <c r="J65" s="16"/>
      <c r="K65" s="16"/>
    </row>
    <row r="66">
      <c r="F66" s="16"/>
      <c r="G66" s="16"/>
      <c r="H66" s="16"/>
      <c r="I66" s="16"/>
      <c r="J66" s="16"/>
      <c r="K66" s="16"/>
    </row>
    <row r="67">
      <c r="F67" s="16"/>
      <c r="G67" s="16"/>
      <c r="H67" s="16"/>
      <c r="I67" s="16"/>
      <c r="J67" s="16"/>
      <c r="K67" s="16"/>
    </row>
    <row r="68">
      <c r="F68" s="16"/>
      <c r="G68" s="16"/>
      <c r="H68" s="16"/>
      <c r="I68" s="16"/>
      <c r="J68" s="16"/>
      <c r="K68" s="16"/>
    </row>
    <row r="69">
      <c r="F69" s="16"/>
      <c r="G69" s="16"/>
      <c r="H69" s="16"/>
      <c r="I69" s="16"/>
      <c r="J69" s="16"/>
      <c r="K69" s="16"/>
    </row>
    <row r="70">
      <c r="F70" s="16"/>
      <c r="G70" s="16"/>
      <c r="H70" s="16"/>
      <c r="I70" s="16"/>
      <c r="J70" s="16"/>
      <c r="K70" s="16"/>
    </row>
    <row r="71">
      <c r="F71" s="16"/>
      <c r="G71" s="16"/>
      <c r="H71" s="16"/>
      <c r="I71" s="16"/>
      <c r="J71" s="16"/>
      <c r="K71" s="16"/>
    </row>
    <row r="72">
      <c r="F72" s="16"/>
      <c r="G72" s="16"/>
      <c r="H72" s="16"/>
      <c r="I72" s="16"/>
      <c r="J72" s="16"/>
      <c r="K72" s="16"/>
    </row>
    <row r="73">
      <c r="F73" s="16"/>
      <c r="G73" s="16"/>
      <c r="H73" s="16"/>
      <c r="I73" s="16"/>
      <c r="J73" s="16"/>
      <c r="K73" s="16"/>
    </row>
    <row r="74">
      <c r="F74" s="16"/>
      <c r="G74" s="16"/>
      <c r="H74" s="16"/>
      <c r="I74" s="16"/>
      <c r="J74" s="16"/>
      <c r="K74" s="16"/>
    </row>
    <row r="75">
      <c r="F75" s="16"/>
      <c r="G75" s="16"/>
      <c r="H75" s="16"/>
      <c r="I75" s="16"/>
      <c r="J75" s="16"/>
      <c r="K75" s="16"/>
    </row>
    <row r="76">
      <c r="F76" s="16"/>
      <c r="G76" s="16"/>
      <c r="H76" s="16"/>
      <c r="I76" s="16"/>
      <c r="J76" s="16"/>
      <c r="K76" s="16"/>
    </row>
    <row r="77">
      <c r="F77" s="16"/>
      <c r="G77" s="16"/>
      <c r="H77" s="16"/>
      <c r="I77" s="16"/>
      <c r="J77" s="16"/>
      <c r="K77" s="16"/>
    </row>
    <row r="78">
      <c r="F78" s="16"/>
      <c r="G78" s="16"/>
      <c r="H78" s="16"/>
      <c r="I78" s="16"/>
      <c r="J78" s="16"/>
      <c r="K78" s="16"/>
    </row>
    <row r="79">
      <c r="F79" s="16"/>
      <c r="G79" s="16"/>
      <c r="H79" s="16"/>
      <c r="I79" s="16"/>
      <c r="J79" s="16"/>
      <c r="K79" s="16"/>
    </row>
    <row r="80">
      <c r="F80" s="16"/>
      <c r="G80" s="16"/>
      <c r="H80" s="16"/>
      <c r="I80" s="16"/>
      <c r="J80" s="16"/>
      <c r="K80" s="16"/>
    </row>
    <row r="81">
      <c r="F81" s="16"/>
      <c r="G81" s="16"/>
      <c r="H81" s="16"/>
      <c r="I81" s="16"/>
      <c r="J81" s="16"/>
      <c r="K81" s="16"/>
    </row>
    <row r="82">
      <c r="F82" s="16"/>
      <c r="G82" s="16"/>
      <c r="H82" s="16"/>
      <c r="I82" s="16"/>
      <c r="J82" s="16"/>
      <c r="K82" s="16"/>
    </row>
    <row r="83">
      <c r="F83" s="16"/>
      <c r="G83" s="16"/>
      <c r="H83" s="16"/>
      <c r="I83" s="16"/>
      <c r="J83" s="16"/>
      <c r="K83" s="16"/>
    </row>
    <row r="84">
      <c r="F84" s="16"/>
      <c r="G84" s="16"/>
      <c r="H84" s="16"/>
      <c r="I84" s="16"/>
      <c r="J84" s="16"/>
      <c r="K84" s="16"/>
    </row>
    <row r="85">
      <c r="F85" s="16"/>
      <c r="G85" s="16"/>
      <c r="H85" s="16"/>
      <c r="I85" s="16"/>
      <c r="J85" s="16"/>
      <c r="K85" s="16"/>
    </row>
    <row r="86">
      <c r="F86" s="16"/>
      <c r="G86" s="16"/>
      <c r="H86" s="16"/>
      <c r="I86" s="16"/>
      <c r="J86" s="16"/>
      <c r="K86" s="16"/>
    </row>
    <row r="87">
      <c r="F87" s="16"/>
      <c r="G87" s="16"/>
      <c r="H87" s="16"/>
      <c r="I87" s="16"/>
      <c r="J87" s="16"/>
      <c r="K87" s="16"/>
    </row>
    <row r="88">
      <c r="F88" s="16"/>
      <c r="G88" s="16"/>
      <c r="H88" s="16"/>
      <c r="I88" s="16"/>
      <c r="J88" s="16"/>
      <c r="K88" s="16"/>
    </row>
    <row r="89">
      <c r="F89" s="16"/>
      <c r="G89" s="16"/>
      <c r="H89" s="16"/>
      <c r="I89" s="16"/>
      <c r="J89" s="16"/>
      <c r="K89" s="16"/>
    </row>
    <row r="90">
      <c r="F90" s="16"/>
      <c r="G90" s="16"/>
      <c r="H90" s="16"/>
      <c r="I90" s="16"/>
      <c r="J90" s="16"/>
      <c r="K90" s="16"/>
    </row>
    <row r="91">
      <c r="F91" s="16"/>
      <c r="G91" s="16"/>
      <c r="H91" s="16"/>
      <c r="I91" s="16"/>
      <c r="J91" s="16"/>
      <c r="K91" s="16"/>
    </row>
    <row r="92">
      <c r="F92" s="16"/>
      <c r="G92" s="16"/>
      <c r="H92" s="16"/>
      <c r="I92" s="16"/>
      <c r="J92" s="16"/>
      <c r="K92" s="16"/>
    </row>
    <row r="93">
      <c r="F93" s="16"/>
      <c r="G93" s="16"/>
      <c r="H93" s="16"/>
      <c r="I93" s="16"/>
      <c r="J93" s="16"/>
      <c r="K93" s="16"/>
    </row>
    <row r="94">
      <c r="F94" s="16"/>
      <c r="G94" s="16"/>
      <c r="H94" s="16"/>
      <c r="I94" s="16"/>
      <c r="J94" s="16"/>
      <c r="K94" s="16"/>
    </row>
    <row r="95">
      <c r="F95" s="16"/>
      <c r="G95" s="16"/>
      <c r="H95" s="16"/>
      <c r="I95" s="16"/>
      <c r="J95" s="16"/>
      <c r="K95" s="16"/>
    </row>
    <row r="96">
      <c r="F96" s="16"/>
      <c r="G96" s="16"/>
      <c r="H96" s="16"/>
      <c r="I96" s="16"/>
      <c r="J96" s="16"/>
      <c r="K96" s="16"/>
    </row>
    <row r="97">
      <c r="F97" s="16"/>
      <c r="G97" s="16"/>
      <c r="H97" s="16"/>
      <c r="I97" s="16"/>
      <c r="J97" s="16"/>
      <c r="K97" s="16"/>
    </row>
    <row r="98">
      <c r="F98" s="16"/>
      <c r="G98" s="16"/>
      <c r="H98" s="16"/>
      <c r="I98" s="16"/>
      <c r="J98" s="16"/>
      <c r="K98" s="16"/>
    </row>
    <row r="99">
      <c r="F99" s="16"/>
      <c r="G99" s="16"/>
      <c r="H99" s="16"/>
      <c r="I99" s="16"/>
      <c r="J99" s="16"/>
      <c r="K99" s="16"/>
    </row>
    <row r="100">
      <c r="F100" s="16"/>
      <c r="G100" s="16"/>
      <c r="H100" s="16"/>
      <c r="I100" s="16"/>
      <c r="J100" s="16"/>
      <c r="K100" s="16"/>
    </row>
    <row r="101">
      <c r="F101" s="16"/>
      <c r="G101" s="16"/>
      <c r="H101" s="16"/>
      <c r="I101" s="16"/>
      <c r="J101" s="16"/>
      <c r="K101" s="16"/>
    </row>
    <row r="102">
      <c r="F102" s="16"/>
      <c r="G102" s="16"/>
      <c r="H102" s="16"/>
      <c r="I102" s="16"/>
      <c r="J102" s="16"/>
      <c r="K102" s="16"/>
    </row>
    <row r="103">
      <c r="F103" s="16"/>
      <c r="G103" s="16"/>
      <c r="H103" s="16"/>
      <c r="I103" s="16"/>
      <c r="J103" s="16"/>
      <c r="K103" s="16"/>
    </row>
    <row r="104">
      <c r="F104" s="16"/>
      <c r="G104" s="16"/>
      <c r="H104" s="16"/>
      <c r="I104" s="16"/>
      <c r="J104" s="16"/>
      <c r="K104" s="16"/>
    </row>
    <row r="105">
      <c r="F105" s="16"/>
      <c r="G105" s="16"/>
      <c r="H105" s="16"/>
      <c r="I105" s="16"/>
      <c r="J105" s="16"/>
      <c r="K105" s="16"/>
    </row>
    <row r="106">
      <c r="F106" s="16"/>
      <c r="G106" s="16"/>
      <c r="H106" s="16"/>
      <c r="I106" s="16"/>
      <c r="J106" s="16"/>
      <c r="K106" s="16"/>
    </row>
    <row r="107">
      <c r="F107" s="16"/>
      <c r="G107" s="16"/>
      <c r="H107" s="16"/>
      <c r="I107" s="16"/>
      <c r="J107" s="16"/>
      <c r="K107" s="16"/>
    </row>
    <row r="108">
      <c r="F108" s="16"/>
      <c r="G108" s="16"/>
      <c r="H108" s="16"/>
      <c r="I108" s="16"/>
      <c r="J108" s="16"/>
      <c r="K108" s="16"/>
    </row>
    <row r="109">
      <c r="F109" s="16"/>
      <c r="G109" s="16"/>
      <c r="H109" s="16"/>
      <c r="I109" s="16"/>
      <c r="J109" s="16"/>
      <c r="K109" s="16"/>
    </row>
    <row r="110">
      <c r="F110" s="16"/>
      <c r="G110" s="16"/>
      <c r="H110" s="16"/>
      <c r="I110" s="16"/>
      <c r="J110" s="16"/>
      <c r="K110" s="16"/>
    </row>
    <row r="111">
      <c r="F111" s="16"/>
      <c r="G111" s="16"/>
      <c r="H111" s="16"/>
      <c r="I111" s="16"/>
      <c r="J111" s="16"/>
      <c r="K111" s="16"/>
    </row>
    <row r="112">
      <c r="F112" s="16"/>
      <c r="G112" s="16"/>
      <c r="H112" s="16"/>
      <c r="I112" s="16"/>
      <c r="J112" s="16"/>
      <c r="K112" s="16"/>
    </row>
    <row r="113">
      <c r="F113" s="16"/>
      <c r="G113" s="16"/>
      <c r="H113" s="16"/>
      <c r="I113" s="16"/>
      <c r="J113" s="16"/>
      <c r="K113" s="16"/>
    </row>
    <row r="114">
      <c r="F114" s="16"/>
      <c r="G114" s="16"/>
      <c r="H114" s="16"/>
      <c r="I114" s="16"/>
      <c r="J114" s="16"/>
      <c r="K114" s="16"/>
    </row>
    <row r="115">
      <c r="F115" s="16"/>
      <c r="G115" s="16"/>
      <c r="H115" s="16"/>
      <c r="I115" s="16"/>
      <c r="J115" s="16"/>
      <c r="K115" s="16"/>
    </row>
    <row r="116">
      <c r="F116" s="16"/>
      <c r="G116" s="16"/>
      <c r="H116" s="16"/>
      <c r="I116" s="16"/>
      <c r="J116" s="16"/>
      <c r="K116" s="16"/>
    </row>
    <row r="117">
      <c r="F117" s="16"/>
      <c r="G117" s="16"/>
      <c r="H117" s="16"/>
      <c r="I117" s="16"/>
      <c r="J117" s="16"/>
      <c r="K117" s="16"/>
    </row>
    <row r="118">
      <c r="F118" s="16"/>
      <c r="G118" s="16"/>
      <c r="H118" s="16"/>
      <c r="I118" s="16"/>
      <c r="J118" s="16"/>
      <c r="K118" s="16"/>
    </row>
    <row r="119">
      <c r="F119" s="16"/>
      <c r="G119" s="16"/>
      <c r="H119" s="16"/>
      <c r="I119" s="16"/>
      <c r="J119" s="16"/>
      <c r="K119" s="16"/>
    </row>
    <row r="120">
      <c r="F120" s="16"/>
      <c r="G120" s="16"/>
      <c r="H120" s="16"/>
      <c r="I120" s="16"/>
      <c r="J120" s="16"/>
      <c r="K120" s="16"/>
    </row>
    <row r="121">
      <c r="F121" s="16"/>
      <c r="G121" s="16"/>
      <c r="H121" s="16"/>
      <c r="I121" s="16"/>
      <c r="J121" s="16"/>
      <c r="K121" s="16"/>
    </row>
    <row r="122">
      <c r="F122" s="16"/>
      <c r="G122" s="16"/>
      <c r="H122" s="16"/>
      <c r="I122" s="16"/>
      <c r="J122" s="16"/>
      <c r="K122" s="16"/>
    </row>
    <row r="123">
      <c r="F123" s="16"/>
      <c r="G123" s="16"/>
      <c r="H123" s="16"/>
      <c r="I123" s="16"/>
      <c r="J123" s="16"/>
      <c r="K123" s="16"/>
    </row>
    <row r="124">
      <c r="F124" s="16"/>
      <c r="G124" s="16"/>
      <c r="H124" s="16"/>
      <c r="I124" s="16"/>
      <c r="J124" s="16"/>
      <c r="K124" s="16"/>
    </row>
    <row r="125">
      <c r="F125" s="16"/>
      <c r="G125" s="16"/>
      <c r="H125" s="16"/>
      <c r="I125" s="16"/>
      <c r="J125" s="16"/>
      <c r="K125" s="16"/>
    </row>
    <row r="126">
      <c r="F126" s="16"/>
      <c r="G126" s="16"/>
      <c r="H126" s="16"/>
      <c r="I126" s="16"/>
      <c r="J126" s="16"/>
      <c r="K126" s="16"/>
    </row>
    <row r="127">
      <c r="F127" s="16"/>
      <c r="G127" s="16"/>
      <c r="H127" s="16"/>
      <c r="I127" s="16"/>
      <c r="J127" s="16"/>
      <c r="K127" s="16"/>
    </row>
    <row r="128">
      <c r="F128" s="16"/>
      <c r="G128" s="16"/>
      <c r="H128" s="16"/>
      <c r="I128" s="16"/>
      <c r="J128" s="16"/>
      <c r="K128" s="16"/>
    </row>
    <row r="129">
      <c r="F129" s="16"/>
      <c r="G129" s="16"/>
      <c r="H129" s="16"/>
      <c r="I129" s="16"/>
      <c r="J129" s="16"/>
      <c r="K129" s="16"/>
    </row>
    <row r="130">
      <c r="F130" s="16"/>
      <c r="G130" s="16"/>
      <c r="H130" s="16"/>
      <c r="I130" s="16"/>
      <c r="J130" s="16"/>
      <c r="K130" s="16"/>
    </row>
    <row r="131">
      <c r="F131" s="16"/>
      <c r="G131" s="16"/>
      <c r="H131" s="16"/>
      <c r="I131" s="16"/>
      <c r="J131" s="16"/>
      <c r="K131" s="16"/>
    </row>
    <row r="132">
      <c r="F132" s="16"/>
      <c r="G132" s="16"/>
      <c r="H132" s="16"/>
      <c r="I132" s="16"/>
      <c r="J132" s="16"/>
      <c r="K132" s="16"/>
    </row>
    <row r="133">
      <c r="F133" s="16"/>
      <c r="G133" s="16"/>
      <c r="H133" s="16"/>
      <c r="I133" s="16"/>
      <c r="J133" s="16"/>
      <c r="K133" s="16"/>
    </row>
    <row r="134">
      <c r="F134" s="16"/>
      <c r="G134" s="16"/>
      <c r="H134" s="16"/>
      <c r="I134" s="16"/>
      <c r="J134" s="16"/>
      <c r="K134" s="16"/>
    </row>
    <row r="135">
      <c r="F135" s="16"/>
      <c r="G135" s="16"/>
      <c r="H135" s="16"/>
      <c r="I135" s="16"/>
      <c r="J135" s="16"/>
      <c r="K135" s="16"/>
    </row>
    <row r="136">
      <c r="F136" s="16"/>
      <c r="G136" s="16"/>
      <c r="H136" s="16"/>
      <c r="I136" s="16"/>
      <c r="J136" s="16"/>
      <c r="K136" s="16"/>
    </row>
    <row r="137">
      <c r="F137" s="16"/>
      <c r="G137" s="16"/>
      <c r="H137" s="16"/>
      <c r="I137" s="16"/>
      <c r="J137" s="16"/>
      <c r="K137" s="16"/>
    </row>
    <row r="138">
      <c r="F138" s="16"/>
      <c r="G138" s="16"/>
      <c r="H138" s="16"/>
      <c r="I138" s="16"/>
      <c r="J138" s="16"/>
      <c r="K138" s="16"/>
    </row>
    <row r="139">
      <c r="F139" s="16"/>
      <c r="G139" s="16"/>
      <c r="H139" s="16"/>
      <c r="I139" s="16"/>
      <c r="J139" s="16"/>
      <c r="K139" s="16"/>
    </row>
    <row r="140">
      <c r="F140" s="16"/>
      <c r="G140" s="16"/>
      <c r="H140" s="16"/>
      <c r="I140" s="16"/>
      <c r="J140" s="16"/>
      <c r="K140" s="16"/>
    </row>
    <row r="141">
      <c r="F141" s="16"/>
      <c r="G141" s="16"/>
      <c r="H141" s="16"/>
      <c r="I141" s="16"/>
      <c r="J141" s="16"/>
      <c r="K141" s="16"/>
    </row>
    <row r="142">
      <c r="F142" s="16"/>
      <c r="G142" s="16"/>
      <c r="H142" s="16"/>
      <c r="I142" s="16"/>
      <c r="J142" s="16"/>
      <c r="K142" s="16"/>
    </row>
    <row r="143">
      <c r="F143" s="16"/>
      <c r="G143" s="16"/>
      <c r="H143" s="16"/>
      <c r="I143" s="16"/>
      <c r="J143" s="16"/>
      <c r="K143" s="16"/>
    </row>
    <row r="144">
      <c r="F144" s="16"/>
      <c r="G144" s="16"/>
      <c r="H144" s="16"/>
      <c r="I144" s="16"/>
      <c r="J144" s="16"/>
      <c r="K144" s="16"/>
    </row>
    <row r="145">
      <c r="F145" s="16"/>
      <c r="G145" s="16"/>
      <c r="H145" s="16"/>
      <c r="I145" s="16"/>
      <c r="J145" s="16"/>
      <c r="K145" s="16"/>
    </row>
    <row r="146">
      <c r="F146" s="16"/>
      <c r="G146" s="16"/>
      <c r="H146" s="16"/>
      <c r="I146" s="16"/>
      <c r="J146" s="16"/>
      <c r="K146" s="16"/>
    </row>
    <row r="147">
      <c r="F147" s="16"/>
      <c r="G147" s="16"/>
      <c r="H147" s="16"/>
      <c r="I147" s="16"/>
      <c r="J147" s="16"/>
      <c r="K147" s="16"/>
    </row>
    <row r="148">
      <c r="F148" s="16"/>
      <c r="G148" s="16"/>
      <c r="H148" s="16"/>
      <c r="I148" s="16"/>
      <c r="J148" s="16"/>
      <c r="K148" s="16"/>
    </row>
    <row r="149">
      <c r="F149" s="16"/>
      <c r="G149" s="16"/>
      <c r="H149" s="16"/>
      <c r="I149" s="16"/>
      <c r="J149" s="16"/>
      <c r="K149" s="16"/>
    </row>
    <row r="150">
      <c r="F150" s="16"/>
      <c r="G150" s="16"/>
      <c r="H150" s="16"/>
      <c r="I150" s="16"/>
      <c r="J150" s="16"/>
      <c r="K150" s="16"/>
    </row>
    <row r="151">
      <c r="F151" s="16"/>
      <c r="G151" s="16"/>
      <c r="H151" s="16"/>
      <c r="I151" s="16"/>
      <c r="J151" s="16"/>
      <c r="K151" s="16"/>
    </row>
    <row r="152">
      <c r="F152" s="16"/>
      <c r="G152" s="16"/>
      <c r="H152" s="16"/>
      <c r="I152" s="16"/>
      <c r="J152" s="16"/>
      <c r="K152" s="16"/>
    </row>
    <row r="153">
      <c r="F153" s="16"/>
      <c r="G153" s="16"/>
      <c r="H153" s="16"/>
      <c r="I153" s="16"/>
      <c r="J153" s="16"/>
      <c r="K153" s="16"/>
    </row>
    <row r="154">
      <c r="F154" s="16"/>
      <c r="G154" s="16"/>
      <c r="H154" s="16"/>
      <c r="I154" s="16"/>
      <c r="J154" s="16"/>
      <c r="K154" s="16"/>
    </row>
    <row r="155">
      <c r="F155" s="16"/>
      <c r="G155" s="16"/>
      <c r="H155" s="16"/>
      <c r="I155" s="16"/>
      <c r="J155" s="16"/>
      <c r="K155" s="16"/>
    </row>
    <row r="156">
      <c r="F156" s="16"/>
      <c r="G156" s="16"/>
      <c r="H156" s="16"/>
      <c r="I156" s="16"/>
      <c r="J156" s="16"/>
      <c r="K156" s="16"/>
    </row>
    <row r="157">
      <c r="F157" s="16"/>
      <c r="G157" s="16"/>
      <c r="H157" s="16"/>
      <c r="I157" s="16"/>
      <c r="J157" s="16"/>
      <c r="K157" s="16"/>
    </row>
    <row r="158">
      <c r="F158" s="16"/>
      <c r="G158" s="16"/>
      <c r="H158" s="16"/>
      <c r="I158" s="16"/>
      <c r="J158" s="16"/>
      <c r="K158" s="16"/>
    </row>
    <row r="159">
      <c r="F159" s="16"/>
      <c r="G159" s="16"/>
      <c r="H159" s="16"/>
      <c r="I159" s="16"/>
      <c r="J159" s="16"/>
      <c r="K159" s="16"/>
    </row>
    <row r="160">
      <c r="F160" s="16"/>
      <c r="G160" s="16"/>
      <c r="H160" s="16"/>
      <c r="I160" s="16"/>
      <c r="J160" s="16"/>
      <c r="K160" s="16"/>
    </row>
    <row r="161">
      <c r="F161" s="16"/>
      <c r="G161" s="16"/>
      <c r="H161" s="16"/>
      <c r="I161" s="16"/>
      <c r="J161" s="16"/>
      <c r="K161" s="16"/>
    </row>
    <row r="162">
      <c r="F162" s="16"/>
      <c r="G162" s="16"/>
      <c r="H162" s="16"/>
      <c r="I162" s="16"/>
      <c r="J162" s="16"/>
      <c r="K162" s="16"/>
    </row>
    <row r="163">
      <c r="F163" s="16"/>
      <c r="G163" s="16"/>
      <c r="H163" s="16"/>
      <c r="I163" s="16"/>
      <c r="J163" s="16"/>
      <c r="K163" s="16"/>
    </row>
    <row r="164">
      <c r="F164" s="16"/>
      <c r="G164" s="16"/>
      <c r="H164" s="16"/>
      <c r="I164" s="16"/>
      <c r="J164" s="16"/>
      <c r="K164" s="16"/>
    </row>
    <row r="165">
      <c r="F165" s="16"/>
      <c r="G165" s="16"/>
      <c r="H165" s="16"/>
      <c r="I165" s="16"/>
      <c r="J165" s="16"/>
      <c r="K165" s="16"/>
    </row>
    <row r="166">
      <c r="F166" s="16"/>
      <c r="G166" s="16"/>
      <c r="H166" s="16"/>
      <c r="I166" s="16"/>
      <c r="J166" s="16"/>
      <c r="K166" s="16"/>
    </row>
    <row r="167">
      <c r="F167" s="16"/>
      <c r="G167" s="16"/>
      <c r="H167" s="16"/>
      <c r="I167" s="16"/>
      <c r="J167" s="16"/>
      <c r="K167" s="16"/>
    </row>
    <row r="168">
      <c r="F168" s="16"/>
      <c r="G168" s="16"/>
      <c r="H168" s="16"/>
      <c r="I168" s="16"/>
      <c r="J168" s="16"/>
      <c r="K168" s="16"/>
    </row>
    <row r="169">
      <c r="F169" s="16"/>
      <c r="G169" s="16"/>
      <c r="H169" s="16"/>
      <c r="I169" s="16"/>
      <c r="J169" s="16"/>
      <c r="K169" s="16"/>
    </row>
    <row r="170">
      <c r="F170" s="16"/>
      <c r="G170" s="16"/>
      <c r="H170" s="16"/>
      <c r="I170" s="16"/>
      <c r="J170" s="16"/>
      <c r="K170" s="16"/>
    </row>
    <row r="171">
      <c r="F171" s="16"/>
      <c r="G171" s="16"/>
      <c r="H171" s="16"/>
      <c r="I171" s="16"/>
      <c r="J171" s="16"/>
      <c r="K171" s="16"/>
    </row>
    <row r="172">
      <c r="F172" s="16"/>
      <c r="G172" s="16"/>
      <c r="H172" s="16"/>
      <c r="I172" s="16"/>
      <c r="J172" s="16"/>
      <c r="K172" s="16"/>
    </row>
    <row r="173">
      <c r="F173" s="16"/>
      <c r="G173" s="16"/>
      <c r="H173" s="16"/>
      <c r="I173" s="16"/>
      <c r="J173" s="16"/>
      <c r="K173" s="16"/>
    </row>
    <row r="174">
      <c r="F174" s="16"/>
      <c r="G174" s="16"/>
      <c r="H174" s="16"/>
      <c r="I174" s="16"/>
      <c r="J174" s="16"/>
      <c r="K174" s="16"/>
    </row>
    <row r="175">
      <c r="F175" s="16"/>
      <c r="G175" s="16"/>
      <c r="H175" s="16"/>
      <c r="I175" s="16"/>
      <c r="J175" s="16"/>
      <c r="K175" s="16"/>
    </row>
    <row r="176">
      <c r="F176" s="16"/>
      <c r="G176" s="16"/>
      <c r="H176" s="16"/>
      <c r="I176" s="16"/>
      <c r="J176" s="16"/>
      <c r="K176" s="16"/>
    </row>
    <row r="177">
      <c r="F177" s="16"/>
      <c r="G177" s="16"/>
      <c r="H177" s="16"/>
      <c r="I177" s="16"/>
      <c r="J177" s="16"/>
      <c r="K177" s="16"/>
    </row>
    <row r="178">
      <c r="F178" s="16"/>
      <c r="G178" s="16"/>
      <c r="H178" s="16"/>
      <c r="I178" s="16"/>
      <c r="J178" s="16"/>
      <c r="K178" s="16"/>
    </row>
    <row r="179">
      <c r="F179" s="16"/>
      <c r="G179" s="16"/>
      <c r="H179" s="16"/>
      <c r="I179" s="16"/>
      <c r="J179" s="16"/>
      <c r="K179" s="16"/>
    </row>
    <row r="180">
      <c r="F180" s="16"/>
      <c r="G180" s="16"/>
      <c r="H180" s="16"/>
      <c r="I180" s="16"/>
      <c r="J180" s="16"/>
      <c r="K180" s="16"/>
    </row>
    <row r="181">
      <c r="F181" s="16"/>
      <c r="G181" s="16"/>
      <c r="H181" s="16"/>
      <c r="I181" s="16"/>
      <c r="J181" s="16"/>
      <c r="K181" s="16"/>
    </row>
    <row r="182">
      <c r="F182" s="16"/>
      <c r="G182" s="16"/>
      <c r="H182" s="16"/>
      <c r="I182" s="16"/>
      <c r="J182" s="16"/>
      <c r="K182" s="16"/>
    </row>
    <row r="183">
      <c r="F183" s="16"/>
      <c r="G183" s="16"/>
      <c r="H183" s="16"/>
      <c r="I183" s="16"/>
      <c r="J183" s="16"/>
      <c r="K183" s="16"/>
    </row>
    <row r="184">
      <c r="F184" s="16"/>
      <c r="G184" s="16"/>
      <c r="H184" s="16"/>
      <c r="I184" s="16"/>
      <c r="J184" s="16"/>
      <c r="K184" s="16"/>
    </row>
    <row r="185">
      <c r="F185" s="16"/>
      <c r="G185" s="16"/>
      <c r="H185" s="16"/>
      <c r="I185" s="16"/>
      <c r="J185" s="16"/>
      <c r="K185" s="16"/>
    </row>
    <row r="186">
      <c r="F186" s="16"/>
      <c r="G186" s="16"/>
      <c r="H186" s="16"/>
      <c r="I186" s="16"/>
      <c r="J186" s="16"/>
      <c r="K186" s="16"/>
    </row>
    <row r="187">
      <c r="F187" s="16"/>
      <c r="G187" s="16"/>
      <c r="H187" s="16"/>
      <c r="I187" s="16"/>
      <c r="J187" s="16"/>
      <c r="K187" s="16"/>
    </row>
    <row r="188">
      <c r="F188" s="16"/>
      <c r="G188" s="16"/>
      <c r="H188" s="16"/>
      <c r="I188" s="16"/>
      <c r="J188" s="16"/>
      <c r="K188" s="16"/>
    </row>
    <row r="189">
      <c r="F189" s="16"/>
      <c r="G189" s="16"/>
      <c r="H189" s="16"/>
      <c r="I189" s="16"/>
      <c r="J189" s="16"/>
      <c r="K189" s="16"/>
    </row>
    <row r="190">
      <c r="F190" s="16"/>
      <c r="G190" s="16"/>
      <c r="H190" s="16"/>
      <c r="I190" s="16"/>
      <c r="J190" s="16"/>
      <c r="K190" s="16"/>
    </row>
    <row r="191">
      <c r="F191" s="16"/>
      <c r="G191" s="16"/>
      <c r="H191" s="16"/>
      <c r="I191" s="16"/>
      <c r="J191" s="16"/>
      <c r="K191" s="16"/>
    </row>
    <row r="192">
      <c r="F192" s="16"/>
      <c r="G192" s="16"/>
      <c r="H192" s="16"/>
      <c r="I192" s="16"/>
      <c r="J192" s="16"/>
      <c r="K192" s="16"/>
    </row>
    <row r="193">
      <c r="F193" s="16"/>
      <c r="G193" s="16"/>
      <c r="H193" s="16"/>
      <c r="I193" s="16"/>
      <c r="J193" s="16"/>
      <c r="K193" s="16"/>
    </row>
    <row r="194">
      <c r="F194" s="16"/>
      <c r="G194" s="16"/>
      <c r="H194" s="16"/>
      <c r="I194" s="16"/>
      <c r="J194" s="16"/>
      <c r="K194" s="16"/>
    </row>
    <row r="195">
      <c r="F195" s="16"/>
      <c r="G195" s="16"/>
      <c r="H195" s="16"/>
      <c r="I195" s="16"/>
      <c r="J195" s="16"/>
      <c r="K195" s="16"/>
    </row>
    <row r="196">
      <c r="F196" s="16"/>
      <c r="G196" s="16"/>
      <c r="H196" s="16"/>
      <c r="I196" s="16"/>
      <c r="J196" s="16"/>
      <c r="K196" s="16"/>
    </row>
    <row r="197">
      <c r="F197" s="16"/>
      <c r="G197" s="16"/>
      <c r="H197" s="16"/>
      <c r="I197" s="16"/>
      <c r="J197" s="16"/>
      <c r="K197" s="16"/>
    </row>
    <row r="198">
      <c r="F198" s="16"/>
      <c r="G198" s="16"/>
      <c r="H198" s="16"/>
      <c r="I198" s="16"/>
      <c r="J198" s="16"/>
      <c r="K198" s="16"/>
    </row>
    <row r="199">
      <c r="F199" s="16"/>
      <c r="G199" s="16"/>
      <c r="H199" s="16"/>
      <c r="I199" s="16"/>
      <c r="J199" s="16"/>
      <c r="K199" s="16"/>
    </row>
    <row r="200">
      <c r="F200" s="16"/>
      <c r="G200" s="16"/>
      <c r="H200" s="16"/>
      <c r="I200" s="16"/>
      <c r="J200" s="16"/>
      <c r="K200" s="16"/>
    </row>
    <row r="201">
      <c r="F201" s="16"/>
      <c r="G201" s="16"/>
      <c r="H201" s="16"/>
      <c r="I201" s="16"/>
      <c r="J201" s="16"/>
      <c r="K201" s="16"/>
    </row>
    <row r="202">
      <c r="F202" s="16"/>
      <c r="G202" s="16"/>
      <c r="H202" s="16"/>
      <c r="I202" s="16"/>
      <c r="J202" s="16"/>
      <c r="K202" s="16"/>
    </row>
    <row r="203">
      <c r="F203" s="16"/>
      <c r="G203" s="16"/>
      <c r="H203" s="16"/>
      <c r="I203" s="16"/>
      <c r="J203" s="16"/>
      <c r="K203" s="16"/>
    </row>
    <row r="204">
      <c r="F204" s="16"/>
      <c r="G204" s="16"/>
      <c r="H204" s="16"/>
      <c r="I204" s="16"/>
      <c r="J204" s="16"/>
      <c r="K204" s="16"/>
    </row>
    <row r="205">
      <c r="F205" s="16"/>
      <c r="G205" s="16"/>
      <c r="H205" s="16"/>
      <c r="I205" s="16"/>
      <c r="J205" s="16"/>
      <c r="K205" s="16"/>
    </row>
    <row r="206">
      <c r="F206" s="16"/>
      <c r="G206" s="16"/>
      <c r="H206" s="16"/>
      <c r="I206" s="16"/>
      <c r="J206" s="16"/>
      <c r="K206" s="16"/>
    </row>
    <row r="207">
      <c r="F207" s="16"/>
      <c r="G207" s="16"/>
      <c r="H207" s="16"/>
      <c r="I207" s="16"/>
      <c r="J207" s="16"/>
      <c r="K207" s="16"/>
    </row>
    <row r="208">
      <c r="F208" s="16"/>
      <c r="G208" s="16"/>
      <c r="H208" s="16"/>
      <c r="I208" s="16"/>
      <c r="J208" s="16"/>
      <c r="K208" s="16"/>
    </row>
    <row r="209">
      <c r="F209" s="16"/>
      <c r="G209" s="16"/>
      <c r="H209" s="16"/>
      <c r="I209" s="16"/>
      <c r="J209" s="16"/>
      <c r="K209" s="16"/>
    </row>
    <row r="210">
      <c r="F210" s="16"/>
      <c r="G210" s="16"/>
      <c r="H210" s="16"/>
      <c r="I210" s="16"/>
      <c r="J210" s="16"/>
      <c r="K210" s="16"/>
    </row>
    <row r="211">
      <c r="F211" s="16"/>
      <c r="G211" s="16"/>
      <c r="H211" s="16"/>
      <c r="I211" s="16"/>
      <c r="J211" s="16"/>
      <c r="K211" s="16"/>
    </row>
    <row r="212">
      <c r="F212" s="16"/>
      <c r="G212" s="16"/>
      <c r="H212" s="16"/>
      <c r="I212" s="16"/>
      <c r="J212" s="16"/>
      <c r="K212" s="16"/>
    </row>
    <row r="213">
      <c r="F213" s="16"/>
      <c r="G213" s="16"/>
      <c r="H213" s="16"/>
      <c r="I213" s="16"/>
      <c r="J213" s="16"/>
      <c r="K213" s="16"/>
    </row>
    <row r="214">
      <c r="F214" s="16"/>
      <c r="G214" s="16"/>
      <c r="H214" s="16"/>
      <c r="I214" s="16"/>
      <c r="J214" s="16"/>
      <c r="K214" s="16"/>
    </row>
    <row r="215">
      <c r="F215" s="16"/>
      <c r="G215" s="16"/>
      <c r="H215" s="16"/>
      <c r="I215" s="16"/>
      <c r="J215" s="16"/>
      <c r="K215" s="16"/>
    </row>
    <row r="216">
      <c r="F216" s="16"/>
      <c r="G216" s="16"/>
      <c r="H216" s="16"/>
      <c r="I216" s="16"/>
      <c r="J216" s="16"/>
      <c r="K216" s="16"/>
    </row>
    <row r="217">
      <c r="F217" s="16"/>
      <c r="G217" s="16"/>
      <c r="H217" s="16"/>
      <c r="I217" s="16"/>
      <c r="J217" s="16"/>
      <c r="K217" s="16"/>
    </row>
    <row r="218">
      <c r="F218" s="16"/>
      <c r="G218" s="16"/>
      <c r="H218" s="16"/>
      <c r="I218" s="16"/>
      <c r="J218" s="16"/>
      <c r="K218" s="16"/>
    </row>
    <row r="219">
      <c r="F219" s="16"/>
      <c r="G219" s="16"/>
      <c r="H219" s="16"/>
      <c r="I219" s="16"/>
      <c r="J219" s="16"/>
      <c r="K219" s="16"/>
    </row>
    <row r="220">
      <c r="F220" s="16"/>
      <c r="G220" s="16"/>
      <c r="H220" s="16"/>
      <c r="I220" s="16"/>
      <c r="J220" s="16"/>
      <c r="K220" s="16"/>
    </row>
    <row r="221">
      <c r="F221" s="16"/>
      <c r="G221" s="16"/>
      <c r="H221" s="16"/>
      <c r="I221" s="16"/>
      <c r="J221" s="16"/>
      <c r="K221" s="16"/>
    </row>
    <row r="222">
      <c r="F222" s="16"/>
      <c r="G222" s="16"/>
      <c r="H222" s="16"/>
      <c r="I222" s="16"/>
      <c r="J222" s="16"/>
      <c r="K222" s="16"/>
    </row>
    <row r="223">
      <c r="F223" s="16"/>
      <c r="G223" s="16"/>
      <c r="H223" s="16"/>
      <c r="I223" s="16"/>
      <c r="J223" s="16"/>
      <c r="K223" s="16"/>
    </row>
    <row r="224">
      <c r="F224" s="16"/>
      <c r="G224" s="16"/>
      <c r="H224" s="16"/>
      <c r="I224" s="16"/>
      <c r="J224" s="16"/>
      <c r="K224" s="16"/>
    </row>
    <row r="225">
      <c r="F225" s="16"/>
      <c r="G225" s="16"/>
      <c r="H225" s="16"/>
      <c r="I225" s="16"/>
      <c r="J225" s="16"/>
      <c r="K225" s="16"/>
    </row>
    <row r="226">
      <c r="F226" s="16"/>
      <c r="G226" s="16"/>
      <c r="H226" s="16"/>
      <c r="I226" s="16"/>
      <c r="J226" s="16"/>
      <c r="K226" s="16"/>
    </row>
    <row r="227">
      <c r="F227" s="16"/>
      <c r="G227" s="16"/>
      <c r="H227" s="16"/>
      <c r="I227" s="16"/>
      <c r="J227" s="16"/>
      <c r="K227" s="16"/>
    </row>
    <row r="228">
      <c r="F228" s="16"/>
      <c r="G228" s="16"/>
      <c r="H228" s="16"/>
      <c r="I228" s="16"/>
      <c r="J228" s="16"/>
      <c r="K228" s="16"/>
    </row>
    <row r="229">
      <c r="F229" s="16"/>
      <c r="G229" s="16"/>
      <c r="H229" s="16"/>
      <c r="I229" s="16"/>
      <c r="J229" s="16"/>
      <c r="K229" s="16"/>
    </row>
    <row r="230">
      <c r="F230" s="16"/>
      <c r="G230" s="16"/>
      <c r="H230" s="16"/>
      <c r="I230" s="16"/>
      <c r="J230" s="16"/>
      <c r="K230" s="16"/>
    </row>
    <row r="231">
      <c r="F231" s="16"/>
      <c r="G231" s="16"/>
      <c r="H231" s="16"/>
      <c r="I231" s="16"/>
      <c r="J231" s="16"/>
      <c r="K231" s="16"/>
    </row>
    <row r="232">
      <c r="F232" s="16"/>
      <c r="G232" s="16"/>
      <c r="H232" s="16"/>
      <c r="I232" s="16"/>
      <c r="J232" s="16"/>
      <c r="K232" s="16"/>
    </row>
    <row r="233">
      <c r="F233" s="16"/>
      <c r="G233" s="16"/>
      <c r="H233" s="16"/>
      <c r="I233" s="16"/>
      <c r="J233" s="16"/>
      <c r="K233" s="16"/>
    </row>
    <row r="234">
      <c r="F234" s="16"/>
      <c r="G234" s="16"/>
      <c r="H234" s="16"/>
      <c r="I234" s="16"/>
      <c r="J234" s="16"/>
      <c r="K234" s="16"/>
    </row>
    <row r="235">
      <c r="F235" s="16"/>
      <c r="G235" s="16"/>
      <c r="H235" s="16"/>
      <c r="I235" s="16"/>
      <c r="J235" s="16"/>
      <c r="K235" s="16"/>
    </row>
    <row r="236">
      <c r="F236" s="16"/>
      <c r="G236" s="16"/>
      <c r="H236" s="16"/>
      <c r="I236" s="16"/>
      <c r="J236" s="16"/>
      <c r="K236" s="16"/>
    </row>
    <row r="237">
      <c r="F237" s="16"/>
      <c r="G237" s="16"/>
      <c r="H237" s="16"/>
      <c r="I237" s="16"/>
      <c r="J237" s="16"/>
      <c r="K237" s="16"/>
    </row>
    <row r="238">
      <c r="F238" s="16"/>
      <c r="G238" s="16"/>
      <c r="H238" s="16"/>
      <c r="I238" s="16"/>
      <c r="J238" s="16"/>
      <c r="K238" s="16"/>
    </row>
    <row r="239">
      <c r="F239" s="16"/>
      <c r="G239" s="16"/>
      <c r="H239" s="16"/>
      <c r="I239" s="16"/>
      <c r="J239" s="16"/>
      <c r="K239" s="16"/>
    </row>
    <row r="240">
      <c r="F240" s="16"/>
      <c r="G240" s="16"/>
      <c r="H240" s="16"/>
      <c r="I240" s="16"/>
      <c r="J240" s="16"/>
      <c r="K240" s="16"/>
    </row>
    <row r="241">
      <c r="F241" s="16"/>
      <c r="G241" s="16"/>
      <c r="H241" s="16"/>
      <c r="I241" s="16"/>
      <c r="J241" s="16"/>
      <c r="K241" s="16"/>
    </row>
    <row r="242">
      <c r="F242" s="16"/>
      <c r="G242" s="16"/>
      <c r="H242" s="16"/>
      <c r="I242" s="16"/>
      <c r="J242" s="16"/>
      <c r="K242" s="16"/>
    </row>
    <row r="243">
      <c r="F243" s="16"/>
      <c r="G243" s="16"/>
      <c r="H243" s="16"/>
      <c r="I243" s="16"/>
      <c r="J243" s="16"/>
      <c r="K243" s="16"/>
    </row>
    <row r="244">
      <c r="F244" s="16"/>
      <c r="G244" s="16"/>
      <c r="H244" s="16"/>
      <c r="I244" s="16"/>
      <c r="J244" s="16"/>
      <c r="K244" s="16"/>
    </row>
    <row r="245">
      <c r="F245" s="16"/>
      <c r="G245" s="16"/>
      <c r="H245" s="16"/>
      <c r="I245" s="16"/>
      <c r="J245" s="16"/>
      <c r="K245" s="16"/>
    </row>
    <row r="246">
      <c r="F246" s="16"/>
      <c r="G246" s="16"/>
      <c r="H246" s="16"/>
      <c r="I246" s="16"/>
      <c r="J246" s="16"/>
      <c r="K246" s="16"/>
    </row>
    <row r="247">
      <c r="F247" s="16"/>
      <c r="G247" s="16"/>
      <c r="H247" s="16"/>
      <c r="I247" s="16"/>
      <c r="J247" s="16"/>
      <c r="K247" s="16"/>
    </row>
    <row r="248">
      <c r="F248" s="16"/>
      <c r="G248" s="16"/>
      <c r="H248" s="16"/>
      <c r="I248" s="16"/>
      <c r="J248" s="16"/>
      <c r="K248" s="16"/>
    </row>
    <row r="249">
      <c r="F249" s="16"/>
      <c r="G249" s="16"/>
      <c r="H249" s="16"/>
      <c r="I249" s="16"/>
      <c r="J249" s="16"/>
      <c r="K249" s="16"/>
    </row>
    <row r="250">
      <c r="F250" s="16"/>
      <c r="G250" s="16"/>
      <c r="H250" s="16"/>
      <c r="I250" s="16"/>
      <c r="J250" s="16"/>
      <c r="K250" s="16"/>
    </row>
    <row r="251">
      <c r="F251" s="16"/>
      <c r="G251" s="16"/>
      <c r="H251" s="16"/>
      <c r="I251" s="16"/>
      <c r="J251" s="16"/>
      <c r="K251" s="16"/>
    </row>
    <row r="252">
      <c r="F252" s="16"/>
      <c r="G252" s="16"/>
      <c r="H252" s="16"/>
      <c r="I252" s="16"/>
      <c r="J252" s="16"/>
      <c r="K252" s="16"/>
    </row>
    <row r="253">
      <c r="F253" s="16"/>
      <c r="G253" s="16"/>
      <c r="H253" s="16"/>
      <c r="I253" s="16"/>
      <c r="J253" s="16"/>
      <c r="K253" s="16"/>
    </row>
    <row r="254">
      <c r="F254" s="16"/>
      <c r="G254" s="16"/>
      <c r="H254" s="16"/>
      <c r="I254" s="16"/>
      <c r="J254" s="16"/>
      <c r="K254" s="16"/>
    </row>
    <row r="255">
      <c r="F255" s="16"/>
      <c r="G255" s="16"/>
      <c r="H255" s="16"/>
      <c r="I255" s="16"/>
      <c r="J255" s="16"/>
      <c r="K255" s="16"/>
    </row>
    <row r="256">
      <c r="F256" s="16"/>
      <c r="G256" s="16"/>
      <c r="H256" s="16"/>
      <c r="I256" s="16"/>
      <c r="J256" s="16"/>
      <c r="K256" s="16"/>
    </row>
    <row r="257">
      <c r="F257" s="16"/>
      <c r="G257" s="16"/>
      <c r="H257" s="16"/>
      <c r="I257" s="16"/>
      <c r="J257" s="16"/>
      <c r="K257" s="16"/>
    </row>
    <row r="258">
      <c r="F258" s="16"/>
      <c r="G258" s="16"/>
      <c r="H258" s="16"/>
      <c r="I258" s="16"/>
      <c r="J258" s="16"/>
      <c r="K258" s="16"/>
    </row>
    <row r="259">
      <c r="F259" s="16"/>
      <c r="G259" s="16"/>
      <c r="H259" s="16"/>
      <c r="I259" s="16"/>
      <c r="J259" s="16"/>
      <c r="K259" s="16"/>
    </row>
    <row r="260">
      <c r="F260" s="16"/>
      <c r="G260" s="16"/>
      <c r="H260" s="16"/>
      <c r="I260" s="16"/>
      <c r="J260" s="16"/>
      <c r="K260" s="16"/>
    </row>
    <row r="261">
      <c r="F261" s="16"/>
      <c r="G261" s="16"/>
      <c r="H261" s="16"/>
      <c r="I261" s="16"/>
      <c r="J261" s="16"/>
      <c r="K261" s="16"/>
    </row>
    <row r="262">
      <c r="F262" s="16"/>
      <c r="G262" s="16"/>
      <c r="H262" s="16"/>
      <c r="I262" s="16"/>
      <c r="J262" s="16"/>
      <c r="K262" s="16"/>
    </row>
    <row r="263">
      <c r="F263" s="16"/>
      <c r="G263" s="16"/>
      <c r="H263" s="16"/>
      <c r="I263" s="16"/>
      <c r="J263" s="16"/>
      <c r="K263" s="16"/>
    </row>
    <row r="264">
      <c r="F264" s="16"/>
      <c r="G264" s="16"/>
      <c r="H264" s="16"/>
      <c r="I264" s="16"/>
      <c r="J264" s="16"/>
      <c r="K264" s="16"/>
    </row>
    <row r="265">
      <c r="F265" s="16"/>
      <c r="G265" s="16"/>
      <c r="H265" s="16"/>
      <c r="I265" s="16"/>
      <c r="J265" s="16"/>
      <c r="K265" s="16"/>
    </row>
    <row r="266">
      <c r="F266" s="16"/>
      <c r="G266" s="16"/>
      <c r="H266" s="16"/>
      <c r="I266" s="16"/>
      <c r="J266" s="16"/>
      <c r="K266" s="16"/>
    </row>
    <row r="267">
      <c r="F267" s="16"/>
      <c r="G267" s="16"/>
      <c r="H267" s="16"/>
      <c r="I267" s="16"/>
      <c r="J267" s="16"/>
      <c r="K267" s="16"/>
    </row>
    <row r="268">
      <c r="F268" s="16"/>
      <c r="G268" s="16"/>
      <c r="H268" s="16"/>
      <c r="I268" s="16"/>
      <c r="J268" s="16"/>
      <c r="K268" s="16"/>
    </row>
    <row r="269">
      <c r="F269" s="16"/>
      <c r="G269" s="16"/>
      <c r="H269" s="16"/>
      <c r="I269" s="16"/>
      <c r="J269" s="16"/>
      <c r="K269" s="16"/>
    </row>
    <row r="270">
      <c r="F270" s="16"/>
      <c r="G270" s="16"/>
      <c r="H270" s="16"/>
      <c r="I270" s="16"/>
      <c r="J270" s="16"/>
      <c r="K270" s="16"/>
    </row>
    <row r="271">
      <c r="F271" s="16"/>
      <c r="G271" s="16"/>
      <c r="H271" s="16"/>
      <c r="I271" s="16"/>
      <c r="J271" s="16"/>
      <c r="K271" s="16"/>
    </row>
    <row r="272">
      <c r="F272" s="16"/>
      <c r="G272" s="16"/>
      <c r="H272" s="16"/>
      <c r="I272" s="16"/>
      <c r="J272" s="16"/>
      <c r="K272" s="16"/>
    </row>
    <row r="273">
      <c r="F273" s="16"/>
      <c r="G273" s="16"/>
      <c r="H273" s="16"/>
      <c r="I273" s="16"/>
      <c r="J273" s="16"/>
      <c r="K273" s="16"/>
    </row>
    <row r="274">
      <c r="F274" s="16"/>
      <c r="G274" s="16"/>
      <c r="H274" s="16"/>
      <c r="I274" s="16"/>
      <c r="J274" s="16"/>
      <c r="K274" s="16"/>
    </row>
    <row r="275">
      <c r="F275" s="16"/>
      <c r="G275" s="16"/>
      <c r="H275" s="16"/>
      <c r="I275" s="16"/>
      <c r="J275" s="16"/>
      <c r="K275" s="16"/>
    </row>
    <row r="276">
      <c r="F276" s="16"/>
      <c r="G276" s="16"/>
      <c r="H276" s="16"/>
      <c r="I276" s="16"/>
      <c r="J276" s="16"/>
      <c r="K276" s="16"/>
    </row>
    <row r="277">
      <c r="F277" s="16"/>
      <c r="G277" s="16"/>
      <c r="H277" s="16"/>
      <c r="I277" s="16"/>
      <c r="J277" s="16"/>
      <c r="K277" s="16"/>
    </row>
    <row r="278">
      <c r="F278" s="16"/>
      <c r="G278" s="16"/>
      <c r="H278" s="16"/>
      <c r="I278" s="16"/>
      <c r="J278" s="16"/>
      <c r="K278" s="16"/>
    </row>
    <row r="279">
      <c r="F279" s="16"/>
      <c r="G279" s="16"/>
      <c r="H279" s="16"/>
      <c r="I279" s="16"/>
      <c r="J279" s="16"/>
      <c r="K279" s="16"/>
    </row>
    <row r="280">
      <c r="F280" s="16"/>
      <c r="G280" s="16"/>
      <c r="H280" s="16"/>
      <c r="I280" s="16"/>
      <c r="J280" s="16"/>
      <c r="K280" s="16"/>
    </row>
    <row r="281">
      <c r="F281" s="16"/>
      <c r="G281" s="16"/>
      <c r="H281" s="16"/>
      <c r="I281" s="16"/>
      <c r="J281" s="16"/>
      <c r="K281" s="16"/>
    </row>
    <row r="282">
      <c r="F282" s="16"/>
      <c r="G282" s="16"/>
      <c r="H282" s="16"/>
      <c r="I282" s="16"/>
      <c r="J282" s="16"/>
      <c r="K282" s="16"/>
    </row>
    <row r="283">
      <c r="F283" s="16"/>
      <c r="G283" s="16"/>
      <c r="H283" s="16"/>
      <c r="I283" s="16"/>
      <c r="J283" s="16"/>
      <c r="K283" s="16"/>
    </row>
    <row r="284">
      <c r="F284" s="16"/>
      <c r="G284" s="16"/>
      <c r="H284" s="16"/>
      <c r="I284" s="16"/>
      <c r="J284" s="16"/>
      <c r="K284" s="16"/>
    </row>
    <row r="285">
      <c r="F285" s="16"/>
      <c r="G285" s="16"/>
      <c r="H285" s="16"/>
      <c r="I285" s="16"/>
      <c r="J285" s="16"/>
      <c r="K285" s="16"/>
    </row>
    <row r="286">
      <c r="F286" s="16"/>
      <c r="G286" s="16"/>
      <c r="H286" s="16"/>
      <c r="I286" s="16"/>
      <c r="J286" s="16"/>
      <c r="K286" s="16"/>
    </row>
    <row r="287">
      <c r="F287" s="16"/>
      <c r="G287" s="16"/>
      <c r="H287" s="16"/>
      <c r="I287" s="16"/>
      <c r="J287" s="16"/>
      <c r="K287" s="16"/>
    </row>
    <row r="288">
      <c r="F288" s="16"/>
      <c r="G288" s="16"/>
      <c r="H288" s="16"/>
      <c r="I288" s="16"/>
      <c r="J288" s="16"/>
      <c r="K288" s="16"/>
    </row>
    <row r="289">
      <c r="F289" s="16"/>
      <c r="G289" s="16"/>
      <c r="H289" s="16"/>
      <c r="I289" s="16"/>
      <c r="J289" s="16"/>
      <c r="K289" s="16"/>
    </row>
    <row r="290">
      <c r="F290" s="16"/>
      <c r="G290" s="16"/>
      <c r="H290" s="16"/>
      <c r="I290" s="16"/>
      <c r="J290" s="16"/>
      <c r="K290" s="16"/>
    </row>
    <row r="291">
      <c r="F291" s="16"/>
      <c r="G291" s="16"/>
      <c r="H291" s="16"/>
      <c r="I291" s="16"/>
      <c r="J291" s="16"/>
      <c r="K291" s="16"/>
    </row>
    <row r="292">
      <c r="F292" s="16"/>
      <c r="G292" s="16"/>
      <c r="H292" s="16"/>
      <c r="I292" s="16"/>
      <c r="J292" s="16"/>
      <c r="K292" s="16"/>
    </row>
    <row r="293">
      <c r="F293" s="16"/>
      <c r="G293" s="16"/>
      <c r="H293" s="16"/>
      <c r="I293" s="16"/>
      <c r="J293" s="16"/>
      <c r="K293" s="16"/>
    </row>
    <row r="294">
      <c r="F294" s="16"/>
      <c r="G294" s="16"/>
      <c r="H294" s="16"/>
      <c r="I294" s="16"/>
      <c r="J294" s="16"/>
      <c r="K294" s="16"/>
    </row>
    <row r="295">
      <c r="F295" s="16"/>
      <c r="G295" s="16"/>
      <c r="H295" s="16"/>
      <c r="I295" s="16"/>
      <c r="J295" s="16"/>
      <c r="K295" s="16"/>
    </row>
    <row r="296">
      <c r="F296" s="16"/>
      <c r="G296" s="16"/>
      <c r="H296" s="16"/>
      <c r="I296" s="16"/>
      <c r="J296" s="16"/>
      <c r="K296" s="16"/>
    </row>
    <row r="297">
      <c r="F297" s="16"/>
      <c r="G297" s="16"/>
      <c r="H297" s="16"/>
      <c r="I297" s="16"/>
      <c r="J297" s="16"/>
      <c r="K297" s="16"/>
    </row>
    <row r="298">
      <c r="F298" s="16"/>
      <c r="G298" s="16"/>
      <c r="H298" s="16"/>
      <c r="I298" s="16"/>
      <c r="J298" s="16"/>
      <c r="K298" s="16"/>
    </row>
    <row r="299">
      <c r="F299" s="16"/>
      <c r="G299" s="16"/>
      <c r="H299" s="16"/>
      <c r="I299" s="16"/>
      <c r="J299" s="16"/>
      <c r="K299" s="16"/>
    </row>
    <row r="300">
      <c r="F300" s="16"/>
      <c r="G300" s="16"/>
      <c r="H300" s="16"/>
      <c r="I300" s="16"/>
      <c r="J300" s="16"/>
      <c r="K300" s="16"/>
    </row>
    <row r="301">
      <c r="F301" s="16"/>
      <c r="G301" s="16"/>
      <c r="H301" s="16"/>
      <c r="I301" s="16"/>
      <c r="J301" s="16"/>
      <c r="K301" s="16"/>
    </row>
    <row r="302">
      <c r="F302" s="16"/>
      <c r="G302" s="16"/>
      <c r="H302" s="16"/>
      <c r="I302" s="16"/>
      <c r="J302" s="16"/>
      <c r="K302" s="16"/>
    </row>
    <row r="303">
      <c r="F303" s="16"/>
      <c r="G303" s="16"/>
      <c r="H303" s="16"/>
      <c r="I303" s="16"/>
      <c r="J303" s="16"/>
      <c r="K303" s="16"/>
    </row>
    <row r="304">
      <c r="F304" s="16"/>
      <c r="G304" s="16"/>
      <c r="H304" s="16"/>
      <c r="I304" s="16"/>
      <c r="J304" s="16"/>
      <c r="K304" s="16"/>
    </row>
    <row r="305">
      <c r="F305" s="16"/>
      <c r="G305" s="16"/>
      <c r="H305" s="16"/>
      <c r="I305" s="16"/>
      <c r="J305" s="16"/>
      <c r="K305" s="16"/>
    </row>
    <row r="306">
      <c r="F306" s="16"/>
      <c r="G306" s="16"/>
      <c r="H306" s="16"/>
      <c r="I306" s="16"/>
      <c r="J306" s="16"/>
      <c r="K306" s="16"/>
    </row>
    <row r="307">
      <c r="F307" s="16"/>
      <c r="G307" s="16"/>
      <c r="H307" s="16"/>
      <c r="I307" s="16"/>
      <c r="J307" s="16"/>
      <c r="K307" s="16"/>
    </row>
    <row r="308">
      <c r="F308" s="16"/>
      <c r="G308" s="16"/>
      <c r="H308" s="16"/>
      <c r="I308" s="16"/>
      <c r="J308" s="16"/>
      <c r="K308" s="16"/>
    </row>
    <row r="309">
      <c r="F309" s="16"/>
      <c r="G309" s="16"/>
      <c r="H309" s="16"/>
      <c r="I309" s="16"/>
      <c r="J309" s="16"/>
      <c r="K309" s="16"/>
    </row>
    <row r="310">
      <c r="F310" s="16"/>
      <c r="G310" s="16"/>
      <c r="H310" s="16"/>
      <c r="I310" s="16"/>
      <c r="J310" s="16"/>
      <c r="K310" s="16"/>
    </row>
    <row r="311">
      <c r="F311" s="16"/>
      <c r="G311" s="16"/>
      <c r="H311" s="16"/>
      <c r="I311" s="16"/>
      <c r="J311" s="16"/>
      <c r="K311" s="16"/>
    </row>
    <row r="312">
      <c r="F312" s="16"/>
      <c r="G312" s="16"/>
      <c r="H312" s="16"/>
      <c r="I312" s="16"/>
      <c r="J312" s="16"/>
      <c r="K312" s="16"/>
    </row>
    <row r="313">
      <c r="F313" s="16"/>
      <c r="G313" s="16"/>
      <c r="H313" s="16"/>
      <c r="I313" s="16"/>
      <c r="J313" s="16"/>
      <c r="K313" s="16"/>
    </row>
    <row r="314">
      <c r="F314" s="16"/>
      <c r="G314" s="16"/>
      <c r="H314" s="16"/>
      <c r="I314" s="16"/>
      <c r="J314" s="16"/>
      <c r="K314" s="16"/>
    </row>
    <row r="315">
      <c r="F315" s="16"/>
      <c r="G315" s="16"/>
      <c r="H315" s="16"/>
      <c r="I315" s="16"/>
      <c r="J315" s="16"/>
      <c r="K315" s="16"/>
    </row>
    <row r="316">
      <c r="F316" s="16"/>
      <c r="G316" s="16"/>
      <c r="H316" s="16"/>
      <c r="I316" s="16"/>
      <c r="J316" s="16"/>
      <c r="K316" s="16"/>
    </row>
    <row r="317">
      <c r="F317" s="16"/>
      <c r="G317" s="16"/>
      <c r="H317" s="16"/>
      <c r="I317" s="16"/>
      <c r="J317" s="16"/>
      <c r="K317" s="16"/>
    </row>
    <row r="318">
      <c r="F318" s="16"/>
      <c r="G318" s="16"/>
      <c r="H318" s="16"/>
      <c r="I318" s="16"/>
      <c r="J318" s="16"/>
      <c r="K318" s="16"/>
    </row>
    <row r="319">
      <c r="F319" s="16"/>
      <c r="G319" s="16"/>
      <c r="H319" s="16"/>
      <c r="I319" s="16"/>
      <c r="J319" s="16"/>
      <c r="K319" s="16"/>
    </row>
    <row r="320">
      <c r="F320" s="16"/>
      <c r="G320" s="16"/>
      <c r="H320" s="16"/>
      <c r="I320" s="16"/>
      <c r="J320" s="16"/>
      <c r="K320" s="16"/>
    </row>
    <row r="321">
      <c r="F321" s="16"/>
      <c r="G321" s="16"/>
      <c r="H321" s="16"/>
      <c r="I321" s="16"/>
      <c r="J321" s="16"/>
      <c r="K321" s="16"/>
    </row>
    <row r="322">
      <c r="F322" s="16"/>
      <c r="G322" s="16"/>
      <c r="H322" s="16"/>
      <c r="I322" s="16"/>
      <c r="J322" s="16"/>
      <c r="K322" s="16"/>
    </row>
    <row r="323">
      <c r="F323" s="16"/>
      <c r="G323" s="16"/>
      <c r="H323" s="16"/>
      <c r="I323" s="16"/>
      <c r="J323" s="16"/>
      <c r="K323" s="16"/>
    </row>
    <row r="324">
      <c r="F324" s="16"/>
      <c r="G324" s="16"/>
      <c r="H324" s="16"/>
      <c r="I324" s="16"/>
      <c r="J324" s="16"/>
      <c r="K324" s="16"/>
    </row>
    <row r="325">
      <c r="F325" s="16"/>
      <c r="G325" s="16"/>
      <c r="H325" s="16"/>
      <c r="I325" s="16"/>
      <c r="J325" s="16"/>
      <c r="K325" s="16"/>
    </row>
    <row r="326">
      <c r="F326" s="16"/>
      <c r="G326" s="16"/>
      <c r="H326" s="16"/>
      <c r="I326" s="16"/>
      <c r="J326" s="16"/>
      <c r="K326" s="16"/>
    </row>
    <row r="327">
      <c r="F327" s="16"/>
      <c r="G327" s="16"/>
      <c r="H327" s="16"/>
      <c r="I327" s="16"/>
      <c r="J327" s="16"/>
      <c r="K327" s="16"/>
    </row>
    <row r="328">
      <c r="F328" s="16"/>
      <c r="G328" s="16"/>
      <c r="H328" s="16"/>
      <c r="I328" s="16"/>
      <c r="J328" s="16"/>
      <c r="K328" s="16"/>
    </row>
    <row r="329">
      <c r="F329" s="16"/>
      <c r="G329" s="16"/>
      <c r="H329" s="16"/>
      <c r="I329" s="16"/>
      <c r="J329" s="16"/>
      <c r="K329" s="16"/>
    </row>
    <row r="330">
      <c r="F330" s="16"/>
      <c r="G330" s="16"/>
      <c r="H330" s="16"/>
      <c r="I330" s="16"/>
      <c r="J330" s="16"/>
      <c r="K330" s="16"/>
    </row>
    <row r="331">
      <c r="F331" s="16"/>
      <c r="G331" s="16"/>
      <c r="H331" s="16"/>
      <c r="I331" s="16"/>
      <c r="J331" s="16"/>
      <c r="K331" s="16"/>
    </row>
    <row r="332">
      <c r="F332" s="16"/>
      <c r="G332" s="16"/>
      <c r="H332" s="16"/>
      <c r="I332" s="16"/>
      <c r="J332" s="16"/>
      <c r="K332" s="16"/>
    </row>
    <row r="333">
      <c r="F333" s="16"/>
      <c r="G333" s="16"/>
      <c r="H333" s="16"/>
      <c r="I333" s="16"/>
      <c r="J333" s="16"/>
      <c r="K333" s="16"/>
    </row>
    <row r="334">
      <c r="F334" s="16"/>
      <c r="G334" s="16"/>
      <c r="H334" s="16"/>
      <c r="I334" s="16"/>
      <c r="J334" s="16"/>
      <c r="K334" s="16"/>
    </row>
    <row r="335">
      <c r="F335" s="16"/>
      <c r="G335" s="16"/>
      <c r="H335" s="16"/>
      <c r="I335" s="16"/>
      <c r="J335" s="16"/>
      <c r="K335" s="16"/>
    </row>
    <row r="336">
      <c r="F336" s="16"/>
      <c r="G336" s="16"/>
      <c r="H336" s="16"/>
      <c r="I336" s="16"/>
      <c r="J336" s="16"/>
      <c r="K336" s="16"/>
    </row>
    <row r="337">
      <c r="F337" s="16"/>
      <c r="G337" s="16"/>
      <c r="H337" s="16"/>
      <c r="I337" s="16"/>
      <c r="J337" s="16"/>
      <c r="K337" s="16"/>
    </row>
    <row r="338">
      <c r="F338" s="16"/>
      <c r="G338" s="16"/>
      <c r="H338" s="16"/>
      <c r="I338" s="16"/>
      <c r="J338" s="16"/>
      <c r="K338" s="16"/>
    </row>
    <row r="339">
      <c r="F339" s="16"/>
      <c r="G339" s="16"/>
      <c r="H339" s="16"/>
      <c r="I339" s="16"/>
      <c r="J339" s="16"/>
      <c r="K339" s="16"/>
    </row>
    <row r="340">
      <c r="F340" s="16"/>
      <c r="G340" s="16"/>
      <c r="H340" s="16"/>
      <c r="I340" s="16"/>
      <c r="J340" s="16"/>
      <c r="K340" s="16"/>
    </row>
    <row r="341">
      <c r="F341" s="16"/>
      <c r="G341" s="16"/>
      <c r="H341" s="16"/>
      <c r="I341" s="16"/>
      <c r="J341" s="16"/>
      <c r="K341" s="16"/>
    </row>
    <row r="342">
      <c r="F342" s="16"/>
      <c r="G342" s="16"/>
      <c r="H342" s="16"/>
      <c r="I342" s="16"/>
      <c r="J342" s="16"/>
      <c r="K342" s="16"/>
    </row>
    <row r="343">
      <c r="F343" s="16"/>
      <c r="G343" s="16"/>
      <c r="H343" s="16"/>
      <c r="I343" s="16"/>
      <c r="J343" s="16"/>
      <c r="K343" s="16"/>
    </row>
    <row r="344">
      <c r="F344" s="16"/>
      <c r="G344" s="16"/>
      <c r="H344" s="16"/>
      <c r="I344" s="16"/>
      <c r="J344" s="16"/>
      <c r="K344" s="16"/>
    </row>
    <row r="345">
      <c r="F345" s="16"/>
      <c r="G345" s="16"/>
      <c r="H345" s="16"/>
      <c r="I345" s="16"/>
      <c r="J345" s="16"/>
      <c r="K345" s="16"/>
    </row>
    <row r="346">
      <c r="F346" s="16"/>
      <c r="G346" s="16"/>
      <c r="H346" s="16"/>
      <c r="I346" s="16"/>
      <c r="J346" s="16"/>
      <c r="K346" s="16"/>
    </row>
    <row r="347">
      <c r="F347" s="16"/>
      <c r="G347" s="16"/>
      <c r="H347" s="16"/>
      <c r="I347" s="16"/>
      <c r="J347" s="16"/>
      <c r="K347" s="16"/>
    </row>
    <row r="348">
      <c r="F348" s="16"/>
      <c r="G348" s="16"/>
      <c r="H348" s="16"/>
      <c r="I348" s="16"/>
      <c r="J348" s="16"/>
      <c r="K348" s="16"/>
    </row>
    <row r="349">
      <c r="F349" s="16"/>
      <c r="G349" s="16"/>
      <c r="H349" s="16"/>
      <c r="I349" s="16"/>
      <c r="J349" s="16"/>
      <c r="K349" s="16"/>
    </row>
    <row r="350">
      <c r="F350" s="16"/>
      <c r="G350" s="16"/>
      <c r="H350" s="16"/>
      <c r="I350" s="16"/>
      <c r="J350" s="16"/>
      <c r="K350" s="16"/>
    </row>
    <row r="351">
      <c r="F351" s="16"/>
      <c r="G351" s="16"/>
      <c r="H351" s="16"/>
      <c r="I351" s="16"/>
      <c r="J351" s="16"/>
      <c r="K351" s="16"/>
    </row>
    <row r="352">
      <c r="F352" s="16"/>
      <c r="G352" s="16"/>
      <c r="H352" s="16"/>
      <c r="I352" s="16"/>
      <c r="J352" s="16"/>
      <c r="K352" s="16"/>
    </row>
    <row r="353">
      <c r="F353" s="16"/>
      <c r="G353" s="16"/>
      <c r="H353" s="16"/>
      <c r="I353" s="16"/>
      <c r="J353" s="16"/>
      <c r="K353" s="16"/>
    </row>
    <row r="354">
      <c r="F354" s="16"/>
      <c r="G354" s="16"/>
      <c r="H354" s="16"/>
      <c r="I354" s="16"/>
      <c r="J354" s="16"/>
      <c r="K354" s="16"/>
    </row>
    <row r="355">
      <c r="F355" s="16"/>
      <c r="G355" s="16"/>
      <c r="H355" s="16"/>
      <c r="I355" s="16"/>
      <c r="J355" s="16"/>
      <c r="K355" s="16"/>
    </row>
    <row r="356">
      <c r="F356" s="16"/>
      <c r="G356" s="16"/>
      <c r="H356" s="16"/>
      <c r="I356" s="16"/>
      <c r="J356" s="16"/>
      <c r="K356" s="16"/>
    </row>
    <row r="357">
      <c r="F357" s="16"/>
      <c r="G357" s="16"/>
      <c r="H357" s="16"/>
      <c r="I357" s="16"/>
      <c r="J357" s="16"/>
      <c r="K357" s="16"/>
    </row>
    <row r="358">
      <c r="F358" s="16"/>
      <c r="G358" s="16"/>
      <c r="H358" s="16"/>
      <c r="I358" s="16"/>
      <c r="J358" s="16"/>
      <c r="K358" s="16"/>
    </row>
    <row r="359">
      <c r="F359" s="16"/>
      <c r="G359" s="16"/>
      <c r="H359" s="16"/>
      <c r="I359" s="16"/>
      <c r="J359" s="16"/>
      <c r="K359" s="16"/>
    </row>
    <row r="360">
      <c r="F360" s="16"/>
      <c r="G360" s="16"/>
      <c r="H360" s="16"/>
      <c r="I360" s="16"/>
      <c r="J360" s="16"/>
      <c r="K360" s="16"/>
    </row>
    <row r="361">
      <c r="F361" s="16"/>
      <c r="G361" s="16"/>
      <c r="H361" s="16"/>
      <c r="I361" s="16"/>
      <c r="J361" s="16"/>
      <c r="K361" s="16"/>
    </row>
    <row r="362">
      <c r="F362" s="16"/>
      <c r="G362" s="16"/>
      <c r="H362" s="16"/>
      <c r="I362" s="16"/>
      <c r="J362" s="16"/>
      <c r="K362" s="16"/>
    </row>
    <row r="363">
      <c r="F363" s="16"/>
      <c r="G363" s="16"/>
      <c r="H363" s="16"/>
      <c r="I363" s="16"/>
      <c r="J363" s="16"/>
      <c r="K363" s="16"/>
    </row>
    <row r="364">
      <c r="F364" s="16"/>
      <c r="G364" s="16"/>
      <c r="H364" s="16"/>
      <c r="I364" s="16"/>
      <c r="J364" s="16"/>
      <c r="K364" s="16"/>
    </row>
    <row r="365">
      <c r="F365" s="16"/>
      <c r="G365" s="16"/>
      <c r="H365" s="16"/>
      <c r="I365" s="16"/>
      <c r="J365" s="16"/>
      <c r="K365" s="16"/>
    </row>
    <row r="366">
      <c r="F366" s="16"/>
      <c r="G366" s="16"/>
      <c r="H366" s="16"/>
      <c r="I366" s="16"/>
      <c r="J366" s="16"/>
      <c r="K366" s="16"/>
    </row>
    <row r="367">
      <c r="F367" s="16"/>
      <c r="G367" s="16"/>
      <c r="H367" s="16"/>
      <c r="I367" s="16"/>
      <c r="J367" s="16"/>
      <c r="K367" s="16"/>
    </row>
    <row r="368">
      <c r="F368" s="16"/>
      <c r="G368" s="16"/>
      <c r="H368" s="16"/>
      <c r="I368" s="16"/>
      <c r="J368" s="16"/>
      <c r="K368" s="16"/>
    </row>
    <row r="369">
      <c r="F369" s="16"/>
      <c r="G369" s="16"/>
      <c r="H369" s="16"/>
      <c r="I369" s="16"/>
      <c r="J369" s="16"/>
      <c r="K369" s="16"/>
    </row>
    <row r="370">
      <c r="F370" s="16"/>
      <c r="G370" s="16"/>
      <c r="H370" s="16"/>
      <c r="I370" s="16"/>
      <c r="J370" s="16"/>
      <c r="K370" s="16"/>
    </row>
    <row r="371">
      <c r="F371" s="16"/>
      <c r="G371" s="16"/>
      <c r="H371" s="16"/>
      <c r="I371" s="16"/>
      <c r="J371" s="16"/>
      <c r="K371" s="16"/>
    </row>
    <row r="372">
      <c r="F372" s="16"/>
      <c r="G372" s="16"/>
      <c r="H372" s="16"/>
      <c r="I372" s="16"/>
      <c r="J372" s="16"/>
      <c r="K372" s="16"/>
    </row>
    <row r="373">
      <c r="F373" s="16"/>
      <c r="G373" s="16"/>
      <c r="H373" s="16"/>
      <c r="I373" s="16"/>
      <c r="J373" s="16"/>
      <c r="K373" s="16"/>
    </row>
    <row r="374">
      <c r="F374" s="16"/>
      <c r="G374" s="16"/>
      <c r="H374" s="16"/>
      <c r="I374" s="16"/>
      <c r="J374" s="16"/>
      <c r="K374" s="16"/>
    </row>
    <row r="375">
      <c r="F375" s="16"/>
      <c r="G375" s="16"/>
      <c r="H375" s="16"/>
      <c r="I375" s="16"/>
      <c r="J375" s="16"/>
      <c r="K375" s="16"/>
    </row>
    <row r="376">
      <c r="F376" s="16"/>
      <c r="G376" s="16"/>
      <c r="H376" s="16"/>
      <c r="I376" s="16"/>
      <c r="J376" s="16"/>
      <c r="K376" s="16"/>
    </row>
    <row r="377">
      <c r="F377" s="16"/>
      <c r="G377" s="16"/>
      <c r="H377" s="16"/>
      <c r="I377" s="16"/>
      <c r="J377" s="16"/>
      <c r="K377" s="16"/>
    </row>
    <row r="378">
      <c r="F378" s="16"/>
      <c r="G378" s="16"/>
      <c r="H378" s="16"/>
      <c r="I378" s="16"/>
      <c r="J378" s="16"/>
      <c r="K378" s="16"/>
    </row>
    <row r="379">
      <c r="F379" s="16"/>
      <c r="G379" s="16"/>
      <c r="H379" s="16"/>
      <c r="I379" s="16"/>
      <c r="J379" s="16"/>
      <c r="K379" s="16"/>
    </row>
    <row r="380">
      <c r="F380" s="16"/>
      <c r="G380" s="16"/>
      <c r="H380" s="16"/>
      <c r="I380" s="16"/>
      <c r="J380" s="16"/>
      <c r="K380" s="16"/>
    </row>
    <row r="381">
      <c r="F381" s="16"/>
      <c r="G381" s="16"/>
      <c r="H381" s="16"/>
      <c r="I381" s="16"/>
      <c r="J381" s="16"/>
      <c r="K381" s="16"/>
    </row>
    <row r="382">
      <c r="F382" s="16"/>
      <c r="G382" s="16"/>
      <c r="H382" s="16"/>
      <c r="I382" s="16"/>
      <c r="J382" s="16"/>
      <c r="K382" s="16"/>
    </row>
    <row r="383">
      <c r="F383" s="16"/>
      <c r="G383" s="16"/>
      <c r="H383" s="16"/>
      <c r="I383" s="16"/>
      <c r="J383" s="16"/>
      <c r="K383" s="16"/>
    </row>
    <row r="384">
      <c r="F384" s="16"/>
      <c r="G384" s="16"/>
      <c r="H384" s="16"/>
      <c r="I384" s="16"/>
      <c r="J384" s="16"/>
      <c r="K384" s="16"/>
    </row>
    <row r="385">
      <c r="F385" s="16"/>
      <c r="G385" s="16"/>
      <c r="H385" s="16"/>
      <c r="I385" s="16"/>
      <c r="J385" s="16"/>
      <c r="K385" s="16"/>
    </row>
    <row r="386">
      <c r="F386" s="16"/>
      <c r="G386" s="16"/>
      <c r="H386" s="16"/>
      <c r="I386" s="16"/>
      <c r="J386" s="16"/>
      <c r="K386" s="16"/>
    </row>
    <row r="387">
      <c r="F387" s="16"/>
      <c r="G387" s="16"/>
      <c r="H387" s="16"/>
      <c r="I387" s="16"/>
      <c r="J387" s="16"/>
      <c r="K387" s="16"/>
    </row>
    <row r="388">
      <c r="F388" s="16"/>
      <c r="G388" s="16"/>
      <c r="H388" s="16"/>
      <c r="I388" s="16"/>
      <c r="J388" s="16"/>
      <c r="K388" s="16"/>
    </row>
    <row r="389">
      <c r="F389" s="16"/>
      <c r="G389" s="16"/>
      <c r="H389" s="16"/>
      <c r="I389" s="16"/>
      <c r="J389" s="16"/>
      <c r="K389" s="16"/>
    </row>
    <row r="390">
      <c r="F390" s="16"/>
      <c r="G390" s="16"/>
      <c r="H390" s="16"/>
      <c r="I390" s="16"/>
      <c r="J390" s="16"/>
      <c r="K390" s="16"/>
    </row>
    <row r="391">
      <c r="F391" s="16"/>
      <c r="G391" s="16"/>
      <c r="H391" s="16"/>
      <c r="I391" s="16"/>
      <c r="J391" s="16"/>
      <c r="K391" s="16"/>
    </row>
    <row r="392">
      <c r="F392" s="16"/>
      <c r="G392" s="16"/>
      <c r="H392" s="16"/>
      <c r="I392" s="16"/>
      <c r="J392" s="16"/>
      <c r="K392" s="16"/>
    </row>
    <row r="393">
      <c r="F393" s="16"/>
      <c r="G393" s="16"/>
      <c r="H393" s="16"/>
      <c r="I393" s="16"/>
      <c r="J393" s="16"/>
      <c r="K393" s="16"/>
    </row>
    <row r="394">
      <c r="F394" s="16"/>
      <c r="G394" s="16"/>
      <c r="H394" s="16"/>
      <c r="I394" s="16"/>
      <c r="J394" s="16"/>
      <c r="K394" s="16"/>
    </row>
    <row r="395">
      <c r="F395" s="16"/>
      <c r="G395" s="16"/>
      <c r="H395" s="16"/>
      <c r="I395" s="16"/>
      <c r="J395" s="16"/>
      <c r="K395" s="16"/>
    </row>
    <row r="396">
      <c r="F396" s="16"/>
      <c r="G396" s="16"/>
      <c r="H396" s="16"/>
      <c r="I396" s="16"/>
      <c r="J396" s="16"/>
      <c r="K396" s="16"/>
    </row>
    <row r="397">
      <c r="F397" s="16"/>
      <c r="G397" s="16"/>
      <c r="H397" s="16"/>
      <c r="I397" s="16"/>
      <c r="J397" s="16"/>
      <c r="K397" s="16"/>
    </row>
    <row r="398">
      <c r="F398" s="16"/>
      <c r="G398" s="16"/>
      <c r="H398" s="16"/>
      <c r="I398" s="16"/>
      <c r="J398" s="16"/>
      <c r="K398" s="16"/>
    </row>
    <row r="399">
      <c r="F399" s="16"/>
      <c r="G399" s="16"/>
      <c r="H399" s="16"/>
      <c r="I399" s="16"/>
      <c r="J399" s="16"/>
      <c r="K399" s="16"/>
    </row>
    <row r="400">
      <c r="F400" s="16"/>
      <c r="G400" s="16"/>
      <c r="H400" s="16"/>
      <c r="I400" s="16"/>
      <c r="J400" s="16"/>
      <c r="K400" s="16"/>
    </row>
    <row r="401">
      <c r="F401" s="16"/>
      <c r="G401" s="16"/>
      <c r="H401" s="16"/>
      <c r="I401" s="16"/>
      <c r="J401" s="16"/>
      <c r="K401" s="16"/>
    </row>
    <row r="402">
      <c r="F402" s="16"/>
      <c r="G402" s="16"/>
      <c r="H402" s="16"/>
      <c r="I402" s="16"/>
      <c r="J402" s="16"/>
      <c r="K402" s="16"/>
    </row>
    <row r="403">
      <c r="F403" s="16"/>
      <c r="G403" s="16"/>
      <c r="H403" s="16"/>
      <c r="I403" s="16"/>
      <c r="J403" s="16"/>
      <c r="K403" s="16"/>
    </row>
    <row r="404">
      <c r="F404" s="16"/>
      <c r="G404" s="16"/>
      <c r="H404" s="16"/>
      <c r="I404" s="16"/>
      <c r="J404" s="16"/>
      <c r="K404" s="16"/>
    </row>
    <row r="405">
      <c r="F405" s="16"/>
      <c r="G405" s="16"/>
      <c r="H405" s="16"/>
      <c r="I405" s="16"/>
      <c r="J405" s="16"/>
      <c r="K405" s="16"/>
    </row>
    <row r="406">
      <c r="F406" s="16"/>
      <c r="G406" s="16"/>
      <c r="H406" s="16"/>
      <c r="I406" s="16"/>
      <c r="J406" s="16"/>
      <c r="K406" s="16"/>
    </row>
    <row r="407">
      <c r="F407" s="16"/>
      <c r="G407" s="16"/>
      <c r="H407" s="16"/>
      <c r="I407" s="16"/>
      <c r="J407" s="16"/>
      <c r="K407" s="16"/>
    </row>
    <row r="408">
      <c r="F408" s="16"/>
      <c r="G408" s="16"/>
      <c r="H408" s="16"/>
      <c r="I408" s="16"/>
      <c r="J408" s="16"/>
      <c r="K408" s="16"/>
    </row>
    <row r="409">
      <c r="F409" s="16"/>
      <c r="G409" s="16"/>
      <c r="H409" s="16"/>
      <c r="I409" s="16"/>
      <c r="J409" s="16"/>
      <c r="K409" s="16"/>
    </row>
    <row r="410">
      <c r="F410" s="16"/>
      <c r="G410" s="16"/>
      <c r="H410" s="16"/>
      <c r="I410" s="16"/>
      <c r="J410" s="16"/>
      <c r="K410" s="16"/>
    </row>
    <row r="411">
      <c r="F411" s="16"/>
      <c r="G411" s="16"/>
      <c r="H411" s="16"/>
      <c r="I411" s="16"/>
      <c r="J411" s="16"/>
      <c r="K411" s="16"/>
    </row>
    <row r="412">
      <c r="F412" s="16"/>
      <c r="G412" s="16"/>
      <c r="H412" s="16"/>
      <c r="I412" s="16"/>
      <c r="J412" s="16"/>
      <c r="K412" s="16"/>
    </row>
    <row r="413">
      <c r="F413" s="16"/>
      <c r="G413" s="16"/>
      <c r="H413" s="16"/>
      <c r="I413" s="16"/>
      <c r="J413" s="16"/>
      <c r="K413" s="16"/>
    </row>
    <row r="414">
      <c r="F414" s="16"/>
      <c r="G414" s="16"/>
      <c r="H414" s="16"/>
      <c r="I414" s="16"/>
      <c r="J414" s="16"/>
      <c r="K414" s="16"/>
    </row>
    <row r="415">
      <c r="F415" s="16"/>
      <c r="G415" s="16"/>
      <c r="H415" s="16"/>
      <c r="I415" s="16"/>
      <c r="J415" s="16"/>
      <c r="K415" s="16"/>
    </row>
    <row r="416">
      <c r="F416" s="16"/>
      <c r="G416" s="16"/>
      <c r="H416" s="16"/>
      <c r="I416" s="16"/>
      <c r="J416" s="16"/>
      <c r="K416" s="16"/>
    </row>
    <row r="417">
      <c r="F417" s="16"/>
      <c r="G417" s="16"/>
      <c r="H417" s="16"/>
      <c r="I417" s="16"/>
      <c r="J417" s="16"/>
      <c r="K417" s="16"/>
    </row>
    <row r="418">
      <c r="F418" s="16"/>
      <c r="G418" s="16"/>
      <c r="H418" s="16"/>
      <c r="I418" s="16"/>
      <c r="J418" s="16"/>
      <c r="K418" s="16"/>
    </row>
    <row r="419">
      <c r="F419" s="16"/>
      <c r="G419" s="16"/>
      <c r="H419" s="16"/>
      <c r="I419" s="16"/>
      <c r="J419" s="16"/>
      <c r="K419" s="16"/>
    </row>
    <row r="420">
      <c r="F420" s="16"/>
      <c r="G420" s="16"/>
      <c r="H420" s="16"/>
      <c r="I420" s="16"/>
      <c r="J420" s="16"/>
      <c r="K420" s="16"/>
    </row>
    <row r="421">
      <c r="F421" s="16"/>
      <c r="G421" s="16"/>
      <c r="H421" s="16"/>
      <c r="I421" s="16"/>
      <c r="J421" s="16"/>
      <c r="K421" s="16"/>
    </row>
    <row r="422">
      <c r="F422" s="16"/>
      <c r="G422" s="16"/>
      <c r="H422" s="16"/>
      <c r="I422" s="16"/>
      <c r="J422" s="16"/>
      <c r="K422" s="16"/>
    </row>
    <row r="423">
      <c r="F423" s="16"/>
      <c r="G423" s="16"/>
      <c r="H423" s="16"/>
      <c r="I423" s="16"/>
      <c r="J423" s="16"/>
      <c r="K423" s="16"/>
    </row>
    <row r="424">
      <c r="F424" s="16"/>
      <c r="G424" s="16"/>
      <c r="H424" s="16"/>
      <c r="I424" s="16"/>
      <c r="J424" s="16"/>
      <c r="K424" s="16"/>
    </row>
    <row r="425">
      <c r="F425" s="16"/>
      <c r="G425" s="16"/>
      <c r="H425" s="16"/>
      <c r="I425" s="16"/>
      <c r="J425" s="16"/>
      <c r="K425" s="16"/>
    </row>
    <row r="426">
      <c r="F426" s="16"/>
      <c r="G426" s="16"/>
      <c r="H426" s="16"/>
      <c r="I426" s="16"/>
      <c r="J426" s="16"/>
      <c r="K426" s="16"/>
    </row>
    <row r="427">
      <c r="F427" s="16"/>
      <c r="G427" s="16"/>
      <c r="H427" s="16"/>
      <c r="I427" s="16"/>
      <c r="J427" s="16"/>
      <c r="K427" s="16"/>
    </row>
    <row r="428">
      <c r="F428" s="16"/>
      <c r="G428" s="16"/>
      <c r="H428" s="16"/>
      <c r="I428" s="16"/>
      <c r="J428" s="16"/>
      <c r="K428" s="16"/>
    </row>
    <row r="429">
      <c r="F429" s="16"/>
      <c r="G429" s="16"/>
      <c r="H429" s="16"/>
      <c r="I429" s="16"/>
      <c r="J429" s="16"/>
      <c r="K429" s="16"/>
    </row>
    <row r="430">
      <c r="F430" s="16"/>
      <c r="G430" s="16"/>
      <c r="H430" s="16"/>
      <c r="I430" s="16"/>
      <c r="J430" s="16"/>
      <c r="K430" s="16"/>
    </row>
    <row r="431">
      <c r="F431" s="16"/>
      <c r="G431" s="16"/>
      <c r="H431" s="16"/>
      <c r="I431" s="16"/>
      <c r="J431" s="16"/>
      <c r="K431" s="16"/>
    </row>
    <row r="432">
      <c r="F432" s="16"/>
      <c r="G432" s="16"/>
      <c r="H432" s="16"/>
      <c r="I432" s="16"/>
      <c r="J432" s="16"/>
      <c r="K432" s="16"/>
    </row>
    <row r="433">
      <c r="F433" s="16"/>
      <c r="G433" s="16"/>
      <c r="H433" s="16"/>
      <c r="I433" s="16"/>
      <c r="J433" s="16"/>
      <c r="K433" s="16"/>
    </row>
    <row r="434">
      <c r="F434" s="16"/>
      <c r="G434" s="16"/>
      <c r="H434" s="16"/>
      <c r="I434" s="16"/>
      <c r="J434" s="16"/>
      <c r="K434" s="16"/>
    </row>
    <row r="435">
      <c r="F435" s="16"/>
      <c r="G435" s="16"/>
      <c r="H435" s="16"/>
      <c r="I435" s="16"/>
      <c r="J435" s="16"/>
      <c r="K435" s="16"/>
    </row>
    <row r="436">
      <c r="F436" s="16"/>
      <c r="G436" s="16"/>
      <c r="H436" s="16"/>
      <c r="I436" s="16"/>
      <c r="J436" s="16"/>
      <c r="K436" s="16"/>
    </row>
    <row r="437">
      <c r="F437" s="16"/>
      <c r="G437" s="16"/>
      <c r="H437" s="16"/>
      <c r="I437" s="16"/>
      <c r="J437" s="16"/>
      <c r="K437" s="16"/>
    </row>
    <row r="438">
      <c r="F438" s="16"/>
      <c r="G438" s="16"/>
      <c r="H438" s="16"/>
      <c r="I438" s="16"/>
      <c r="J438" s="16"/>
      <c r="K438" s="16"/>
    </row>
    <row r="439">
      <c r="F439" s="16"/>
      <c r="G439" s="16"/>
      <c r="H439" s="16"/>
      <c r="I439" s="16"/>
      <c r="J439" s="16"/>
      <c r="K439" s="16"/>
    </row>
    <row r="440">
      <c r="F440" s="16"/>
      <c r="G440" s="16"/>
      <c r="H440" s="16"/>
      <c r="I440" s="16"/>
      <c r="J440" s="16"/>
      <c r="K440" s="16"/>
    </row>
    <row r="441">
      <c r="F441" s="16"/>
      <c r="G441" s="16"/>
      <c r="H441" s="16"/>
      <c r="I441" s="16"/>
      <c r="J441" s="16"/>
      <c r="K441" s="16"/>
    </row>
    <row r="442">
      <c r="F442" s="16"/>
      <c r="G442" s="16"/>
      <c r="H442" s="16"/>
      <c r="I442" s="16"/>
      <c r="J442" s="16"/>
      <c r="K442" s="16"/>
    </row>
    <row r="443">
      <c r="F443" s="16"/>
      <c r="G443" s="16"/>
      <c r="H443" s="16"/>
      <c r="I443" s="16"/>
      <c r="J443" s="16"/>
      <c r="K443" s="16"/>
    </row>
    <row r="444">
      <c r="F444" s="16"/>
      <c r="G444" s="16"/>
      <c r="H444" s="16"/>
      <c r="I444" s="16"/>
      <c r="J444" s="16"/>
      <c r="K444" s="16"/>
    </row>
    <row r="445">
      <c r="F445" s="16"/>
      <c r="G445" s="16"/>
      <c r="H445" s="16"/>
      <c r="I445" s="16"/>
      <c r="J445" s="16"/>
      <c r="K445" s="16"/>
    </row>
    <row r="446">
      <c r="F446" s="16"/>
      <c r="G446" s="16"/>
      <c r="H446" s="16"/>
      <c r="I446" s="16"/>
      <c r="J446" s="16"/>
      <c r="K446" s="16"/>
    </row>
    <row r="447">
      <c r="F447" s="16"/>
      <c r="G447" s="16"/>
      <c r="H447" s="16"/>
      <c r="I447" s="16"/>
      <c r="J447" s="16"/>
      <c r="K447" s="16"/>
    </row>
    <row r="448">
      <c r="F448" s="16"/>
      <c r="G448" s="16"/>
      <c r="H448" s="16"/>
      <c r="I448" s="16"/>
      <c r="J448" s="16"/>
      <c r="K448" s="16"/>
    </row>
    <row r="449">
      <c r="F449" s="16"/>
      <c r="G449" s="16"/>
      <c r="H449" s="16"/>
      <c r="I449" s="16"/>
      <c r="J449" s="16"/>
      <c r="K449" s="16"/>
    </row>
    <row r="450">
      <c r="F450" s="16"/>
      <c r="G450" s="16"/>
      <c r="H450" s="16"/>
      <c r="I450" s="16"/>
      <c r="J450" s="16"/>
      <c r="K450" s="16"/>
    </row>
    <row r="451">
      <c r="F451" s="16"/>
      <c r="G451" s="16"/>
      <c r="H451" s="16"/>
      <c r="I451" s="16"/>
      <c r="J451" s="16"/>
      <c r="K451" s="16"/>
    </row>
    <row r="452">
      <c r="F452" s="16"/>
      <c r="G452" s="16"/>
      <c r="H452" s="16"/>
      <c r="I452" s="16"/>
      <c r="J452" s="16"/>
      <c r="K452" s="16"/>
    </row>
    <row r="453">
      <c r="F453" s="16"/>
      <c r="G453" s="16"/>
      <c r="H453" s="16"/>
      <c r="I453" s="16"/>
      <c r="J453" s="16"/>
      <c r="K453" s="16"/>
    </row>
    <row r="454">
      <c r="F454" s="16"/>
      <c r="G454" s="16"/>
      <c r="H454" s="16"/>
      <c r="I454" s="16"/>
      <c r="J454" s="16"/>
      <c r="K454" s="16"/>
    </row>
    <row r="455">
      <c r="F455" s="16"/>
      <c r="G455" s="16"/>
      <c r="H455" s="16"/>
      <c r="I455" s="16"/>
      <c r="J455" s="16"/>
      <c r="K455" s="16"/>
    </row>
    <row r="456">
      <c r="F456" s="16"/>
      <c r="G456" s="16"/>
      <c r="H456" s="16"/>
      <c r="I456" s="16"/>
      <c r="J456" s="16"/>
      <c r="K456" s="16"/>
    </row>
    <row r="457">
      <c r="F457" s="16"/>
      <c r="G457" s="16"/>
      <c r="H457" s="16"/>
      <c r="I457" s="16"/>
      <c r="J457" s="16"/>
      <c r="K457" s="16"/>
    </row>
    <row r="458">
      <c r="F458" s="16"/>
      <c r="G458" s="16"/>
      <c r="H458" s="16"/>
      <c r="I458" s="16"/>
      <c r="J458" s="16"/>
      <c r="K458" s="16"/>
    </row>
    <row r="459">
      <c r="F459" s="16"/>
      <c r="G459" s="16"/>
      <c r="H459" s="16"/>
      <c r="I459" s="16"/>
      <c r="J459" s="16"/>
      <c r="K459" s="16"/>
    </row>
    <row r="460">
      <c r="F460" s="16"/>
      <c r="G460" s="16"/>
      <c r="H460" s="16"/>
      <c r="I460" s="16"/>
      <c r="J460" s="16"/>
      <c r="K460" s="16"/>
    </row>
    <row r="461">
      <c r="F461" s="16"/>
      <c r="G461" s="16"/>
      <c r="H461" s="16"/>
      <c r="I461" s="16"/>
      <c r="J461" s="16"/>
      <c r="K461" s="16"/>
    </row>
    <row r="462">
      <c r="F462" s="16"/>
      <c r="G462" s="16"/>
      <c r="H462" s="16"/>
      <c r="I462" s="16"/>
      <c r="J462" s="16"/>
      <c r="K462" s="16"/>
    </row>
    <row r="463">
      <c r="F463" s="16"/>
      <c r="G463" s="16"/>
      <c r="H463" s="16"/>
      <c r="I463" s="16"/>
      <c r="J463" s="16"/>
      <c r="K463" s="16"/>
    </row>
    <row r="464">
      <c r="F464" s="16"/>
      <c r="G464" s="16"/>
      <c r="H464" s="16"/>
      <c r="I464" s="16"/>
      <c r="J464" s="16"/>
      <c r="K464" s="16"/>
    </row>
    <row r="465">
      <c r="F465" s="16"/>
      <c r="G465" s="16"/>
      <c r="H465" s="16"/>
      <c r="I465" s="16"/>
      <c r="J465" s="16"/>
      <c r="K465" s="16"/>
    </row>
    <row r="466">
      <c r="F466" s="16"/>
      <c r="G466" s="16"/>
      <c r="H466" s="16"/>
      <c r="I466" s="16"/>
      <c r="J466" s="16"/>
      <c r="K466" s="16"/>
    </row>
    <row r="467">
      <c r="F467" s="16"/>
      <c r="G467" s="16"/>
      <c r="H467" s="16"/>
      <c r="I467" s="16"/>
      <c r="J467" s="16"/>
      <c r="K467" s="16"/>
    </row>
    <row r="468">
      <c r="F468" s="16"/>
      <c r="G468" s="16"/>
      <c r="H468" s="16"/>
      <c r="I468" s="16"/>
      <c r="J468" s="16"/>
      <c r="K468" s="16"/>
    </row>
    <row r="469">
      <c r="F469" s="16"/>
      <c r="G469" s="16"/>
      <c r="H469" s="16"/>
      <c r="I469" s="16"/>
      <c r="J469" s="16"/>
      <c r="K469" s="16"/>
    </row>
    <row r="470">
      <c r="F470" s="16"/>
      <c r="G470" s="16"/>
      <c r="H470" s="16"/>
      <c r="I470" s="16"/>
      <c r="J470" s="16"/>
      <c r="K470" s="16"/>
    </row>
    <row r="471">
      <c r="F471" s="16"/>
      <c r="G471" s="16"/>
      <c r="H471" s="16"/>
      <c r="I471" s="16"/>
      <c r="J471" s="16"/>
      <c r="K471" s="16"/>
    </row>
    <row r="472">
      <c r="F472" s="16"/>
      <c r="G472" s="16"/>
      <c r="H472" s="16"/>
      <c r="I472" s="16"/>
      <c r="J472" s="16"/>
      <c r="K472" s="16"/>
    </row>
    <row r="473">
      <c r="F473" s="16"/>
      <c r="G473" s="16"/>
      <c r="H473" s="16"/>
      <c r="I473" s="16"/>
      <c r="J473" s="16"/>
      <c r="K473" s="16"/>
    </row>
    <row r="474">
      <c r="F474" s="16"/>
      <c r="G474" s="16"/>
      <c r="H474" s="16"/>
      <c r="I474" s="16"/>
      <c r="J474" s="16"/>
      <c r="K474" s="16"/>
    </row>
    <row r="475">
      <c r="F475" s="16"/>
      <c r="G475" s="16"/>
      <c r="H475" s="16"/>
      <c r="I475" s="16"/>
      <c r="J475" s="16"/>
      <c r="K475" s="16"/>
    </row>
    <row r="476">
      <c r="F476" s="16"/>
      <c r="G476" s="16"/>
      <c r="H476" s="16"/>
      <c r="I476" s="16"/>
      <c r="J476" s="16"/>
      <c r="K476" s="16"/>
    </row>
    <row r="477">
      <c r="F477" s="16"/>
      <c r="G477" s="16"/>
      <c r="H477" s="16"/>
      <c r="I477" s="16"/>
      <c r="J477" s="16"/>
      <c r="K477" s="16"/>
    </row>
    <row r="478">
      <c r="F478" s="16"/>
      <c r="G478" s="16"/>
      <c r="H478" s="16"/>
      <c r="I478" s="16"/>
      <c r="J478" s="16"/>
      <c r="K478" s="16"/>
    </row>
    <row r="479">
      <c r="F479" s="16"/>
      <c r="G479" s="16"/>
      <c r="H479" s="16"/>
      <c r="I479" s="16"/>
      <c r="J479" s="16"/>
      <c r="K479" s="16"/>
    </row>
    <row r="480">
      <c r="F480" s="16"/>
      <c r="G480" s="16"/>
      <c r="H480" s="16"/>
      <c r="I480" s="16"/>
      <c r="J480" s="16"/>
      <c r="K480" s="16"/>
    </row>
    <row r="481">
      <c r="F481" s="16"/>
      <c r="G481" s="16"/>
      <c r="H481" s="16"/>
      <c r="I481" s="16"/>
      <c r="J481" s="16"/>
      <c r="K481" s="16"/>
    </row>
    <row r="482">
      <c r="F482" s="16"/>
      <c r="G482" s="16"/>
      <c r="H482" s="16"/>
      <c r="I482" s="16"/>
      <c r="J482" s="16"/>
      <c r="K482" s="16"/>
    </row>
    <row r="483">
      <c r="F483" s="16"/>
      <c r="G483" s="16"/>
      <c r="H483" s="16"/>
      <c r="I483" s="16"/>
      <c r="J483" s="16"/>
      <c r="K483" s="16"/>
    </row>
    <row r="484">
      <c r="F484" s="16"/>
      <c r="G484" s="16"/>
      <c r="H484" s="16"/>
      <c r="I484" s="16"/>
      <c r="J484" s="16"/>
      <c r="K484" s="16"/>
    </row>
    <row r="485">
      <c r="F485" s="16"/>
      <c r="G485" s="16"/>
      <c r="H485" s="16"/>
      <c r="I485" s="16"/>
      <c r="J485" s="16"/>
      <c r="K485" s="16"/>
    </row>
    <row r="486">
      <c r="F486" s="16"/>
      <c r="G486" s="16"/>
      <c r="H486" s="16"/>
      <c r="I486" s="16"/>
      <c r="J486" s="16"/>
      <c r="K486" s="16"/>
    </row>
    <row r="487">
      <c r="F487" s="16"/>
      <c r="G487" s="16"/>
      <c r="H487" s="16"/>
      <c r="I487" s="16"/>
      <c r="J487" s="16"/>
      <c r="K487" s="16"/>
    </row>
    <row r="488">
      <c r="F488" s="16"/>
      <c r="G488" s="16"/>
      <c r="H488" s="16"/>
      <c r="I488" s="16"/>
      <c r="J488" s="16"/>
      <c r="K488" s="16"/>
    </row>
    <row r="489">
      <c r="F489" s="16"/>
      <c r="G489" s="16"/>
      <c r="H489" s="16"/>
      <c r="I489" s="16"/>
      <c r="J489" s="16"/>
      <c r="K489" s="16"/>
    </row>
    <row r="490">
      <c r="F490" s="16"/>
      <c r="G490" s="16"/>
      <c r="H490" s="16"/>
      <c r="I490" s="16"/>
      <c r="J490" s="16"/>
      <c r="K490" s="16"/>
    </row>
    <row r="491">
      <c r="F491" s="16"/>
      <c r="G491" s="16"/>
      <c r="H491" s="16"/>
      <c r="I491" s="16"/>
      <c r="J491" s="16"/>
      <c r="K491" s="16"/>
    </row>
    <row r="492">
      <c r="F492" s="16"/>
      <c r="G492" s="16"/>
      <c r="H492" s="16"/>
      <c r="I492" s="16"/>
      <c r="J492" s="16"/>
      <c r="K492" s="16"/>
    </row>
    <row r="493">
      <c r="F493" s="16"/>
      <c r="G493" s="16"/>
      <c r="H493" s="16"/>
      <c r="I493" s="16"/>
      <c r="J493" s="16"/>
      <c r="K493" s="16"/>
    </row>
    <row r="494">
      <c r="F494" s="16"/>
      <c r="G494" s="16"/>
      <c r="H494" s="16"/>
      <c r="I494" s="16"/>
      <c r="J494" s="16"/>
      <c r="K494" s="16"/>
    </row>
    <row r="495">
      <c r="F495" s="16"/>
      <c r="G495" s="16"/>
      <c r="H495" s="16"/>
      <c r="I495" s="16"/>
      <c r="J495" s="16"/>
      <c r="K495" s="16"/>
    </row>
    <row r="496">
      <c r="F496" s="16"/>
      <c r="G496" s="16"/>
      <c r="H496" s="16"/>
      <c r="I496" s="16"/>
      <c r="J496" s="16"/>
      <c r="K496" s="16"/>
    </row>
    <row r="497">
      <c r="F497" s="16"/>
      <c r="G497" s="16"/>
      <c r="H497" s="16"/>
      <c r="I497" s="16"/>
      <c r="J497" s="16"/>
      <c r="K497" s="16"/>
    </row>
    <row r="498">
      <c r="F498" s="16"/>
      <c r="G498" s="16"/>
      <c r="H498" s="16"/>
      <c r="I498" s="16"/>
      <c r="J498" s="16"/>
      <c r="K498" s="16"/>
    </row>
    <row r="499">
      <c r="F499" s="16"/>
      <c r="G499" s="16"/>
      <c r="H499" s="16"/>
      <c r="I499" s="16"/>
      <c r="J499" s="16"/>
      <c r="K499" s="16"/>
    </row>
    <row r="500">
      <c r="F500" s="16"/>
      <c r="G500" s="16"/>
      <c r="H500" s="16"/>
      <c r="I500" s="16"/>
      <c r="J500" s="16"/>
      <c r="K500" s="16"/>
    </row>
    <row r="501">
      <c r="F501" s="16"/>
      <c r="G501" s="16"/>
      <c r="H501" s="16"/>
      <c r="I501" s="16"/>
      <c r="J501" s="16"/>
      <c r="K501" s="16"/>
    </row>
    <row r="502">
      <c r="F502" s="16"/>
      <c r="G502" s="16"/>
      <c r="H502" s="16"/>
      <c r="I502" s="16"/>
      <c r="J502" s="16"/>
      <c r="K502" s="16"/>
    </row>
    <row r="503">
      <c r="F503" s="16"/>
      <c r="G503" s="16"/>
      <c r="H503" s="16"/>
      <c r="I503" s="16"/>
      <c r="J503" s="16"/>
      <c r="K503" s="16"/>
    </row>
    <row r="504">
      <c r="F504" s="16"/>
      <c r="G504" s="16"/>
      <c r="H504" s="16"/>
      <c r="I504" s="16"/>
      <c r="J504" s="16"/>
      <c r="K504" s="16"/>
    </row>
    <row r="505">
      <c r="F505" s="16"/>
      <c r="G505" s="16"/>
      <c r="H505" s="16"/>
      <c r="I505" s="16"/>
      <c r="J505" s="16"/>
      <c r="K505" s="16"/>
    </row>
    <row r="506">
      <c r="F506" s="16"/>
      <c r="G506" s="16"/>
      <c r="H506" s="16"/>
      <c r="I506" s="16"/>
      <c r="J506" s="16"/>
      <c r="K506" s="16"/>
    </row>
    <row r="507">
      <c r="F507" s="16"/>
      <c r="G507" s="16"/>
      <c r="H507" s="16"/>
      <c r="I507" s="16"/>
      <c r="J507" s="16"/>
      <c r="K507" s="16"/>
    </row>
    <row r="508">
      <c r="F508" s="16"/>
      <c r="G508" s="16"/>
      <c r="H508" s="16"/>
      <c r="I508" s="16"/>
      <c r="J508" s="16"/>
      <c r="K508" s="16"/>
    </row>
    <row r="509">
      <c r="F509" s="16"/>
      <c r="G509" s="16"/>
      <c r="H509" s="16"/>
      <c r="I509" s="16"/>
      <c r="J509" s="16"/>
      <c r="K509" s="16"/>
    </row>
    <row r="510">
      <c r="F510" s="16"/>
      <c r="G510" s="16"/>
      <c r="H510" s="16"/>
      <c r="I510" s="16"/>
      <c r="J510" s="16"/>
      <c r="K510" s="16"/>
    </row>
    <row r="511">
      <c r="F511" s="16"/>
      <c r="G511" s="16"/>
      <c r="H511" s="16"/>
      <c r="I511" s="16"/>
      <c r="J511" s="16"/>
      <c r="K511" s="16"/>
    </row>
    <row r="512">
      <c r="F512" s="16"/>
      <c r="G512" s="16"/>
      <c r="H512" s="16"/>
      <c r="I512" s="16"/>
      <c r="J512" s="16"/>
      <c r="K512" s="16"/>
    </row>
    <row r="513">
      <c r="F513" s="16"/>
      <c r="G513" s="16"/>
      <c r="H513" s="16"/>
      <c r="I513" s="16"/>
      <c r="J513" s="16"/>
      <c r="K513" s="16"/>
    </row>
    <row r="514">
      <c r="F514" s="16"/>
      <c r="G514" s="16"/>
      <c r="H514" s="16"/>
      <c r="I514" s="16"/>
      <c r="J514" s="16"/>
      <c r="K514" s="16"/>
    </row>
    <row r="515">
      <c r="F515" s="16"/>
      <c r="G515" s="16"/>
      <c r="H515" s="16"/>
      <c r="I515" s="16"/>
      <c r="J515" s="16"/>
      <c r="K515" s="16"/>
    </row>
    <row r="516">
      <c r="F516" s="16"/>
      <c r="G516" s="16"/>
      <c r="H516" s="16"/>
      <c r="I516" s="16"/>
      <c r="J516" s="16"/>
      <c r="K516" s="16"/>
    </row>
    <row r="517">
      <c r="F517" s="16"/>
      <c r="G517" s="16"/>
      <c r="H517" s="16"/>
      <c r="I517" s="16"/>
      <c r="J517" s="16"/>
      <c r="K517" s="16"/>
    </row>
    <row r="518">
      <c r="F518" s="16"/>
      <c r="G518" s="16"/>
      <c r="H518" s="16"/>
      <c r="I518" s="16"/>
      <c r="J518" s="16"/>
      <c r="K518" s="16"/>
    </row>
    <row r="519">
      <c r="F519" s="16"/>
      <c r="G519" s="16"/>
      <c r="H519" s="16"/>
      <c r="I519" s="16"/>
      <c r="J519" s="16"/>
      <c r="K519" s="16"/>
    </row>
    <row r="520">
      <c r="F520" s="16"/>
      <c r="G520" s="16"/>
      <c r="H520" s="16"/>
      <c r="I520" s="16"/>
      <c r="J520" s="16"/>
      <c r="K520" s="16"/>
    </row>
    <row r="521">
      <c r="F521" s="16"/>
      <c r="G521" s="16"/>
      <c r="H521" s="16"/>
      <c r="I521" s="16"/>
      <c r="J521" s="16"/>
      <c r="K521" s="16"/>
    </row>
    <row r="522">
      <c r="F522" s="16"/>
      <c r="G522" s="16"/>
      <c r="H522" s="16"/>
      <c r="I522" s="16"/>
      <c r="J522" s="16"/>
      <c r="K522" s="16"/>
    </row>
    <row r="523">
      <c r="F523" s="16"/>
      <c r="G523" s="16"/>
      <c r="H523" s="16"/>
      <c r="I523" s="16"/>
      <c r="J523" s="16"/>
      <c r="K523" s="16"/>
    </row>
    <row r="524">
      <c r="F524" s="16"/>
      <c r="G524" s="16"/>
      <c r="H524" s="16"/>
      <c r="I524" s="16"/>
      <c r="J524" s="16"/>
      <c r="K524" s="16"/>
    </row>
    <row r="525">
      <c r="F525" s="16"/>
      <c r="G525" s="16"/>
      <c r="H525" s="16"/>
      <c r="I525" s="16"/>
      <c r="J525" s="16"/>
      <c r="K525" s="16"/>
    </row>
    <row r="526">
      <c r="F526" s="16"/>
      <c r="G526" s="16"/>
      <c r="H526" s="16"/>
      <c r="I526" s="16"/>
      <c r="J526" s="16"/>
      <c r="K526" s="16"/>
    </row>
    <row r="527">
      <c r="F527" s="16"/>
      <c r="G527" s="16"/>
      <c r="H527" s="16"/>
      <c r="I527" s="16"/>
      <c r="J527" s="16"/>
      <c r="K527" s="16"/>
    </row>
    <row r="528">
      <c r="F528" s="16"/>
      <c r="G528" s="16"/>
      <c r="H528" s="16"/>
      <c r="I528" s="16"/>
      <c r="J528" s="16"/>
      <c r="K528" s="16"/>
    </row>
    <row r="529">
      <c r="F529" s="16"/>
      <c r="G529" s="16"/>
      <c r="H529" s="16"/>
      <c r="I529" s="16"/>
      <c r="J529" s="16"/>
      <c r="K529" s="16"/>
    </row>
    <row r="530">
      <c r="F530" s="16"/>
      <c r="G530" s="16"/>
      <c r="H530" s="16"/>
      <c r="I530" s="16"/>
      <c r="J530" s="16"/>
      <c r="K530" s="16"/>
    </row>
    <row r="531">
      <c r="F531" s="16"/>
      <c r="G531" s="16"/>
      <c r="H531" s="16"/>
      <c r="I531" s="16"/>
      <c r="J531" s="16"/>
      <c r="K531" s="16"/>
    </row>
    <row r="532">
      <c r="F532" s="16"/>
      <c r="G532" s="16"/>
      <c r="H532" s="16"/>
      <c r="I532" s="16"/>
      <c r="J532" s="16"/>
      <c r="K532" s="16"/>
    </row>
    <row r="533">
      <c r="F533" s="16"/>
      <c r="G533" s="16"/>
      <c r="H533" s="16"/>
      <c r="I533" s="16"/>
      <c r="J533" s="16"/>
      <c r="K533" s="16"/>
    </row>
    <row r="534">
      <c r="F534" s="16"/>
      <c r="G534" s="16"/>
      <c r="H534" s="16"/>
      <c r="I534" s="16"/>
      <c r="J534" s="16"/>
      <c r="K534" s="16"/>
    </row>
    <row r="535">
      <c r="F535" s="16"/>
      <c r="G535" s="16"/>
      <c r="H535" s="16"/>
      <c r="I535" s="16"/>
      <c r="J535" s="16"/>
      <c r="K535" s="16"/>
    </row>
    <row r="536">
      <c r="F536" s="16"/>
      <c r="G536" s="16"/>
      <c r="H536" s="16"/>
      <c r="I536" s="16"/>
      <c r="J536" s="16"/>
      <c r="K536" s="16"/>
    </row>
    <row r="537">
      <c r="F537" s="16"/>
      <c r="G537" s="16"/>
      <c r="H537" s="16"/>
      <c r="I537" s="16"/>
      <c r="J537" s="16"/>
      <c r="K537" s="16"/>
    </row>
    <row r="538">
      <c r="F538" s="16"/>
      <c r="G538" s="16"/>
      <c r="H538" s="16"/>
      <c r="I538" s="16"/>
      <c r="J538" s="16"/>
      <c r="K538" s="16"/>
    </row>
    <row r="539">
      <c r="F539" s="16"/>
      <c r="G539" s="16"/>
      <c r="H539" s="16"/>
      <c r="I539" s="16"/>
      <c r="J539" s="16"/>
      <c r="K539" s="16"/>
    </row>
    <row r="540">
      <c r="F540" s="16"/>
      <c r="G540" s="16"/>
      <c r="H540" s="16"/>
      <c r="I540" s="16"/>
      <c r="J540" s="16"/>
      <c r="K540" s="16"/>
    </row>
    <row r="541">
      <c r="F541" s="16"/>
      <c r="G541" s="16"/>
      <c r="H541" s="16"/>
      <c r="I541" s="16"/>
      <c r="J541" s="16"/>
      <c r="K541" s="16"/>
    </row>
    <row r="542">
      <c r="F542" s="16"/>
      <c r="G542" s="16"/>
      <c r="H542" s="16"/>
      <c r="I542" s="16"/>
      <c r="J542" s="16"/>
      <c r="K542" s="16"/>
    </row>
    <row r="543">
      <c r="F543" s="16"/>
      <c r="G543" s="16"/>
      <c r="H543" s="16"/>
      <c r="I543" s="16"/>
      <c r="J543" s="16"/>
      <c r="K543" s="16"/>
    </row>
    <row r="544">
      <c r="F544" s="16"/>
      <c r="G544" s="16"/>
      <c r="H544" s="16"/>
      <c r="I544" s="16"/>
      <c r="J544" s="16"/>
      <c r="K544" s="16"/>
    </row>
    <row r="545">
      <c r="F545" s="16"/>
      <c r="G545" s="16"/>
      <c r="H545" s="16"/>
      <c r="I545" s="16"/>
      <c r="J545" s="16"/>
      <c r="K545" s="16"/>
    </row>
    <row r="546">
      <c r="F546" s="16"/>
      <c r="G546" s="16"/>
      <c r="H546" s="16"/>
      <c r="I546" s="16"/>
      <c r="J546" s="16"/>
      <c r="K546" s="16"/>
    </row>
    <row r="547">
      <c r="F547" s="16"/>
      <c r="G547" s="16"/>
      <c r="H547" s="16"/>
      <c r="I547" s="16"/>
      <c r="J547" s="16"/>
      <c r="K547" s="16"/>
    </row>
    <row r="548">
      <c r="F548" s="16"/>
      <c r="G548" s="16"/>
      <c r="H548" s="16"/>
      <c r="I548" s="16"/>
      <c r="J548" s="16"/>
      <c r="K548" s="16"/>
    </row>
    <row r="549">
      <c r="F549" s="16"/>
      <c r="G549" s="16"/>
      <c r="H549" s="16"/>
      <c r="I549" s="16"/>
      <c r="J549" s="16"/>
      <c r="K549" s="16"/>
    </row>
    <row r="550">
      <c r="F550" s="16"/>
      <c r="G550" s="16"/>
      <c r="H550" s="16"/>
      <c r="I550" s="16"/>
      <c r="J550" s="16"/>
      <c r="K550" s="16"/>
    </row>
    <row r="551">
      <c r="F551" s="16"/>
      <c r="G551" s="16"/>
      <c r="H551" s="16"/>
      <c r="I551" s="16"/>
      <c r="J551" s="16"/>
      <c r="K551" s="16"/>
    </row>
    <row r="552">
      <c r="F552" s="16"/>
      <c r="G552" s="16"/>
      <c r="H552" s="16"/>
      <c r="I552" s="16"/>
      <c r="J552" s="16"/>
      <c r="K552" s="16"/>
    </row>
    <row r="553">
      <c r="F553" s="16"/>
      <c r="G553" s="16"/>
      <c r="H553" s="16"/>
      <c r="I553" s="16"/>
      <c r="J553" s="16"/>
      <c r="K553" s="16"/>
    </row>
    <row r="554">
      <c r="F554" s="16"/>
      <c r="G554" s="16"/>
      <c r="H554" s="16"/>
      <c r="I554" s="16"/>
      <c r="J554" s="16"/>
      <c r="K554" s="16"/>
    </row>
    <row r="555">
      <c r="F555" s="16"/>
      <c r="G555" s="16"/>
      <c r="H555" s="16"/>
      <c r="I555" s="16"/>
      <c r="J555" s="16"/>
      <c r="K555" s="16"/>
    </row>
    <row r="556">
      <c r="F556" s="16"/>
      <c r="G556" s="16"/>
      <c r="H556" s="16"/>
      <c r="I556" s="16"/>
      <c r="J556" s="16"/>
      <c r="K556" s="16"/>
    </row>
    <row r="557">
      <c r="F557" s="16"/>
      <c r="G557" s="16"/>
      <c r="H557" s="16"/>
      <c r="I557" s="16"/>
      <c r="J557" s="16"/>
      <c r="K557" s="16"/>
    </row>
    <row r="558">
      <c r="F558" s="16"/>
      <c r="G558" s="16"/>
      <c r="H558" s="16"/>
      <c r="I558" s="16"/>
      <c r="J558" s="16"/>
      <c r="K558" s="16"/>
    </row>
    <row r="559">
      <c r="F559" s="16"/>
      <c r="G559" s="16"/>
      <c r="H559" s="16"/>
      <c r="I559" s="16"/>
      <c r="J559" s="16"/>
      <c r="K559" s="16"/>
    </row>
    <row r="560">
      <c r="F560" s="16"/>
      <c r="G560" s="16"/>
      <c r="H560" s="16"/>
      <c r="I560" s="16"/>
      <c r="J560" s="16"/>
      <c r="K560" s="16"/>
    </row>
    <row r="561">
      <c r="F561" s="16"/>
      <c r="G561" s="16"/>
      <c r="H561" s="16"/>
      <c r="I561" s="16"/>
      <c r="J561" s="16"/>
      <c r="K561" s="16"/>
    </row>
    <row r="562">
      <c r="F562" s="16"/>
      <c r="G562" s="16"/>
      <c r="H562" s="16"/>
      <c r="I562" s="16"/>
      <c r="J562" s="16"/>
      <c r="K562" s="16"/>
    </row>
    <row r="563">
      <c r="F563" s="16"/>
      <c r="G563" s="16"/>
      <c r="H563" s="16"/>
      <c r="I563" s="16"/>
      <c r="J563" s="16"/>
      <c r="K563" s="16"/>
    </row>
    <row r="564">
      <c r="F564" s="16"/>
      <c r="G564" s="16"/>
      <c r="H564" s="16"/>
      <c r="I564" s="16"/>
      <c r="J564" s="16"/>
      <c r="K564" s="16"/>
    </row>
    <row r="565">
      <c r="F565" s="16"/>
      <c r="G565" s="16"/>
      <c r="H565" s="16"/>
      <c r="I565" s="16"/>
      <c r="J565" s="16"/>
      <c r="K565" s="16"/>
    </row>
    <row r="566">
      <c r="F566" s="16"/>
      <c r="G566" s="16"/>
      <c r="H566" s="16"/>
      <c r="I566" s="16"/>
      <c r="J566" s="16"/>
      <c r="K566" s="16"/>
    </row>
    <row r="567">
      <c r="F567" s="16"/>
      <c r="G567" s="16"/>
      <c r="H567" s="16"/>
      <c r="I567" s="16"/>
      <c r="J567" s="16"/>
      <c r="K567" s="16"/>
    </row>
    <row r="568">
      <c r="F568" s="16"/>
      <c r="G568" s="16"/>
      <c r="H568" s="16"/>
      <c r="I568" s="16"/>
      <c r="J568" s="16"/>
      <c r="K568" s="16"/>
    </row>
    <row r="569">
      <c r="F569" s="16"/>
      <c r="G569" s="16"/>
      <c r="H569" s="16"/>
      <c r="I569" s="16"/>
      <c r="J569" s="16"/>
      <c r="K569" s="16"/>
    </row>
    <row r="570">
      <c r="F570" s="16"/>
      <c r="G570" s="16"/>
      <c r="H570" s="16"/>
      <c r="I570" s="16"/>
      <c r="J570" s="16"/>
      <c r="K570" s="16"/>
    </row>
    <row r="571">
      <c r="F571" s="16"/>
      <c r="G571" s="16"/>
      <c r="H571" s="16"/>
      <c r="I571" s="16"/>
      <c r="J571" s="16"/>
      <c r="K571" s="16"/>
    </row>
    <row r="572">
      <c r="F572" s="16"/>
      <c r="G572" s="16"/>
      <c r="H572" s="16"/>
      <c r="I572" s="16"/>
      <c r="J572" s="16"/>
      <c r="K572" s="16"/>
    </row>
    <row r="573">
      <c r="F573" s="16"/>
      <c r="G573" s="16"/>
      <c r="H573" s="16"/>
      <c r="I573" s="16"/>
      <c r="J573" s="16"/>
      <c r="K573" s="16"/>
    </row>
    <row r="574">
      <c r="F574" s="16"/>
      <c r="G574" s="16"/>
      <c r="H574" s="16"/>
      <c r="I574" s="16"/>
      <c r="J574" s="16"/>
      <c r="K574" s="16"/>
    </row>
    <row r="575">
      <c r="F575" s="16"/>
      <c r="G575" s="16"/>
      <c r="H575" s="16"/>
      <c r="I575" s="16"/>
      <c r="J575" s="16"/>
      <c r="K575" s="16"/>
    </row>
    <row r="576">
      <c r="F576" s="16"/>
      <c r="G576" s="16"/>
      <c r="H576" s="16"/>
      <c r="I576" s="16"/>
      <c r="J576" s="16"/>
      <c r="K576" s="16"/>
    </row>
    <row r="577">
      <c r="F577" s="16"/>
      <c r="G577" s="16"/>
      <c r="H577" s="16"/>
      <c r="I577" s="16"/>
      <c r="J577" s="16"/>
      <c r="K577" s="16"/>
    </row>
    <row r="578">
      <c r="F578" s="16"/>
      <c r="G578" s="16"/>
      <c r="H578" s="16"/>
      <c r="I578" s="16"/>
      <c r="J578" s="16"/>
      <c r="K578" s="16"/>
    </row>
    <row r="579">
      <c r="F579" s="16"/>
      <c r="G579" s="16"/>
      <c r="H579" s="16"/>
      <c r="I579" s="16"/>
      <c r="J579" s="16"/>
      <c r="K579" s="16"/>
    </row>
    <row r="580">
      <c r="F580" s="16"/>
      <c r="G580" s="16"/>
      <c r="H580" s="16"/>
      <c r="I580" s="16"/>
      <c r="J580" s="16"/>
      <c r="K580" s="16"/>
    </row>
    <row r="581">
      <c r="F581" s="16"/>
      <c r="G581" s="16"/>
      <c r="H581" s="16"/>
      <c r="I581" s="16"/>
      <c r="J581" s="16"/>
      <c r="K581" s="16"/>
    </row>
    <row r="582">
      <c r="F582" s="16"/>
      <c r="G582" s="16"/>
      <c r="H582" s="16"/>
      <c r="I582" s="16"/>
      <c r="J582" s="16"/>
      <c r="K582" s="16"/>
    </row>
    <row r="583">
      <c r="F583" s="16"/>
      <c r="G583" s="16"/>
      <c r="H583" s="16"/>
      <c r="I583" s="16"/>
      <c r="J583" s="16"/>
      <c r="K583" s="16"/>
    </row>
    <row r="584">
      <c r="F584" s="16"/>
      <c r="G584" s="16"/>
      <c r="H584" s="16"/>
      <c r="I584" s="16"/>
      <c r="J584" s="16"/>
      <c r="K584" s="16"/>
    </row>
    <row r="585">
      <c r="F585" s="16"/>
      <c r="G585" s="16"/>
      <c r="H585" s="16"/>
      <c r="I585" s="16"/>
      <c r="J585" s="16"/>
      <c r="K585" s="16"/>
    </row>
    <row r="586">
      <c r="F586" s="16"/>
      <c r="G586" s="16"/>
      <c r="H586" s="16"/>
      <c r="I586" s="16"/>
      <c r="J586" s="16"/>
      <c r="K586" s="16"/>
    </row>
    <row r="587">
      <c r="F587" s="16"/>
      <c r="G587" s="16"/>
      <c r="H587" s="16"/>
      <c r="I587" s="16"/>
      <c r="J587" s="16"/>
      <c r="K587" s="16"/>
    </row>
    <row r="588">
      <c r="F588" s="16"/>
      <c r="G588" s="16"/>
      <c r="H588" s="16"/>
      <c r="I588" s="16"/>
      <c r="J588" s="16"/>
      <c r="K588" s="16"/>
    </row>
    <row r="589">
      <c r="F589" s="16"/>
      <c r="G589" s="16"/>
      <c r="H589" s="16"/>
      <c r="I589" s="16"/>
      <c r="J589" s="16"/>
      <c r="K589" s="16"/>
    </row>
    <row r="590">
      <c r="F590" s="16"/>
      <c r="G590" s="16"/>
      <c r="H590" s="16"/>
      <c r="I590" s="16"/>
      <c r="J590" s="16"/>
      <c r="K590" s="16"/>
    </row>
    <row r="591">
      <c r="F591" s="16"/>
      <c r="G591" s="16"/>
      <c r="H591" s="16"/>
      <c r="I591" s="16"/>
      <c r="J591" s="16"/>
      <c r="K591" s="16"/>
    </row>
    <row r="592">
      <c r="F592" s="16"/>
      <c r="G592" s="16"/>
      <c r="H592" s="16"/>
      <c r="I592" s="16"/>
      <c r="J592" s="16"/>
      <c r="K592" s="16"/>
    </row>
    <row r="593">
      <c r="F593" s="16"/>
      <c r="G593" s="16"/>
      <c r="H593" s="16"/>
      <c r="I593" s="16"/>
      <c r="J593" s="16"/>
      <c r="K593" s="16"/>
    </row>
    <row r="594">
      <c r="F594" s="16"/>
      <c r="G594" s="16"/>
      <c r="H594" s="16"/>
      <c r="I594" s="16"/>
      <c r="J594" s="16"/>
      <c r="K594" s="16"/>
    </row>
    <row r="595">
      <c r="F595" s="16"/>
      <c r="G595" s="16"/>
      <c r="H595" s="16"/>
      <c r="I595" s="16"/>
      <c r="J595" s="16"/>
      <c r="K595" s="16"/>
    </row>
    <row r="596">
      <c r="F596" s="16"/>
      <c r="G596" s="16"/>
      <c r="H596" s="16"/>
      <c r="I596" s="16"/>
      <c r="J596" s="16"/>
      <c r="K596" s="16"/>
    </row>
    <row r="597">
      <c r="F597" s="16"/>
      <c r="G597" s="16"/>
      <c r="H597" s="16"/>
      <c r="I597" s="16"/>
      <c r="J597" s="16"/>
      <c r="K597" s="16"/>
    </row>
    <row r="598">
      <c r="F598" s="16"/>
      <c r="G598" s="16"/>
      <c r="H598" s="16"/>
      <c r="I598" s="16"/>
      <c r="J598" s="16"/>
      <c r="K598" s="16"/>
    </row>
    <row r="599">
      <c r="F599" s="16"/>
      <c r="G599" s="16"/>
      <c r="H599" s="16"/>
      <c r="I599" s="16"/>
      <c r="J599" s="16"/>
      <c r="K599" s="16"/>
    </row>
    <row r="600">
      <c r="F600" s="16"/>
      <c r="G600" s="16"/>
      <c r="H600" s="16"/>
      <c r="I600" s="16"/>
      <c r="J600" s="16"/>
      <c r="K600" s="16"/>
    </row>
    <row r="601">
      <c r="F601" s="16"/>
      <c r="G601" s="16"/>
      <c r="H601" s="16"/>
      <c r="I601" s="16"/>
      <c r="J601" s="16"/>
      <c r="K601" s="16"/>
    </row>
    <row r="602">
      <c r="F602" s="16"/>
      <c r="G602" s="16"/>
      <c r="H602" s="16"/>
      <c r="I602" s="16"/>
      <c r="J602" s="16"/>
      <c r="K602" s="16"/>
    </row>
    <row r="603">
      <c r="F603" s="16"/>
      <c r="G603" s="16"/>
      <c r="H603" s="16"/>
      <c r="I603" s="16"/>
      <c r="J603" s="16"/>
      <c r="K603" s="16"/>
    </row>
    <row r="604">
      <c r="F604" s="16"/>
      <c r="G604" s="16"/>
      <c r="H604" s="16"/>
      <c r="I604" s="16"/>
      <c r="J604" s="16"/>
      <c r="K604" s="16"/>
    </row>
    <row r="605">
      <c r="F605" s="16"/>
      <c r="G605" s="16"/>
      <c r="H605" s="16"/>
      <c r="I605" s="16"/>
      <c r="J605" s="16"/>
      <c r="K605" s="16"/>
    </row>
    <row r="606">
      <c r="F606" s="16"/>
      <c r="G606" s="16"/>
      <c r="H606" s="16"/>
      <c r="I606" s="16"/>
      <c r="J606" s="16"/>
      <c r="K606" s="16"/>
    </row>
    <row r="607">
      <c r="F607" s="16"/>
      <c r="G607" s="16"/>
      <c r="H607" s="16"/>
      <c r="I607" s="16"/>
      <c r="J607" s="16"/>
      <c r="K607" s="16"/>
    </row>
    <row r="608">
      <c r="F608" s="16"/>
      <c r="G608" s="16"/>
      <c r="H608" s="16"/>
      <c r="I608" s="16"/>
      <c r="J608" s="16"/>
      <c r="K608" s="16"/>
    </row>
    <row r="609">
      <c r="F609" s="16"/>
      <c r="G609" s="16"/>
      <c r="H609" s="16"/>
      <c r="I609" s="16"/>
      <c r="J609" s="16"/>
      <c r="K609" s="16"/>
    </row>
    <row r="610">
      <c r="F610" s="16"/>
      <c r="G610" s="16"/>
      <c r="H610" s="16"/>
      <c r="I610" s="16"/>
      <c r="J610" s="16"/>
      <c r="K610" s="16"/>
    </row>
    <row r="611">
      <c r="F611" s="16"/>
      <c r="G611" s="16"/>
      <c r="H611" s="16"/>
      <c r="I611" s="16"/>
      <c r="J611" s="16"/>
      <c r="K611" s="16"/>
    </row>
    <row r="612">
      <c r="F612" s="16"/>
      <c r="G612" s="16"/>
      <c r="H612" s="16"/>
      <c r="I612" s="16"/>
      <c r="J612" s="16"/>
      <c r="K612" s="16"/>
    </row>
    <row r="613">
      <c r="F613" s="16"/>
      <c r="G613" s="16"/>
      <c r="H613" s="16"/>
      <c r="I613" s="16"/>
      <c r="J613" s="16"/>
      <c r="K613" s="16"/>
    </row>
    <row r="614">
      <c r="F614" s="16"/>
      <c r="G614" s="16"/>
      <c r="H614" s="16"/>
      <c r="I614" s="16"/>
      <c r="J614" s="16"/>
      <c r="K614" s="16"/>
    </row>
    <row r="615">
      <c r="F615" s="16"/>
      <c r="G615" s="16"/>
      <c r="H615" s="16"/>
      <c r="I615" s="16"/>
      <c r="J615" s="16"/>
      <c r="K615" s="16"/>
    </row>
    <row r="616">
      <c r="F616" s="16"/>
      <c r="G616" s="16"/>
      <c r="H616" s="16"/>
      <c r="I616" s="16"/>
      <c r="J616" s="16"/>
      <c r="K616" s="16"/>
    </row>
    <row r="617">
      <c r="F617" s="16"/>
      <c r="G617" s="16"/>
      <c r="H617" s="16"/>
      <c r="I617" s="16"/>
      <c r="J617" s="16"/>
      <c r="K617" s="16"/>
    </row>
    <row r="618">
      <c r="F618" s="16"/>
      <c r="G618" s="16"/>
      <c r="H618" s="16"/>
      <c r="I618" s="16"/>
      <c r="J618" s="16"/>
      <c r="K618" s="16"/>
    </row>
    <row r="619">
      <c r="F619" s="16"/>
      <c r="G619" s="16"/>
      <c r="H619" s="16"/>
      <c r="I619" s="16"/>
      <c r="J619" s="16"/>
      <c r="K619" s="16"/>
    </row>
    <row r="620">
      <c r="F620" s="16"/>
      <c r="G620" s="16"/>
      <c r="H620" s="16"/>
      <c r="I620" s="16"/>
      <c r="J620" s="16"/>
      <c r="K620" s="16"/>
    </row>
    <row r="621">
      <c r="F621" s="16"/>
      <c r="G621" s="16"/>
      <c r="H621" s="16"/>
      <c r="I621" s="16"/>
      <c r="J621" s="16"/>
      <c r="K621" s="16"/>
    </row>
    <row r="622">
      <c r="F622" s="16"/>
      <c r="G622" s="16"/>
      <c r="H622" s="16"/>
      <c r="I622" s="16"/>
      <c r="J622" s="16"/>
      <c r="K622" s="16"/>
    </row>
    <row r="623">
      <c r="F623" s="16"/>
      <c r="G623" s="16"/>
      <c r="H623" s="16"/>
      <c r="I623" s="16"/>
      <c r="J623" s="16"/>
      <c r="K623" s="16"/>
    </row>
    <row r="624">
      <c r="F624" s="16"/>
      <c r="G624" s="16"/>
      <c r="H624" s="16"/>
      <c r="I624" s="16"/>
      <c r="J624" s="16"/>
      <c r="K624" s="16"/>
    </row>
    <row r="625">
      <c r="F625" s="16"/>
      <c r="G625" s="16"/>
      <c r="H625" s="16"/>
      <c r="I625" s="16"/>
      <c r="J625" s="16"/>
      <c r="K625" s="16"/>
    </row>
    <row r="626">
      <c r="F626" s="16"/>
      <c r="G626" s="16"/>
      <c r="H626" s="16"/>
      <c r="I626" s="16"/>
      <c r="J626" s="16"/>
      <c r="K626" s="16"/>
    </row>
    <row r="627">
      <c r="F627" s="16"/>
      <c r="G627" s="16"/>
      <c r="H627" s="16"/>
      <c r="I627" s="16"/>
      <c r="J627" s="16"/>
      <c r="K627" s="16"/>
    </row>
    <row r="628">
      <c r="F628" s="16"/>
      <c r="G628" s="16"/>
      <c r="H628" s="16"/>
      <c r="I628" s="16"/>
      <c r="J628" s="16"/>
      <c r="K628" s="16"/>
    </row>
    <row r="629">
      <c r="F629" s="16"/>
      <c r="G629" s="16"/>
      <c r="H629" s="16"/>
      <c r="I629" s="16"/>
      <c r="J629" s="16"/>
      <c r="K629" s="16"/>
    </row>
    <row r="630">
      <c r="F630" s="16"/>
      <c r="G630" s="16"/>
      <c r="H630" s="16"/>
      <c r="I630" s="16"/>
      <c r="J630" s="16"/>
      <c r="K630" s="16"/>
    </row>
    <row r="631">
      <c r="F631" s="16"/>
      <c r="G631" s="16"/>
      <c r="H631" s="16"/>
      <c r="I631" s="16"/>
      <c r="J631" s="16"/>
      <c r="K631" s="16"/>
    </row>
    <row r="632">
      <c r="F632" s="16"/>
      <c r="G632" s="16"/>
      <c r="H632" s="16"/>
      <c r="I632" s="16"/>
      <c r="J632" s="16"/>
      <c r="K632" s="16"/>
    </row>
    <row r="633">
      <c r="F633" s="16"/>
      <c r="G633" s="16"/>
      <c r="H633" s="16"/>
      <c r="I633" s="16"/>
      <c r="J633" s="16"/>
      <c r="K633" s="16"/>
    </row>
    <row r="634">
      <c r="F634" s="16"/>
      <c r="G634" s="16"/>
      <c r="H634" s="16"/>
      <c r="I634" s="16"/>
      <c r="J634" s="16"/>
      <c r="K634" s="16"/>
    </row>
    <row r="635">
      <c r="F635" s="16"/>
      <c r="G635" s="16"/>
      <c r="H635" s="16"/>
      <c r="I635" s="16"/>
      <c r="J635" s="16"/>
      <c r="K635" s="16"/>
    </row>
    <row r="636">
      <c r="F636" s="16"/>
      <c r="G636" s="16"/>
      <c r="H636" s="16"/>
      <c r="I636" s="16"/>
      <c r="J636" s="16"/>
      <c r="K636" s="16"/>
    </row>
    <row r="637">
      <c r="F637" s="16"/>
      <c r="G637" s="16"/>
      <c r="H637" s="16"/>
      <c r="I637" s="16"/>
      <c r="J637" s="16"/>
      <c r="K637" s="16"/>
    </row>
    <row r="638">
      <c r="F638" s="16"/>
      <c r="G638" s="16"/>
      <c r="H638" s="16"/>
      <c r="I638" s="16"/>
      <c r="J638" s="16"/>
      <c r="K638" s="16"/>
    </row>
    <row r="639">
      <c r="F639" s="16"/>
      <c r="G639" s="16"/>
      <c r="H639" s="16"/>
      <c r="I639" s="16"/>
      <c r="J639" s="16"/>
      <c r="K639" s="16"/>
    </row>
    <row r="640">
      <c r="F640" s="16"/>
      <c r="G640" s="16"/>
      <c r="H640" s="16"/>
      <c r="I640" s="16"/>
      <c r="J640" s="16"/>
      <c r="K640" s="16"/>
    </row>
    <row r="641">
      <c r="F641" s="16"/>
      <c r="G641" s="16"/>
      <c r="H641" s="16"/>
      <c r="I641" s="16"/>
      <c r="J641" s="16"/>
      <c r="K641" s="16"/>
    </row>
    <row r="642">
      <c r="F642" s="16"/>
      <c r="G642" s="16"/>
      <c r="H642" s="16"/>
      <c r="I642" s="16"/>
      <c r="J642" s="16"/>
      <c r="K642" s="16"/>
    </row>
    <row r="643">
      <c r="F643" s="16"/>
      <c r="G643" s="16"/>
      <c r="H643" s="16"/>
      <c r="I643" s="16"/>
      <c r="J643" s="16"/>
      <c r="K643" s="16"/>
    </row>
    <row r="644">
      <c r="F644" s="16"/>
      <c r="G644" s="16"/>
      <c r="H644" s="16"/>
      <c r="I644" s="16"/>
      <c r="J644" s="16"/>
      <c r="K644" s="16"/>
    </row>
    <row r="645">
      <c r="F645" s="16"/>
      <c r="G645" s="16"/>
      <c r="H645" s="16"/>
      <c r="I645" s="16"/>
      <c r="J645" s="16"/>
      <c r="K645" s="16"/>
    </row>
    <row r="646">
      <c r="F646" s="16"/>
      <c r="G646" s="16"/>
      <c r="H646" s="16"/>
      <c r="I646" s="16"/>
      <c r="J646" s="16"/>
      <c r="K646" s="16"/>
    </row>
    <row r="647">
      <c r="F647" s="16"/>
      <c r="G647" s="16"/>
      <c r="H647" s="16"/>
      <c r="I647" s="16"/>
      <c r="J647" s="16"/>
      <c r="K647" s="16"/>
    </row>
    <row r="648">
      <c r="F648" s="16"/>
      <c r="G648" s="16"/>
      <c r="H648" s="16"/>
      <c r="I648" s="16"/>
      <c r="J648" s="16"/>
      <c r="K648" s="16"/>
    </row>
    <row r="649">
      <c r="F649" s="16"/>
      <c r="G649" s="16"/>
      <c r="H649" s="16"/>
      <c r="I649" s="16"/>
      <c r="J649" s="16"/>
      <c r="K649" s="16"/>
    </row>
    <row r="650">
      <c r="F650" s="16"/>
      <c r="G650" s="16"/>
      <c r="H650" s="16"/>
      <c r="I650" s="16"/>
      <c r="J650" s="16"/>
      <c r="K650" s="16"/>
    </row>
    <row r="651">
      <c r="F651" s="16"/>
      <c r="G651" s="16"/>
      <c r="H651" s="16"/>
      <c r="I651" s="16"/>
      <c r="J651" s="16"/>
      <c r="K651" s="16"/>
    </row>
    <row r="652">
      <c r="F652" s="16"/>
      <c r="G652" s="16"/>
      <c r="H652" s="16"/>
      <c r="I652" s="16"/>
      <c r="J652" s="16"/>
      <c r="K652" s="16"/>
    </row>
    <row r="653">
      <c r="F653" s="16"/>
      <c r="G653" s="16"/>
      <c r="H653" s="16"/>
      <c r="I653" s="16"/>
      <c r="J653" s="16"/>
      <c r="K653" s="16"/>
    </row>
    <row r="654">
      <c r="F654" s="16"/>
      <c r="G654" s="16"/>
      <c r="H654" s="16"/>
      <c r="I654" s="16"/>
      <c r="J654" s="16"/>
      <c r="K654" s="16"/>
    </row>
    <row r="655">
      <c r="F655" s="16"/>
      <c r="G655" s="16"/>
      <c r="H655" s="16"/>
      <c r="I655" s="16"/>
      <c r="J655" s="16"/>
      <c r="K655" s="16"/>
    </row>
    <row r="656">
      <c r="F656" s="16"/>
      <c r="G656" s="16"/>
      <c r="H656" s="16"/>
      <c r="I656" s="16"/>
      <c r="J656" s="16"/>
      <c r="K656" s="16"/>
    </row>
    <row r="657">
      <c r="F657" s="16"/>
      <c r="G657" s="16"/>
      <c r="H657" s="16"/>
      <c r="I657" s="16"/>
      <c r="J657" s="16"/>
      <c r="K657" s="16"/>
    </row>
    <row r="658">
      <c r="F658" s="16"/>
      <c r="G658" s="16"/>
      <c r="H658" s="16"/>
      <c r="I658" s="16"/>
      <c r="J658" s="16"/>
      <c r="K658" s="16"/>
    </row>
    <row r="659">
      <c r="F659" s="16"/>
      <c r="G659" s="16"/>
      <c r="H659" s="16"/>
      <c r="I659" s="16"/>
      <c r="J659" s="16"/>
      <c r="K659" s="16"/>
    </row>
    <row r="660">
      <c r="F660" s="16"/>
      <c r="G660" s="16"/>
      <c r="H660" s="16"/>
      <c r="I660" s="16"/>
      <c r="J660" s="16"/>
      <c r="K660" s="16"/>
    </row>
    <row r="661">
      <c r="F661" s="16"/>
      <c r="G661" s="16"/>
      <c r="H661" s="16"/>
      <c r="I661" s="16"/>
      <c r="J661" s="16"/>
      <c r="K661" s="16"/>
    </row>
    <row r="662">
      <c r="F662" s="16"/>
      <c r="G662" s="16"/>
      <c r="H662" s="16"/>
      <c r="I662" s="16"/>
      <c r="J662" s="16"/>
      <c r="K662" s="16"/>
    </row>
    <row r="663">
      <c r="F663" s="16"/>
      <c r="G663" s="16"/>
      <c r="H663" s="16"/>
      <c r="I663" s="16"/>
      <c r="J663" s="16"/>
      <c r="K663" s="16"/>
    </row>
    <row r="664">
      <c r="F664" s="16"/>
      <c r="G664" s="16"/>
      <c r="H664" s="16"/>
      <c r="I664" s="16"/>
      <c r="J664" s="16"/>
      <c r="K664" s="16"/>
    </row>
    <row r="665">
      <c r="F665" s="16"/>
      <c r="G665" s="16"/>
      <c r="H665" s="16"/>
      <c r="I665" s="16"/>
      <c r="J665" s="16"/>
      <c r="K665" s="16"/>
    </row>
    <row r="666">
      <c r="F666" s="16"/>
      <c r="G666" s="16"/>
      <c r="H666" s="16"/>
      <c r="I666" s="16"/>
      <c r="J666" s="16"/>
      <c r="K666" s="16"/>
    </row>
    <row r="667">
      <c r="F667" s="16"/>
      <c r="G667" s="16"/>
      <c r="H667" s="16"/>
      <c r="I667" s="16"/>
      <c r="J667" s="16"/>
      <c r="K667" s="16"/>
    </row>
    <row r="668">
      <c r="F668" s="16"/>
      <c r="G668" s="16"/>
      <c r="H668" s="16"/>
      <c r="I668" s="16"/>
      <c r="J668" s="16"/>
      <c r="K668" s="16"/>
    </row>
    <row r="669">
      <c r="F669" s="16"/>
      <c r="G669" s="16"/>
      <c r="H669" s="16"/>
      <c r="I669" s="16"/>
      <c r="J669" s="16"/>
      <c r="K669" s="16"/>
    </row>
    <row r="670">
      <c r="F670" s="16"/>
      <c r="G670" s="16"/>
      <c r="H670" s="16"/>
      <c r="I670" s="16"/>
      <c r="J670" s="16"/>
      <c r="K670" s="16"/>
    </row>
    <row r="671">
      <c r="F671" s="16"/>
      <c r="G671" s="16"/>
      <c r="H671" s="16"/>
      <c r="I671" s="16"/>
      <c r="J671" s="16"/>
      <c r="K671" s="16"/>
    </row>
    <row r="672">
      <c r="F672" s="16"/>
      <c r="G672" s="16"/>
      <c r="H672" s="16"/>
      <c r="I672" s="16"/>
      <c r="J672" s="16"/>
      <c r="K672" s="16"/>
    </row>
    <row r="673">
      <c r="F673" s="16"/>
      <c r="G673" s="16"/>
      <c r="H673" s="16"/>
      <c r="I673" s="16"/>
      <c r="J673" s="16"/>
      <c r="K673" s="16"/>
    </row>
    <row r="674">
      <c r="F674" s="16"/>
      <c r="G674" s="16"/>
      <c r="H674" s="16"/>
      <c r="I674" s="16"/>
      <c r="J674" s="16"/>
      <c r="K674" s="16"/>
    </row>
    <row r="675">
      <c r="F675" s="16"/>
      <c r="G675" s="16"/>
      <c r="H675" s="16"/>
      <c r="I675" s="16"/>
      <c r="J675" s="16"/>
      <c r="K675" s="16"/>
    </row>
    <row r="676">
      <c r="F676" s="16"/>
      <c r="G676" s="16"/>
      <c r="H676" s="16"/>
      <c r="I676" s="16"/>
      <c r="J676" s="16"/>
      <c r="K676" s="16"/>
    </row>
    <row r="677">
      <c r="F677" s="16"/>
      <c r="G677" s="16"/>
      <c r="H677" s="16"/>
      <c r="I677" s="16"/>
      <c r="J677" s="16"/>
      <c r="K677" s="16"/>
    </row>
    <row r="678">
      <c r="F678" s="16"/>
      <c r="G678" s="16"/>
      <c r="H678" s="16"/>
      <c r="I678" s="16"/>
      <c r="J678" s="16"/>
      <c r="K678" s="16"/>
    </row>
    <row r="679">
      <c r="F679" s="16"/>
      <c r="G679" s="16"/>
      <c r="H679" s="16"/>
      <c r="I679" s="16"/>
      <c r="J679" s="16"/>
      <c r="K679" s="16"/>
    </row>
    <row r="680">
      <c r="F680" s="16"/>
      <c r="G680" s="16"/>
      <c r="H680" s="16"/>
      <c r="I680" s="16"/>
      <c r="J680" s="16"/>
      <c r="K680" s="16"/>
    </row>
    <row r="681">
      <c r="F681" s="16"/>
      <c r="G681" s="16"/>
      <c r="H681" s="16"/>
      <c r="I681" s="16"/>
      <c r="J681" s="16"/>
      <c r="K681" s="16"/>
    </row>
    <row r="682">
      <c r="F682" s="16"/>
      <c r="G682" s="16"/>
      <c r="H682" s="16"/>
      <c r="I682" s="16"/>
      <c r="J682" s="16"/>
      <c r="K682" s="16"/>
    </row>
    <row r="683">
      <c r="F683" s="16"/>
      <c r="G683" s="16"/>
      <c r="H683" s="16"/>
      <c r="I683" s="16"/>
      <c r="J683" s="16"/>
      <c r="K683" s="16"/>
    </row>
    <row r="684">
      <c r="F684" s="16"/>
      <c r="G684" s="16"/>
      <c r="H684" s="16"/>
      <c r="I684" s="16"/>
      <c r="J684" s="16"/>
      <c r="K684" s="16"/>
    </row>
    <row r="685">
      <c r="F685" s="16"/>
      <c r="G685" s="16"/>
      <c r="H685" s="16"/>
      <c r="I685" s="16"/>
      <c r="J685" s="16"/>
      <c r="K685" s="16"/>
    </row>
    <row r="686">
      <c r="F686" s="16"/>
      <c r="G686" s="16"/>
      <c r="H686" s="16"/>
      <c r="I686" s="16"/>
      <c r="J686" s="16"/>
      <c r="K686" s="16"/>
    </row>
    <row r="687">
      <c r="F687" s="16"/>
      <c r="G687" s="16"/>
      <c r="H687" s="16"/>
      <c r="I687" s="16"/>
      <c r="J687" s="16"/>
      <c r="K687" s="16"/>
    </row>
    <row r="688">
      <c r="F688" s="16"/>
      <c r="G688" s="16"/>
      <c r="H688" s="16"/>
      <c r="I688" s="16"/>
      <c r="J688" s="16"/>
      <c r="K688" s="16"/>
    </row>
    <row r="689">
      <c r="F689" s="16"/>
      <c r="G689" s="16"/>
      <c r="H689" s="16"/>
      <c r="I689" s="16"/>
      <c r="J689" s="16"/>
      <c r="K689" s="16"/>
    </row>
    <row r="690">
      <c r="F690" s="16"/>
      <c r="G690" s="16"/>
      <c r="H690" s="16"/>
      <c r="I690" s="16"/>
      <c r="J690" s="16"/>
      <c r="K690" s="16"/>
    </row>
    <row r="691">
      <c r="F691" s="16"/>
      <c r="G691" s="16"/>
      <c r="H691" s="16"/>
      <c r="I691" s="16"/>
      <c r="J691" s="16"/>
      <c r="K691" s="16"/>
    </row>
    <row r="692">
      <c r="F692" s="16"/>
      <c r="G692" s="16"/>
      <c r="H692" s="16"/>
      <c r="I692" s="16"/>
      <c r="J692" s="16"/>
      <c r="K692" s="16"/>
    </row>
    <row r="693">
      <c r="F693" s="16"/>
      <c r="G693" s="16"/>
      <c r="H693" s="16"/>
      <c r="I693" s="16"/>
      <c r="J693" s="16"/>
      <c r="K693" s="16"/>
    </row>
    <row r="694">
      <c r="F694" s="16"/>
      <c r="G694" s="16"/>
      <c r="H694" s="16"/>
      <c r="I694" s="16"/>
      <c r="J694" s="16"/>
      <c r="K694" s="16"/>
    </row>
    <row r="695">
      <c r="F695" s="16"/>
      <c r="G695" s="16"/>
      <c r="H695" s="16"/>
      <c r="I695" s="16"/>
      <c r="J695" s="16"/>
      <c r="K695" s="16"/>
    </row>
    <row r="696">
      <c r="F696" s="16"/>
      <c r="G696" s="16"/>
      <c r="H696" s="16"/>
      <c r="I696" s="16"/>
      <c r="J696" s="16"/>
      <c r="K696" s="16"/>
    </row>
    <row r="697">
      <c r="F697" s="16"/>
      <c r="G697" s="16"/>
      <c r="H697" s="16"/>
      <c r="I697" s="16"/>
      <c r="J697" s="16"/>
      <c r="K697" s="16"/>
    </row>
    <row r="698">
      <c r="F698" s="16"/>
      <c r="G698" s="16"/>
      <c r="H698" s="16"/>
      <c r="I698" s="16"/>
      <c r="J698" s="16"/>
      <c r="K698" s="16"/>
    </row>
    <row r="699">
      <c r="F699" s="16"/>
      <c r="G699" s="16"/>
      <c r="H699" s="16"/>
      <c r="I699" s="16"/>
      <c r="J699" s="16"/>
      <c r="K699" s="16"/>
    </row>
    <row r="700">
      <c r="F700" s="16"/>
      <c r="G700" s="16"/>
      <c r="H700" s="16"/>
      <c r="I700" s="16"/>
      <c r="J700" s="16"/>
      <c r="K700" s="16"/>
    </row>
    <row r="701">
      <c r="F701" s="16"/>
      <c r="G701" s="16"/>
      <c r="H701" s="16"/>
      <c r="I701" s="16"/>
      <c r="J701" s="16"/>
      <c r="K701" s="16"/>
    </row>
    <row r="702">
      <c r="F702" s="16"/>
      <c r="G702" s="16"/>
      <c r="H702" s="16"/>
      <c r="I702" s="16"/>
      <c r="J702" s="16"/>
      <c r="K702" s="16"/>
    </row>
    <row r="703">
      <c r="F703" s="16"/>
      <c r="G703" s="16"/>
      <c r="H703" s="16"/>
      <c r="I703" s="16"/>
      <c r="J703" s="16"/>
      <c r="K703" s="16"/>
    </row>
    <row r="704">
      <c r="F704" s="16"/>
      <c r="G704" s="16"/>
      <c r="H704" s="16"/>
      <c r="I704" s="16"/>
      <c r="J704" s="16"/>
      <c r="K704" s="16"/>
    </row>
    <row r="705">
      <c r="F705" s="16"/>
      <c r="G705" s="16"/>
      <c r="H705" s="16"/>
      <c r="I705" s="16"/>
      <c r="J705" s="16"/>
      <c r="K705" s="16"/>
    </row>
    <row r="706">
      <c r="F706" s="16"/>
      <c r="G706" s="16"/>
      <c r="H706" s="16"/>
      <c r="I706" s="16"/>
      <c r="J706" s="16"/>
      <c r="K706" s="16"/>
    </row>
    <row r="707">
      <c r="F707" s="16"/>
      <c r="G707" s="16"/>
      <c r="H707" s="16"/>
      <c r="I707" s="16"/>
      <c r="J707" s="16"/>
      <c r="K707" s="16"/>
    </row>
    <row r="708">
      <c r="F708" s="16"/>
      <c r="G708" s="16"/>
      <c r="H708" s="16"/>
      <c r="I708" s="16"/>
      <c r="J708" s="16"/>
      <c r="K708" s="16"/>
    </row>
    <row r="709">
      <c r="F709" s="16"/>
      <c r="G709" s="16"/>
      <c r="H709" s="16"/>
      <c r="I709" s="16"/>
      <c r="J709" s="16"/>
      <c r="K709" s="16"/>
    </row>
    <row r="710">
      <c r="F710" s="16"/>
      <c r="G710" s="16"/>
      <c r="H710" s="16"/>
      <c r="I710" s="16"/>
      <c r="J710" s="16"/>
      <c r="K710" s="16"/>
    </row>
    <row r="711">
      <c r="F711" s="16"/>
      <c r="G711" s="16"/>
      <c r="H711" s="16"/>
      <c r="I711" s="16"/>
      <c r="J711" s="16"/>
      <c r="K711" s="16"/>
    </row>
    <row r="712">
      <c r="F712" s="16"/>
      <c r="G712" s="16"/>
      <c r="H712" s="16"/>
      <c r="I712" s="16"/>
      <c r="J712" s="16"/>
      <c r="K712" s="16"/>
    </row>
    <row r="713">
      <c r="F713" s="16"/>
      <c r="G713" s="16"/>
      <c r="H713" s="16"/>
      <c r="I713" s="16"/>
      <c r="J713" s="16"/>
      <c r="K713" s="16"/>
    </row>
    <row r="714">
      <c r="F714" s="16"/>
      <c r="G714" s="16"/>
      <c r="H714" s="16"/>
      <c r="I714" s="16"/>
      <c r="J714" s="16"/>
      <c r="K714" s="16"/>
    </row>
    <row r="715">
      <c r="F715" s="16"/>
      <c r="G715" s="16"/>
      <c r="H715" s="16"/>
      <c r="I715" s="16"/>
      <c r="J715" s="16"/>
      <c r="K715" s="16"/>
    </row>
    <row r="716">
      <c r="F716" s="16"/>
      <c r="G716" s="16"/>
      <c r="H716" s="16"/>
      <c r="I716" s="16"/>
      <c r="J716" s="16"/>
      <c r="K716" s="16"/>
    </row>
    <row r="717">
      <c r="F717" s="16"/>
      <c r="G717" s="16"/>
      <c r="H717" s="16"/>
      <c r="I717" s="16"/>
      <c r="J717" s="16"/>
      <c r="K717" s="16"/>
    </row>
    <row r="718">
      <c r="F718" s="16"/>
      <c r="G718" s="16"/>
      <c r="H718" s="16"/>
      <c r="I718" s="16"/>
      <c r="J718" s="16"/>
      <c r="K718" s="16"/>
    </row>
    <row r="719">
      <c r="F719" s="16"/>
      <c r="G719" s="16"/>
      <c r="H719" s="16"/>
      <c r="I719" s="16"/>
      <c r="J719" s="16"/>
      <c r="K719" s="16"/>
    </row>
    <row r="720">
      <c r="F720" s="16"/>
      <c r="G720" s="16"/>
      <c r="H720" s="16"/>
      <c r="I720" s="16"/>
      <c r="J720" s="16"/>
      <c r="K720" s="16"/>
    </row>
    <row r="721">
      <c r="F721" s="16"/>
      <c r="G721" s="16"/>
      <c r="H721" s="16"/>
      <c r="I721" s="16"/>
      <c r="J721" s="16"/>
      <c r="K721" s="16"/>
    </row>
    <row r="722">
      <c r="F722" s="16"/>
      <c r="G722" s="16"/>
      <c r="H722" s="16"/>
      <c r="I722" s="16"/>
      <c r="J722" s="16"/>
      <c r="K722" s="16"/>
    </row>
    <row r="723">
      <c r="F723" s="16"/>
      <c r="G723" s="16"/>
      <c r="H723" s="16"/>
      <c r="I723" s="16"/>
      <c r="J723" s="16"/>
      <c r="K723" s="16"/>
    </row>
    <row r="724">
      <c r="F724" s="16"/>
      <c r="G724" s="16"/>
      <c r="H724" s="16"/>
      <c r="I724" s="16"/>
      <c r="J724" s="16"/>
      <c r="K724" s="16"/>
    </row>
    <row r="725">
      <c r="F725" s="16"/>
      <c r="G725" s="16"/>
      <c r="H725" s="16"/>
      <c r="I725" s="16"/>
      <c r="J725" s="16"/>
      <c r="K725" s="16"/>
    </row>
    <row r="726">
      <c r="F726" s="16"/>
      <c r="G726" s="16"/>
      <c r="H726" s="16"/>
      <c r="I726" s="16"/>
      <c r="J726" s="16"/>
      <c r="K726" s="16"/>
    </row>
    <row r="727">
      <c r="F727" s="16"/>
      <c r="G727" s="16"/>
      <c r="H727" s="16"/>
      <c r="I727" s="16"/>
      <c r="J727" s="16"/>
      <c r="K727" s="16"/>
    </row>
    <row r="728">
      <c r="F728" s="16"/>
      <c r="G728" s="16"/>
      <c r="H728" s="16"/>
      <c r="I728" s="16"/>
      <c r="J728" s="16"/>
      <c r="K728" s="16"/>
    </row>
    <row r="729">
      <c r="F729" s="16"/>
      <c r="G729" s="16"/>
      <c r="H729" s="16"/>
      <c r="I729" s="16"/>
      <c r="J729" s="16"/>
      <c r="K729" s="16"/>
    </row>
    <row r="730">
      <c r="F730" s="16"/>
      <c r="G730" s="16"/>
      <c r="H730" s="16"/>
      <c r="I730" s="16"/>
      <c r="J730" s="16"/>
      <c r="K730" s="16"/>
    </row>
    <row r="731">
      <c r="F731" s="16"/>
      <c r="G731" s="16"/>
      <c r="H731" s="16"/>
      <c r="I731" s="16"/>
      <c r="J731" s="16"/>
      <c r="K731" s="16"/>
    </row>
    <row r="732">
      <c r="F732" s="16"/>
      <c r="G732" s="16"/>
      <c r="H732" s="16"/>
      <c r="I732" s="16"/>
      <c r="J732" s="16"/>
      <c r="K732" s="16"/>
    </row>
    <row r="733">
      <c r="F733" s="16"/>
      <c r="G733" s="16"/>
      <c r="H733" s="16"/>
      <c r="I733" s="16"/>
      <c r="J733" s="16"/>
      <c r="K733" s="16"/>
    </row>
    <row r="734">
      <c r="F734" s="16"/>
      <c r="G734" s="16"/>
      <c r="H734" s="16"/>
      <c r="I734" s="16"/>
      <c r="J734" s="16"/>
      <c r="K734" s="16"/>
    </row>
    <row r="735">
      <c r="F735" s="16"/>
      <c r="G735" s="16"/>
      <c r="H735" s="16"/>
      <c r="I735" s="16"/>
      <c r="J735" s="16"/>
      <c r="K735" s="16"/>
    </row>
    <row r="736">
      <c r="F736" s="16"/>
      <c r="G736" s="16"/>
      <c r="H736" s="16"/>
      <c r="I736" s="16"/>
      <c r="J736" s="16"/>
      <c r="K736" s="16"/>
    </row>
    <row r="737">
      <c r="F737" s="16"/>
      <c r="G737" s="16"/>
      <c r="H737" s="16"/>
      <c r="I737" s="16"/>
      <c r="J737" s="16"/>
      <c r="K737" s="16"/>
    </row>
    <row r="738">
      <c r="F738" s="16"/>
      <c r="G738" s="16"/>
      <c r="H738" s="16"/>
      <c r="I738" s="16"/>
      <c r="J738" s="16"/>
      <c r="K738" s="16"/>
    </row>
    <row r="739">
      <c r="F739" s="16"/>
      <c r="G739" s="16"/>
      <c r="H739" s="16"/>
      <c r="I739" s="16"/>
      <c r="J739" s="16"/>
      <c r="K739" s="16"/>
    </row>
    <row r="740">
      <c r="F740" s="16"/>
      <c r="G740" s="16"/>
      <c r="H740" s="16"/>
      <c r="I740" s="16"/>
      <c r="J740" s="16"/>
      <c r="K740" s="16"/>
    </row>
    <row r="741">
      <c r="F741" s="16"/>
      <c r="G741" s="16"/>
      <c r="H741" s="16"/>
      <c r="I741" s="16"/>
      <c r="J741" s="16"/>
      <c r="K741" s="16"/>
    </row>
    <row r="742">
      <c r="F742" s="16"/>
      <c r="G742" s="16"/>
      <c r="H742" s="16"/>
      <c r="I742" s="16"/>
      <c r="J742" s="16"/>
      <c r="K742" s="16"/>
    </row>
    <row r="743">
      <c r="F743" s="16"/>
      <c r="G743" s="16"/>
      <c r="H743" s="16"/>
      <c r="I743" s="16"/>
      <c r="J743" s="16"/>
      <c r="K743" s="16"/>
    </row>
    <row r="744">
      <c r="F744" s="16"/>
      <c r="G744" s="16"/>
      <c r="H744" s="16"/>
      <c r="I744" s="16"/>
      <c r="J744" s="16"/>
      <c r="K744" s="16"/>
    </row>
    <row r="745">
      <c r="F745" s="16"/>
      <c r="G745" s="16"/>
      <c r="H745" s="16"/>
      <c r="I745" s="16"/>
      <c r="J745" s="16"/>
      <c r="K745" s="16"/>
    </row>
    <row r="746">
      <c r="F746" s="16"/>
      <c r="G746" s="16"/>
      <c r="H746" s="16"/>
      <c r="I746" s="16"/>
      <c r="J746" s="16"/>
      <c r="K746" s="16"/>
    </row>
    <row r="747">
      <c r="F747" s="16"/>
      <c r="G747" s="16"/>
      <c r="H747" s="16"/>
      <c r="I747" s="16"/>
      <c r="J747" s="16"/>
      <c r="K747" s="16"/>
    </row>
    <row r="748">
      <c r="F748" s="16"/>
      <c r="G748" s="16"/>
      <c r="H748" s="16"/>
      <c r="I748" s="16"/>
      <c r="J748" s="16"/>
      <c r="K748" s="16"/>
    </row>
    <row r="749">
      <c r="F749" s="16"/>
      <c r="G749" s="16"/>
      <c r="H749" s="16"/>
      <c r="I749" s="16"/>
      <c r="J749" s="16"/>
      <c r="K749" s="16"/>
    </row>
    <row r="750">
      <c r="F750" s="16"/>
      <c r="G750" s="16"/>
      <c r="H750" s="16"/>
      <c r="I750" s="16"/>
      <c r="J750" s="16"/>
      <c r="K750" s="16"/>
    </row>
    <row r="751">
      <c r="F751" s="16"/>
      <c r="G751" s="16"/>
      <c r="H751" s="16"/>
      <c r="I751" s="16"/>
      <c r="J751" s="16"/>
      <c r="K751" s="16"/>
    </row>
    <row r="752">
      <c r="F752" s="16"/>
      <c r="G752" s="16"/>
      <c r="H752" s="16"/>
      <c r="I752" s="16"/>
      <c r="J752" s="16"/>
      <c r="K752" s="16"/>
    </row>
    <row r="753">
      <c r="F753" s="16"/>
      <c r="G753" s="16"/>
      <c r="H753" s="16"/>
      <c r="I753" s="16"/>
      <c r="J753" s="16"/>
      <c r="K753" s="16"/>
    </row>
    <row r="754">
      <c r="F754" s="16"/>
      <c r="G754" s="16"/>
      <c r="H754" s="16"/>
      <c r="I754" s="16"/>
      <c r="J754" s="16"/>
      <c r="K754" s="16"/>
    </row>
    <row r="755">
      <c r="F755" s="16"/>
      <c r="G755" s="16"/>
      <c r="H755" s="16"/>
      <c r="I755" s="16"/>
      <c r="J755" s="16"/>
      <c r="K755" s="16"/>
    </row>
    <row r="756">
      <c r="F756" s="16"/>
      <c r="G756" s="16"/>
      <c r="H756" s="16"/>
      <c r="I756" s="16"/>
      <c r="J756" s="16"/>
      <c r="K756" s="16"/>
    </row>
    <row r="757">
      <c r="F757" s="16"/>
      <c r="G757" s="16"/>
      <c r="H757" s="16"/>
      <c r="I757" s="16"/>
      <c r="J757" s="16"/>
      <c r="K757" s="16"/>
    </row>
    <row r="758">
      <c r="F758" s="16"/>
      <c r="G758" s="16"/>
      <c r="H758" s="16"/>
      <c r="I758" s="16"/>
      <c r="J758" s="16"/>
      <c r="K758" s="16"/>
    </row>
    <row r="759">
      <c r="F759" s="16"/>
      <c r="G759" s="16"/>
      <c r="H759" s="16"/>
      <c r="I759" s="16"/>
      <c r="J759" s="16"/>
      <c r="K759" s="16"/>
    </row>
    <row r="760">
      <c r="F760" s="16"/>
      <c r="G760" s="16"/>
      <c r="H760" s="16"/>
      <c r="I760" s="16"/>
      <c r="J760" s="16"/>
      <c r="K760" s="16"/>
    </row>
    <row r="761">
      <c r="F761" s="16"/>
      <c r="G761" s="16"/>
      <c r="H761" s="16"/>
      <c r="I761" s="16"/>
      <c r="J761" s="16"/>
      <c r="K761" s="16"/>
    </row>
    <row r="762">
      <c r="F762" s="16"/>
      <c r="G762" s="16"/>
      <c r="H762" s="16"/>
      <c r="I762" s="16"/>
      <c r="J762" s="16"/>
      <c r="K762" s="16"/>
    </row>
    <row r="763">
      <c r="F763" s="16"/>
      <c r="G763" s="16"/>
      <c r="H763" s="16"/>
      <c r="I763" s="16"/>
      <c r="J763" s="16"/>
      <c r="K763" s="16"/>
    </row>
    <row r="764">
      <c r="F764" s="16"/>
      <c r="G764" s="16"/>
      <c r="H764" s="16"/>
      <c r="I764" s="16"/>
      <c r="J764" s="16"/>
      <c r="K764" s="16"/>
    </row>
    <row r="765">
      <c r="F765" s="16"/>
      <c r="G765" s="16"/>
      <c r="H765" s="16"/>
      <c r="I765" s="16"/>
      <c r="J765" s="16"/>
      <c r="K765" s="16"/>
    </row>
    <row r="766">
      <c r="F766" s="16"/>
      <c r="G766" s="16"/>
      <c r="H766" s="16"/>
      <c r="I766" s="16"/>
      <c r="J766" s="16"/>
      <c r="K766" s="16"/>
    </row>
    <row r="767">
      <c r="F767" s="16"/>
      <c r="G767" s="16"/>
      <c r="H767" s="16"/>
      <c r="I767" s="16"/>
      <c r="J767" s="16"/>
      <c r="K767" s="16"/>
    </row>
    <row r="768">
      <c r="F768" s="16"/>
      <c r="G768" s="16"/>
      <c r="H768" s="16"/>
      <c r="I768" s="16"/>
      <c r="J768" s="16"/>
      <c r="K768" s="16"/>
    </row>
    <row r="769">
      <c r="F769" s="16"/>
      <c r="G769" s="16"/>
      <c r="H769" s="16"/>
      <c r="I769" s="16"/>
      <c r="J769" s="16"/>
      <c r="K769" s="16"/>
    </row>
    <row r="770">
      <c r="F770" s="16"/>
      <c r="G770" s="16"/>
      <c r="H770" s="16"/>
      <c r="I770" s="16"/>
      <c r="J770" s="16"/>
      <c r="K770" s="16"/>
    </row>
    <row r="771">
      <c r="F771" s="16"/>
      <c r="G771" s="16"/>
      <c r="H771" s="16"/>
      <c r="I771" s="16"/>
      <c r="J771" s="16"/>
      <c r="K771" s="16"/>
    </row>
    <row r="772">
      <c r="F772" s="16"/>
      <c r="G772" s="16"/>
      <c r="H772" s="16"/>
      <c r="I772" s="16"/>
      <c r="J772" s="16"/>
      <c r="K772" s="16"/>
    </row>
    <row r="773">
      <c r="F773" s="16"/>
      <c r="G773" s="16"/>
      <c r="H773" s="16"/>
      <c r="I773" s="16"/>
      <c r="J773" s="16"/>
      <c r="K773" s="16"/>
    </row>
    <row r="774">
      <c r="F774" s="16"/>
      <c r="G774" s="16"/>
      <c r="H774" s="16"/>
      <c r="I774" s="16"/>
      <c r="J774" s="16"/>
      <c r="K774" s="16"/>
    </row>
    <row r="775">
      <c r="F775" s="16"/>
      <c r="G775" s="16"/>
      <c r="H775" s="16"/>
      <c r="I775" s="16"/>
      <c r="J775" s="16"/>
      <c r="K775" s="16"/>
    </row>
    <row r="776">
      <c r="F776" s="16"/>
      <c r="G776" s="16"/>
      <c r="H776" s="16"/>
      <c r="I776" s="16"/>
      <c r="J776" s="16"/>
      <c r="K776" s="16"/>
    </row>
    <row r="777">
      <c r="F777" s="16"/>
      <c r="G777" s="16"/>
      <c r="H777" s="16"/>
      <c r="I777" s="16"/>
      <c r="J777" s="16"/>
      <c r="K777" s="16"/>
    </row>
    <row r="778">
      <c r="F778" s="16"/>
      <c r="G778" s="16"/>
      <c r="H778" s="16"/>
      <c r="I778" s="16"/>
      <c r="J778" s="16"/>
      <c r="K778" s="16"/>
    </row>
    <row r="779">
      <c r="F779" s="16"/>
      <c r="G779" s="16"/>
      <c r="H779" s="16"/>
      <c r="I779" s="16"/>
      <c r="J779" s="16"/>
      <c r="K779" s="16"/>
    </row>
    <row r="780">
      <c r="F780" s="16"/>
      <c r="G780" s="16"/>
      <c r="H780" s="16"/>
      <c r="I780" s="16"/>
      <c r="J780" s="16"/>
      <c r="K780" s="16"/>
    </row>
    <row r="781">
      <c r="F781" s="16"/>
      <c r="G781" s="16"/>
      <c r="H781" s="16"/>
      <c r="I781" s="16"/>
      <c r="J781" s="16"/>
      <c r="K781" s="16"/>
    </row>
    <row r="782">
      <c r="F782" s="16"/>
      <c r="G782" s="16"/>
      <c r="H782" s="16"/>
      <c r="I782" s="16"/>
      <c r="J782" s="16"/>
      <c r="K782" s="16"/>
    </row>
    <row r="783">
      <c r="F783" s="16"/>
      <c r="G783" s="16"/>
      <c r="H783" s="16"/>
      <c r="I783" s="16"/>
      <c r="J783" s="16"/>
      <c r="K783" s="16"/>
    </row>
    <row r="784">
      <c r="F784" s="16"/>
      <c r="G784" s="16"/>
      <c r="H784" s="16"/>
      <c r="I784" s="16"/>
      <c r="J784" s="16"/>
      <c r="K784" s="16"/>
    </row>
    <row r="785">
      <c r="F785" s="16"/>
      <c r="G785" s="16"/>
      <c r="H785" s="16"/>
      <c r="I785" s="16"/>
      <c r="J785" s="16"/>
      <c r="K785" s="16"/>
    </row>
    <row r="786">
      <c r="F786" s="16"/>
      <c r="G786" s="16"/>
      <c r="H786" s="16"/>
      <c r="I786" s="16"/>
      <c r="J786" s="16"/>
      <c r="K786" s="16"/>
    </row>
    <row r="787">
      <c r="F787" s="16"/>
      <c r="G787" s="16"/>
      <c r="H787" s="16"/>
      <c r="I787" s="16"/>
      <c r="J787" s="16"/>
      <c r="K787" s="16"/>
    </row>
    <row r="788">
      <c r="F788" s="16"/>
      <c r="G788" s="16"/>
      <c r="H788" s="16"/>
      <c r="I788" s="16"/>
      <c r="J788" s="16"/>
      <c r="K788" s="16"/>
    </row>
    <row r="789">
      <c r="F789" s="16"/>
      <c r="G789" s="16"/>
      <c r="H789" s="16"/>
      <c r="I789" s="16"/>
      <c r="J789" s="16"/>
      <c r="K789" s="16"/>
    </row>
    <row r="790">
      <c r="F790" s="16"/>
      <c r="G790" s="16"/>
      <c r="H790" s="16"/>
      <c r="I790" s="16"/>
      <c r="J790" s="16"/>
      <c r="K790" s="16"/>
    </row>
    <row r="791">
      <c r="F791" s="16"/>
      <c r="G791" s="16"/>
      <c r="H791" s="16"/>
      <c r="I791" s="16"/>
      <c r="J791" s="16"/>
      <c r="K791" s="16"/>
    </row>
    <row r="792">
      <c r="F792" s="16"/>
      <c r="G792" s="16"/>
      <c r="H792" s="16"/>
      <c r="I792" s="16"/>
      <c r="J792" s="16"/>
      <c r="K792" s="16"/>
    </row>
    <row r="793">
      <c r="F793" s="16"/>
      <c r="G793" s="16"/>
      <c r="H793" s="16"/>
      <c r="I793" s="16"/>
      <c r="J793" s="16"/>
      <c r="K793" s="16"/>
    </row>
    <row r="794">
      <c r="F794" s="16"/>
      <c r="G794" s="16"/>
      <c r="H794" s="16"/>
      <c r="I794" s="16"/>
      <c r="J794" s="16"/>
      <c r="K794" s="16"/>
    </row>
    <row r="795">
      <c r="F795" s="16"/>
      <c r="G795" s="16"/>
      <c r="H795" s="16"/>
      <c r="I795" s="16"/>
      <c r="J795" s="16"/>
      <c r="K795" s="16"/>
    </row>
    <row r="796">
      <c r="F796" s="16"/>
      <c r="G796" s="16"/>
      <c r="H796" s="16"/>
      <c r="I796" s="16"/>
      <c r="J796" s="16"/>
      <c r="K796" s="16"/>
    </row>
    <row r="797">
      <c r="F797" s="16"/>
      <c r="G797" s="16"/>
      <c r="H797" s="16"/>
      <c r="I797" s="16"/>
      <c r="J797" s="16"/>
      <c r="K797" s="16"/>
    </row>
    <row r="798">
      <c r="F798" s="16"/>
      <c r="G798" s="16"/>
      <c r="H798" s="16"/>
      <c r="I798" s="16"/>
      <c r="J798" s="16"/>
      <c r="K798" s="16"/>
    </row>
    <row r="799">
      <c r="F799" s="16"/>
      <c r="G799" s="16"/>
      <c r="H799" s="16"/>
      <c r="I799" s="16"/>
      <c r="J799" s="16"/>
      <c r="K799" s="16"/>
    </row>
    <row r="800">
      <c r="F800" s="16"/>
      <c r="G800" s="16"/>
      <c r="H800" s="16"/>
      <c r="I800" s="16"/>
      <c r="J800" s="16"/>
      <c r="K800" s="16"/>
    </row>
    <row r="801">
      <c r="F801" s="16"/>
      <c r="G801" s="16"/>
      <c r="H801" s="16"/>
      <c r="I801" s="16"/>
      <c r="J801" s="16"/>
      <c r="K801" s="16"/>
    </row>
    <row r="802">
      <c r="F802" s="16"/>
      <c r="G802" s="16"/>
      <c r="H802" s="16"/>
      <c r="I802" s="16"/>
      <c r="J802" s="16"/>
      <c r="K802" s="16"/>
    </row>
    <row r="803">
      <c r="F803" s="16"/>
      <c r="G803" s="16"/>
      <c r="H803" s="16"/>
      <c r="I803" s="16"/>
      <c r="J803" s="16"/>
      <c r="K803" s="16"/>
    </row>
    <row r="804">
      <c r="F804" s="16"/>
      <c r="G804" s="16"/>
      <c r="H804" s="16"/>
      <c r="I804" s="16"/>
      <c r="J804" s="16"/>
      <c r="K804" s="16"/>
    </row>
    <row r="805">
      <c r="F805" s="16"/>
      <c r="G805" s="16"/>
      <c r="H805" s="16"/>
      <c r="I805" s="16"/>
      <c r="J805" s="16"/>
      <c r="K805" s="16"/>
    </row>
    <row r="806">
      <c r="F806" s="16"/>
      <c r="G806" s="16"/>
      <c r="H806" s="16"/>
      <c r="I806" s="16"/>
      <c r="J806" s="16"/>
      <c r="K806" s="16"/>
    </row>
    <row r="807">
      <c r="F807" s="16"/>
      <c r="G807" s="16"/>
      <c r="H807" s="16"/>
      <c r="I807" s="16"/>
      <c r="J807" s="16"/>
      <c r="K807" s="16"/>
    </row>
    <row r="808">
      <c r="F808" s="16"/>
      <c r="G808" s="16"/>
      <c r="H808" s="16"/>
      <c r="I808" s="16"/>
      <c r="J808" s="16"/>
      <c r="K808" s="16"/>
    </row>
    <row r="809">
      <c r="F809" s="16"/>
      <c r="G809" s="16"/>
      <c r="H809" s="16"/>
      <c r="I809" s="16"/>
      <c r="J809" s="16"/>
      <c r="K809" s="16"/>
    </row>
    <row r="810">
      <c r="F810" s="16"/>
      <c r="G810" s="16"/>
      <c r="H810" s="16"/>
      <c r="I810" s="16"/>
      <c r="J810" s="16"/>
      <c r="K810" s="16"/>
    </row>
    <row r="811">
      <c r="F811" s="16"/>
      <c r="G811" s="16"/>
      <c r="H811" s="16"/>
      <c r="I811" s="16"/>
      <c r="J811" s="16"/>
      <c r="K811" s="16"/>
    </row>
    <row r="812">
      <c r="F812" s="16"/>
      <c r="G812" s="16"/>
      <c r="H812" s="16"/>
      <c r="I812" s="16"/>
      <c r="J812" s="16"/>
      <c r="K812" s="16"/>
    </row>
    <row r="813">
      <c r="F813" s="16"/>
      <c r="G813" s="16"/>
      <c r="H813" s="16"/>
      <c r="I813" s="16"/>
      <c r="J813" s="16"/>
      <c r="K813" s="16"/>
    </row>
    <row r="814">
      <c r="F814" s="16"/>
      <c r="G814" s="16"/>
      <c r="H814" s="16"/>
      <c r="I814" s="16"/>
      <c r="J814" s="16"/>
      <c r="K814" s="16"/>
    </row>
    <row r="815">
      <c r="F815" s="16"/>
      <c r="G815" s="16"/>
      <c r="H815" s="16"/>
      <c r="I815" s="16"/>
      <c r="J815" s="16"/>
      <c r="K815" s="16"/>
    </row>
    <row r="816">
      <c r="F816" s="16"/>
      <c r="G816" s="16"/>
      <c r="H816" s="16"/>
      <c r="I816" s="16"/>
      <c r="J816" s="16"/>
      <c r="K816" s="16"/>
    </row>
    <row r="817">
      <c r="F817" s="16"/>
      <c r="G817" s="16"/>
      <c r="H817" s="16"/>
      <c r="I817" s="16"/>
      <c r="J817" s="16"/>
      <c r="K817" s="16"/>
    </row>
    <row r="818">
      <c r="F818" s="16"/>
      <c r="G818" s="16"/>
      <c r="H818" s="16"/>
      <c r="I818" s="16"/>
      <c r="J818" s="16"/>
      <c r="K818" s="16"/>
    </row>
    <row r="819">
      <c r="F819" s="16"/>
      <c r="G819" s="16"/>
      <c r="H819" s="16"/>
      <c r="I819" s="16"/>
      <c r="J819" s="16"/>
      <c r="K819" s="16"/>
    </row>
    <row r="820">
      <c r="F820" s="16"/>
      <c r="G820" s="16"/>
      <c r="H820" s="16"/>
      <c r="I820" s="16"/>
      <c r="J820" s="16"/>
      <c r="K820" s="16"/>
    </row>
    <row r="821">
      <c r="F821" s="16"/>
      <c r="G821" s="16"/>
      <c r="H821" s="16"/>
      <c r="I821" s="16"/>
      <c r="J821" s="16"/>
      <c r="K821" s="16"/>
    </row>
    <row r="822">
      <c r="F822" s="16"/>
      <c r="G822" s="16"/>
      <c r="H822" s="16"/>
      <c r="I822" s="16"/>
      <c r="J822" s="16"/>
      <c r="K822" s="16"/>
    </row>
    <row r="823">
      <c r="F823" s="16"/>
      <c r="G823" s="16"/>
      <c r="H823" s="16"/>
      <c r="I823" s="16"/>
      <c r="J823" s="16"/>
      <c r="K823" s="16"/>
    </row>
    <row r="824">
      <c r="F824" s="16"/>
      <c r="G824" s="16"/>
      <c r="H824" s="16"/>
      <c r="I824" s="16"/>
      <c r="J824" s="16"/>
      <c r="K824" s="16"/>
    </row>
    <row r="825">
      <c r="F825" s="16"/>
      <c r="G825" s="16"/>
      <c r="H825" s="16"/>
      <c r="I825" s="16"/>
      <c r="J825" s="16"/>
      <c r="K825" s="16"/>
    </row>
    <row r="826">
      <c r="F826" s="16"/>
      <c r="G826" s="16"/>
      <c r="H826" s="16"/>
      <c r="I826" s="16"/>
      <c r="J826" s="16"/>
      <c r="K826" s="16"/>
    </row>
    <row r="827">
      <c r="F827" s="16"/>
      <c r="G827" s="16"/>
      <c r="H827" s="16"/>
      <c r="I827" s="16"/>
      <c r="J827" s="16"/>
      <c r="K827" s="16"/>
    </row>
    <row r="828">
      <c r="F828" s="16"/>
      <c r="G828" s="16"/>
      <c r="H828" s="16"/>
      <c r="I828" s="16"/>
      <c r="J828" s="16"/>
      <c r="K828" s="16"/>
    </row>
    <row r="829">
      <c r="F829" s="16"/>
      <c r="G829" s="16"/>
      <c r="H829" s="16"/>
      <c r="I829" s="16"/>
      <c r="J829" s="16"/>
      <c r="K829" s="16"/>
    </row>
    <row r="830">
      <c r="F830" s="16"/>
      <c r="G830" s="16"/>
      <c r="H830" s="16"/>
      <c r="I830" s="16"/>
      <c r="J830" s="16"/>
      <c r="K830" s="16"/>
    </row>
    <row r="831">
      <c r="F831" s="16"/>
      <c r="G831" s="16"/>
      <c r="H831" s="16"/>
      <c r="I831" s="16"/>
      <c r="J831" s="16"/>
      <c r="K831" s="16"/>
    </row>
    <row r="832">
      <c r="F832" s="16"/>
      <c r="G832" s="16"/>
      <c r="H832" s="16"/>
      <c r="I832" s="16"/>
      <c r="J832" s="16"/>
      <c r="K832" s="16"/>
    </row>
    <row r="833">
      <c r="F833" s="16"/>
      <c r="G833" s="16"/>
      <c r="H833" s="16"/>
      <c r="I833" s="16"/>
      <c r="J833" s="16"/>
      <c r="K833" s="16"/>
    </row>
    <row r="834">
      <c r="F834" s="16"/>
      <c r="G834" s="16"/>
      <c r="H834" s="16"/>
      <c r="I834" s="16"/>
      <c r="J834" s="16"/>
      <c r="K834" s="16"/>
    </row>
    <row r="835">
      <c r="F835" s="16"/>
      <c r="G835" s="16"/>
      <c r="H835" s="16"/>
      <c r="I835" s="16"/>
      <c r="J835" s="16"/>
      <c r="K835" s="16"/>
    </row>
    <row r="836">
      <c r="F836" s="16"/>
      <c r="G836" s="16"/>
      <c r="H836" s="16"/>
      <c r="I836" s="16"/>
      <c r="J836" s="16"/>
      <c r="K836" s="16"/>
    </row>
    <row r="837">
      <c r="F837" s="16"/>
      <c r="G837" s="16"/>
      <c r="H837" s="16"/>
      <c r="I837" s="16"/>
      <c r="J837" s="16"/>
      <c r="K837" s="16"/>
    </row>
    <row r="838">
      <c r="F838" s="16"/>
      <c r="G838" s="16"/>
      <c r="H838" s="16"/>
      <c r="I838" s="16"/>
      <c r="J838" s="16"/>
      <c r="K838" s="16"/>
    </row>
    <row r="839">
      <c r="F839" s="16"/>
      <c r="G839" s="16"/>
      <c r="H839" s="16"/>
      <c r="I839" s="16"/>
      <c r="J839" s="16"/>
      <c r="K839" s="16"/>
    </row>
    <row r="840">
      <c r="F840" s="16"/>
      <c r="G840" s="16"/>
      <c r="H840" s="16"/>
      <c r="I840" s="16"/>
      <c r="J840" s="16"/>
      <c r="K840" s="16"/>
    </row>
    <row r="841">
      <c r="F841" s="16"/>
      <c r="G841" s="16"/>
      <c r="H841" s="16"/>
      <c r="I841" s="16"/>
      <c r="J841" s="16"/>
      <c r="K841" s="16"/>
    </row>
    <row r="842">
      <c r="F842" s="16"/>
      <c r="G842" s="16"/>
      <c r="H842" s="16"/>
      <c r="I842" s="16"/>
      <c r="J842" s="16"/>
      <c r="K842" s="16"/>
    </row>
    <row r="843">
      <c r="F843" s="16"/>
      <c r="G843" s="16"/>
      <c r="H843" s="16"/>
      <c r="I843" s="16"/>
      <c r="J843" s="16"/>
      <c r="K843" s="16"/>
    </row>
    <row r="844">
      <c r="F844" s="16"/>
      <c r="G844" s="16"/>
      <c r="H844" s="16"/>
      <c r="I844" s="16"/>
      <c r="J844" s="16"/>
      <c r="K844" s="16"/>
    </row>
    <row r="845">
      <c r="F845" s="16"/>
      <c r="G845" s="16"/>
      <c r="H845" s="16"/>
      <c r="I845" s="16"/>
      <c r="J845" s="16"/>
      <c r="K845" s="16"/>
    </row>
    <row r="846">
      <c r="F846" s="16"/>
      <c r="G846" s="16"/>
      <c r="H846" s="16"/>
      <c r="I846" s="16"/>
      <c r="J846" s="16"/>
      <c r="K846" s="16"/>
    </row>
    <row r="847">
      <c r="F847" s="16"/>
      <c r="G847" s="16"/>
      <c r="H847" s="16"/>
      <c r="I847" s="16"/>
      <c r="J847" s="16"/>
      <c r="K847" s="16"/>
    </row>
    <row r="848">
      <c r="F848" s="16"/>
      <c r="G848" s="16"/>
      <c r="H848" s="16"/>
      <c r="I848" s="16"/>
      <c r="J848" s="16"/>
      <c r="K848" s="16"/>
    </row>
    <row r="849">
      <c r="F849" s="16"/>
      <c r="G849" s="16"/>
      <c r="H849" s="16"/>
      <c r="I849" s="16"/>
      <c r="J849" s="16"/>
      <c r="K849" s="16"/>
    </row>
    <row r="850">
      <c r="F850" s="16"/>
      <c r="G850" s="16"/>
      <c r="H850" s="16"/>
      <c r="I850" s="16"/>
      <c r="J850" s="16"/>
      <c r="K850" s="16"/>
    </row>
    <row r="851">
      <c r="F851" s="16"/>
      <c r="G851" s="16"/>
      <c r="H851" s="16"/>
      <c r="I851" s="16"/>
      <c r="J851" s="16"/>
      <c r="K851" s="16"/>
    </row>
    <row r="852">
      <c r="F852" s="16"/>
      <c r="G852" s="16"/>
      <c r="H852" s="16"/>
      <c r="I852" s="16"/>
      <c r="J852" s="16"/>
      <c r="K852" s="16"/>
    </row>
    <row r="853">
      <c r="F853" s="16"/>
      <c r="G853" s="16"/>
      <c r="H853" s="16"/>
      <c r="I853" s="16"/>
      <c r="J853" s="16"/>
      <c r="K853" s="16"/>
    </row>
    <row r="854">
      <c r="F854" s="16"/>
      <c r="G854" s="16"/>
      <c r="H854" s="16"/>
      <c r="I854" s="16"/>
      <c r="J854" s="16"/>
      <c r="K854" s="16"/>
    </row>
    <row r="855">
      <c r="F855" s="16"/>
      <c r="G855" s="16"/>
      <c r="H855" s="16"/>
      <c r="I855" s="16"/>
      <c r="J855" s="16"/>
      <c r="K855" s="16"/>
    </row>
    <row r="856">
      <c r="F856" s="16"/>
      <c r="G856" s="16"/>
      <c r="H856" s="16"/>
      <c r="I856" s="16"/>
      <c r="J856" s="16"/>
      <c r="K856" s="16"/>
    </row>
    <row r="857">
      <c r="F857" s="16"/>
      <c r="G857" s="16"/>
      <c r="H857" s="16"/>
      <c r="I857" s="16"/>
      <c r="J857" s="16"/>
      <c r="K857" s="16"/>
    </row>
    <row r="858">
      <c r="F858" s="16"/>
      <c r="G858" s="16"/>
      <c r="H858" s="16"/>
      <c r="I858" s="16"/>
      <c r="J858" s="16"/>
      <c r="K858" s="16"/>
    </row>
    <row r="859">
      <c r="F859" s="16"/>
      <c r="G859" s="16"/>
      <c r="H859" s="16"/>
      <c r="I859" s="16"/>
      <c r="J859" s="16"/>
      <c r="K859" s="16"/>
    </row>
    <row r="860">
      <c r="F860" s="16"/>
      <c r="G860" s="16"/>
      <c r="H860" s="16"/>
      <c r="I860" s="16"/>
      <c r="J860" s="16"/>
      <c r="K860" s="16"/>
    </row>
    <row r="861">
      <c r="F861" s="16"/>
      <c r="G861" s="16"/>
      <c r="H861" s="16"/>
      <c r="I861" s="16"/>
      <c r="J861" s="16"/>
      <c r="K861" s="16"/>
    </row>
    <row r="862">
      <c r="F862" s="16"/>
      <c r="G862" s="16"/>
      <c r="H862" s="16"/>
      <c r="I862" s="16"/>
      <c r="J862" s="16"/>
      <c r="K862" s="16"/>
    </row>
    <row r="863">
      <c r="F863" s="16"/>
      <c r="G863" s="16"/>
      <c r="H863" s="16"/>
      <c r="I863" s="16"/>
      <c r="J863" s="16"/>
      <c r="K863" s="16"/>
    </row>
    <row r="864">
      <c r="F864" s="16"/>
      <c r="G864" s="16"/>
      <c r="H864" s="16"/>
      <c r="I864" s="16"/>
      <c r="J864" s="16"/>
      <c r="K864" s="16"/>
    </row>
    <row r="865">
      <c r="F865" s="16"/>
      <c r="G865" s="16"/>
      <c r="H865" s="16"/>
      <c r="I865" s="16"/>
      <c r="J865" s="16"/>
      <c r="K865" s="16"/>
    </row>
    <row r="866">
      <c r="F866" s="16"/>
      <c r="G866" s="16"/>
      <c r="H866" s="16"/>
      <c r="I866" s="16"/>
      <c r="J866" s="16"/>
      <c r="K866" s="16"/>
    </row>
    <row r="867">
      <c r="F867" s="16"/>
      <c r="G867" s="16"/>
      <c r="H867" s="16"/>
      <c r="I867" s="16"/>
      <c r="J867" s="16"/>
      <c r="K867" s="16"/>
    </row>
    <row r="868">
      <c r="F868" s="16"/>
      <c r="G868" s="16"/>
      <c r="H868" s="16"/>
      <c r="I868" s="16"/>
      <c r="J868" s="16"/>
      <c r="K868" s="16"/>
    </row>
    <row r="869">
      <c r="F869" s="16"/>
      <c r="G869" s="16"/>
      <c r="H869" s="16"/>
      <c r="I869" s="16"/>
      <c r="J869" s="16"/>
      <c r="K869" s="16"/>
    </row>
    <row r="870">
      <c r="F870" s="16"/>
      <c r="G870" s="16"/>
      <c r="H870" s="16"/>
      <c r="I870" s="16"/>
      <c r="J870" s="16"/>
      <c r="K870" s="16"/>
    </row>
    <row r="871">
      <c r="F871" s="16"/>
      <c r="G871" s="16"/>
      <c r="H871" s="16"/>
      <c r="I871" s="16"/>
      <c r="J871" s="16"/>
      <c r="K871" s="16"/>
    </row>
    <row r="872">
      <c r="F872" s="16"/>
      <c r="G872" s="16"/>
      <c r="H872" s="16"/>
      <c r="I872" s="16"/>
      <c r="J872" s="16"/>
      <c r="K872" s="16"/>
    </row>
    <row r="873">
      <c r="F873" s="16"/>
      <c r="G873" s="16"/>
      <c r="H873" s="16"/>
      <c r="I873" s="16"/>
      <c r="J873" s="16"/>
      <c r="K873" s="16"/>
    </row>
    <row r="874">
      <c r="F874" s="16"/>
      <c r="G874" s="16"/>
      <c r="H874" s="16"/>
      <c r="I874" s="16"/>
      <c r="J874" s="16"/>
      <c r="K874" s="16"/>
    </row>
    <row r="875">
      <c r="F875" s="16"/>
      <c r="G875" s="16"/>
      <c r="H875" s="16"/>
      <c r="I875" s="16"/>
      <c r="J875" s="16"/>
      <c r="K875" s="16"/>
    </row>
    <row r="876">
      <c r="F876" s="16"/>
      <c r="G876" s="16"/>
      <c r="H876" s="16"/>
      <c r="I876" s="16"/>
      <c r="J876" s="16"/>
      <c r="K876" s="16"/>
    </row>
    <row r="877">
      <c r="F877" s="16"/>
      <c r="G877" s="16"/>
      <c r="H877" s="16"/>
      <c r="I877" s="16"/>
      <c r="J877" s="16"/>
      <c r="K877" s="16"/>
    </row>
    <row r="878">
      <c r="F878" s="16"/>
      <c r="G878" s="16"/>
      <c r="H878" s="16"/>
      <c r="I878" s="16"/>
      <c r="J878" s="16"/>
      <c r="K878" s="16"/>
    </row>
    <row r="879">
      <c r="F879" s="16"/>
      <c r="G879" s="16"/>
      <c r="H879" s="16"/>
      <c r="I879" s="16"/>
      <c r="J879" s="16"/>
      <c r="K879" s="16"/>
    </row>
    <row r="880">
      <c r="F880" s="16"/>
      <c r="G880" s="16"/>
      <c r="H880" s="16"/>
      <c r="I880" s="16"/>
      <c r="J880" s="16"/>
      <c r="K880" s="16"/>
    </row>
    <row r="881">
      <c r="F881" s="16"/>
      <c r="G881" s="16"/>
      <c r="H881" s="16"/>
      <c r="I881" s="16"/>
      <c r="J881" s="16"/>
      <c r="K881" s="16"/>
    </row>
    <row r="882">
      <c r="F882" s="16"/>
      <c r="G882" s="16"/>
      <c r="H882" s="16"/>
      <c r="I882" s="16"/>
      <c r="J882" s="16"/>
      <c r="K882" s="16"/>
    </row>
    <row r="883">
      <c r="F883" s="16"/>
      <c r="G883" s="16"/>
      <c r="H883" s="16"/>
      <c r="I883" s="16"/>
      <c r="J883" s="16"/>
      <c r="K883" s="16"/>
    </row>
    <row r="884">
      <c r="F884" s="16"/>
      <c r="G884" s="16"/>
      <c r="H884" s="16"/>
      <c r="I884" s="16"/>
      <c r="J884" s="16"/>
      <c r="K884" s="16"/>
    </row>
    <row r="885">
      <c r="F885" s="16"/>
      <c r="G885" s="16"/>
      <c r="H885" s="16"/>
      <c r="I885" s="16"/>
      <c r="J885" s="16"/>
      <c r="K885" s="16"/>
    </row>
    <row r="886">
      <c r="F886" s="16"/>
      <c r="G886" s="16"/>
      <c r="H886" s="16"/>
      <c r="I886" s="16"/>
      <c r="J886" s="16"/>
      <c r="K886" s="16"/>
    </row>
    <row r="887">
      <c r="F887" s="16"/>
      <c r="G887" s="16"/>
      <c r="H887" s="16"/>
      <c r="I887" s="16"/>
      <c r="J887" s="16"/>
      <c r="K887" s="16"/>
    </row>
    <row r="888">
      <c r="F888" s="16"/>
      <c r="G888" s="16"/>
      <c r="H888" s="16"/>
      <c r="I888" s="16"/>
      <c r="J888" s="16"/>
      <c r="K888" s="16"/>
    </row>
    <row r="889">
      <c r="F889" s="16"/>
      <c r="G889" s="16"/>
      <c r="H889" s="16"/>
      <c r="I889" s="16"/>
      <c r="J889" s="16"/>
      <c r="K889" s="16"/>
    </row>
    <row r="890">
      <c r="F890" s="16"/>
      <c r="G890" s="16"/>
      <c r="H890" s="16"/>
      <c r="I890" s="16"/>
      <c r="J890" s="16"/>
      <c r="K890" s="16"/>
    </row>
    <row r="891">
      <c r="F891" s="16"/>
      <c r="G891" s="16"/>
      <c r="H891" s="16"/>
      <c r="I891" s="16"/>
      <c r="J891" s="16"/>
      <c r="K891" s="16"/>
    </row>
    <row r="892">
      <c r="F892" s="16"/>
      <c r="G892" s="16"/>
      <c r="H892" s="16"/>
      <c r="I892" s="16"/>
      <c r="J892" s="16"/>
      <c r="K892" s="16"/>
    </row>
    <row r="893">
      <c r="F893" s="16"/>
      <c r="G893" s="16"/>
      <c r="H893" s="16"/>
      <c r="I893" s="16"/>
      <c r="J893" s="16"/>
      <c r="K893" s="16"/>
    </row>
    <row r="894">
      <c r="F894" s="16"/>
      <c r="G894" s="16"/>
      <c r="H894" s="16"/>
      <c r="I894" s="16"/>
      <c r="J894" s="16"/>
      <c r="K894" s="16"/>
    </row>
    <row r="895">
      <c r="F895" s="16"/>
      <c r="G895" s="16"/>
      <c r="H895" s="16"/>
      <c r="I895" s="16"/>
      <c r="J895" s="16"/>
      <c r="K895" s="16"/>
    </row>
    <row r="896">
      <c r="F896" s="16"/>
      <c r="G896" s="16"/>
      <c r="H896" s="16"/>
      <c r="I896" s="16"/>
      <c r="J896" s="16"/>
      <c r="K896" s="16"/>
    </row>
    <row r="897">
      <c r="F897" s="16"/>
      <c r="G897" s="16"/>
      <c r="H897" s="16"/>
      <c r="I897" s="16"/>
      <c r="J897" s="16"/>
      <c r="K897" s="16"/>
    </row>
    <row r="898">
      <c r="F898" s="16"/>
      <c r="G898" s="16"/>
      <c r="H898" s="16"/>
      <c r="I898" s="16"/>
      <c r="J898" s="16"/>
      <c r="K898" s="16"/>
    </row>
    <row r="899">
      <c r="F899" s="16"/>
      <c r="G899" s="16"/>
      <c r="H899" s="16"/>
      <c r="I899" s="16"/>
      <c r="J899" s="16"/>
      <c r="K899" s="16"/>
    </row>
    <row r="900">
      <c r="F900" s="16"/>
      <c r="G900" s="16"/>
      <c r="H900" s="16"/>
      <c r="I900" s="16"/>
      <c r="J900" s="16"/>
      <c r="K900" s="16"/>
    </row>
    <row r="901">
      <c r="F901" s="16"/>
      <c r="G901" s="16"/>
      <c r="H901" s="16"/>
      <c r="I901" s="16"/>
      <c r="J901" s="16"/>
      <c r="K901" s="16"/>
    </row>
    <row r="902">
      <c r="F902" s="16"/>
      <c r="G902" s="16"/>
      <c r="H902" s="16"/>
      <c r="I902" s="16"/>
      <c r="J902" s="16"/>
      <c r="K902" s="16"/>
    </row>
    <row r="903">
      <c r="F903" s="16"/>
      <c r="G903" s="16"/>
      <c r="H903" s="16"/>
      <c r="I903" s="16"/>
      <c r="J903" s="16"/>
      <c r="K903" s="16"/>
    </row>
    <row r="904">
      <c r="F904" s="16"/>
      <c r="G904" s="16"/>
      <c r="H904" s="16"/>
      <c r="I904" s="16"/>
      <c r="J904" s="16"/>
      <c r="K904" s="16"/>
    </row>
    <row r="905">
      <c r="F905" s="16"/>
      <c r="G905" s="16"/>
      <c r="H905" s="16"/>
      <c r="I905" s="16"/>
      <c r="J905" s="16"/>
      <c r="K905" s="16"/>
    </row>
    <row r="906">
      <c r="F906" s="16"/>
      <c r="G906" s="16"/>
      <c r="H906" s="16"/>
      <c r="I906" s="16"/>
      <c r="J906" s="16"/>
      <c r="K906" s="16"/>
    </row>
    <row r="907">
      <c r="F907" s="16"/>
      <c r="G907" s="16"/>
      <c r="H907" s="16"/>
      <c r="I907" s="16"/>
      <c r="J907" s="16"/>
      <c r="K907" s="16"/>
    </row>
    <row r="908">
      <c r="F908" s="16"/>
      <c r="G908" s="16"/>
      <c r="H908" s="16"/>
      <c r="I908" s="16"/>
      <c r="J908" s="16"/>
      <c r="K908" s="16"/>
    </row>
    <row r="909">
      <c r="F909" s="16"/>
      <c r="G909" s="16"/>
      <c r="H909" s="16"/>
      <c r="I909" s="16"/>
      <c r="J909" s="16"/>
      <c r="K909" s="16"/>
    </row>
    <row r="910">
      <c r="F910" s="16"/>
      <c r="G910" s="16"/>
      <c r="H910" s="16"/>
      <c r="I910" s="16"/>
      <c r="J910" s="16"/>
      <c r="K910" s="16"/>
    </row>
    <row r="911">
      <c r="F911" s="16"/>
      <c r="G911" s="16"/>
      <c r="H911" s="16"/>
      <c r="I911" s="16"/>
      <c r="J911" s="16"/>
      <c r="K911" s="16"/>
    </row>
    <row r="912">
      <c r="F912" s="16"/>
      <c r="G912" s="16"/>
      <c r="H912" s="16"/>
      <c r="I912" s="16"/>
      <c r="J912" s="16"/>
      <c r="K912" s="16"/>
    </row>
    <row r="913">
      <c r="F913" s="16"/>
      <c r="G913" s="16"/>
      <c r="H913" s="16"/>
      <c r="I913" s="16"/>
      <c r="J913" s="16"/>
      <c r="K913" s="16"/>
    </row>
    <row r="914">
      <c r="F914" s="16"/>
      <c r="G914" s="16"/>
      <c r="H914" s="16"/>
      <c r="I914" s="16"/>
      <c r="J914" s="16"/>
      <c r="K914" s="16"/>
    </row>
    <row r="915">
      <c r="F915" s="16"/>
      <c r="G915" s="16"/>
      <c r="H915" s="16"/>
      <c r="I915" s="16"/>
      <c r="J915" s="16"/>
      <c r="K915" s="16"/>
    </row>
    <row r="916">
      <c r="F916" s="16"/>
      <c r="G916" s="16"/>
      <c r="H916" s="16"/>
      <c r="I916" s="16"/>
      <c r="J916" s="16"/>
      <c r="K916" s="16"/>
    </row>
    <row r="917">
      <c r="F917" s="16"/>
      <c r="G917" s="16"/>
      <c r="H917" s="16"/>
      <c r="I917" s="16"/>
      <c r="J917" s="16"/>
      <c r="K917" s="16"/>
    </row>
    <row r="918">
      <c r="F918" s="16"/>
      <c r="G918" s="16"/>
      <c r="H918" s="16"/>
      <c r="I918" s="16"/>
      <c r="J918" s="16"/>
      <c r="K918" s="16"/>
    </row>
    <row r="919">
      <c r="F919" s="16"/>
      <c r="G919" s="16"/>
      <c r="H919" s="16"/>
      <c r="I919" s="16"/>
      <c r="J919" s="16"/>
      <c r="K919" s="16"/>
    </row>
    <row r="920">
      <c r="F920" s="16"/>
      <c r="G920" s="16"/>
      <c r="H920" s="16"/>
      <c r="I920" s="16"/>
      <c r="J920" s="16"/>
      <c r="K920" s="16"/>
    </row>
    <row r="921">
      <c r="F921" s="16"/>
      <c r="G921" s="16"/>
      <c r="H921" s="16"/>
      <c r="I921" s="16"/>
      <c r="J921" s="16"/>
      <c r="K921" s="16"/>
    </row>
    <row r="922">
      <c r="F922" s="16"/>
      <c r="G922" s="16"/>
      <c r="H922" s="16"/>
      <c r="I922" s="16"/>
      <c r="J922" s="16"/>
      <c r="K922" s="16"/>
    </row>
    <row r="923">
      <c r="F923" s="16"/>
      <c r="G923" s="16"/>
      <c r="H923" s="16"/>
      <c r="I923" s="16"/>
      <c r="J923" s="16"/>
      <c r="K923" s="16"/>
    </row>
    <row r="924">
      <c r="F924" s="16"/>
      <c r="G924" s="16"/>
      <c r="H924" s="16"/>
      <c r="I924" s="16"/>
      <c r="J924" s="16"/>
      <c r="K924" s="16"/>
    </row>
    <row r="925">
      <c r="F925" s="16"/>
      <c r="G925" s="16"/>
      <c r="H925" s="16"/>
      <c r="I925" s="16"/>
      <c r="J925" s="16"/>
      <c r="K925" s="16"/>
    </row>
    <row r="926">
      <c r="F926" s="16"/>
      <c r="G926" s="16"/>
      <c r="H926" s="16"/>
      <c r="I926" s="16"/>
      <c r="J926" s="16"/>
      <c r="K926" s="16"/>
    </row>
    <row r="927">
      <c r="F927" s="16"/>
      <c r="G927" s="16"/>
      <c r="H927" s="16"/>
      <c r="I927" s="16"/>
      <c r="J927" s="16"/>
      <c r="K927" s="16"/>
    </row>
    <row r="928">
      <c r="F928" s="16"/>
      <c r="G928" s="16"/>
      <c r="H928" s="16"/>
      <c r="I928" s="16"/>
      <c r="J928" s="16"/>
      <c r="K928" s="16"/>
    </row>
    <row r="929">
      <c r="F929" s="16"/>
      <c r="G929" s="16"/>
      <c r="H929" s="16"/>
      <c r="I929" s="16"/>
      <c r="J929" s="16"/>
      <c r="K929" s="16"/>
    </row>
    <row r="930">
      <c r="F930" s="16"/>
      <c r="G930" s="16"/>
      <c r="H930" s="16"/>
      <c r="I930" s="16"/>
      <c r="J930" s="16"/>
      <c r="K930" s="16"/>
    </row>
    <row r="931">
      <c r="F931" s="16"/>
      <c r="G931" s="16"/>
      <c r="H931" s="16"/>
      <c r="I931" s="16"/>
      <c r="J931" s="16"/>
      <c r="K931" s="16"/>
    </row>
    <row r="932">
      <c r="F932" s="16"/>
      <c r="G932" s="16"/>
      <c r="H932" s="16"/>
      <c r="I932" s="16"/>
      <c r="J932" s="16"/>
      <c r="K932" s="16"/>
    </row>
    <row r="933">
      <c r="F933" s="16"/>
      <c r="G933" s="16"/>
      <c r="H933" s="16"/>
      <c r="I933" s="16"/>
      <c r="J933" s="16"/>
      <c r="K933" s="16"/>
    </row>
    <row r="934">
      <c r="F934" s="16"/>
      <c r="G934" s="16"/>
      <c r="H934" s="16"/>
      <c r="I934" s="16"/>
      <c r="J934" s="16"/>
      <c r="K934" s="16"/>
    </row>
    <row r="935">
      <c r="F935" s="16"/>
      <c r="G935" s="16"/>
      <c r="H935" s="16"/>
      <c r="I935" s="16"/>
      <c r="J935" s="16"/>
      <c r="K935" s="16"/>
    </row>
    <row r="936">
      <c r="F936" s="16"/>
      <c r="G936" s="16"/>
      <c r="H936" s="16"/>
      <c r="I936" s="16"/>
      <c r="J936" s="16"/>
      <c r="K936" s="16"/>
    </row>
    <row r="937">
      <c r="F937" s="16"/>
      <c r="G937" s="16"/>
      <c r="H937" s="16"/>
      <c r="I937" s="16"/>
      <c r="J937" s="16"/>
      <c r="K937" s="16"/>
    </row>
    <row r="938">
      <c r="F938" s="16"/>
      <c r="G938" s="16"/>
      <c r="H938" s="16"/>
      <c r="I938" s="16"/>
      <c r="J938" s="16"/>
      <c r="K938" s="16"/>
    </row>
    <row r="939">
      <c r="F939" s="16"/>
      <c r="G939" s="16"/>
      <c r="H939" s="16"/>
      <c r="I939" s="16"/>
      <c r="J939" s="16"/>
      <c r="K939" s="16"/>
    </row>
    <row r="940">
      <c r="F940" s="16"/>
      <c r="G940" s="16"/>
      <c r="H940" s="16"/>
      <c r="I940" s="16"/>
      <c r="J940" s="16"/>
      <c r="K940" s="16"/>
    </row>
    <row r="941">
      <c r="F941" s="16"/>
      <c r="G941" s="16"/>
      <c r="H941" s="16"/>
      <c r="I941" s="16"/>
      <c r="J941" s="16"/>
      <c r="K941" s="16"/>
    </row>
    <row r="942">
      <c r="F942" s="16"/>
      <c r="G942" s="16"/>
      <c r="H942" s="16"/>
      <c r="I942" s="16"/>
      <c r="J942" s="16"/>
      <c r="K942" s="16"/>
    </row>
    <row r="943">
      <c r="F943" s="16"/>
      <c r="G943" s="16"/>
      <c r="H943" s="16"/>
      <c r="I943" s="16"/>
      <c r="J943" s="16"/>
      <c r="K943" s="16"/>
    </row>
    <row r="944">
      <c r="F944" s="16"/>
      <c r="G944" s="16"/>
      <c r="H944" s="16"/>
      <c r="I944" s="16"/>
      <c r="J944" s="16"/>
      <c r="K944" s="16"/>
    </row>
    <row r="945">
      <c r="F945" s="16"/>
      <c r="G945" s="16"/>
      <c r="H945" s="16"/>
      <c r="I945" s="16"/>
      <c r="J945" s="16"/>
      <c r="K945" s="16"/>
    </row>
    <row r="946">
      <c r="F946" s="16"/>
      <c r="G946" s="16"/>
      <c r="H946" s="16"/>
      <c r="I946" s="16"/>
      <c r="J946" s="16"/>
      <c r="K946" s="16"/>
    </row>
    <row r="947">
      <c r="F947" s="16"/>
      <c r="G947" s="16"/>
      <c r="H947" s="16"/>
      <c r="I947" s="16"/>
      <c r="J947" s="16"/>
      <c r="K947" s="16"/>
    </row>
    <row r="948">
      <c r="F948" s="16"/>
      <c r="G948" s="16"/>
      <c r="H948" s="16"/>
      <c r="I948" s="16"/>
      <c r="J948" s="16"/>
      <c r="K948" s="16"/>
    </row>
    <row r="949">
      <c r="F949" s="16"/>
      <c r="G949" s="16"/>
      <c r="H949" s="16"/>
      <c r="I949" s="16"/>
      <c r="J949" s="16"/>
      <c r="K949" s="16"/>
    </row>
    <row r="950">
      <c r="F950" s="16"/>
      <c r="G950" s="16"/>
      <c r="H950" s="16"/>
      <c r="I950" s="16"/>
      <c r="J950" s="16"/>
      <c r="K950" s="16"/>
    </row>
    <row r="951">
      <c r="F951" s="16"/>
      <c r="G951" s="16"/>
      <c r="H951" s="16"/>
      <c r="I951" s="16"/>
      <c r="J951" s="16"/>
      <c r="K951" s="16"/>
    </row>
    <row r="952">
      <c r="F952" s="16"/>
      <c r="G952" s="16"/>
      <c r="H952" s="16"/>
      <c r="I952" s="16"/>
      <c r="J952" s="16"/>
      <c r="K952" s="16"/>
    </row>
    <row r="953">
      <c r="F953" s="16"/>
      <c r="G953" s="16"/>
      <c r="H953" s="16"/>
      <c r="I953" s="16"/>
      <c r="J953" s="16"/>
      <c r="K953" s="16"/>
    </row>
    <row r="954">
      <c r="F954" s="16"/>
      <c r="G954" s="16"/>
      <c r="H954" s="16"/>
      <c r="I954" s="16"/>
      <c r="J954" s="16"/>
      <c r="K954" s="16"/>
    </row>
    <row r="955">
      <c r="F955" s="16"/>
      <c r="G955" s="16"/>
      <c r="H955" s="16"/>
      <c r="I955" s="16"/>
      <c r="J955" s="16"/>
      <c r="K955" s="16"/>
    </row>
    <row r="956">
      <c r="F956" s="16"/>
      <c r="G956" s="16"/>
      <c r="H956" s="16"/>
      <c r="I956" s="16"/>
      <c r="J956" s="16"/>
      <c r="K956" s="16"/>
    </row>
    <row r="957">
      <c r="F957" s="16"/>
      <c r="G957" s="16"/>
      <c r="H957" s="16"/>
      <c r="I957" s="16"/>
      <c r="J957" s="16"/>
      <c r="K957" s="16"/>
    </row>
    <row r="958">
      <c r="F958" s="16"/>
      <c r="G958" s="16"/>
      <c r="H958" s="16"/>
      <c r="I958" s="16"/>
      <c r="J958" s="16"/>
      <c r="K958" s="16"/>
    </row>
    <row r="959">
      <c r="F959" s="16"/>
      <c r="G959" s="16"/>
      <c r="H959" s="16"/>
      <c r="I959" s="16"/>
      <c r="J959" s="16"/>
      <c r="K959" s="16"/>
    </row>
    <row r="960">
      <c r="F960" s="16"/>
      <c r="G960" s="16"/>
      <c r="H960" s="16"/>
      <c r="I960" s="16"/>
      <c r="J960" s="16"/>
      <c r="K960" s="16"/>
    </row>
    <row r="961">
      <c r="F961" s="16"/>
      <c r="G961" s="16"/>
      <c r="H961" s="16"/>
      <c r="I961" s="16"/>
      <c r="J961" s="16"/>
      <c r="K961" s="16"/>
    </row>
    <row r="962">
      <c r="F962" s="16"/>
      <c r="G962" s="16"/>
      <c r="H962" s="16"/>
      <c r="I962" s="16"/>
      <c r="J962" s="16"/>
      <c r="K962" s="16"/>
    </row>
    <row r="963">
      <c r="F963" s="16"/>
      <c r="G963" s="16"/>
      <c r="H963" s="16"/>
      <c r="I963" s="16"/>
      <c r="J963" s="16"/>
      <c r="K963" s="16"/>
    </row>
    <row r="964">
      <c r="F964" s="16"/>
      <c r="G964" s="16"/>
      <c r="H964" s="16"/>
      <c r="I964" s="16"/>
      <c r="J964" s="16"/>
      <c r="K964" s="16"/>
    </row>
    <row r="965">
      <c r="F965" s="16"/>
      <c r="G965" s="16"/>
      <c r="H965" s="16"/>
      <c r="I965" s="16"/>
      <c r="J965" s="16"/>
      <c r="K965" s="16"/>
    </row>
    <row r="966">
      <c r="F966" s="16"/>
      <c r="G966" s="16"/>
      <c r="H966" s="16"/>
      <c r="I966" s="16"/>
      <c r="J966" s="16"/>
      <c r="K966" s="16"/>
    </row>
    <row r="967">
      <c r="F967" s="16"/>
      <c r="G967" s="16"/>
      <c r="H967" s="16"/>
      <c r="I967" s="16"/>
      <c r="J967" s="16"/>
      <c r="K967" s="16"/>
    </row>
    <row r="968">
      <c r="F968" s="16"/>
      <c r="G968" s="16"/>
      <c r="H968" s="16"/>
      <c r="I968" s="16"/>
      <c r="J968" s="16"/>
      <c r="K968" s="16"/>
    </row>
    <row r="969">
      <c r="F969" s="16"/>
      <c r="G969" s="16"/>
      <c r="H969" s="16"/>
      <c r="I969" s="16"/>
      <c r="J969" s="16"/>
      <c r="K969" s="16"/>
    </row>
    <row r="970">
      <c r="F970" s="16"/>
      <c r="G970" s="16"/>
      <c r="H970" s="16"/>
      <c r="I970" s="16"/>
      <c r="J970" s="16"/>
      <c r="K970" s="16"/>
    </row>
    <row r="971">
      <c r="F971" s="16"/>
      <c r="G971" s="16"/>
      <c r="H971" s="16"/>
      <c r="I971" s="16"/>
      <c r="J971" s="16"/>
      <c r="K971" s="16"/>
    </row>
    <row r="972">
      <c r="F972" s="16"/>
      <c r="G972" s="16"/>
      <c r="H972" s="16"/>
      <c r="I972" s="16"/>
      <c r="J972" s="16"/>
      <c r="K972" s="16"/>
    </row>
    <row r="973">
      <c r="F973" s="16"/>
      <c r="G973" s="16"/>
      <c r="H973" s="16"/>
      <c r="I973" s="16"/>
      <c r="J973" s="16"/>
      <c r="K973" s="16"/>
    </row>
    <row r="974">
      <c r="F974" s="16"/>
      <c r="G974" s="16"/>
      <c r="H974" s="16"/>
      <c r="I974" s="16"/>
      <c r="J974" s="16"/>
      <c r="K974" s="16"/>
    </row>
    <row r="975">
      <c r="F975" s="16"/>
      <c r="G975" s="16"/>
      <c r="H975" s="16"/>
      <c r="I975" s="16"/>
      <c r="J975" s="16"/>
      <c r="K975" s="16"/>
    </row>
    <row r="976">
      <c r="F976" s="16"/>
      <c r="G976" s="16"/>
      <c r="H976" s="16"/>
      <c r="I976" s="16"/>
      <c r="J976" s="16"/>
      <c r="K976" s="16"/>
    </row>
    <row r="977">
      <c r="F977" s="16"/>
      <c r="G977" s="16"/>
      <c r="H977" s="16"/>
      <c r="I977" s="16"/>
      <c r="J977" s="16"/>
      <c r="K977" s="16"/>
    </row>
    <row r="978">
      <c r="F978" s="16"/>
      <c r="G978" s="16"/>
      <c r="H978" s="16"/>
      <c r="I978" s="16"/>
      <c r="J978" s="16"/>
      <c r="K978" s="16"/>
    </row>
    <row r="979">
      <c r="F979" s="16"/>
      <c r="G979" s="16"/>
      <c r="H979" s="16"/>
      <c r="I979" s="16"/>
      <c r="J979" s="16"/>
      <c r="K979" s="16"/>
    </row>
    <row r="980">
      <c r="F980" s="16"/>
      <c r="G980" s="16"/>
      <c r="H980" s="16"/>
      <c r="I980" s="16"/>
      <c r="J980" s="16"/>
      <c r="K980" s="16"/>
    </row>
    <row r="981">
      <c r="F981" s="16"/>
      <c r="G981" s="16"/>
      <c r="H981" s="16"/>
      <c r="I981" s="16"/>
      <c r="J981" s="16"/>
      <c r="K981" s="16"/>
    </row>
    <row r="982">
      <c r="F982" s="16"/>
      <c r="G982" s="16"/>
      <c r="H982" s="16"/>
      <c r="I982" s="16"/>
      <c r="J982" s="16"/>
      <c r="K982" s="16"/>
    </row>
    <row r="983">
      <c r="F983" s="16"/>
      <c r="G983" s="16"/>
      <c r="H983" s="16"/>
      <c r="I983" s="16"/>
      <c r="J983" s="16"/>
      <c r="K983" s="16"/>
    </row>
    <row r="984">
      <c r="F984" s="16"/>
      <c r="G984" s="16"/>
      <c r="H984" s="16"/>
      <c r="I984" s="16"/>
      <c r="J984" s="16"/>
      <c r="K984" s="16"/>
    </row>
    <row r="985">
      <c r="F985" s="16"/>
      <c r="G985" s="16"/>
      <c r="H985" s="16"/>
      <c r="I985" s="16"/>
      <c r="J985" s="16"/>
      <c r="K985" s="16"/>
    </row>
    <row r="986">
      <c r="F986" s="16"/>
      <c r="G986" s="16"/>
      <c r="H986" s="16"/>
      <c r="I986" s="16"/>
      <c r="J986" s="16"/>
      <c r="K986" s="16"/>
    </row>
    <row r="987">
      <c r="F987" s="16"/>
      <c r="G987" s="16"/>
      <c r="H987" s="16"/>
      <c r="I987" s="16"/>
      <c r="J987" s="16"/>
      <c r="K987" s="16"/>
    </row>
    <row r="988">
      <c r="F988" s="16"/>
      <c r="G988" s="16"/>
      <c r="H988" s="16"/>
      <c r="I988" s="16"/>
      <c r="J988" s="16"/>
      <c r="K988" s="16"/>
    </row>
    <row r="989">
      <c r="F989" s="16"/>
      <c r="G989" s="16"/>
      <c r="H989" s="16"/>
      <c r="I989" s="16"/>
      <c r="J989" s="16"/>
      <c r="K989" s="16"/>
    </row>
    <row r="990">
      <c r="F990" s="16"/>
      <c r="G990" s="16"/>
      <c r="H990" s="16"/>
      <c r="I990" s="16"/>
      <c r="J990" s="16"/>
      <c r="K990" s="16"/>
    </row>
    <row r="991">
      <c r="F991" s="16"/>
      <c r="G991" s="16"/>
      <c r="H991" s="16"/>
      <c r="I991" s="16"/>
      <c r="J991" s="16"/>
      <c r="K991" s="16"/>
    </row>
    <row r="992">
      <c r="F992" s="16"/>
      <c r="G992" s="16"/>
      <c r="H992" s="16"/>
      <c r="I992" s="16"/>
      <c r="J992" s="16"/>
      <c r="K992" s="16"/>
    </row>
    <row r="993">
      <c r="F993" s="16"/>
      <c r="G993" s="16"/>
      <c r="H993" s="16"/>
      <c r="I993" s="16"/>
      <c r="J993" s="16"/>
      <c r="K993" s="16"/>
    </row>
    <row r="994">
      <c r="F994" s="16"/>
      <c r="G994" s="16"/>
      <c r="H994" s="16"/>
      <c r="I994" s="16"/>
      <c r="J994" s="16"/>
      <c r="K994" s="16"/>
    </row>
    <row r="995">
      <c r="F995" s="16"/>
      <c r="G995" s="16"/>
      <c r="H995" s="16"/>
      <c r="I995" s="16"/>
      <c r="J995" s="16"/>
      <c r="K995" s="16"/>
    </row>
    <row r="996">
      <c r="F996" s="16"/>
      <c r="G996" s="16"/>
      <c r="H996" s="16"/>
      <c r="I996" s="16"/>
      <c r="J996" s="16"/>
      <c r="K996" s="16"/>
    </row>
    <row r="997">
      <c r="F997" s="16"/>
      <c r="G997" s="16"/>
      <c r="H997" s="16"/>
      <c r="I997" s="16"/>
      <c r="J997" s="16"/>
      <c r="K997" s="16"/>
    </row>
    <row r="998">
      <c r="F998" s="16"/>
      <c r="G998" s="16"/>
      <c r="H998" s="16"/>
      <c r="I998" s="16"/>
      <c r="J998" s="16"/>
      <c r="K998" s="16"/>
    </row>
    <row r="999">
      <c r="F999" s="16"/>
      <c r="G999" s="16"/>
      <c r="H999" s="16"/>
      <c r="I999" s="16"/>
      <c r="J999" s="16"/>
      <c r="K999" s="16"/>
    </row>
    <row r="1000">
      <c r="F1000" s="16"/>
      <c r="G1000" s="16"/>
      <c r="H1000" s="16"/>
      <c r="I1000" s="16"/>
      <c r="J1000" s="16"/>
      <c r="K1000" s="16"/>
    </row>
  </sheetData>
  <mergeCells count="8">
    <mergeCell ref="A1:D1"/>
    <mergeCell ref="F1:K1"/>
    <mergeCell ref="A19:D19"/>
    <mergeCell ref="B21:C21"/>
    <mergeCell ref="B22:C22"/>
    <mergeCell ref="B23:C23"/>
    <mergeCell ref="B28:C28"/>
    <mergeCell ref="B29:C29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2" max="2" width="15.25"/>
    <col customWidth="1" min="4" max="4" width="16.0"/>
    <col customWidth="1" min="7" max="7" width="17.5"/>
    <col customWidth="1" min="11" max="11" width="18.75"/>
  </cols>
  <sheetData>
    <row r="1">
      <c r="A1" s="237" t="s">
        <v>3073</v>
      </c>
    </row>
    <row r="2">
      <c r="A2" s="238" t="s">
        <v>549</v>
      </c>
      <c r="B2" s="238" t="s">
        <v>9</v>
      </c>
      <c r="C2" s="238" t="s">
        <v>11</v>
      </c>
      <c r="D2" s="238" t="s">
        <v>12</v>
      </c>
      <c r="E2" s="238" t="s">
        <v>13</v>
      </c>
      <c r="F2" s="238" t="s">
        <v>14</v>
      </c>
      <c r="G2" s="238" t="s">
        <v>15</v>
      </c>
      <c r="H2" s="238" t="s">
        <v>16</v>
      </c>
      <c r="I2" s="238" t="s">
        <v>17</v>
      </c>
      <c r="J2" s="238" t="s">
        <v>19</v>
      </c>
      <c r="K2" s="238" t="s">
        <v>21</v>
      </c>
      <c r="L2" s="238" t="s">
        <v>23</v>
      </c>
    </row>
    <row r="3">
      <c r="A3" s="9" t="s">
        <v>3087</v>
      </c>
      <c r="B3" s="9" t="s">
        <v>3089</v>
      </c>
      <c r="C3" s="9" t="s">
        <v>3091</v>
      </c>
      <c r="D3" s="9" t="s">
        <v>596</v>
      </c>
      <c r="E3" s="9" t="s">
        <v>3094</v>
      </c>
      <c r="F3" s="9" t="s">
        <v>3095</v>
      </c>
      <c r="G3" s="9" t="s">
        <v>3097</v>
      </c>
      <c r="H3" s="9" t="s">
        <v>3098</v>
      </c>
      <c r="I3" s="9" t="s">
        <v>797</v>
      </c>
      <c r="J3" s="9" t="s">
        <v>3101</v>
      </c>
      <c r="K3" s="9" t="s">
        <v>3103</v>
      </c>
      <c r="L3" s="9" t="s">
        <v>2962</v>
      </c>
    </row>
    <row r="5">
      <c r="A5" s="237" t="s">
        <v>2848</v>
      </c>
      <c r="D5" s="237" t="s">
        <v>2849</v>
      </c>
    </row>
    <row r="6">
      <c r="A6" s="4" t="s">
        <v>3109</v>
      </c>
      <c r="B6" s="4" t="s">
        <v>3110</v>
      </c>
      <c r="D6" s="4" t="s">
        <v>3109</v>
      </c>
      <c r="E6" s="4" t="s">
        <v>3110</v>
      </c>
    </row>
    <row r="7">
      <c r="A7" s="239" t="s">
        <v>3103</v>
      </c>
      <c r="B7" s="9" t="s">
        <v>21</v>
      </c>
      <c r="D7" s="9" t="s">
        <v>3116</v>
      </c>
      <c r="E7" s="9" t="s">
        <v>549</v>
      </c>
    </row>
    <row r="8">
      <c r="A8" s="9" t="s">
        <v>797</v>
      </c>
      <c r="B8" s="9" t="s">
        <v>17</v>
      </c>
      <c r="D8" s="9" t="s">
        <v>3120</v>
      </c>
      <c r="E8" s="9" t="s">
        <v>9</v>
      </c>
    </row>
    <row r="9">
      <c r="A9" s="9" t="s">
        <v>3123</v>
      </c>
      <c r="B9" s="9" t="s">
        <v>19</v>
      </c>
      <c r="D9" s="9" t="s">
        <v>3124</v>
      </c>
      <c r="E9" s="9" t="s">
        <v>11</v>
      </c>
    </row>
    <row r="10">
      <c r="A10" s="239" t="s">
        <v>3126</v>
      </c>
      <c r="B10" s="9" t="s">
        <v>16</v>
      </c>
      <c r="D10" s="9" t="s">
        <v>3095</v>
      </c>
      <c r="E10" s="9" t="s">
        <v>14</v>
      </c>
    </row>
    <row r="11">
      <c r="A11" s="9" t="s">
        <v>629</v>
      </c>
      <c r="B11" s="9" t="s">
        <v>13</v>
      </c>
      <c r="D11" s="9" t="s">
        <v>3097</v>
      </c>
      <c r="E11" s="9" t="s">
        <v>15</v>
      </c>
    </row>
    <row r="12">
      <c r="A12" s="9" t="s">
        <v>3000</v>
      </c>
      <c r="B12" s="9" t="s">
        <v>12</v>
      </c>
      <c r="D12" s="9" t="s">
        <v>2962</v>
      </c>
      <c r="E12" s="9" t="s">
        <v>23</v>
      </c>
    </row>
    <row r="14">
      <c r="A14" s="237" t="s">
        <v>2879</v>
      </c>
      <c r="C14" s="4" t="s">
        <v>2883</v>
      </c>
      <c r="D14" s="237" t="s">
        <v>2952</v>
      </c>
      <c r="F14" s="4" t="s">
        <v>2883</v>
      </c>
      <c r="G14" s="237" t="s">
        <v>3139</v>
      </c>
      <c r="I14" s="4" t="s">
        <v>2883</v>
      </c>
    </row>
    <row r="15">
      <c r="A15" s="14" t="s">
        <v>3141</v>
      </c>
      <c r="C15" s="16"/>
      <c r="D15" s="14" t="s">
        <v>3141</v>
      </c>
      <c r="F15" s="16"/>
      <c r="G15" s="14" t="s">
        <v>3143</v>
      </c>
    </row>
    <row r="16">
      <c r="A16" s="9" t="s">
        <v>3144</v>
      </c>
      <c r="B16" s="241">
        <v>0.8333333333333334</v>
      </c>
      <c r="C16" s="9" t="s">
        <v>797</v>
      </c>
      <c r="D16" s="9" t="s">
        <v>3147</v>
      </c>
      <c r="E16" s="241">
        <v>0.8402777777777778</v>
      </c>
      <c r="F16" s="9" t="s">
        <v>3120</v>
      </c>
      <c r="G16" s="9" t="s">
        <v>3148</v>
      </c>
      <c r="H16" s="242">
        <v>0.8333333333333334</v>
      </c>
      <c r="I16" s="19" t="s">
        <v>3000</v>
      </c>
    </row>
    <row r="17">
      <c r="A17" s="9" t="s">
        <v>3149</v>
      </c>
      <c r="B17" s="241">
        <v>0.8472222222222222</v>
      </c>
      <c r="C17" s="9" t="s">
        <v>3150</v>
      </c>
      <c r="D17" s="9" t="s">
        <v>3151</v>
      </c>
      <c r="E17" s="241">
        <v>0.8541666666666666</v>
      </c>
      <c r="F17" s="9" t="s">
        <v>3152</v>
      </c>
      <c r="G17" s="9" t="s">
        <v>3153</v>
      </c>
      <c r="H17" s="242">
        <v>0.8472222222222222</v>
      </c>
      <c r="I17" s="19" t="s">
        <v>3123</v>
      </c>
    </row>
    <row r="18">
      <c r="A18" s="9" t="s">
        <v>3155</v>
      </c>
      <c r="B18" s="241">
        <v>0.8611111111111112</v>
      </c>
      <c r="C18" s="9" t="s">
        <v>3000</v>
      </c>
      <c r="D18" s="9" t="s">
        <v>3156</v>
      </c>
      <c r="E18" s="241">
        <v>0.8680555555555556</v>
      </c>
      <c r="F18" s="9" t="s">
        <v>2962</v>
      </c>
      <c r="G18" s="9" t="s">
        <v>3157</v>
      </c>
      <c r="H18" s="242">
        <v>0.8611111111111112</v>
      </c>
      <c r="I18" s="19" t="s">
        <v>629</v>
      </c>
    </row>
    <row r="19">
      <c r="A19" s="9" t="s">
        <v>3158</v>
      </c>
      <c r="B19" s="241">
        <v>0.875</v>
      </c>
      <c r="C19" s="9" t="s">
        <v>3123</v>
      </c>
      <c r="D19" s="9" t="s">
        <v>3159</v>
      </c>
      <c r="E19" s="241">
        <v>0.8819444444444444</v>
      </c>
      <c r="F19" s="9" t="s">
        <v>3116</v>
      </c>
      <c r="G19" s="9" t="s">
        <v>3160</v>
      </c>
      <c r="H19" s="242">
        <v>0.875</v>
      </c>
      <c r="I19" s="19" t="s">
        <v>797</v>
      </c>
    </row>
    <row r="20">
      <c r="A20" s="9" t="s">
        <v>3161</v>
      </c>
      <c r="B20" s="241">
        <v>0.8888888888888888</v>
      </c>
      <c r="C20" s="9" t="s">
        <v>629</v>
      </c>
      <c r="D20" s="9" t="s">
        <v>3162</v>
      </c>
      <c r="E20" s="241">
        <v>0.8958333333333334</v>
      </c>
      <c r="F20" s="9" t="s">
        <v>3120</v>
      </c>
    </row>
    <row r="21">
      <c r="A21" s="9" t="s">
        <v>3164</v>
      </c>
      <c r="B21" s="241">
        <v>0.9027777777777778</v>
      </c>
      <c r="C21" s="9" t="s">
        <v>3000</v>
      </c>
      <c r="D21" s="9" t="s">
        <v>3166</v>
      </c>
      <c r="E21" s="241">
        <v>0.9097222222222222</v>
      </c>
      <c r="F21" s="9" t="s">
        <v>3095</v>
      </c>
      <c r="G21" s="237" t="s">
        <v>3167</v>
      </c>
      <c r="I21" s="4" t="s">
        <v>2883</v>
      </c>
      <c r="J21" s="237" t="s">
        <v>3169</v>
      </c>
      <c r="L21" s="4" t="s">
        <v>2883</v>
      </c>
    </row>
    <row r="22">
      <c r="A22" s="9" t="s">
        <v>3170</v>
      </c>
      <c r="B22" s="241">
        <v>0.9166666666666666</v>
      </c>
      <c r="C22" s="9" t="s">
        <v>3103</v>
      </c>
      <c r="D22" s="9" t="s">
        <v>3171</v>
      </c>
      <c r="E22" s="241">
        <v>0.9236111111111112</v>
      </c>
      <c r="F22" s="9" t="s">
        <v>3097</v>
      </c>
      <c r="G22" s="14" t="s">
        <v>3143</v>
      </c>
      <c r="J22" s="14" t="s">
        <v>3173</v>
      </c>
    </row>
    <row r="23">
      <c r="A23" s="9" t="s">
        <v>3175</v>
      </c>
      <c r="B23" s="241">
        <v>0.9305555555555556</v>
      </c>
      <c r="C23" s="9" t="s">
        <v>3123</v>
      </c>
      <c r="D23" s="9" t="s">
        <v>3176</v>
      </c>
      <c r="E23" s="241">
        <v>0.9375</v>
      </c>
      <c r="F23" s="9" t="s">
        <v>3120</v>
      </c>
      <c r="G23" s="19" t="s">
        <v>3178</v>
      </c>
      <c r="H23" s="241">
        <v>0.8888888888888888</v>
      </c>
      <c r="I23" s="19" t="s">
        <v>3000</v>
      </c>
      <c r="J23" s="19" t="s">
        <v>3179</v>
      </c>
      <c r="K23" s="242">
        <v>0.8333333333333334</v>
      </c>
      <c r="L23" s="19" t="s">
        <v>797</v>
      </c>
    </row>
    <row r="24">
      <c r="A24" s="14" t="s">
        <v>3180</v>
      </c>
      <c r="C24" s="16"/>
      <c r="D24" s="14" t="s">
        <v>3180</v>
      </c>
      <c r="F24" s="16"/>
      <c r="G24" s="19" t="s">
        <v>3161</v>
      </c>
      <c r="H24" s="241">
        <v>0.9027777777777778</v>
      </c>
      <c r="I24" s="19" t="s">
        <v>797</v>
      </c>
    </row>
    <row r="25">
      <c r="A25" s="9" t="s">
        <v>3184</v>
      </c>
      <c r="B25" s="241">
        <v>0.8333333333333334</v>
      </c>
      <c r="C25" s="9" t="s">
        <v>3103</v>
      </c>
      <c r="D25" s="9" t="s">
        <v>3186</v>
      </c>
      <c r="E25" s="241">
        <v>0.8402777777777778</v>
      </c>
      <c r="F25" s="9" t="s">
        <v>3116</v>
      </c>
      <c r="G25" s="14" t="s">
        <v>3188</v>
      </c>
    </row>
    <row r="26">
      <c r="A26" s="9" t="s">
        <v>3189</v>
      </c>
      <c r="B26" s="241">
        <v>0.8472222222222222</v>
      </c>
      <c r="C26" s="9" t="s">
        <v>629</v>
      </c>
      <c r="D26" s="9" t="s">
        <v>3190</v>
      </c>
      <c r="E26" s="241">
        <v>0.8541666666666666</v>
      </c>
      <c r="F26" s="9" t="s">
        <v>3097</v>
      </c>
    </row>
    <row r="27">
      <c r="A27" s="9" t="s">
        <v>3193</v>
      </c>
      <c r="B27" s="241">
        <v>0.8611111111111112</v>
      </c>
      <c r="C27" s="9" t="s">
        <v>797</v>
      </c>
      <c r="D27" s="9" t="s">
        <v>3195</v>
      </c>
      <c r="E27" s="241">
        <v>0.8680555555555556</v>
      </c>
      <c r="F27" s="9" t="s">
        <v>3120</v>
      </c>
    </row>
    <row r="28">
      <c r="A28" s="9" t="s">
        <v>3197</v>
      </c>
      <c r="B28" s="241">
        <v>0.875</v>
      </c>
      <c r="C28" s="9" t="s">
        <v>3000</v>
      </c>
      <c r="D28" s="9" t="s">
        <v>3198</v>
      </c>
      <c r="E28" s="241">
        <v>0.8819444444444444</v>
      </c>
      <c r="F28" s="9" t="s">
        <v>2962</v>
      </c>
    </row>
    <row r="29">
      <c r="A29" s="9" t="s">
        <v>3199</v>
      </c>
      <c r="B29" s="241">
        <v>0.8888888888888888</v>
      </c>
      <c r="C29" s="9" t="s">
        <v>3150</v>
      </c>
      <c r="D29" s="9" t="s">
        <v>3200</v>
      </c>
      <c r="E29" s="241">
        <v>0.8958333333333334</v>
      </c>
      <c r="F29" s="9" t="s">
        <v>3116</v>
      </c>
    </row>
    <row r="30">
      <c r="A30" s="9" t="s">
        <v>3203</v>
      </c>
      <c r="B30" s="241">
        <v>0.9027777777777778</v>
      </c>
      <c r="C30" s="9" t="s">
        <v>3123</v>
      </c>
      <c r="D30" s="9" t="s">
        <v>3205</v>
      </c>
      <c r="E30" s="241">
        <v>0.9097222222222222</v>
      </c>
      <c r="F30" s="9" t="s">
        <v>3152</v>
      </c>
    </row>
    <row r="31">
      <c r="A31" s="9" t="s">
        <v>3206</v>
      </c>
      <c r="B31" s="241">
        <v>0.9166666666666666</v>
      </c>
      <c r="C31" s="9" t="s">
        <v>3000</v>
      </c>
      <c r="D31" s="9" t="s">
        <v>3208</v>
      </c>
      <c r="E31" s="241">
        <v>0.9236111111111112</v>
      </c>
      <c r="F31" s="9" t="s">
        <v>3120</v>
      </c>
    </row>
    <row r="32">
      <c r="A32" s="14" t="s">
        <v>3188</v>
      </c>
    </row>
  </sheetData>
  <mergeCells count="17">
    <mergeCell ref="A1:L1"/>
    <mergeCell ref="A5:B5"/>
    <mergeCell ref="D5:E5"/>
    <mergeCell ref="A14:B14"/>
    <mergeCell ref="D14:E14"/>
    <mergeCell ref="A15:B15"/>
    <mergeCell ref="D15:E15"/>
    <mergeCell ref="D24:E24"/>
    <mergeCell ref="G25:K25"/>
    <mergeCell ref="A32:E32"/>
    <mergeCell ref="G14:H14"/>
    <mergeCell ref="G15:H15"/>
    <mergeCell ref="G21:H21"/>
    <mergeCell ref="J21:K21"/>
    <mergeCell ref="G22:H22"/>
    <mergeCell ref="J22:K22"/>
    <mergeCell ref="A24:B2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244" t="s">
        <v>3270</v>
      </c>
    </row>
    <row r="2">
      <c r="A2" s="86" t="s">
        <v>3271</v>
      </c>
    </row>
    <row r="3">
      <c r="A3" s="245" t="s">
        <v>3272</v>
      </c>
    </row>
    <row r="4">
      <c r="A4" s="9" t="s">
        <v>3109</v>
      </c>
      <c r="B4" s="9" t="s">
        <v>3110</v>
      </c>
      <c r="C4" s="9" t="s">
        <v>3274</v>
      </c>
      <c r="D4" s="9" t="s">
        <v>3275</v>
      </c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49" t="s">
        <v>681</v>
      </c>
      <c r="B5" s="149" t="s">
        <v>23</v>
      </c>
      <c r="C5" s="149" t="s">
        <v>587</v>
      </c>
      <c r="D5" s="149" t="s">
        <v>3276</v>
      </c>
    </row>
    <row r="6">
      <c r="A6" s="149" t="s">
        <v>349</v>
      </c>
      <c r="B6" s="149" t="s">
        <v>11</v>
      </c>
      <c r="C6" s="149" t="s">
        <v>579</v>
      </c>
      <c r="D6" s="149" t="s">
        <v>3277</v>
      </c>
    </row>
    <row r="8">
      <c r="A8" s="86" t="s">
        <v>3278</v>
      </c>
    </row>
    <row r="9">
      <c r="A9" s="245" t="s">
        <v>3279</v>
      </c>
    </row>
    <row r="10">
      <c r="A10" s="9" t="s">
        <v>3109</v>
      </c>
      <c r="B10" s="9" t="s">
        <v>3110</v>
      </c>
      <c r="C10" s="9" t="s">
        <v>3274</v>
      </c>
      <c r="D10" s="9" t="s">
        <v>3275</v>
      </c>
    </row>
    <row r="11">
      <c r="A11" s="149" t="s">
        <v>3280</v>
      </c>
      <c r="B11" s="149" t="s">
        <v>12</v>
      </c>
      <c r="C11" s="149" t="s">
        <v>587</v>
      </c>
      <c r="D11" s="149" t="s">
        <v>3281</v>
      </c>
    </row>
    <row r="12">
      <c r="A12" s="149" t="s">
        <v>662</v>
      </c>
      <c r="B12" s="149" t="s">
        <v>12</v>
      </c>
      <c r="C12" s="149" t="s">
        <v>579</v>
      </c>
      <c r="D12" s="149" t="s">
        <v>3282</v>
      </c>
    </row>
  </sheetData>
  <mergeCells count="5">
    <mergeCell ref="A1:D1"/>
    <mergeCell ref="A2:D2"/>
    <mergeCell ref="A3:D3"/>
    <mergeCell ref="A8:D8"/>
    <mergeCell ref="A9:D9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0"/>
    <col customWidth="1" min="2" max="2" width="31.25"/>
    <col customWidth="1" min="3" max="3" width="38.63"/>
    <col customWidth="1" min="4" max="4" width="43.25"/>
    <col customWidth="1" min="5" max="5" width="30.75"/>
    <col customWidth="1" min="6" max="6" width="16.63"/>
    <col customWidth="1" min="7" max="7" width="19.88"/>
  </cols>
  <sheetData>
    <row r="1">
      <c r="A1" s="246" t="s">
        <v>3284</v>
      </c>
    </row>
    <row r="2">
      <c r="A2" s="14" t="s">
        <v>549</v>
      </c>
      <c r="B2" s="14" t="s">
        <v>9</v>
      </c>
      <c r="C2" s="14" t="s">
        <v>21</v>
      </c>
      <c r="D2" s="14" t="s">
        <v>17</v>
      </c>
      <c r="E2" s="14" t="s">
        <v>23</v>
      </c>
      <c r="F2" s="14" t="s">
        <v>3285</v>
      </c>
    </row>
    <row r="3">
      <c r="A3" s="19" t="s">
        <v>2089</v>
      </c>
      <c r="B3" s="19" t="s">
        <v>1091</v>
      </c>
      <c r="C3" s="19" t="s">
        <v>2670</v>
      </c>
      <c r="D3" s="19" t="s">
        <v>1960</v>
      </c>
      <c r="E3" s="19" t="s">
        <v>2972</v>
      </c>
      <c r="F3" s="19" t="s">
        <v>258</v>
      </c>
    </row>
    <row r="4">
      <c r="A4" s="19" t="s">
        <v>2100</v>
      </c>
      <c r="B4" s="19" t="s">
        <v>1232</v>
      </c>
      <c r="C4" s="19" t="s">
        <v>3286</v>
      </c>
      <c r="D4" s="19" t="s">
        <v>1806</v>
      </c>
      <c r="E4" s="19" t="s">
        <v>3287</v>
      </c>
      <c r="F4" s="19" t="s">
        <v>1176</v>
      </c>
    </row>
    <row r="5">
      <c r="A5" s="19" t="s">
        <v>3288</v>
      </c>
      <c r="B5" s="19" t="s">
        <v>3289</v>
      </c>
      <c r="C5" s="19" t="s">
        <v>3290</v>
      </c>
      <c r="D5" s="19" t="s">
        <v>3291</v>
      </c>
      <c r="E5" s="19" t="s">
        <v>2981</v>
      </c>
      <c r="F5" s="19" t="s">
        <v>3292</v>
      </c>
    </row>
    <row r="6">
      <c r="A6" s="19" t="s">
        <v>3293</v>
      </c>
      <c r="B6" s="19" t="s">
        <v>1262</v>
      </c>
      <c r="C6" s="19" t="s">
        <v>2693</v>
      </c>
      <c r="D6" s="19" t="s">
        <v>3294</v>
      </c>
      <c r="E6" s="19" t="s">
        <v>3295</v>
      </c>
      <c r="F6" s="19" t="s">
        <v>3296</v>
      </c>
    </row>
    <row r="7">
      <c r="A7" s="19" t="s">
        <v>3297</v>
      </c>
      <c r="B7" s="19" t="s">
        <v>3298</v>
      </c>
      <c r="C7" s="19" t="s">
        <v>3299</v>
      </c>
      <c r="D7" s="19" t="s">
        <v>3300</v>
      </c>
      <c r="E7" s="19" t="s">
        <v>3251</v>
      </c>
      <c r="F7" s="19" t="s">
        <v>704</v>
      </c>
    </row>
    <row r="8">
      <c r="A8" s="19" t="s">
        <v>3301</v>
      </c>
      <c r="B8" s="19" t="s">
        <v>3302</v>
      </c>
      <c r="C8" s="19" t="s">
        <v>3303</v>
      </c>
      <c r="D8" s="19" t="s">
        <v>3304</v>
      </c>
      <c r="E8" s="19" t="s">
        <v>3305</v>
      </c>
      <c r="F8" s="19" t="s">
        <v>3306</v>
      </c>
      <c r="H8" s="75">
        <f>8+9+12+10+11+10+15+7+6+14+2+2</f>
        <v>106</v>
      </c>
    </row>
    <row r="9">
      <c r="A9" s="19" t="s">
        <v>3307</v>
      </c>
      <c r="B9" s="19" t="s">
        <v>3308</v>
      </c>
      <c r="C9" s="19" t="s">
        <v>3309</v>
      </c>
      <c r="D9" s="19" t="s">
        <v>3310</v>
      </c>
      <c r="E9" s="19" t="s">
        <v>3311</v>
      </c>
      <c r="F9" s="19" t="s">
        <v>3312</v>
      </c>
    </row>
    <row r="10">
      <c r="A10" s="19" t="s">
        <v>3313</v>
      </c>
      <c r="B10" s="19" t="s">
        <v>3314</v>
      </c>
      <c r="C10" s="19" t="s">
        <v>3315</v>
      </c>
      <c r="D10" s="19" t="s">
        <v>3316</v>
      </c>
      <c r="E10" s="19" t="s">
        <v>3317</v>
      </c>
      <c r="F10" s="19" t="s">
        <v>3318</v>
      </c>
    </row>
    <row r="11">
      <c r="B11" s="19" t="s">
        <v>3319</v>
      </c>
      <c r="C11" s="19" t="s">
        <v>3320</v>
      </c>
      <c r="D11" s="19" t="s">
        <v>3321</v>
      </c>
      <c r="E11" s="19" t="s">
        <v>3322</v>
      </c>
      <c r="F11" s="19" t="s">
        <v>3323</v>
      </c>
    </row>
    <row r="12">
      <c r="C12" s="19" t="s">
        <v>3324</v>
      </c>
      <c r="D12" s="19" t="s">
        <v>1234</v>
      </c>
      <c r="E12" s="19" t="s">
        <v>3325</v>
      </c>
      <c r="F12" s="19" t="s">
        <v>3326</v>
      </c>
    </row>
    <row r="13">
      <c r="C13" s="19" t="s">
        <v>3327</v>
      </c>
      <c r="E13" s="19" t="s">
        <v>3328</v>
      </c>
    </row>
    <row r="14">
      <c r="C14" s="19" t="s">
        <v>3329</v>
      </c>
    </row>
    <row r="16">
      <c r="A16" s="14" t="s">
        <v>16</v>
      </c>
      <c r="B16" s="14" t="s">
        <v>13</v>
      </c>
      <c r="C16" s="14" t="s">
        <v>22</v>
      </c>
      <c r="D16" s="14" t="s">
        <v>15</v>
      </c>
      <c r="E16" s="14" t="s">
        <v>3330</v>
      </c>
      <c r="F16" s="14" t="s">
        <v>14</v>
      </c>
    </row>
    <row r="17">
      <c r="A17" s="19" t="s">
        <v>1686</v>
      </c>
      <c r="B17" s="19" t="s">
        <v>1360</v>
      </c>
      <c r="C17" s="19" t="s">
        <v>3331</v>
      </c>
      <c r="D17" s="19" t="s">
        <v>3332</v>
      </c>
      <c r="E17" s="19" t="s">
        <v>3333</v>
      </c>
      <c r="F17" s="19" t="s">
        <v>1317</v>
      </c>
    </row>
    <row r="18">
      <c r="A18" s="19" t="s">
        <v>1770</v>
      </c>
      <c r="B18" s="19" t="s">
        <v>1362</v>
      </c>
      <c r="C18" s="19" t="s">
        <v>3334</v>
      </c>
      <c r="D18" s="19" t="s">
        <v>3335</v>
      </c>
      <c r="E18" s="19" t="s">
        <v>3336</v>
      </c>
      <c r="F18" s="19" t="s">
        <v>1244</v>
      </c>
    </row>
    <row r="19">
      <c r="A19" s="19" t="s">
        <v>1942</v>
      </c>
      <c r="B19" s="19" t="s">
        <v>1273</v>
      </c>
      <c r="C19" s="19" t="s">
        <v>3337</v>
      </c>
      <c r="D19" s="19" t="s">
        <v>3338</v>
      </c>
      <c r="E19" s="19" t="s">
        <v>3339</v>
      </c>
    </row>
    <row r="20">
      <c r="A20" s="19" t="s">
        <v>3340</v>
      </c>
      <c r="B20" s="19" t="s">
        <v>3341</v>
      </c>
      <c r="C20" s="19" t="s">
        <v>3342</v>
      </c>
      <c r="D20" s="19" t="s">
        <v>3343</v>
      </c>
      <c r="E20" s="19" t="s">
        <v>3344</v>
      </c>
    </row>
    <row r="21">
      <c r="A21" s="19" t="s">
        <v>3345</v>
      </c>
      <c r="B21" s="19" t="s">
        <v>3346</v>
      </c>
      <c r="C21" s="19" t="s">
        <v>3347</v>
      </c>
      <c r="D21" s="19" t="s">
        <v>3348</v>
      </c>
    </row>
    <row r="22">
      <c r="A22" s="19" t="s">
        <v>3349</v>
      </c>
      <c r="B22" s="19" t="s">
        <v>3350</v>
      </c>
      <c r="C22" s="19" t="s">
        <v>3351</v>
      </c>
      <c r="D22" s="19" t="s">
        <v>3352</v>
      </c>
    </row>
    <row r="23">
      <c r="A23" s="19" t="s">
        <v>3353</v>
      </c>
      <c r="B23" s="19" t="s">
        <v>3354</v>
      </c>
      <c r="D23" s="19" t="s">
        <v>3355</v>
      </c>
    </row>
    <row r="24">
      <c r="A24" s="19" t="s">
        <v>3356</v>
      </c>
      <c r="D24" s="19" t="s">
        <v>3357</v>
      </c>
    </row>
    <row r="25">
      <c r="A25" s="19" t="s">
        <v>3358</v>
      </c>
      <c r="D25" s="19" t="s">
        <v>3359</v>
      </c>
    </row>
    <row r="26">
      <c r="A26" s="19" t="s">
        <v>3360</v>
      </c>
      <c r="D26" s="19" t="s">
        <v>3361</v>
      </c>
    </row>
    <row r="27">
      <c r="A27" s="19" t="s">
        <v>3362</v>
      </c>
      <c r="D27" s="19" t="s">
        <v>3363</v>
      </c>
    </row>
    <row r="28">
      <c r="A28" s="19" t="s">
        <v>3364</v>
      </c>
      <c r="D28" s="19" t="s">
        <v>3365</v>
      </c>
    </row>
    <row r="29">
      <c r="A29" s="19" t="s">
        <v>3366</v>
      </c>
      <c r="D29" s="19" t="s">
        <v>3367</v>
      </c>
    </row>
    <row r="30">
      <c r="A30" s="19" t="s">
        <v>3368</v>
      </c>
      <c r="D30" s="19" t="s">
        <v>3369</v>
      </c>
    </row>
    <row r="31">
      <c r="A31" s="19" t="s">
        <v>3370</v>
      </c>
    </row>
    <row r="33">
      <c r="A33" s="246" t="s">
        <v>3371</v>
      </c>
    </row>
    <row r="34">
      <c r="A34" s="86" t="s">
        <v>526</v>
      </c>
      <c r="B34" s="86" t="s">
        <v>528</v>
      </c>
      <c r="C34" s="86" t="s">
        <v>529</v>
      </c>
      <c r="D34" s="86" t="s">
        <v>531</v>
      </c>
      <c r="E34" s="86" t="s">
        <v>533</v>
      </c>
    </row>
    <row r="35">
      <c r="A35" s="60" t="s">
        <v>3372</v>
      </c>
      <c r="B35" s="60" t="s">
        <v>3373</v>
      </c>
      <c r="C35" s="60" t="s">
        <v>3374</v>
      </c>
      <c r="D35" s="60" t="s">
        <v>3375</v>
      </c>
      <c r="E35" s="60" t="s">
        <v>3376</v>
      </c>
    </row>
    <row r="36">
      <c r="A36" s="60" t="s">
        <v>3377</v>
      </c>
      <c r="B36" s="60" t="s">
        <v>3378</v>
      </c>
      <c r="C36" s="60" t="s">
        <v>3380</v>
      </c>
      <c r="D36" s="60" t="s">
        <v>3381</v>
      </c>
      <c r="E36" s="60" t="s">
        <v>3382</v>
      </c>
    </row>
    <row r="37">
      <c r="A37" s="19" t="s">
        <v>3383</v>
      </c>
      <c r="B37" s="19" t="s">
        <v>3384</v>
      </c>
      <c r="C37" s="19" t="s">
        <v>3385</v>
      </c>
      <c r="D37" s="19" t="s">
        <v>3386</v>
      </c>
      <c r="E37" s="19" t="s">
        <v>3387</v>
      </c>
    </row>
    <row r="38">
      <c r="A38" s="247" t="s">
        <v>3388</v>
      </c>
      <c r="B38" s="19" t="s">
        <v>3389</v>
      </c>
      <c r="C38" s="247" t="s">
        <v>3391</v>
      </c>
      <c r="D38" s="247" t="s">
        <v>3392</v>
      </c>
      <c r="E38" s="19" t="s">
        <v>3394</v>
      </c>
    </row>
    <row r="39">
      <c r="A39" s="19" t="s">
        <v>3395</v>
      </c>
      <c r="B39" s="19" t="s">
        <v>3397</v>
      </c>
      <c r="C39" s="19" t="s">
        <v>3399</v>
      </c>
      <c r="D39" s="19" t="s">
        <v>3401</v>
      </c>
      <c r="E39" s="19" t="s">
        <v>3402</v>
      </c>
    </row>
    <row r="40">
      <c r="A40" s="19" t="s">
        <v>3403</v>
      </c>
      <c r="B40" s="19" t="s">
        <v>3404</v>
      </c>
      <c r="C40" s="19" t="s">
        <v>3406</v>
      </c>
      <c r="D40" s="19" t="s">
        <v>3407</v>
      </c>
      <c r="E40" s="19" t="s">
        <v>3408</v>
      </c>
    </row>
    <row r="41">
      <c r="A41" s="19" t="s">
        <v>3410</v>
      </c>
      <c r="B41" s="247" t="s">
        <v>3411</v>
      </c>
      <c r="C41" s="19" t="s">
        <v>3413</v>
      </c>
      <c r="D41" s="19" t="s">
        <v>3414</v>
      </c>
      <c r="E41" s="19" t="s">
        <v>3416</v>
      </c>
    </row>
    <row r="42">
      <c r="A42" s="19" t="s">
        <v>3420</v>
      </c>
      <c r="B42" s="19" t="s">
        <v>3422</v>
      </c>
      <c r="C42" s="232" t="s">
        <v>3425</v>
      </c>
      <c r="D42" s="19" t="s">
        <v>3428</v>
      </c>
      <c r="E42" s="19" t="s">
        <v>3431</v>
      </c>
    </row>
    <row r="43">
      <c r="A43" s="19" t="s">
        <v>3433</v>
      </c>
      <c r="B43" s="19" t="s">
        <v>3435</v>
      </c>
      <c r="C43" s="19" t="s">
        <v>3437</v>
      </c>
      <c r="D43" s="19" t="s">
        <v>3440</v>
      </c>
      <c r="E43" s="19" t="s">
        <v>3441</v>
      </c>
    </row>
    <row r="44">
      <c r="A44" s="19" t="s">
        <v>3445</v>
      </c>
      <c r="B44" s="232" t="s">
        <v>3446</v>
      </c>
      <c r="C44" s="19" t="s">
        <v>3449</v>
      </c>
      <c r="D44" s="19" t="s">
        <v>3451</v>
      </c>
      <c r="E44" s="19" t="s">
        <v>3453</v>
      </c>
    </row>
    <row r="45">
      <c r="A45" s="19" t="s">
        <v>3456</v>
      </c>
      <c r="B45" s="19" t="s">
        <v>3458</v>
      </c>
      <c r="C45" s="19" t="s">
        <v>3460</v>
      </c>
      <c r="D45" s="19" t="s">
        <v>3461</v>
      </c>
      <c r="E45" s="19" t="s">
        <v>3463</v>
      </c>
    </row>
    <row r="46">
      <c r="A46" s="19" t="s">
        <v>3465</v>
      </c>
      <c r="B46" s="19" t="s">
        <v>3467</v>
      </c>
      <c r="C46" s="19" t="s">
        <v>3469</v>
      </c>
      <c r="D46" s="19" t="s">
        <v>3470</v>
      </c>
      <c r="E46" s="19" t="s">
        <v>3472</v>
      </c>
    </row>
    <row r="47">
      <c r="A47" s="19" t="s">
        <v>3474</v>
      </c>
      <c r="B47" s="19" t="s">
        <v>3475</v>
      </c>
      <c r="C47" s="19" t="s">
        <v>3476</v>
      </c>
      <c r="D47" s="232" t="s">
        <v>3478</v>
      </c>
      <c r="E47" s="19" t="s">
        <v>3480</v>
      </c>
    </row>
    <row r="48">
      <c r="A48" s="247" t="s">
        <v>3481</v>
      </c>
      <c r="B48" s="19" t="s">
        <v>3483</v>
      </c>
      <c r="C48" s="19" t="s">
        <v>3485</v>
      </c>
      <c r="D48" s="19" t="s">
        <v>3487</v>
      </c>
      <c r="E48" s="232" t="s">
        <v>3488</v>
      </c>
    </row>
    <row r="49">
      <c r="A49" s="19" t="s">
        <v>3489</v>
      </c>
      <c r="B49" s="247" t="s">
        <v>3490</v>
      </c>
      <c r="C49" s="19" t="s">
        <v>3491</v>
      </c>
      <c r="D49" s="247" t="s">
        <v>3492</v>
      </c>
      <c r="E49" s="19" t="s">
        <v>3493</v>
      </c>
    </row>
    <row r="50">
      <c r="A50" s="19" t="s">
        <v>3494</v>
      </c>
      <c r="B50" s="19" t="s">
        <v>3495</v>
      </c>
      <c r="C50" s="19" t="s">
        <v>3496</v>
      </c>
      <c r="D50" s="19" t="s">
        <v>3497</v>
      </c>
    </row>
    <row r="51">
      <c r="A51" s="19" t="s">
        <v>3498</v>
      </c>
      <c r="C51" s="19" t="s">
        <v>3499</v>
      </c>
      <c r="D51" s="19" t="s">
        <v>3500</v>
      </c>
    </row>
    <row r="52">
      <c r="D52" s="19" t="s">
        <v>3501</v>
      </c>
    </row>
    <row r="54">
      <c r="A54" s="211" t="s">
        <v>3502</v>
      </c>
    </row>
    <row r="55">
      <c r="A55" s="248" t="s">
        <v>2882</v>
      </c>
      <c r="B55" s="248" t="s">
        <v>3045</v>
      </c>
      <c r="C55" s="248" t="s">
        <v>2883</v>
      </c>
      <c r="D55" s="248" t="s">
        <v>64</v>
      </c>
      <c r="E55" s="248" t="s">
        <v>3051</v>
      </c>
      <c r="F55" s="248" t="s">
        <v>587</v>
      </c>
      <c r="G55" s="248" t="s">
        <v>579</v>
      </c>
    </row>
    <row r="56">
      <c r="A56" s="9" t="s">
        <v>3513</v>
      </c>
      <c r="B56" s="9" t="s">
        <v>3514</v>
      </c>
      <c r="C56" s="9" t="s">
        <v>526</v>
      </c>
      <c r="D56" s="9" t="s">
        <v>662</v>
      </c>
      <c r="E56" s="9" t="s">
        <v>3515</v>
      </c>
      <c r="F56" s="9" t="s">
        <v>3515</v>
      </c>
      <c r="G56" s="9" t="s">
        <v>3517</v>
      </c>
    </row>
    <row r="57">
      <c r="A57" s="9" t="s">
        <v>3519</v>
      </c>
      <c r="B57" s="9" t="s">
        <v>3514</v>
      </c>
      <c r="C57" s="9" t="s">
        <v>529</v>
      </c>
      <c r="D57" s="9" t="s">
        <v>596</v>
      </c>
      <c r="E57" s="9" t="s">
        <v>3521</v>
      </c>
      <c r="F57" s="9" t="s">
        <v>3522</v>
      </c>
      <c r="G57" s="9" t="s">
        <v>3524</v>
      </c>
    </row>
    <row r="58">
      <c r="A58" s="9" t="s">
        <v>3526</v>
      </c>
      <c r="B58" s="9" t="s">
        <v>3528</v>
      </c>
      <c r="C58" s="9" t="s">
        <v>533</v>
      </c>
      <c r="D58" s="9" t="s">
        <v>596</v>
      </c>
      <c r="E58" s="9" t="s">
        <v>3530</v>
      </c>
      <c r="F58" s="9" t="s">
        <v>3530</v>
      </c>
      <c r="G58" s="9" t="s">
        <v>3533</v>
      </c>
    </row>
    <row r="59">
      <c r="A59" s="9" t="s">
        <v>3535</v>
      </c>
      <c r="B59" s="9" t="s">
        <v>3537</v>
      </c>
      <c r="C59" s="9" t="s">
        <v>531</v>
      </c>
      <c r="D59" s="9" t="s">
        <v>3540</v>
      </c>
      <c r="E59" s="9" t="s">
        <v>3542</v>
      </c>
      <c r="F59" s="9" t="s">
        <v>3544</v>
      </c>
      <c r="G59" s="9" t="s">
        <v>3545</v>
      </c>
    </row>
    <row r="60">
      <c r="A60" s="9" t="s">
        <v>3547</v>
      </c>
      <c r="B60" s="9" t="s">
        <v>3537</v>
      </c>
      <c r="C60" s="9" t="s">
        <v>529</v>
      </c>
      <c r="D60" s="9" t="s">
        <v>2897</v>
      </c>
      <c r="E60" s="9" t="s">
        <v>3552</v>
      </c>
      <c r="F60" s="9" t="s">
        <v>3552</v>
      </c>
      <c r="G60" s="9" t="s">
        <v>3554</v>
      </c>
    </row>
    <row r="61">
      <c r="A61" s="9" t="s">
        <v>3557</v>
      </c>
      <c r="B61" s="9" t="s">
        <v>3559</v>
      </c>
      <c r="C61" s="9" t="s">
        <v>529</v>
      </c>
      <c r="D61" s="9" t="s">
        <v>662</v>
      </c>
      <c r="E61" s="9" t="s">
        <v>3552</v>
      </c>
      <c r="F61" s="9" t="s">
        <v>3552</v>
      </c>
      <c r="G61" s="9" t="s">
        <v>3524</v>
      </c>
    </row>
    <row r="62">
      <c r="A62" s="9" t="s">
        <v>3565</v>
      </c>
      <c r="B62" s="9" t="s">
        <v>3567</v>
      </c>
      <c r="C62" s="9" t="s">
        <v>533</v>
      </c>
      <c r="D62" s="9" t="s">
        <v>3571</v>
      </c>
      <c r="E62" s="9" t="s">
        <v>3573</v>
      </c>
      <c r="F62" s="9" t="s">
        <v>3574</v>
      </c>
      <c r="G62" s="9" t="s">
        <v>3576</v>
      </c>
    </row>
    <row r="63">
      <c r="A63" s="9" t="s">
        <v>3579</v>
      </c>
      <c r="B63" s="9" t="s">
        <v>3567</v>
      </c>
      <c r="C63" s="9" t="s">
        <v>531</v>
      </c>
      <c r="D63" s="9" t="s">
        <v>3582</v>
      </c>
      <c r="E63" s="9" t="s">
        <v>3545</v>
      </c>
      <c r="F63" s="9" t="s">
        <v>3585</v>
      </c>
      <c r="G63" s="9" t="s">
        <v>3552</v>
      </c>
    </row>
    <row r="64">
      <c r="A64" s="9" t="s">
        <v>3587</v>
      </c>
      <c r="B64" s="9" t="s">
        <v>3589</v>
      </c>
      <c r="C64" s="9" t="s">
        <v>528</v>
      </c>
      <c r="D64" s="9" t="s">
        <v>2938</v>
      </c>
      <c r="E64" s="9" t="s">
        <v>3592</v>
      </c>
      <c r="F64" s="9" t="s">
        <v>3594</v>
      </c>
      <c r="G64" s="9" t="s">
        <v>3595</v>
      </c>
    </row>
    <row r="65">
      <c r="A65" s="9" t="s">
        <v>3597</v>
      </c>
      <c r="B65" s="9" t="s">
        <v>3599</v>
      </c>
      <c r="C65" s="9" t="s">
        <v>531</v>
      </c>
      <c r="D65" s="9" t="s">
        <v>596</v>
      </c>
      <c r="E65" s="9" t="s">
        <v>3585</v>
      </c>
      <c r="F65" s="9" t="s">
        <v>3585</v>
      </c>
      <c r="G65" s="9" t="s">
        <v>3601</v>
      </c>
    </row>
    <row r="66">
      <c r="A66" s="9" t="s">
        <v>3603</v>
      </c>
      <c r="B66" s="9" t="s">
        <v>3599</v>
      </c>
      <c r="C66" s="9" t="s">
        <v>528</v>
      </c>
      <c r="D66" s="9" t="s">
        <v>3540</v>
      </c>
      <c r="E66" s="9" t="s">
        <v>3544</v>
      </c>
      <c r="F66" s="9" t="s">
        <v>3605</v>
      </c>
      <c r="G66" s="9" t="s">
        <v>3544</v>
      </c>
    </row>
    <row r="67">
      <c r="A67" s="9" t="s">
        <v>3606</v>
      </c>
      <c r="B67" s="9" t="s">
        <v>3607</v>
      </c>
      <c r="C67" s="9" t="s">
        <v>526</v>
      </c>
      <c r="D67" s="9" t="s">
        <v>3608</v>
      </c>
      <c r="E67" s="9" t="s">
        <v>3609</v>
      </c>
      <c r="F67" s="9" t="s">
        <v>3610</v>
      </c>
      <c r="G67" s="9" t="s">
        <v>3609</v>
      </c>
    </row>
    <row r="68">
      <c r="A68" s="9" t="s">
        <v>3612</v>
      </c>
      <c r="B68" s="9" t="s">
        <v>3614</v>
      </c>
      <c r="C68" s="9" t="s">
        <v>531</v>
      </c>
      <c r="D68" s="9" t="s">
        <v>3032</v>
      </c>
      <c r="E68" s="9" t="s">
        <v>3545</v>
      </c>
      <c r="F68" s="9" t="s">
        <v>3620</v>
      </c>
      <c r="G68" s="9" t="s">
        <v>3545</v>
      </c>
    </row>
    <row r="69">
      <c r="A69" s="9" t="s">
        <v>3624</v>
      </c>
      <c r="B69" s="9" t="s">
        <v>3614</v>
      </c>
      <c r="C69" s="9" t="s">
        <v>526</v>
      </c>
      <c r="D69" s="9" t="s">
        <v>3540</v>
      </c>
      <c r="E69" s="9" t="s">
        <v>3628</v>
      </c>
      <c r="F69" s="9" t="s">
        <v>3552</v>
      </c>
      <c r="G69" s="9" t="s">
        <v>3594</v>
      </c>
    </row>
    <row r="70">
      <c r="A70" s="9" t="s">
        <v>3633</v>
      </c>
      <c r="B70" s="9" t="s">
        <v>3635</v>
      </c>
      <c r="C70" s="9" t="s">
        <v>533</v>
      </c>
      <c r="D70" s="9" t="s">
        <v>3637</v>
      </c>
      <c r="E70" s="9" t="s">
        <v>3610</v>
      </c>
      <c r="F70" s="9" t="s">
        <v>3610</v>
      </c>
      <c r="G70" s="9" t="s">
        <v>3641</v>
      </c>
    </row>
    <row r="71">
      <c r="A71" s="9" t="s">
        <v>3644</v>
      </c>
      <c r="B71" s="9" t="s">
        <v>3645</v>
      </c>
      <c r="C71" s="9" t="s">
        <v>533</v>
      </c>
      <c r="D71" s="9" t="s">
        <v>596</v>
      </c>
      <c r="E71" s="9" t="s">
        <v>3641</v>
      </c>
      <c r="F71" s="9" t="s">
        <v>3650</v>
      </c>
      <c r="G71" s="9" t="s">
        <v>3641</v>
      </c>
    </row>
    <row r="72">
      <c r="A72" s="9" t="s">
        <v>3653</v>
      </c>
      <c r="B72" s="9" t="s">
        <v>3645</v>
      </c>
      <c r="C72" s="9" t="s">
        <v>531</v>
      </c>
      <c r="D72" s="9" t="s">
        <v>3657</v>
      </c>
      <c r="E72" s="9" t="s">
        <v>3601</v>
      </c>
      <c r="F72" s="9" t="s">
        <v>3658</v>
      </c>
      <c r="G72" s="9" t="s">
        <v>3601</v>
      </c>
    </row>
    <row r="73">
      <c r="A73" s="9" t="s">
        <v>3659</v>
      </c>
      <c r="B73" s="9" t="s">
        <v>3660</v>
      </c>
      <c r="C73" s="9" t="s">
        <v>526</v>
      </c>
      <c r="D73" s="9" t="s">
        <v>3540</v>
      </c>
      <c r="E73" s="9" t="s">
        <v>3594</v>
      </c>
      <c r="F73" s="9" t="s">
        <v>3594</v>
      </c>
      <c r="G73" s="9" t="s">
        <v>3661</v>
      </c>
    </row>
    <row r="74">
      <c r="A74" s="9" t="s">
        <v>3662</v>
      </c>
      <c r="B74" s="9" t="s">
        <v>3663</v>
      </c>
      <c r="C74" s="9" t="s">
        <v>529</v>
      </c>
      <c r="D74" s="9" t="s">
        <v>3637</v>
      </c>
      <c r="E74" s="9" t="s">
        <v>3521</v>
      </c>
      <c r="F74" s="9" t="s">
        <v>3521</v>
      </c>
      <c r="G74" s="9" t="s">
        <v>3552</v>
      </c>
    </row>
    <row r="75">
      <c r="A75" s="9" t="s">
        <v>3513</v>
      </c>
      <c r="B75" s="9" t="s">
        <v>3668</v>
      </c>
      <c r="C75" s="9" t="s">
        <v>531</v>
      </c>
      <c r="D75" s="9" t="s">
        <v>3540</v>
      </c>
      <c r="E75" s="9" t="s">
        <v>3658</v>
      </c>
      <c r="F75" s="9" t="s">
        <v>3658</v>
      </c>
      <c r="G75" s="9" t="s">
        <v>3673</v>
      </c>
    </row>
    <row r="76">
      <c r="A76" s="9" t="s">
        <v>3675</v>
      </c>
      <c r="B76" s="9" t="s">
        <v>3676</v>
      </c>
      <c r="C76" s="9" t="s">
        <v>533</v>
      </c>
      <c r="D76" s="9" t="s">
        <v>3025</v>
      </c>
      <c r="E76" s="9" t="s">
        <v>3641</v>
      </c>
      <c r="F76" s="9" t="s">
        <v>3681</v>
      </c>
      <c r="G76" s="9" t="s">
        <v>3641</v>
      </c>
    </row>
    <row r="77">
      <c r="A77" s="9" t="s">
        <v>3684</v>
      </c>
      <c r="B77" s="9" t="s">
        <v>3686</v>
      </c>
      <c r="C77" s="9" t="s">
        <v>531</v>
      </c>
      <c r="D77" s="9" t="s">
        <v>662</v>
      </c>
      <c r="E77" s="9" t="s">
        <v>3688</v>
      </c>
      <c r="F77" s="9" t="s">
        <v>3530</v>
      </c>
      <c r="G77" s="9" t="s">
        <v>3690</v>
      </c>
    </row>
    <row r="78">
      <c r="A78" s="16"/>
      <c r="B78" s="16"/>
      <c r="C78" s="16"/>
      <c r="D78" s="16"/>
      <c r="E78" s="16"/>
      <c r="F78" s="16"/>
      <c r="G78" s="16"/>
    </row>
    <row r="79">
      <c r="A79" s="249" t="s">
        <v>3698</v>
      </c>
      <c r="F79" s="16"/>
      <c r="G79" s="16"/>
    </row>
    <row r="80">
      <c r="A80" s="151" t="s">
        <v>509</v>
      </c>
      <c r="B80" s="151" t="s">
        <v>511</v>
      </c>
      <c r="C80" s="151" t="s">
        <v>512</v>
      </c>
      <c r="D80" s="151" t="s">
        <v>513</v>
      </c>
      <c r="E80" s="151" t="s">
        <v>3085</v>
      </c>
      <c r="F80" s="16"/>
      <c r="G80" s="16"/>
    </row>
    <row r="81">
      <c r="A81" s="9" t="s">
        <v>530</v>
      </c>
      <c r="B81" s="9" t="s">
        <v>534</v>
      </c>
      <c r="C81" s="9" t="s">
        <v>528</v>
      </c>
      <c r="D81" s="9" t="s">
        <v>12</v>
      </c>
      <c r="E81" s="9">
        <v>5000.0</v>
      </c>
      <c r="F81" s="16"/>
      <c r="G81" s="16"/>
    </row>
    <row r="82">
      <c r="A82" s="9" t="s">
        <v>545</v>
      </c>
      <c r="B82" s="9" t="s">
        <v>547</v>
      </c>
      <c r="C82" s="9" t="s">
        <v>528</v>
      </c>
      <c r="D82" s="9" t="s">
        <v>549</v>
      </c>
      <c r="E82" s="9">
        <v>5000.0</v>
      </c>
      <c r="F82" s="16"/>
      <c r="G82" s="16"/>
    </row>
    <row r="83">
      <c r="A83" s="9" t="s">
        <v>565</v>
      </c>
      <c r="B83" s="9" t="s">
        <v>566</v>
      </c>
      <c r="C83" s="9" t="s">
        <v>531</v>
      </c>
      <c r="D83" s="9" t="s">
        <v>16</v>
      </c>
      <c r="E83" s="9">
        <v>5000.0</v>
      </c>
      <c r="F83" s="16"/>
      <c r="G83" s="16"/>
    </row>
    <row r="84">
      <c r="A84" s="9" t="s">
        <v>579</v>
      </c>
      <c r="B84" s="9" t="s">
        <v>582</v>
      </c>
      <c r="C84" s="9" t="s">
        <v>533</v>
      </c>
      <c r="D84" s="9" t="s">
        <v>12</v>
      </c>
      <c r="E84" s="9">
        <v>10000.0</v>
      </c>
      <c r="F84" s="16"/>
      <c r="G84" s="16"/>
    </row>
    <row r="85">
      <c r="A85" s="9" t="s">
        <v>587</v>
      </c>
      <c r="B85" s="9" t="s">
        <v>589</v>
      </c>
      <c r="C85" s="9" t="s">
        <v>533</v>
      </c>
      <c r="D85" s="9" t="s">
        <v>15</v>
      </c>
      <c r="E85" s="9">
        <v>10000.0</v>
      </c>
      <c r="F85" s="16"/>
      <c r="G85" s="16"/>
    </row>
    <row r="86">
      <c r="A86" s="9" t="s">
        <v>600</v>
      </c>
      <c r="B86" s="9" t="s">
        <v>601</v>
      </c>
      <c r="C86" s="9" t="s">
        <v>529</v>
      </c>
      <c r="D86" s="9" t="s">
        <v>13</v>
      </c>
      <c r="E86" s="9">
        <v>20000.0</v>
      </c>
      <c r="F86" s="16"/>
      <c r="G86" s="16"/>
    </row>
    <row r="87">
      <c r="A87" s="9" t="s">
        <v>613</v>
      </c>
      <c r="B87" s="9" t="s">
        <v>533</v>
      </c>
      <c r="E87" s="9">
        <v>40000.0</v>
      </c>
      <c r="F87" s="16"/>
      <c r="G87" s="16"/>
    </row>
    <row r="88">
      <c r="A88" s="9" t="s">
        <v>620</v>
      </c>
      <c r="B88" s="9" t="s">
        <v>531</v>
      </c>
      <c r="E88" s="9">
        <v>80000.0</v>
      </c>
      <c r="F88" s="16"/>
      <c r="G88" s="16"/>
    </row>
    <row r="89">
      <c r="A89" s="16"/>
      <c r="B89" s="16"/>
      <c r="C89" s="16"/>
      <c r="D89" s="16"/>
      <c r="E89" s="16"/>
      <c r="F89" s="16"/>
      <c r="G89" s="16"/>
    </row>
    <row r="90">
      <c r="A90" s="16"/>
      <c r="B90" s="16"/>
      <c r="C90" s="16"/>
      <c r="D90" s="16"/>
      <c r="E90" s="16"/>
      <c r="F90" s="16"/>
      <c r="G90" s="16"/>
    </row>
  </sheetData>
  <mergeCells count="6">
    <mergeCell ref="A1:F1"/>
    <mergeCell ref="A33:E33"/>
    <mergeCell ref="A54:G54"/>
    <mergeCell ref="A79:E79"/>
    <mergeCell ref="B87:D87"/>
    <mergeCell ref="B88:D88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29.88"/>
    <col customWidth="1" min="3" max="3" width="29.13"/>
    <col customWidth="1" min="4" max="4" width="28.63"/>
    <col customWidth="1" min="5" max="5" width="32.75"/>
    <col customWidth="1" min="6" max="6" width="28.75"/>
    <col customWidth="1" min="7" max="7" width="23.88"/>
    <col customWidth="1" min="8" max="8" width="22.63"/>
    <col customWidth="1" min="9" max="9" width="17.38"/>
  </cols>
  <sheetData>
    <row r="1">
      <c r="A1" s="88" t="s">
        <v>3379</v>
      </c>
    </row>
    <row r="2">
      <c r="A2" s="14" t="s">
        <v>549</v>
      </c>
      <c r="B2" s="14" t="s">
        <v>12</v>
      </c>
      <c r="C2" s="14" t="s">
        <v>9</v>
      </c>
      <c r="D2" s="14" t="s">
        <v>21</v>
      </c>
      <c r="E2" s="14" t="s">
        <v>13</v>
      </c>
      <c r="F2" s="14" t="s">
        <v>16</v>
      </c>
      <c r="G2" s="14" t="s">
        <v>19</v>
      </c>
    </row>
    <row r="3">
      <c r="A3" s="19" t="s">
        <v>2211</v>
      </c>
      <c r="B3" s="19" t="s">
        <v>1070</v>
      </c>
      <c r="C3" s="19" t="s">
        <v>3390</v>
      </c>
      <c r="D3" s="19" t="s">
        <v>2670</v>
      </c>
      <c r="E3" s="19" t="s">
        <v>3393</v>
      </c>
      <c r="F3" s="19" t="s">
        <v>1686</v>
      </c>
      <c r="G3" s="19" t="s">
        <v>2347</v>
      </c>
    </row>
    <row r="4">
      <c r="A4" s="19" t="s">
        <v>2100</v>
      </c>
      <c r="B4" s="19" t="s">
        <v>3396</v>
      </c>
      <c r="C4" s="19" t="s">
        <v>3398</v>
      </c>
      <c r="D4" s="19" t="s">
        <v>3400</v>
      </c>
      <c r="E4" s="19" t="s">
        <v>1523</v>
      </c>
      <c r="F4" s="19" t="s">
        <v>2322</v>
      </c>
      <c r="G4" s="19" t="s">
        <v>2370</v>
      </c>
    </row>
    <row r="5">
      <c r="A5" s="19" t="s">
        <v>2115</v>
      </c>
      <c r="B5" s="19" t="s">
        <v>302</v>
      </c>
      <c r="C5" s="19" t="s">
        <v>3405</v>
      </c>
      <c r="D5" s="19" t="s">
        <v>2672</v>
      </c>
      <c r="E5" s="19" t="s">
        <v>1153</v>
      </c>
      <c r="F5" s="19" t="s">
        <v>1984</v>
      </c>
      <c r="G5" s="19" t="s">
        <v>3409</v>
      </c>
    </row>
    <row r="6">
      <c r="A6" s="19" t="s">
        <v>3412</v>
      </c>
      <c r="B6" s="19" t="s">
        <v>955</v>
      </c>
      <c r="C6" s="19" t="s">
        <v>3415</v>
      </c>
      <c r="D6" s="19" t="s">
        <v>2693</v>
      </c>
      <c r="E6" s="19" t="s">
        <v>3417</v>
      </c>
      <c r="F6" s="19" t="s">
        <v>3418</v>
      </c>
      <c r="G6" s="19" t="s">
        <v>3419</v>
      </c>
    </row>
    <row r="7">
      <c r="A7" s="19" t="s">
        <v>3421</v>
      </c>
      <c r="B7" s="19" t="s">
        <v>3423</v>
      </c>
      <c r="C7" s="19" t="s">
        <v>3424</v>
      </c>
      <c r="D7" s="19" t="s">
        <v>3426</v>
      </c>
      <c r="E7" s="19" t="s">
        <v>3427</v>
      </c>
      <c r="F7" s="19" t="s">
        <v>3429</v>
      </c>
      <c r="G7" s="19" t="s">
        <v>3430</v>
      </c>
    </row>
    <row r="8">
      <c r="A8" s="19" t="s">
        <v>3432</v>
      </c>
      <c r="C8" s="19" t="s">
        <v>3434</v>
      </c>
      <c r="D8" s="19" t="s">
        <v>3303</v>
      </c>
      <c r="E8" s="19" t="s">
        <v>3436</v>
      </c>
      <c r="F8" s="19" t="s">
        <v>3438</v>
      </c>
      <c r="G8" s="19" t="s">
        <v>3439</v>
      </c>
    </row>
    <row r="9">
      <c r="A9" s="19" t="s">
        <v>3442</v>
      </c>
      <c r="C9" s="19" t="s">
        <v>3443</v>
      </c>
      <c r="D9" s="19" t="s">
        <v>3444</v>
      </c>
      <c r="E9" s="19" t="s">
        <v>3354</v>
      </c>
      <c r="F9" s="19" t="s">
        <v>3447</v>
      </c>
      <c r="G9" s="19" t="s">
        <v>3448</v>
      </c>
    </row>
    <row r="10">
      <c r="A10" s="19" t="s">
        <v>3450</v>
      </c>
      <c r="C10" s="19" t="s">
        <v>3452</v>
      </c>
      <c r="D10" s="19" t="s">
        <v>3454</v>
      </c>
      <c r="E10" s="19" t="s">
        <v>3455</v>
      </c>
      <c r="F10" s="19" t="s">
        <v>3457</v>
      </c>
      <c r="G10" s="19" t="s">
        <v>3459</v>
      </c>
    </row>
    <row r="11">
      <c r="A11" s="19" t="s">
        <v>3462</v>
      </c>
      <c r="C11" s="19" t="s">
        <v>1347</v>
      </c>
      <c r="D11" s="19" t="s">
        <v>3464</v>
      </c>
      <c r="F11" s="19" t="s">
        <v>3466</v>
      </c>
      <c r="G11" s="19" t="s">
        <v>3468</v>
      </c>
    </row>
    <row r="12">
      <c r="C12" s="19" t="s">
        <v>3471</v>
      </c>
      <c r="D12" s="19" t="s">
        <v>3473</v>
      </c>
      <c r="F12" s="19" t="s">
        <v>3360</v>
      </c>
    </row>
    <row r="13">
      <c r="C13" s="19" t="s">
        <v>3477</v>
      </c>
      <c r="D13" s="19" t="s">
        <v>3479</v>
      </c>
      <c r="F13" s="19" t="s">
        <v>3362</v>
      </c>
    </row>
    <row r="14">
      <c r="C14" s="19" t="s">
        <v>3482</v>
      </c>
      <c r="D14" s="19" t="s">
        <v>3484</v>
      </c>
      <c r="F14" s="19" t="s">
        <v>3486</v>
      </c>
      <c r="H14" s="75">
        <f>9+5+14+15+8+19+9+8+10+2+16+10+12</f>
        <v>137</v>
      </c>
    </row>
    <row r="15">
      <c r="C15" s="19" t="s">
        <v>3503</v>
      </c>
      <c r="D15" s="19" t="s">
        <v>3504</v>
      </c>
      <c r="F15" s="19" t="s">
        <v>2445</v>
      </c>
    </row>
    <row r="16">
      <c r="C16" s="19" t="s">
        <v>3505</v>
      </c>
      <c r="D16" s="19" t="s">
        <v>3506</v>
      </c>
      <c r="F16" s="19" t="s">
        <v>3507</v>
      </c>
    </row>
    <row r="17">
      <c r="D17" s="19" t="s">
        <v>3508</v>
      </c>
      <c r="F17" s="19" t="s">
        <v>3509</v>
      </c>
    </row>
    <row r="18">
      <c r="F18" s="19" t="s">
        <v>3510</v>
      </c>
    </row>
    <row r="19">
      <c r="F19" s="19" t="s">
        <v>3511</v>
      </c>
    </row>
    <row r="20">
      <c r="F20" s="19" t="s">
        <v>1825</v>
      </c>
    </row>
    <row r="21">
      <c r="F21" s="19" t="s">
        <v>3512</v>
      </c>
    </row>
    <row r="23">
      <c r="A23" s="14" t="s">
        <v>22</v>
      </c>
      <c r="B23" s="14" t="s">
        <v>15</v>
      </c>
      <c r="C23" s="14" t="s">
        <v>14</v>
      </c>
      <c r="D23" s="14" t="s">
        <v>11</v>
      </c>
      <c r="E23" s="14" t="s">
        <v>23</v>
      </c>
      <c r="F23" s="14" t="s">
        <v>3516</v>
      </c>
    </row>
    <row r="24">
      <c r="A24" s="19" t="s">
        <v>3518</v>
      </c>
      <c r="B24" s="19" t="s">
        <v>3332</v>
      </c>
      <c r="C24" s="19" t="s">
        <v>1423</v>
      </c>
      <c r="D24" s="19" t="s">
        <v>78</v>
      </c>
      <c r="E24" s="19" t="s">
        <v>3024</v>
      </c>
      <c r="F24" s="19" t="s">
        <v>3520</v>
      </c>
    </row>
    <row r="25">
      <c r="A25" s="19" t="s">
        <v>3334</v>
      </c>
      <c r="B25" s="19" t="s">
        <v>3335</v>
      </c>
      <c r="C25" s="19" t="s">
        <v>3523</v>
      </c>
      <c r="D25" s="19" t="s">
        <v>3525</v>
      </c>
      <c r="E25" s="19" t="s">
        <v>2796</v>
      </c>
      <c r="F25" s="19" t="s">
        <v>3527</v>
      </c>
    </row>
    <row r="26">
      <c r="A26" s="19" t="s">
        <v>3529</v>
      </c>
      <c r="B26" s="19" t="s">
        <v>3338</v>
      </c>
      <c r="D26" s="19" t="s">
        <v>3531</v>
      </c>
      <c r="E26" s="19" t="s">
        <v>3532</v>
      </c>
      <c r="F26" s="19" t="s">
        <v>3534</v>
      </c>
    </row>
    <row r="27">
      <c r="A27" s="19" t="s">
        <v>3536</v>
      </c>
      <c r="B27" s="19" t="s">
        <v>3538</v>
      </c>
      <c r="D27" s="19" t="s">
        <v>3539</v>
      </c>
      <c r="E27" s="19" t="s">
        <v>3541</v>
      </c>
      <c r="F27" s="19" t="s">
        <v>3543</v>
      </c>
    </row>
    <row r="28">
      <c r="A28" s="19" t="s">
        <v>3546</v>
      </c>
      <c r="B28" s="19" t="s">
        <v>3548</v>
      </c>
      <c r="D28" s="19" t="s">
        <v>3549</v>
      </c>
      <c r="E28" s="19" t="s">
        <v>3550</v>
      </c>
      <c r="F28" s="19" t="s">
        <v>3551</v>
      </c>
    </row>
    <row r="29">
      <c r="A29" s="19" t="s">
        <v>3553</v>
      </c>
      <c r="B29" s="19" t="s">
        <v>3555</v>
      </c>
      <c r="D29" s="19" t="s">
        <v>3556</v>
      </c>
      <c r="E29" s="19" t="s">
        <v>3558</v>
      </c>
      <c r="F29" s="19" t="s">
        <v>3560</v>
      </c>
    </row>
    <row r="30">
      <c r="A30" s="19" t="s">
        <v>3561</v>
      </c>
      <c r="B30" s="19" t="s">
        <v>3562</v>
      </c>
      <c r="D30" s="19" t="s">
        <v>3563</v>
      </c>
      <c r="E30" s="19" t="s">
        <v>3311</v>
      </c>
      <c r="F30" s="19" t="s">
        <v>3564</v>
      </c>
    </row>
    <row r="31">
      <c r="A31" s="19" t="s">
        <v>3566</v>
      </c>
      <c r="B31" s="19" t="s">
        <v>3568</v>
      </c>
      <c r="D31" s="19" t="s">
        <v>3569</v>
      </c>
      <c r="E31" s="19" t="s">
        <v>3570</v>
      </c>
      <c r="F31" s="19" t="s">
        <v>3572</v>
      </c>
    </row>
    <row r="32">
      <c r="B32" s="19" t="s">
        <v>3575</v>
      </c>
      <c r="D32" s="19" t="s">
        <v>3577</v>
      </c>
      <c r="E32" s="19" t="s">
        <v>3578</v>
      </c>
      <c r="F32" s="19" t="s">
        <v>3580</v>
      </c>
    </row>
    <row r="33">
      <c r="B33" s="19" t="s">
        <v>3581</v>
      </c>
      <c r="D33" s="19" t="s">
        <v>3583</v>
      </c>
      <c r="E33" s="19" t="s">
        <v>3584</v>
      </c>
      <c r="F33" s="19" t="s">
        <v>3586</v>
      </c>
    </row>
    <row r="34">
      <c r="D34" s="19" t="s">
        <v>3588</v>
      </c>
      <c r="F34" s="19" t="s">
        <v>3590</v>
      </c>
    </row>
    <row r="35">
      <c r="D35" s="19" t="s">
        <v>3591</v>
      </c>
      <c r="F35" s="19" t="s">
        <v>3593</v>
      </c>
    </row>
    <row r="36">
      <c r="D36" s="19" t="s">
        <v>3596</v>
      </c>
    </row>
    <row r="37">
      <c r="D37" s="19" t="s">
        <v>3598</v>
      </c>
    </row>
    <row r="38">
      <c r="D38" s="19" t="s">
        <v>3600</v>
      </c>
    </row>
    <row r="39">
      <c r="D39" s="19" t="s">
        <v>3602</v>
      </c>
    </row>
    <row r="43">
      <c r="A43" s="88" t="s">
        <v>3604</v>
      </c>
    </row>
    <row r="44">
      <c r="A44" s="86" t="s">
        <v>550</v>
      </c>
      <c r="B44" s="86" t="s">
        <v>551</v>
      </c>
      <c r="C44" s="86" t="s">
        <v>552</v>
      </c>
      <c r="D44" s="86" t="s">
        <v>554</v>
      </c>
      <c r="E44" s="86" t="s">
        <v>555</v>
      </c>
      <c r="F44" s="86" t="s">
        <v>557</v>
      </c>
    </row>
    <row r="45">
      <c r="A45" s="19" t="s">
        <v>3611</v>
      </c>
      <c r="B45" s="19" t="s">
        <v>3613</v>
      </c>
      <c r="C45" s="19" t="s">
        <v>3615</v>
      </c>
      <c r="D45" s="19" t="s">
        <v>3616</v>
      </c>
      <c r="E45" s="19" t="s">
        <v>3617</v>
      </c>
      <c r="F45" s="19" t="s">
        <v>3618</v>
      </c>
    </row>
    <row r="46">
      <c r="A46" s="19" t="s">
        <v>3619</v>
      </c>
      <c r="B46" s="19" t="s">
        <v>3621</v>
      </c>
      <c r="C46" s="19" t="s">
        <v>3622</v>
      </c>
      <c r="D46" s="19" t="s">
        <v>3623</v>
      </c>
      <c r="E46" s="19" t="s">
        <v>3625</v>
      </c>
      <c r="F46" s="19" t="s">
        <v>3626</v>
      </c>
    </row>
    <row r="47">
      <c r="A47" s="19" t="s">
        <v>3627</v>
      </c>
      <c r="B47" s="19" t="s">
        <v>3629</v>
      </c>
      <c r="C47" s="19" t="s">
        <v>3630</v>
      </c>
      <c r="D47" s="19" t="s">
        <v>3631</v>
      </c>
      <c r="E47" s="19" t="s">
        <v>3632</v>
      </c>
      <c r="F47" s="19" t="s">
        <v>3634</v>
      </c>
    </row>
    <row r="48">
      <c r="A48" s="19" t="s">
        <v>3636</v>
      </c>
      <c r="B48" s="19" t="s">
        <v>3638</v>
      </c>
      <c r="C48" s="19" t="s">
        <v>3639</v>
      </c>
      <c r="D48" s="19" t="s">
        <v>3640</v>
      </c>
      <c r="E48" s="19" t="s">
        <v>3642</v>
      </c>
      <c r="F48" s="19" t="s">
        <v>3643</v>
      </c>
    </row>
    <row r="49">
      <c r="A49" s="19" t="s">
        <v>3646</v>
      </c>
      <c r="B49" s="19" t="s">
        <v>3647</v>
      </c>
      <c r="C49" s="19" t="s">
        <v>3648</v>
      </c>
      <c r="D49" s="19" t="s">
        <v>3649</v>
      </c>
      <c r="E49" s="19" t="s">
        <v>3651</v>
      </c>
      <c r="F49" s="19" t="s">
        <v>3652</v>
      </c>
    </row>
    <row r="50">
      <c r="A50" s="19" t="s">
        <v>3654</v>
      </c>
      <c r="B50" s="19" t="s">
        <v>3655</v>
      </c>
      <c r="C50" s="19" t="s">
        <v>3656</v>
      </c>
      <c r="D50" s="19" t="s">
        <v>3664</v>
      </c>
      <c r="E50" s="19" t="s">
        <v>3665</v>
      </c>
      <c r="F50" s="19" t="s">
        <v>3666</v>
      </c>
    </row>
    <row r="51">
      <c r="A51" s="19" t="s">
        <v>3667</v>
      </c>
      <c r="B51" s="19" t="s">
        <v>3669</v>
      </c>
      <c r="C51" s="19" t="s">
        <v>3670</v>
      </c>
      <c r="D51" s="19" t="s">
        <v>3671</v>
      </c>
      <c r="E51" s="19" t="s">
        <v>3672</v>
      </c>
      <c r="F51" s="19" t="s">
        <v>3674</v>
      </c>
    </row>
    <row r="52">
      <c r="A52" s="19" t="s">
        <v>3677</v>
      </c>
      <c r="B52" s="19" t="s">
        <v>3678</v>
      </c>
      <c r="C52" s="19" t="s">
        <v>3679</v>
      </c>
      <c r="D52" s="19" t="s">
        <v>3680</v>
      </c>
      <c r="E52" s="19" t="s">
        <v>3682</v>
      </c>
      <c r="F52" s="19" t="s">
        <v>3683</v>
      </c>
    </row>
    <row r="53">
      <c r="A53" s="19" t="s">
        <v>3685</v>
      </c>
      <c r="B53" s="19" t="s">
        <v>3687</v>
      </c>
      <c r="C53" s="19" t="s">
        <v>3689</v>
      </c>
      <c r="D53" s="19" t="s">
        <v>3691</v>
      </c>
      <c r="E53" s="19" t="s">
        <v>3692</v>
      </c>
      <c r="F53" s="19" t="s">
        <v>3693</v>
      </c>
    </row>
    <row r="54">
      <c r="A54" s="19" t="s">
        <v>3694</v>
      </c>
      <c r="B54" s="19" t="s">
        <v>3695</v>
      </c>
      <c r="C54" s="19" t="s">
        <v>3696</v>
      </c>
      <c r="D54" s="19" t="s">
        <v>3697</v>
      </c>
      <c r="E54" s="19" t="s">
        <v>3699</v>
      </c>
      <c r="F54" s="19" t="s">
        <v>3700</v>
      </c>
    </row>
    <row r="55">
      <c r="A55" s="19" t="s">
        <v>3701</v>
      </c>
      <c r="B55" s="19" t="s">
        <v>3702</v>
      </c>
      <c r="C55" s="19" t="s">
        <v>3703</v>
      </c>
      <c r="D55" s="19" t="s">
        <v>3704</v>
      </c>
      <c r="E55" s="19" t="s">
        <v>3705</v>
      </c>
      <c r="F55" s="19" t="s">
        <v>3706</v>
      </c>
    </row>
    <row r="56">
      <c r="A56" s="19" t="s">
        <v>3707</v>
      </c>
      <c r="B56" s="19" t="s">
        <v>3708</v>
      </c>
      <c r="C56" s="19" t="s">
        <v>3709</v>
      </c>
      <c r="D56" s="19" t="s">
        <v>3710</v>
      </c>
      <c r="E56" s="19" t="s">
        <v>3711</v>
      </c>
      <c r="F56" s="19" t="s">
        <v>3712</v>
      </c>
    </row>
    <row r="57">
      <c r="A57" s="19" t="s">
        <v>3713</v>
      </c>
      <c r="B57" s="19" t="s">
        <v>3714</v>
      </c>
      <c r="C57" s="19" t="s">
        <v>3715</v>
      </c>
      <c r="D57" s="19" t="s">
        <v>3716</v>
      </c>
      <c r="E57" s="19" t="s">
        <v>3717</v>
      </c>
      <c r="F57" s="19" t="s">
        <v>3718</v>
      </c>
    </row>
    <row r="58">
      <c r="A58" s="19" t="s">
        <v>3719</v>
      </c>
      <c r="B58" s="19" t="s">
        <v>3720</v>
      </c>
      <c r="C58" s="19" t="s">
        <v>3721</v>
      </c>
      <c r="D58" s="19" t="s">
        <v>3722</v>
      </c>
      <c r="E58" s="19" t="s">
        <v>3723</v>
      </c>
      <c r="F58" s="19" t="s">
        <v>3724</v>
      </c>
    </row>
    <row r="59">
      <c r="A59" s="19" t="s">
        <v>3725</v>
      </c>
      <c r="B59" s="19" t="s">
        <v>3726</v>
      </c>
      <c r="C59" s="19" t="s">
        <v>3727</v>
      </c>
      <c r="D59" s="19" t="s">
        <v>3728</v>
      </c>
      <c r="E59" s="19" t="s">
        <v>3729</v>
      </c>
      <c r="F59" s="19" t="s">
        <v>3730</v>
      </c>
    </row>
    <row r="60">
      <c r="A60" s="19" t="s">
        <v>3731</v>
      </c>
      <c r="B60" s="19" t="s">
        <v>3732</v>
      </c>
      <c r="C60" s="19" t="s">
        <v>3733</v>
      </c>
      <c r="D60" s="19" t="s">
        <v>3734</v>
      </c>
      <c r="E60" s="19" t="s">
        <v>3735</v>
      </c>
      <c r="F60" s="19" t="s">
        <v>3736</v>
      </c>
    </row>
    <row r="61">
      <c r="A61" s="19" t="s">
        <v>3737</v>
      </c>
      <c r="B61" s="19" t="s">
        <v>3738</v>
      </c>
      <c r="C61" s="19" t="s">
        <v>3739</v>
      </c>
      <c r="D61" s="19" t="s">
        <v>3740</v>
      </c>
      <c r="E61" s="19" t="s">
        <v>3741</v>
      </c>
      <c r="F61" s="19" t="s">
        <v>3742</v>
      </c>
    </row>
    <row r="62">
      <c r="A62" s="19" t="s">
        <v>3743</v>
      </c>
      <c r="B62" s="19" t="s">
        <v>3744</v>
      </c>
      <c r="C62" s="19" t="s">
        <v>3745</v>
      </c>
      <c r="D62" s="19" t="s">
        <v>3746</v>
      </c>
      <c r="E62" s="19" t="s">
        <v>3747</v>
      </c>
      <c r="F62" s="19" t="s">
        <v>3748</v>
      </c>
    </row>
    <row r="63">
      <c r="A63" s="19" t="s">
        <v>3749</v>
      </c>
      <c r="C63" s="19" t="s">
        <v>3750</v>
      </c>
      <c r="D63" s="19" t="s">
        <v>3751</v>
      </c>
      <c r="F63" s="19" t="s">
        <v>3752</v>
      </c>
    </row>
    <row r="64">
      <c r="A64" s="19" t="s">
        <v>3753</v>
      </c>
      <c r="C64" s="19" t="s">
        <v>3754</v>
      </c>
      <c r="D64" s="19" t="s">
        <v>3755</v>
      </c>
      <c r="F64" s="19" t="s">
        <v>3756</v>
      </c>
    </row>
    <row r="65">
      <c r="A65" s="10" t="s">
        <v>3757</v>
      </c>
      <c r="B65" s="10" t="s">
        <v>3758</v>
      </c>
      <c r="C65" s="10" t="s">
        <v>3759</v>
      </c>
      <c r="D65" s="10" t="s">
        <v>3760</v>
      </c>
      <c r="E65" s="10" t="s">
        <v>3761</v>
      </c>
      <c r="F65" s="10" t="s">
        <v>3762</v>
      </c>
    </row>
    <row r="69">
      <c r="A69" s="211" t="s">
        <v>3502</v>
      </c>
    </row>
    <row r="70">
      <c r="A70" s="248" t="s">
        <v>2882</v>
      </c>
      <c r="B70" s="248" t="s">
        <v>3045</v>
      </c>
      <c r="C70" s="167" t="s">
        <v>3046</v>
      </c>
      <c r="D70" s="248" t="s">
        <v>2883</v>
      </c>
      <c r="E70" s="248" t="s">
        <v>64</v>
      </c>
      <c r="F70" s="248" t="s">
        <v>3051</v>
      </c>
      <c r="G70" s="248" t="s">
        <v>587</v>
      </c>
      <c r="H70" s="248" t="s">
        <v>579</v>
      </c>
    </row>
    <row r="71">
      <c r="A71" s="9" t="s">
        <v>3763</v>
      </c>
      <c r="B71" s="9" t="s">
        <v>3764</v>
      </c>
      <c r="C71" s="9" t="s">
        <v>3765</v>
      </c>
      <c r="D71" s="9" t="s">
        <v>3766</v>
      </c>
      <c r="E71" s="9" t="s">
        <v>2977</v>
      </c>
      <c r="F71" s="9" t="s">
        <v>3767</v>
      </c>
      <c r="G71" s="9" t="s">
        <v>3768</v>
      </c>
      <c r="H71" s="9" t="s">
        <v>3769</v>
      </c>
    </row>
    <row r="72">
      <c r="A72" s="9" t="s">
        <v>3770</v>
      </c>
      <c r="B72" s="9" t="s">
        <v>3764</v>
      </c>
      <c r="C72" s="9" t="s">
        <v>3771</v>
      </c>
      <c r="D72" s="9" t="s">
        <v>3772</v>
      </c>
      <c r="E72" s="9" t="s">
        <v>3773</v>
      </c>
      <c r="F72" s="9" t="s">
        <v>3774</v>
      </c>
      <c r="G72" s="9" t="s">
        <v>3774</v>
      </c>
      <c r="H72" s="9" t="s">
        <v>3775</v>
      </c>
    </row>
    <row r="73">
      <c r="A73" s="9" t="s">
        <v>3776</v>
      </c>
      <c r="B73" s="9" t="s">
        <v>3777</v>
      </c>
      <c r="C73" s="9" t="s">
        <v>3778</v>
      </c>
      <c r="D73" s="9" t="s">
        <v>3779</v>
      </c>
      <c r="E73" s="9" t="s">
        <v>3773</v>
      </c>
      <c r="F73" s="9" t="s">
        <v>3780</v>
      </c>
      <c r="G73" s="9" t="s">
        <v>3781</v>
      </c>
      <c r="H73" s="9" t="s">
        <v>3782</v>
      </c>
    </row>
    <row r="74">
      <c r="A74" s="9" t="s">
        <v>3783</v>
      </c>
      <c r="B74" s="9" t="s">
        <v>3777</v>
      </c>
      <c r="C74" s="9" t="s">
        <v>3771</v>
      </c>
      <c r="D74" s="9" t="s">
        <v>3766</v>
      </c>
      <c r="E74" s="9" t="s">
        <v>2977</v>
      </c>
      <c r="F74" s="9" t="s">
        <v>3784</v>
      </c>
      <c r="G74" s="9" t="s">
        <v>3784</v>
      </c>
      <c r="H74" s="9" t="s">
        <v>3785</v>
      </c>
    </row>
    <row r="75">
      <c r="A75" s="9" t="s">
        <v>3786</v>
      </c>
      <c r="B75" s="9" t="s">
        <v>3777</v>
      </c>
      <c r="C75" s="9" t="s">
        <v>3765</v>
      </c>
      <c r="D75" s="9" t="s">
        <v>639</v>
      </c>
      <c r="E75" s="9" t="s">
        <v>2897</v>
      </c>
      <c r="F75" s="9" t="s">
        <v>3787</v>
      </c>
      <c r="G75" s="9" t="s">
        <v>3788</v>
      </c>
      <c r="H75" s="9" t="s">
        <v>3787</v>
      </c>
    </row>
    <row r="76">
      <c r="A76" s="9" t="s">
        <v>3789</v>
      </c>
      <c r="B76" s="9" t="s">
        <v>3790</v>
      </c>
      <c r="C76" s="9" t="s">
        <v>3791</v>
      </c>
      <c r="D76" s="9" t="s">
        <v>3772</v>
      </c>
      <c r="E76" s="9" t="s">
        <v>2977</v>
      </c>
      <c r="F76" s="9" t="s">
        <v>3792</v>
      </c>
      <c r="G76" s="9" t="s">
        <v>3792</v>
      </c>
      <c r="H76" s="9" t="s">
        <v>3793</v>
      </c>
    </row>
    <row r="77">
      <c r="A77" s="9" t="s">
        <v>3794</v>
      </c>
      <c r="B77" s="9" t="s">
        <v>3790</v>
      </c>
      <c r="C77" s="9" t="s">
        <v>3778</v>
      </c>
      <c r="D77" s="9" t="s">
        <v>3795</v>
      </c>
      <c r="E77" s="9" t="s">
        <v>3773</v>
      </c>
      <c r="F77" s="9" t="s">
        <v>3796</v>
      </c>
      <c r="G77" s="9" t="s">
        <v>3797</v>
      </c>
      <c r="H77" s="9" t="s">
        <v>3796</v>
      </c>
    </row>
    <row r="78">
      <c r="A78" s="9" t="s">
        <v>3798</v>
      </c>
      <c r="B78" s="9" t="s">
        <v>3799</v>
      </c>
      <c r="C78" s="9" t="s">
        <v>3800</v>
      </c>
      <c r="D78" s="9" t="s">
        <v>3772</v>
      </c>
      <c r="E78" s="9" t="s">
        <v>2977</v>
      </c>
      <c r="F78" s="9" t="s">
        <v>3775</v>
      </c>
      <c r="G78" s="9" t="s">
        <v>3792</v>
      </c>
      <c r="H78" s="9" t="s">
        <v>3775</v>
      </c>
    </row>
    <row r="79">
      <c r="A79" s="9" t="s">
        <v>3801</v>
      </c>
      <c r="B79" s="9" t="s">
        <v>3799</v>
      </c>
      <c r="C79" s="9" t="s">
        <v>3791</v>
      </c>
      <c r="D79" s="9" t="s">
        <v>639</v>
      </c>
      <c r="E79" s="9" t="s">
        <v>3773</v>
      </c>
      <c r="F79" s="9" t="s">
        <v>3802</v>
      </c>
      <c r="G79" s="9" t="s">
        <v>3803</v>
      </c>
      <c r="H79" s="9" t="s">
        <v>3793</v>
      </c>
    </row>
    <row r="80">
      <c r="A80" s="9" t="s">
        <v>3804</v>
      </c>
      <c r="B80" s="9" t="s">
        <v>3805</v>
      </c>
      <c r="C80" s="9" t="s">
        <v>3791</v>
      </c>
      <c r="D80" s="9" t="s">
        <v>3779</v>
      </c>
      <c r="E80" s="9" t="s">
        <v>2977</v>
      </c>
      <c r="F80" s="9" t="s">
        <v>3793</v>
      </c>
      <c r="G80" s="9" t="s">
        <v>3806</v>
      </c>
      <c r="H80" s="9" t="s">
        <v>3807</v>
      </c>
    </row>
    <row r="81">
      <c r="A81" s="9" t="s">
        <v>3808</v>
      </c>
      <c r="B81" s="9" t="s">
        <v>3805</v>
      </c>
      <c r="C81" s="9" t="s">
        <v>3800</v>
      </c>
      <c r="D81" s="9" t="s">
        <v>3772</v>
      </c>
      <c r="E81" s="9" t="s">
        <v>3773</v>
      </c>
      <c r="F81" s="9" t="s">
        <v>3775</v>
      </c>
      <c r="G81" s="9" t="s">
        <v>3792</v>
      </c>
      <c r="H81" s="9" t="s">
        <v>3775</v>
      </c>
    </row>
    <row r="82">
      <c r="A82" s="9" t="s">
        <v>3809</v>
      </c>
      <c r="B82" s="9" t="s">
        <v>3805</v>
      </c>
      <c r="C82" s="9" t="s">
        <v>3765</v>
      </c>
      <c r="D82" s="9" t="s">
        <v>3810</v>
      </c>
      <c r="E82" s="9" t="s">
        <v>2977</v>
      </c>
      <c r="F82" s="9" t="s">
        <v>3811</v>
      </c>
      <c r="G82" s="9" t="s">
        <v>3811</v>
      </c>
      <c r="H82" s="9" t="s">
        <v>3802</v>
      </c>
    </row>
    <row r="83">
      <c r="A83" s="9" t="s">
        <v>3812</v>
      </c>
      <c r="B83" s="9" t="s">
        <v>3813</v>
      </c>
      <c r="C83" s="9" t="s">
        <v>3814</v>
      </c>
      <c r="D83" s="9" t="s">
        <v>3766</v>
      </c>
      <c r="E83" s="9" t="s">
        <v>2948</v>
      </c>
      <c r="F83" s="9" t="s">
        <v>3815</v>
      </c>
      <c r="G83" s="9" t="s">
        <v>3815</v>
      </c>
      <c r="H83" s="9" t="s">
        <v>3816</v>
      </c>
    </row>
    <row r="84">
      <c r="A84" s="9" t="s">
        <v>3817</v>
      </c>
      <c r="B84" s="9" t="s">
        <v>3813</v>
      </c>
      <c r="C84" s="9" t="s">
        <v>3800</v>
      </c>
      <c r="D84" s="9" t="s">
        <v>639</v>
      </c>
      <c r="E84" s="9" t="s">
        <v>3773</v>
      </c>
      <c r="F84" s="9" t="s">
        <v>3818</v>
      </c>
      <c r="G84" s="9" t="s">
        <v>3819</v>
      </c>
      <c r="H84" s="9" t="s">
        <v>3818</v>
      </c>
    </row>
    <row r="85">
      <c r="A85" s="9" t="s">
        <v>3820</v>
      </c>
      <c r="B85" s="9" t="s">
        <v>3821</v>
      </c>
      <c r="C85" s="9" t="s">
        <v>3778</v>
      </c>
      <c r="D85" s="9" t="s">
        <v>3795</v>
      </c>
      <c r="E85" s="9" t="s">
        <v>3773</v>
      </c>
      <c r="F85" s="9" t="s">
        <v>3822</v>
      </c>
      <c r="G85" s="9" t="s">
        <v>3823</v>
      </c>
      <c r="H85" s="9" t="s">
        <v>3787</v>
      </c>
    </row>
    <row r="86">
      <c r="A86" s="9" t="s">
        <v>3824</v>
      </c>
      <c r="B86" s="9" t="s">
        <v>3821</v>
      </c>
      <c r="C86" s="9" t="s">
        <v>3791</v>
      </c>
      <c r="D86" s="9" t="s">
        <v>3810</v>
      </c>
      <c r="E86" s="9" t="s">
        <v>2948</v>
      </c>
      <c r="F86" s="9" t="s">
        <v>3825</v>
      </c>
      <c r="G86" s="9" t="s">
        <v>3826</v>
      </c>
      <c r="H86" s="9" t="s">
        <v>3825</v>
      </c>
    </row>
    <row r="87">
      <c r="A87" s="9" t="s">
        <v>3827</v>
      </c>
      <c r="B87" s="9" t="s">
        <v>3828</v>
      </c>
      <c r="C87" s="9" t="s">
        <v>3814</v>
      </c>
      <c r="D87" s="9" t="s">
        <v>639</v>
      </c>
      <c r="E87" s="9" t="s">
        <v>2977</v>
      </c>
      <c r="F87" s="9" t="s">
        <v>3829</v>
      </c>
      <c r="G87" s="9" t="s">
        <v>3829</v>
      </c>
      <c r="H87" s="9" t="s">
        <v>3787</v>
      </c>
    </row>
    <row r="88">
      <c r="A88" s="9" t="s">
        <v>3830</v>
      </c>
      <c r="B88" s="9" t="s">
        <v>3828</v>
      </c>
      <c r="C88" s="9" t="s">
        <v>3791</v>
      </c>
      <c r="D88" s="9" t="s">
        <v>3795</v>
      </c>
      <c r="E88" s="9" t="s">
        <v>3773</v>
      </c>
      <c r="F88" s="9" t="s">
        <v>3797</v>
      </c>
      <c r="G88" s="9" t="s">
        <v>3831</v>
      </c>
      <c r="H88" s="9" t="s">
        <v>3797</v>
      </c>
    </row>
    <row r="89">
      <c r="A89" s="9" t="s">
        <v>3832</v>
      </c>
      <c r="B89" s="9" t="s">
        <v>3833</v>
      </c>
      <c r="C89" s="9" t="s">
        <v>3814</v>
      </c>
      <c r="D89" s="9" t="s">
        <v>3766</v>
      </c>
      <c r="E89" s="9" t="s">
        <v>2948</v>
      </c>
      <c r="F89" s="9" t="s">
        <v>3834</v>
      </c>
      <c r="G89" s="9" t="s">
        <v>3834</v>
      </c>
      <c r="H89" s="9" t="s">
        <v>3834</v>
      </c>
    </row>
    <row r="90">
      <c r="A90" s="9" t="s">
        <v>3820</v>
      </c>
      <c r="B90" s="9" t="s">
        <v>3833</v>
      </c>
      <c r="C90" s="9" t="s">
        <v>3765</v>
      </c>
      <c r="D90" s="9" t="s">
        <v>3795</v>
      </c>
      <c r="E90" s="9" t="s">
        <v>3773</v>
      </c>
      <c r="F90" s="9" t="s">
        <v>3835</v>
      </c>
      <c r="G90" s="9" t="s">
        <v>3831</v>
      </c>
      <c r="H90" s="9" t="s">
        <v>3836</v>
      </c>
    </row>
    <row r="91">
      <c r="A91" s="9" t="s">
        <v>3824</v>
      </c>
      <c r="B91" s="9" t="s">
        <v>3833</v>
      </c>
      <c r="C91" s="9" t="s">
        <v>3771</v>
      </c>
      <c r="D91" s="9" t="s">
        <v>3779</v>
      </c>
      <c r="E91" s="9" t="s">
        <v>2977</v>
      </c>
      <c r="F91" s="9" t="s">
        <v>3837</v>
      </c>
      <c r="G91" s="9" t="s">
        <v>3838</v>
      </c>
      <c r="H91" s="9" t="s">
        <v>3837</v>
      </c>
    </row>
    <row r="92">
      <c r="A92" s="9" t="s">
        <v>3839</v>
      </c>
      <c r="B92" s="9" t="s">
        <v>3840</v>
      </c>
      <c r="C92" s="9" t="s">
        <v>3814</v>
      </c>
      <c r="D92" s="9" t="s">
        <v>3766</v>
      </c>
      <c r="E92" s="9" t="s">
        <v>3841</v>
      </c>
      <c r="F92" s="9" t="s">
        <v>3767</v>
      </c>
      <c r="G92" s="9" t="s">
        <v>3834</v>
      </c>
      <c r="H92" s="9" t="s">
        <v>3767</v>
      </c>
    </row>
    <row r="93">
      <c r="A93" s="9" t="s">
        <v>3842</v>
      </c>
      <c r="B93" s="9" t="s">
        <v>3840</v>
      </c>
      <c r="C93" s="9" t="s">
        <v>3800</v>
      </c>
      <c r="D93" s="9" t="s">
        <v>3779</v>
      </c>
      <c r="E93" s="9" t="s">
        <v>3843</v>
      </c>
      <c r="F93" s="9" t="s">
        <v>3844</v>
      </c>
      <c r="G93" s="9" t="s">
        <v>3845</v>
      </c>
      <c r="H93" s="9" t="s">
        <v>3846</v>
      </c>
    </row>
    <row r="94">
      <c r="A94" s="9" t="s">
        <v>3847</v>
      </c>
      <c r="B94" s="9" t="s">
        <v>3848</v>
      </c>
      <c r="C94" s="9" t="s">
        <v>3771</v>
      </c>
      <c r="D94" s="9" t="s">
        <v>3795</v>
      </c>
      <c r="E94" s="9" t="s">
        <v>3773</v>
      </c>
      <c r="F94" s="9" t="s">
        <v>3849</v>
      </c>
      <c r="G94" s="9" t="s">
        <v>3835</v>
      </c>
      <c r="H94" s="9" t="s">
        <v>3849</v>
      </c>
    </row>
    <row r="95">
      <c r="A95" s="9" t="s">
        <v>3850</v>
      </c>
      <c r="B95" s="9" t="s">
        <v>3848</v>
      </c>
      <c r="C95" s="9" t="s">
        <v>3814</v>
      </c>
      <c r="D95" s="9" t="s">
        <v>3779</v>
      </c>
      <c r="E95" s="9" t="s">
        <v>2977</v>
      </c>
      <c r="F95" s="9" t="s">
        <v>3844</v>
      </c>
      <c r="G95" s="9" t="s">
        <v>3851</v>
      </c>
      <c r="H95" s="9" t="s">
        <v>3837</v>
      </c>
    </row>
    <row r="96">
      <c r="A96" s="9" t="s">
        <v>3852</v>
      </c>
      <c r="B96" s="9" t="s">
        <v>3853</v>
      </c>
      <c r="C96" s="9" t="s">
        <v>3778</v>
      </c>
      <c r="D96" s="9" t="s">
        <v>3772</v>
      </c>
      <c r="E96" s="9" t="s">
        <v>3773</v>
      </c>
      <c r="F96" s="9" t="s">
        <v>3854</v>
      </c>
      <c r="G96" s="9" t="s">
        <v>3819</v>
      </c>
      <c r="H96" s="9" t="s">
        <v>3796</v>
      </c>
    </row>
    <row r="97">
      <c r="A97" s="9" t="s">
        <v>3855</v>
      </c>
      <c r="B97" s="9" t="s">
        <v>3853</v>
      </c>
      <c r="C97" s="9" t="s">
        <v>3771</v>
      </c>
      <c r="D97" s="9" t="s">
        <v>3810</v>
      </c>
      <c r="E97" s="9" t="s">
        <v>2897</v>
      </c>
      <c r="F97" s="9" t="s">
        <v>3856</v>
      </c>
      <c r="G97" s="9" t="s">
        <v>3857</v>
      </c>
      <c r="H97" s="9" t="s">
        <v>3856</v>
      </c>
    </row>
    <row r="98">
      <c r="A98" s="9" t="s">
        <v>3858</v>
      </c>
      <c r="B98" s="9" t="s">
        <v>3859</v>
      </c>
      <c r="C98" s="9" t="s">
        <v>3778</v>
      </c>
      <c r="D98" s="9" t="s">
        <v>3766</v>
      </c>
      <c r="E98" s="9" t="s">
        <v>2948</v>
      </c>
      <c r="F98" s="9" t="s">
        <v>3860</v>
      </c>
      <c r="G98" s="9" t="s">
        <v>3781</v>
      </c>
      <c r="H98" s="9" t="s">
        <v>3860</v>
      </c>
    </row>
    <row r="99">
      <c r="A99" s="9" t="s">
        <v>3861</v>
      </c>
      <c r="B99" s="9" t="s">
        <v>3859</v>
      </c>
      <c r="C99" s="9" t="s">
        <v>3765</v>
      </c>
      <c r="D99" s="9" t="s">
        <v>639</v>
      </c>
      <c r="E99" s="9" t="s">
        <v>3773</v>
      </c>
      <c r="F99" s="9" t="s">
        <v>3802</v>
      </c>
      <c r="G99" s="9" t="s">
        <v>3802</v>
      </c>
      <c r="H99" s="9" t="s">
        <v>3862</v>
      </c>
    </row>
    <row r="100">
      <c r="A100" s="9" t="s">
        <v>3770</v>
      </c>
      <c r="B100" s="9" t="s">
        <v>3859</v>
      </c>
      <c r="C100" s="9" t="s">
        <v>3800</v>
      </c>
      <c r="D100" s="9" t="s">
        <v>3810</v>
      </c>
      <c r="E100" s="9" t="s">
        <v>2977</v>
      </c>
      <c r="F100" s="9" t="s">
        <v>3856</v>
      </c>
      <c r="G100" s="9" t="s">
        <v>3811</v>
      </c>
      <c r="H100" s="9" t="s">
        <v>3856</v>
      </c>
    </row>
    <row r="101">
      <c r="A101" s="9" t="s">
        <v>3863</v>
      </c>
      <c r="B101" s="9" t="s">
        <v>3864</v>
      </c>
      <c r="C101" s="9" t="s">
        <v>3814</v>
      </c>
      <c r="D101" s="9" t="s">
        <v>3766</v>
      </c>
      <c r="E101" s="9" t="s">
        <v>3865</v>
      </c>
      <c r="F101" s="9" t="s">
        <v>3767</v>
      </c>
      <c r="G101" s="9" t="s">
        <v>3767</v>
      </c>
      <c r="H101" s="9" t="s">
        <v>3807</v>
      </c>
    </row>
    <row r="102">
      <c r="A102" s="9" t="s">
        <v>3866</v>
      </c>
      <c r="B102" s="9" t="s">
        <v>3864</v>
      </c>
      <c r="C102" s="9" t="s">
        <v>3778</v>
      </c>
      <c r="D102" s="9" t="s">
        <v>3772</v>
      </c>
      <c r="E102" s="9" t="s">
        <v>3773</v>
      </c>
      <c r="F102" s="9" t="s">
        <v>3792</v>
      </c>
      <c r="G102" s="9" t="s">
        <v>3792</v>
      </c>
      <c r="H102" s="9" t="s">
        <v>3867</v>
      </c>
    </row>
    <row r="103">
      <c r="A103" s="9" t="s">
        <v>3868</v>
      </c>
      <c r="B103" s="9" t="s">
        <v>3869</v>
      </c>
      <c r="C103" s="9" t="s">
        <v>3765</v>
      </c>
      <c r="D103" s="9" t="s">
        <v>639</v>
      </c>
      <c r="E103" s="9" t="s">
        <v>2977</v>
      </c>
      <c r="F103" s="9" t="s">
        <v>3870</v>
      </c>
      <c r="G103" s="9" t="s">
        <v>3829</v>
      </c>
      <c r="H103" s="9" t="s">
        <v>3870</v>
      </c>
    </row>
    <row r="104">
      <c r="A104" s="9" t="s">
        <v>3871</v>
      </c>
      <c r="B104" s="9" t="s">
        <v>3872</v>
      </c>
      <c r="C104" s="9" t="s">
        <v>3814</v>
      </c>
      <c r="D104" s="9" t="s">
        <v>639</v>
      </c>
      <c r="E104" s="9" t="s">
        <v>3873</v>
      </c>
      <c r="F104" s="9" t="s">
        <v>3870</v>
      </c>
      <c r="G104" s="9" t="s">
        <v>3874</v>
      </c>
      <c r="H104" s="9" t="s">
        <v>3870</v>
      </c>
    </row>
    <row r="105">
      <c r="A105" s="16"/>
      <c r="B105" s="16"/>
      <c r="C105" s="16"/>
      <c r="D105" s="16"/>
      <c r="E105" s="16"/>
      <c r="F105" s="16"/>
      <c r="G105" s="16"/>
      <c r="H105" s="16"/>
    </row>
    <row r="106">
      <c r="A106" s="250" t="s">
        <v>3875</v>
      </c>
      <c r="F106" s="16"/>
      <c r="G106" s="16"/>
      <c r="H106" s="16"/>
    </row>
    <row r="107">
      <c r="A107" s="150" t="s">
        <v>509</v>
      </c>
      <c r="B107" s="150" t="s">
        <v>511</v>
      </c>
      <c r="C107" s="150" t="s">
        <v>512</v>
      </c>
      <c r="D107" s="150" t="s">
        <v>513</v>
      </c>
      <c r="E107" s="150" t="s">
        <v>3085</v>
      </c>
      <c r="F107" s="16"/>
      <c r="G107" s="16"/>
      <c r="H107" s="16"/>
    </row>
    <row r="108">
      <c r="A108" s="9" t="s">
        <v>530</v>
      </c>
      <c r="B108" s="9" t="s">
        <v>637</v>
      </c>
      <c r="C108" s="9" t="s">
        <v>639</v>
      </c>
      <c r="D108" s="9" t="s">
        <v>17</v>
      </c>
      <c r="E108" s="9">
        <v>5000.0</v>
      </c>
      <c r="F108" s="16"/>
      <c r="G108" s="16"/>
      <c r="H108" s="16"/>
    </row>
    <row r="109">
      <c r="A109" s="9" t="s">
        <v>565</v>
      </c>
      <c r="B109" s="9" t="s">
        <v>650</v>
      </c>
      <c r="C109" s="9" t="s">
        <v>639</v>
      </c>
      <c r="D109" s="9" t="s">
        <v>17</v>
      </c>
      <c r="E109" s="9">
        <v>5000.0</v>
      </c>
      <c r="F109" s="16"/>
      <c r="G109" s="16"/>
      <c r="H109" s="16"/>
    </row>
    <row r="110">
      <c r="A110" s="9" t="s">
        <v>659</v>
      </c>
      <c r="B110" s="9" t="s">
        <v>660</v>
      </c>
      <c r="C110" s="9" t="s">
        <v>639</v>
      </c>
      <c r="D110" s="9" t="s">
        <v>549</v>
      </c>
      <c r="E110" s="9">
        <v>10000.0</v>
      </c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9" t="s">
        <v>587</v>
      </c>
      <c r="B111" s="9" t="s">
        <v>672</v>
      </c>
      <c r="C111" s="9" t="s">
        <v>673</v>
      </c>
      <c r="D111" s="9" t="s">
        <v>23</v>
      </c>
      <c r="E111" s="9">
        <v>10000.0</v>
      </c>
      <c r="F111" s="16"/>
      <c r="G111" s="16"/>
      <c r="H111" s="16"/>
    </row>
    <row r="112">
      <c r="A112" s="9" t="s">
        <v>600</v>
      </c>
      <c r="B112" s="9" t="s">
        <v>660</v>
      </c>
      <c r="C112" s="9" t="s">
        <v>639</v>
      </c>
      <c r="D112" s="9" t="s">
        <v>549</v>
      </c>
      <c r="E112" s="9">
        <v>20000.0</v>
      </c>
      <c r="F112" s="16"/>
      <c r="G112" s="16"/>
      <c r="H112" s="16"/>
    </row>
    <row r="113">
      <c r="A113" s="9" t="s">
        <v>696</v>
      </c>
      <c r="B113" s="9" t="s">
        <v>673</v>
      </c>
      <c r="E113" s="9">
        <v>25000.0</v>
      </c>
      <c r="F113" s="16"/>
      <c r="G113" s="16"/>
      <c r="H113" s="16"/>
    </row>
    <row r="114">
      <c r="A114" s="9" t="s">
        <v>705</v>
      </c>
      <c r="B114" s="9" t="s">
        <v>706</v>
      </c>
      <c r="E114" s="9">
        <v>50000.0</v>
      </c>
      <c r="F114" s="16"/>
      <c r="G114" s="16"/>
      <c r="H114" s="16"/>
    </row>
    <row r="115">
      <c r="A115" s="9" t="s">
        <v>620</v>
      </c>
      <c r="B115" s="9" t="s">
        <v>639</v>
      </c>
      <c r="E115" s="9">
        <v>100000.0</v>
      </c>
      <c r="F115" s="16"/>
      <c r="G115" s="16"/>
      <c r="H115" s="16"/>
    </row>
    <row r="116">
      <c r="A116" s="16"/>
      <c r="B116" s="16"/>
      <c r="C116" s="16"/>
      <c r="D116" s="16"/>
      <c r="E116" s="16"/>
      <c r="F116" s="16"/>
      <c r="G116" s="16"/>
      <c r="H116" s="16"/>
    </row>
    <row r="117">
      <c r="A117" s="16"/>
      <c r="B117" s="16"/>
      <c r="C117" s="16"/>
      <c r="D117" s="16"/>
      <c r="E117" s="16"/>
      <c r="F117" s="16"/>
      <c r="G117" s="16"/>
      <c r="H117" s="16"/>
    </row>
    <row r="118">
      <c r="A118" s="16"/>
      <c r="B118" s="16"/>
      <c r="C118" s="16"/>
      <c r="D118" s="16"/>
      <c r="E118" s="16"/>
      <c r="F118" s="16"/>
      <c r="G118" s="16"/>
      <c r="H118" s="16"/>
    </row>
    <row r="119">
      <c r="A119" s="16"/>
      <c r="B119" s="16"/>
      <c r="C119" s="16"/>
      <c r="D119" s="16"/>
      <c r="E119" s="16"/>
      <c r="F119" s="16"/>
      <c r="G119" s="16"/>
      <c r="H119" s="16"/>
    </row>
    <row r="120">
      <c r="A120" s="16"/>
      <c r="B120" s="16"/>
      <c r="C120" s="16"/>
      <c r="D120" s="16"/>
      <c r="E120" s="16"/>
      <c r="F120" s="16"/>
      <c r="G120" s="16"/>
      <c r="H120" s="16"/>
    </row>
    <row r="121">
      <c r="A121" s="16"/>
      <c r="B121" s="16"/>
      <c r="C121" s="16"/>
      <c r="D121" s="16"/>
      <c r="E121" s="16"/>
      <c r="F121" s="16"/>
      <c r="G121" s="16"/>
      <c r="H121" s="16"/>
    </row>
    <row r="122">
      <c r="A122" s="16"/>
      <c r="B122" s="16"/>
      <c r="C122" s="16"/>
      <c r="D122" s="16"/>
      <c r="E122" s="16"/>
      <c r="F122" s="16"/>
      <c r="G122" s="16"/>
      <c r="H122" s="16"/>
    </row>
    <row r="123">
      <c r="A123" s="16"/>
      <c r="B123" s="16"/>
      <c r="C123" s="16"/>
      <c r="D123" s="16"/>
      <c r="E123" s="16"/>
      <c r="F123" s="16"/>
      <c r="G123" s="16"/>
      <c r="H123" s="16"/>
    </row>
    <row r="124">
      <c r="A124" s="16"/>
      <c r="B124" s="16"/>
      <c r="C124" s="16"/>
      <c r="D124" s="16"/>
      <c r="E124" s="16"/>
      <c r="F124" s="16"/>
      <c r="G124" s="16"/>
      <c r="H124" s="16"/>
    </row>
    <row r="125">
      <c r="A125" s="16"/>
      <c r="B125" s="16"/>
      <c r="C125" s="16"/>
      <c r="D125" s="16"/>
      <c r="E125" s="16"/>
      <c r="F125" s="16"/>
      <c r="G125" s="16"/>
      <c r="H125" s="16"/>
    </row>
    <row r="126">
      <c r="A126" s="16"/>
      <c r="B126" s="16"/>
      <c r="C126" s="16"/>
      <c r="D126" s="16"/>
      <c r="E126" s="16"/>
      <c r="F126" s="16"/>
      <c r="G126" s="16"/>
      <c r="H126" s="16"/>
    </row>
    <row r="127">
      <c r="A127" s="16"/>
      <c r="B127" s="16"/>
      <c r="C127" s="16"/>
      <c r="D127" s="16"/>
      <c r="E127" s="16"/>
      <c r="F127" s="16"/>
      <c r="G127" s="16"/>
      <c r="H127" s="16"/>
    </row>
    <row r="128">
      <c r="A128" s="16"/>
      <c r="B128" s="16"/>
      <c r="C128" s="16"/>
      <c r="D128" s="16"/>
      <c r="E128" s="16"/>
      <c r="F128" s="16"/>
      <c r="G128" s="16"/>
      <c r="H128" s="16"/>
    </row>
    <row r="129">
      <c r="A129" s="16"/>
      <c r="B129" s="16"/>
      <c r="C129" s="16"/>
      <c r="D129" s="16"/>
      <c r="E129" s="16"/>
      <c r="F129" s="16"/>
      <c r="G129" s="16"/>
      <c r="H129" s="16"/>
    </row>
    <row r="130">
      <c r="A130" s="16"/>
      <c r="B130" s="16"/>
      <c r="C130" s="16"/>
      <c r="D130" s="16"/>
      <c r="E130" s="16"/>
      <c r="F130" s="16"/>
      <c r="G130" s="16"/>
      <c r="H130" s="16"/>
    </row>
    <row r="131">
      <c r="A131" s="16"/>
      <c r="B131" s="16"/>
      <c r="C131" s="16"/>
      <c r="D131" s="16"/>
      <c r="E131" s="16"/>
      <c r="F131" s="16"/>
      <c r="G131" s="16"/>
      <c r="H131" s="16"/>
    </row>
    <row r="132">
      <c r="A132" s="16"/>
      <c r="B132" s="16"/>
      <c r="C132" s="16"/>
      <c r="D132" s="16"/>
      <c r="E132" s="16"/>
      <c r="F132" s="16"/>
      <c r="G132" s="16"/>
      <c r="H132" s="16"/>
    </row>
    <row r="133">
      <c r="A133" s="16"/>
      <c r="B133" s="16"/>
      <c r="C133" s="16"/>
      <c r="D133" s="16"/>
      <c r="E133" s="16"/>
      <c r="F133" s="16"/>
      <c r="G133" s="16"/>
      <c r="H133" s="16"/>
    </row>
    <row r="134">
      <c r="A134" s="16"/>
      <c r="B134" s="16"/>
      <c r="C134" s="16"/>
      <c r="D134" s="16"/>
      <c r="E134" s="16"/>
      <c r="F134" s="16"/>
      <c r="G134" s="16"/>
      <c r="H134" s="16"/>
    </row>
    <row r="135">
      <c r="A135" s="16"/>
      <c r="B135" s="16"/>
      <c r="C135" s="16"/>
      <c r="D135" s="16"/>
      <c r="E135" s="16"/>
      <c r="F135" s="16"/>
      <c r="G135" s="16"/>
      <c r="H135" s="16"/>
    </row>
    <row r="136">
      <c r="A136" s="16"/>
      <c r="B136" s="16"/>
      <c r="C136" s="16"/>
      <c r="D136" s="16"/>
      <c r="E136" s="16"/>
      <c r="F136" s="16"/>
      <c r="G136" s="16"/>
      <c r="H136" s="16"/>
    </row>
    <row r="137">
      <c r="A137" s="16"/>
      <c r="B137" s="16"/>
      <c r="C137" s="16"/>
      <c r="D137" s="16"/>
      <c r="E137" s="16"/>
      <c r="F137" s="16"/>
      <c r="G137" s="16"/>
      <c r="H137" s="16"/>
    </row>
    <row r="138">
      <c r="A138" s="16"/>
      <c r="B138" s="16"/>
      <c r="C138" s="16"/>
      <c r="D138" s="16"/>
      <c r="E138" s="16"/>
      <c r="F138" s="16"/>
      <c r="G138" s="16"/>
      <c r="H138" s="16"/>
    </row>
    <row r="139">
      <c r="A139" s="16"/>
      <c r="B139" s="16"/>
      <c r="C139" s="16"/>
      <c r="D139" s="16"/>
      <c r="E139" s="16"/>
      <c r="F139" s="16"/>
      <c r="G139" s="16"/>
      <c r="H139" s="16"/>
    </row>
    <row r="140">
      <c r="A140" s="16"/>
      <c r="B140" s="16"/>
      <c r="C140" s="16"/>
      <c r="D140" s="16"/>
      <c r="E140" s="16"/>
      <c r="F140" s="16"/>
      <c r="G140" s="16"/>
      <c r="H140" s="16"/>
    </row>
    <row r="141">
      <c r="A141" s="16"/>
      <c r="B141" s="16"/>
      <c r="C141" s="16"/>
      <c r="D141" s="16"/>
      <c r="E141" s="16"/>
      <c r="F141" s="16"/>
      <c r="G141" s="16"/>
      <c r="H141" s="16"/>
    </row>
    <row r="142">
      <c r="A142" s="16"/>
      <c r="B142" s="16"/>
      <c r="C142" s="16"/>
      <c r="D142" s="16"/>
      <c r="E142" s="16"/>
      <c r="F142" s="16"/>
      <c r="G142" s="16"/>
      <c r="H142" s="16"/>
    </row>
    <row r="143">
      <c r="A143" s="16"/>
      <c r="B143" s="16"/>
      <c r="C143" s="16"/>
      <c r="D143" s="16"/>
      <c r="E143" s="16"/>
      <c r="F143" s="16"/>
      <c r="G143" s="16"/>
      <c r="H143" s="16"/>
    </row>
    <row r="144">
      <c r="A144" s="16"/>
      <c r="B144" s="16"/>
      <c r="C144" s="16"/>
      <c r="D144" s="16"/>
      <c r="E144" s="16"/>
      <c r="F144" s="16"/>
      <c r="G144" s="16"/>
      <c r="H144" s="16"/>
    </row>
    <row r="145">
      <c r="A145" s="16"/>
      <c r="B145" s="16"/>
      <c r="C145" s="16"/>
      <c r="D145" s="16"/>
      <c r="E145" s="16"/>
      <c r="F145" s="16"/>
      <c r="G145" s="16"/>
      <c r="H145" s="16"/>
    </row>
    <row r="146">
      <c r="A146" s="16"/>
      <c r="B146" s="16"/>
      <c r="C146" s="16"/>
      <c r="D146" s="16"/>
      <c r="E146" s="16"/>
      <c r="F146" s="16"/>
      <c r="G146" s="16"/>
      <c r="H146" s="16"/>
    </row>
    <row r="147">
      <c r="A147" s="16"/>
      <c r="B147" s="16"/>
      <c r="C147" s="16"/>
      <c r="D147" s="16"/>
      <c r="E147" s="16"/>
      <c r="F147" s="16"/>
      <c r="G147" s="16"/>
      <c r="H147" s="16"/>
    </row>
    <row r="148">
      <c r="A148" s="16"/>
      <c r="B148" s="16"/>
      <c r="C148" s="16"/>
      <c r="D148" s="16"/>
      <c r="E148" s="16"/>
      <c r="F148" s="16"/>
      <c r="G148" s="16"/>
      <c r="H148" s="16"/>
    </row>
    <row r="149">
      <c r="A149" s="16"/>
      <c r="B149" s="16"/>
      <c r="C149" s="16"/>
      <c r="D149" s="16"/>
      <c r="E149" s="16"/>
      <c r="F149" s="16"/>
      <c r="G149" s="16"/>
      <c r="H149" s="16"/>
    </row>
    <row r="150">
      <c r="A150" s="16"/>
      <c r="B150" s="16"/>
      <c r="C150" s="16"/>
      <c r="D150" s="16"/>
      <c r="E150" s="16"/>
      <c r="F150" s="16"/>
      <c r="G150" s="16"/>
      <c r="H150" s="16"/>
    </row>
    <row r="151">
      <c r="A151" s="16"/>
      <c r="B151" s="16"/>
      <c r="C151" s="16"/>
      <c r="D151" s="16"/>
      <c r="E151" s="16"/>
      <c r="F151" s="16"/>
      <c r="G151" s="16"/>
      <c r="H151" s="16"/>
    </row>
    <row r="152">
      <c r="A152" s="16"/>
      <c r="B152" s="16"/>
      <c r="C152" s="16"/>
      <c r="D152" s="16"/>
      <c r="E152" s="16"/>
      <c r="F152" s="16"/>
      <c r="G152" s="16"/>
      <c r="H152" s="16"/>
    </row>
    <row r="153">
      <c r="A153" s="16"/>
      <c r="B153" s="16"/>
      <c r="C153" s="16"/>
      <c r="D153" s="16"/>
      <c r="E153" s="16"/>
      <c r="F153" s="16"/>
      <c r="G153" s="16"/>
      <c r="H153" s="16"/>
    </row>
    <row r="154">
      <c r="A154" s="16"/>
      <c r="B154" s="16"/>
      <c r="C154" s="16"/>
      <c r="D154" s="16"/>
      <c r="E154" s="16"/>
      <c r="F154" s="16"/>
      <c r="G154" s="16"/>
      <c r="H154" s="16"/>
    </row>
    <row r="155">
      <c r="A155" s="16"/>
      <c r="B155" s="16"/>
      <c r="C155" s="16"/>
      <c r="D155" s="16"/>
      <c r="E155" s="16"/>
      <c r="F155" s="16"/>
      <c r="G155" s="16"/>
      <c r="H155" s="16"/>
    </row>
    <row r="156">
      <c r="A156" s="16"/>
      <c r="B156" s="16"/>
      <c r="C156" s="16"/>
      <c r="D156" s="16"/>
      <c r="E156" s="16"/>
      <c r="F156" s="16"/>
      <c r="G156" s="16"/>
      <c r="H156" s="16"/>
    </row>
    <row r="157">
      <c r="A157" s="16"/>
      <c r="B157" s="16"/>
      <c r="C157" s="16"/>
      <c r="D157" s="16"/>
      <c r="E157" s="16"/>
      <c r="F157" s="16"/>
      <c r="G157" s="16"/>
      <c r="H157" s="16"/>
    </row>
    <row r="158">
      <c r="A158" s="16"/>
      <c r="B158" s="16"/>
      <c r="C158" s="16"/>
      <c r="D158" s="16"/>
      <c r="E158" s="16"/>
      <c r="F158" s="16"/>
      <c r="G158" s="16"/>
      <c r="H158" s="16"/>
    </row>
    <row r="159">
      <c r="A159" s="16"/>
      <c r="B159" s="16"/>
      <c r="C159" s="16"/>
      <c r="D159" s="16"/>
      <c r="E159" s="16"/>
      <c r="F159" s="16"/>
      <c r="G159" s="16"/>
      <c r="H159" s="16"/>
    </row>
    <row r="160">
      <c r="A160" s="16"/>
      <c r="B160" s="16"/>
      <c r="C160" s="16"/>
      <c r="D160" s="16"/>
      <c r="E160" s="16"/>
      <c r="F160" s="16"/>
      <c r="G160" s="16"/>
      <c r="H160" s="16"/>
    </row>
    <row r="161">
      <c r="A161" s="16"/>
      <c r="B161" s="16"/>
      <c r="C161" s="16"/>
      <c r="D161" s="16"/>
      <c r="E161" s="16"/>
      <c r="F161" s="16"/>
      <c r="G161" s="16"/>
      <c r="H161" s="16"/>
    </row>
    <row r="162">
      <c r="A162" s="16"/>
      <c r="B162" s="16"/>
      <c r="C162" s="16"/>
      <c r="D162" s="16"/>
      <c r="E162" s="16"/>
      <c r="F162" s="16"/>
      <c r="G162" s="16"/>
      <c r="H162" s="16"/>
    </row>
    <row r="163">
      <c r="A163" s="16"/>
      <c r="B163" s="16"/>
      <c r="C163" s="16"/>
      <c r="D163" s="16"/>
      <c r="E163" s="16"/>
      <c r="F163" s="16"/>
      <c r="G163" s="16"/>
      <c r="H163" s="16"/>
    </row>
    <row r="164">
      <c r="A164" s="16"/>
      <c r="B164" s="16"/>
      <c r="C164" s="16"/>
      <c r="D164" s="16"/>
      <c r="E164" s="16"/>
      <c r="F164" s="16"/>
      <c r="G164" s="16"/>
      <c r="H164" s="16"/>
    </row>
    <row r="165">
      <c r="A165" s="16"/>
      <c r="B165" s="16"/>
      <c r="C165" s="16"/>
      <c r="D165" s="16"/>
      <c r="E165" s="16"/>
      <c r="F165" s="16"/>
      <c r="G165" s="16"/>
      <c r="H165" s="16"/>
    </row>
    <row r="166">
      <c r="A166" s="16"/>
      <c r="B166" s="16"/>
      <c r="C166" s="16"/>
      <c r="D166" s="16"/>
      <c r="E166" s="16"/>
      <c r="F166" s="16"/>
      <c r="G166" s="16"/>
      <c r="H166" s="16"/>
    </row>
    <row r="167">
      <c r="A167" s="16"/>
      <c r="B167" s="16"/>
      <c r="C167" s="16"/>
      <c r="D167" s="16"/>
      <c r="E167" s="16"/>
      <c r="F167" s="16"/>
      <c r="G167" s="16"/>
      <c r="H167" s="16"/>
    </row>
    <row r="168">
      <c r="A168" s="16"/>
      <c r="B168" s="16"/>
      <c r="C168" s="16"/>
      <c r="D168" s="16"/>
      <c r="E168" s="16"/>
      <c r="F168" s="16"/>
      <c r="G168" s="16"/>
      <c r="H168" s="16"/>
    </row>
    <row r="169">
      <c r="A169" s="16"/>
      <c r="B169" s="16"/>
      <c r="C169" s="16"/>
      <c r="D169" s="16"/>
      <c r="E169" s="16"/>
      <c r="F169" s="16"/>
      <c r="G169" s="16"/>
      <c r="H169" s="16"/>
    </row>
  </sheetData>
  <mergeCells count="7">
    <mergeCell ref="A1:G1"/>
    <mergeCell ref="A43:F43"/>
    <mergeCell ref="A69:H69"/>
    <mergeCell ref="A106:E106"/>
    <mergeCell ref="B113:D113"/>
    <mergeCell ref="B114:D114"/>
    <mergeCell ref="B115:D115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27.88"/>
    <col customWidth="1" min="3" max="3" width="27.25"/>
    <col customWidth="1" min="4" max="4" width="29.63"/>
    <col customWidth="1" min="5" max="5" width="27.25"/>
    <col customWidth="1" min="6" max="6" width="34.63"/>
    <col customWidth="1" min="7" max="7" width="27.38"/>
    <col customWidth="1" min="8" max="8" width="36.0"/>
    <col customWidth="1" min="9" max="9" width="18.88"/>
    <col customWidth="1" min="10" max="10" width="22.25"/>
    <col customWidth="1" min="11" max="11" width="23.63"/>
  </cols>
  <sheetData>
    <row r="1">
      <c r="A1" s="2" t="s">
        <v>3876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4" t="s">
        <v>14</v>
      </c>
      <c r="B2" s="14" t="s">
        <v>16</v>
      </c>
      <c r="C2" s="14" t="s">
        <v>549</v>
      </c>
      <c r="D2" s="14" t="s">
        <v>21</v>
      </c>
      <c r="E2" s="14" t="s">
        <v>11</v>
      </c>
      <c r="F2" s="14" t="s">
        <v>12</v>
      </c>
      <c r="G2" s="14" t="s">
        <v>13</v>
      </c>
      <c r="H2" s="14" t="s">
        <v>17</v>
      </c>
      <c r="I2" s="14" t="s">
        <v>19</v>
      </c>
      <c r="J2" s="14" t="s">
        <v>23</v>
      </c>
      <c r="K2" s="14" t="s">
        <v>3877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19" t="s">
        <v>1311</v>
      </c>
      <c r="B3" s="60" t="s">
        <v>1930</v>
      </c>
      <c r="C3" s="60" t="s">
        <v>3878</v>
      </c>
      <c r="D3" s="60" t="s">
        <v>2666</v>
      </c>
      <c r="E3" s="60" t="s">
        <v>165</v>
      </c>
      <c r="F3" s="60" t="s">
        <v>1017</v>
      </c>
      <c r="G3" s="60" t="s">
        <v>3879</v>
      </c>
      <c r="H3" s="60" t="s">
        <v>1694</v>
      </c>
      <c r="I3" s="60" t="s">
        <v>2419</v>
      </c>
      <c r="J3" s="60" t="s">
        <v>3880</v>
      </c>
      <c r="K3" s="60" t="s">
        <v>3881</v>
      </c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>
      <c r="A4" s="19" t="s">
        <v>1397</v>
      </c>
      <c r="B4" s="60" t="s">
        <v>1940</v>
      </c>
      <c r="C4" s="60" t="s">
        <v>2412</v>
      </c>
      <c r="D4" s="60" t="s">
        <v>3286</v>
      </c>
      <c r="E4" s="60" t="s">
        <v>987</v>
      </c>
      <c r="F4" s="60" t="s">
        <v>1114</v>
      </c>
      <c r="G4" s="60" t="s">
        <v>1362</v>
      </c>
      <c r="H4" s="60" t="s">
        <v>3882</v>
      </c>
      <c r="I4" s="60" t="s">
        <v>2455</v>
      </c>
      <c r="J4" s="60" t="s">
        <v>3883</v>
      </c>
      <c r="K4" s="60" t="s">
        <v>3884</v>
      </c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>
      <c r="A5" s="60" t="s">
        <v>2352</v>
      </c>
      <c r="B5" s="60" t="s">
        <v>2333</v>
      </c>
      <c r="C5" s="60" t="s">
        <v>3885</v>
      </c>
      <c r="D5" s="60" t="s">
        <v>3886</v>
      </c>
      <c r="E5" s="60" t="s">
        <v>294</v>
      </c>
      <c r="F5" s="60" t="s">
        <v>3887</v>
      </c>
      <c r="G5" s="60" t="s">
        <v>1366</v>
      </c>
      <c r="H5" s="60" t="s">
        <v>3888</v>
      </c>
      <c r="I5" s="60" t="s">
        <v>3889</v>
      </c>
      <c r="J5" s="60" t="s">
        <v>3890</v>
      </c>
      <c r="K5" s="60" t="s">
        <v>3891</v>
      </c>
      <c r="L5" s="71"/>
      <c r="M5" s="71">
        <f>8+15+12+15+17+14+7+15+12+13+10</f>
        <v>138</v>
      </c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>
      <c r="A6" s="60" t="s">
        <v>3892</v>
      </c>
      <c r="B6" s="60" t="s">
        <v>3893</v>
      </c>
      <c r="C6" s="19" t="s">
        <v>3894</v>
      </c>
      <c r="D6" s="60" t="s">
        <v>3895</v>
      </c>
      <c r="E6" s="60" t="s">
        <v>3896</v>
      </c>
      <c r="F6" s="60" t="s">
        <v>3897</v>
      </c>
      <c r="G6" s="60" t="s">
        <v>3898</v>
      </c>
      <c r="H6" s="19" t="s">
        <v>1792</v>
      </c>
      <c r="I6" s="60" t="s">
        <v>3899</v>
      </c>
      <c r="J6" s="60" t="s">
        <v>3900</v>
      </c>
      <c r="K6" s="60" t="s">
        <v>3901</v>
      </c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>
      <c r="A7" s="60" t="s">
        <v>3902</v>
      </c>
      <c r="B7" s="60" t="s">
        <v>3903</v>
      </c>
      <c r="C7" s="60" t="s">
        <v>3904</v>
      </c>
      <c r="D7" s="60" t="s">
        <v>3905</v>
      </c>
      <c r="E7" s="60" t="s">
        <v>3906</v>
      </c>
      <c r="F7" s="60" t="s">
        <v>3907</v>
      </c>
      <c r="G7" s="60" t="s">
        <v>1622</v>
      </c>
      <c r="H7" s="19" t="s">
        <v>3908</v>
      </c>
      <c r="I7" s="60" t="s">
        <v>3909</v>
      </c>
      <c r="J7" s="60" t="s">
        <v>3222</v>
      </c>
      <c r="K7" s="60" t="s">
        <v>3910</v>
      </c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>
      <c r="A8" s="60" t="s">
        <v>3911</v>
      </c>
      <c r="B8" s="60" t="s">
        <v>3349</v>
      </c>
      <c r="C8" s="60" t="s">
        <v>3912</v>
      </c>
      <c r="D8" s="60" t="s">
        <v>3913</v>
      </c>
      <c r="E8" s="60" t="s">
        <v>3914</v>
      </c>
      <c r="F8" s="60" t="s">
        <v>3915</v>
      </c>
      <c r="G8" s="60" t="s">
        <v>3916</v>
      </c>
      <c r="H8" s="19" t="s">
        <v>3917</v>
      </c>
      <c r="I8" s="60" t="s">
        <v>2463</v>
      </c>
      <c r="J8" s="60" t="s">
        <v>3918</v>
      </c>
      <c r="K8" s="60" t="s">
        <v>3919</v>
      </c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>
      <c r="A9" s="60" t="s">
        <v>3920</v>
      </c>
      <c r="B9" s="60" t="s">
        <v>3353</v>
      </c>
      <c r="C9" s="60" t="s">
        <v>3921</v>
      </c>
      <c r="D9" s="60" t="s">
        <v>3922</v>
      </c>
      <c r="E9" s="60" t="s">
        <v>3923</v>
      </c>
      <c r="F9" s="60" t="s">
        <v>408</v>
      </c>
      <c r="G9" s="60" t="s">
        <v>3924</v>
      </c>
      <c r="H9" s="19" t="s">
        <v>3925</v>
      </c>
      <c r="I9" s="60" t="s">
        <v>3926</v>
      </c>
      <c r="J9" s="60" t="s">
        <v>3927</v>
      </c>
      <c r="K9" s="60" t="s">
        <v>3928</v>
      </c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>
      <c r="A10" s="60" t="s">
        <v>3929</v>
      </c>
      <c r="B10" s="60" t="s">
        <v>3930</v>
      </c>
      <c r="C10" s="60" t="s">
        <v>3931</v>
      </c>
      <c r="D10" s="60" t="s">
        <v>3932</v>
      </c>
      <c r="E10" s="60" t="s">
        <v>3933</v>
      </c>
      <c r="F10" s="60" t="s">
        <v>3934</v>
      </c>
      <c r="G10" s="71"/>
      <c r="H10" s="19" t="s">
        <v>3935</v>
      </c>
      <c r="I10" s="60" t="s">
        <v>2303</v>
      </c>
      <c r="J10" s="60" t="s">
        <v>3936</v>
      </c>
      <c r="K10" s="60" t="s">
        <v>3937</v>
      </c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>
      <c r="A11" s="71"/>
      <c r="B11" s="60" t="s">
        <v>3938</v>
      </c>
      <c r="C11" s="60" t="s">
        <v>3939</v>
      </c>
      <c r="D11" s="60" t="s">
        <v>3940</v>
      </c>
      <c r="E11" s="60" t="s">
        <v>3941</v>
      </c>
      <c r="F11" s="60" t="s">
        <v>3942</v>
      </c>
      <c r="G11" s="71"/>
      <c r="H11" s="60" t="s">
        <v>3943</v>
      </c>
      <c r="I11" s="60" t="s">
        <v>3944</v>
      </c>
      <c r="J11" s="60" t="s">
        <v>3945</v>
      </c>
      <c r="K11" s="60" t="s">
        <v>3946</v>
      </c>
      <c r="L11" s="60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>
      <c r="B12" s="19" t="s">
        <v>3947</v>
      </c>
      <c r="C12" s="19" t="s">
        <v>3948</v>
      </c>
      <c r="D12" s="19" t="s">
        <v>3324</v>
      </c>
      <c r="E12" s="19" t="s">
        <v>3949</v>
      </c>
      <c r="F12" s="19" t="s">
        <v>3950</v>
      </c>
      <c r="H12" s="60" t="s">
        <v>3951</v>
      </c>
      <c r="I12" s="60" t="s">
        <v>3952</v>
      </c>
      <c r="J12" s="60" t="s">
        <v>3953</v>
      </c>
      <c r="K12" s="60" t="s">
        <v>3954</v>
      </c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B13" s="19" t="s">
        <v>3955</v>
      </c>
      <c r="C13" s="19" t="s">
        <v>3956</v>
      </c>
      <c r="D13" s="19" t="s">
        <v>3479</v>
      </c>
      <c r="E13" s="19" t="s">
        <v>3957</v>
      </c>
      <c r="F13" s="19" t="s">
        <v>3958</v>
      </c>
      <c r="H13" s="60" t="s">
        <v>3959</v>
      </c>
      <c r="I13" s="60" t="s">
        <v>3960</v>
      </c>
      <c r="J13" s="60" t="s">
        <v>3961</v>
      </c>
      <c r="K13" s="71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B14" s="19" t="s">
        <v>3962</v>
      </c>
      <c r="C14" s="19" t="s">
        <v>3963</v>
      </c>
      <c r="D14" s="19" t="s">
        <v>3484</v>
      </c>
      <c r="E14" s="19" t="s">
        <v>3964</v>
      </c>
      <c r="F14" s="19" t="s">
        <v>3965</v>
      </c>
      <c r="H14" s="60" t="s">
        <v>3966</v>
      </c>
      <c r="I14" s="60" t="s">
        <v>3967</v>
      </c>
      <c r="J14" s="60" t="s">
        <v>3968</v>
      </c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>
      <c r="B15" s="19" t="s">
        <v>3969</v>
      </c>
      <c r="D15" s="19" t="s">
        <v>3970</v>
      </c>
      <c r="E15" s="19" t="s">
        <v>3971</v>
      </c>
      <c r="F15" s="19" t="s">
        <v>3972</v>
      </c>
      <c r="H15" s="60" t="s">
        <v>3973</v>
      </c>
      <c r="I15" s="71"/>
      <c r="J15" s="60" t="s">
        <v>3974</v>
      </c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>
      <c r="B16" s="19" t="s">
        <v>3975</v>
      </c>
      <c r="D16" s="19" t="s">
        <v>3976</v>
      </c>
      <c r="E16" s="19" t="s">
        <v>3977</v>
      </c>
      <c r="F16" s="19" t="s">
        <v>3978</v>
      </c>
      <c r="H16" s="19" t="s">
        <v>3979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>
      <c r="A17" s="71"/>
      <c r="B17" s="60" t="s">
        <v>3980</v>
      </c>
      <c r="C17" s="71"/>
      <c r="D17" s="60" t="s">
        <v>3981</v>
      </c>
      <c r="E17" s="60" t="s">
        <v>3982</v>
      </c>
      <c r="F17" s="71"/>
      <c r="G17" s="71"/>
      <c r="H17" s="19" t="s">
        <v>3983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>
      <c r="A18" s="71"/>
      <c r="B18" s="71"/>
      <c r="C18" s="71"/>
      <c r="D18" s="71"/>
      <c r="E18" s="60" t="s">
        <v>3984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>
      <c r="A19" s="71"/>
      <c r="B19" s="71"/>
      <c r="C19" s="71"/>
      <c r="D19" s="71"/>
      <c r="E19" s="60" t="s">
        <v>3985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>
      <c r="A20" s="2" t="s">
        <v>3986</v>
      </c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>
      <c r="A21" s="86" t="s">
        <v>646</v>
      </c>
      <c r="B21" s="86" t="s">
        <v>647</v>
      </c>
      <c r="C21" s="86" t="s">
        <v>648</v>
      </c>
      <c r="D21" s="86" t="s">
        <v>651</v>
      </c>
      <c r="E21" s="86" t="s">
        <v>653</v>
      </c>
      <c r="F21" s="86" t="s">
        <v>654</v>
      </c>
      <c r="G21" s="86" t="s">
        <v>655</v>
      </c>
      <c r="H21" s="86" t="s">
        <v>657</v>
      </c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>
      <c r="A22" s="236" t="s">
        <v>3987</v>
      </c>
      <c r="B22" s="236" t="s">
        <v>3988</v>
      </c>
      <c r="C22" s="236" t="s">
        <v>3988</v>
      </c>
      <c r="D22" s="236" t="s">
        <v>3988</v>
      </c>
      <c r="E22" s="236" t="s">
        <v>3988</v>
      </c>
      <c r="F22" s="236" t="s">
        <v>3988</v>
      </c>
      <c r="G22" s="236" t="s">
        <v>3988</v>
      </c>
      <c r="H22" s="236" t="s">
        <v>3988</v>
      </c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>
      <c r="A23" s="19" t="s">
        <v>3989</v>
      </c>
      <c r="B23" s="19" t="s">
        <v>3990</v>
      </c>
      <c r="C23" s="19" t="s">
        <v>3991</v>
      </c>
      <c r="D23" s="19" t="s">
        <v>3992</v>
      </c>
      <c r="E23" s="19" t="s">
        <v>3993</v>
      </c>
      <c r="F23" s="19" t="s">
        <v>3994</v>
      </c>
      <c r="G23" s="60" t="s">
        <v>3995</v>
      </c>
      <c r="H23" s="60" t="s">
        <v>3996</v>
      </c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>
      <c r="A24" s="60" t="s">
        <v>3997</v>
      </c>
      <c r="B24" s="60" t="s">
        <v>3998</v>
      </c>
      <c r="C24" s="60" t="s">
        <v>3999</v>
      </c>
      <c r="D24" s="60" t="s">
        <v>4000</v>
      </c>
      <c r="E24" s="60" t="s">
        <v>4001</v>
      </c>
      <c r="F24" s="60" t="s">
        <v>4002</v>
      </c>
      <c r="G24" s="60" t="s">
        <v>4003</v>
      </c>
      <c r="H24" s="60" t="s">
        <v>4004</v>
      </c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>
      <c r="A25" s="60" t="s">
        <v>4005</v>
      </c>
      <c r="B25" s="60" t="s">
        <v>4006</v>
      </c>
      <c r="C25" s="60" t="s">
        <v>4007</v>
      </c>
      <c r="D25" s="60" t="s">
        <v>4008</v>
      </c>
      <c r="E25" s="60" t="s">
        <v>4009</v>
      </c>
      <c r="F25" s="60" t="s">
        <v>4010</v>
      </c>
      <c r="G25" s="60" t="s">
        <v>4011</v>
      </c>
      <c r="H25" s="60" t="s">
        <v>4012</v>
      </c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>
      <c r="A26" s="19" t="s">
        <v>4013</v>
      </c>
      <c r="B26" s="19" t="s">
        <v>4014</v>
      </c>
      <c r="C26" s="60" t="s">
        <v>4015</v>
      </c>
      <c r="D26" s="60" t="s">
        <v>4016</v>
      </c>
      <c r="E26" s="60" t="s">
        <v>4017</v>
      </c>
      <c r="F26" s="60" t="s">
        <v>4018</v>
      </c>
      <c r="G26" s="60" t="s">
        <v>4019</v>
      </c>
      <c r="H26" s="60" t="s">
        <v>4020</v>
      </c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>
      <c r="A27" s="19" t="s">
        <v>4021</v>
      </c>
      <c r="B27" s="19" t="s">
        <v>4022</v>
      </c>
      <c r="C27" s="19" t="s">
        <v>4023</v>
      </c>
      <c r="D27" s="19" t="s">
        <v>4024</v>
      </c>
      <c r="E27" s="19" t="s">
        <v>4025</v>
      </c>
      <c r="F27" s="19" t="s">
        <v>4026</v>
      </c>
      <c r="G27" s="19" t="s">
        <v>4027</v>
      </c>
      <c r="H27" s="19" t="s">
        <v>4028</v>
      </c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>
      <c r="A28" s="19" t="s">
        <v>4029</v>
      </c>
      <c r="B28" s="19" t="s">
        <v>4030</v>
      </c>
      <c r="C28" s="19" t="s">
        <v>4031</v>
      </c>
      <c r="D28" s="19" t="s">
        <v>4032</v>
      </c>
      <c r="E28" s="19" t="s">
        <v>4033</v>
      </c>
      <c r="F28" s="19" t="s">
        <v>4034</v>
      </c>
      <c r="G28" s="19" t="s">
        <v>4035</v>
      </c>
      <c r="H28" s="19" t="s">
        <v>4036</v>
      </c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>
      <c r="A29" s="19" t="s">
        <v>4037</v>
      </c>
      <c r="B29" s="19" t="s">
        <v>4038</v>
      </c>
      <c r="C29" s="19" t="s">
        <v>4039</v>
      </c>
      <c r="D29" s="19" t="s">
        <v>4040</v>
      </c>
      <c r="E29" s="19" t="s">
        <v>4041</v>
      </c>
      <c r="F29" s="19" t="s">
        <v>4042</v>
      </c>
      <c r="G29" s="19" t="s">
        <v>4043</v>
      </c>
      <c r="H29" s="19" t="s">
        <v>4044</v>
      </c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>
      <c r="A30" s="19" t="s">
        <v>4045</v>
      </c>
      <c r="B30" s="19" t="s">
        <v>4046</v>
      </c>
      <c r="C30" s="60" t="s">
        <v>4047</v>
      </c>
      <c r="D30" s="60" t="s">
        <v>4048</v>
      </c>
      <c r="E30" s="60" t="s">
        <v>4049</v>
      </c>
      <c r="F30" s="60" t="s">
        <v>4050</v>
      </c>
      <c r="G30" s="60" t="s">
        <v>4051</v>
      </c>
      <c r="H30" s="60" t="s">
        <v>4052</v>
      </c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>
      <c r="A31" s="19" t="s">
        <v>4053</v>
      </c>
      <c r="B31" s="19" t="s">
        <v>4054</v>
      </c>
      <c r="C31" s="60" t="s">
        <v>4055</v>
      </c>
      <c r="D31" s="60" t="s">
        <v>4056</v>
      </c>
      <c r="E31" s="60" t="s">
        <v>4057</v>
      </c>
      <c r="F31" s="60" t="s">
        <v>4058</v>
      </c>
      <c r="G31" s="60" t="s">
        <v>4059</v>
      </c>
      <c r="H31" s="60" t="s">
        <v>4060</v>
      </c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>
      <c r="A32" s="19" t="s">
        <v>4061</v>
      </c>
      <c r="B32" s="19" t="s">
        <v>4062</v>
      </c>
      <c r="C32" s="19" t="s">
        <v>4063</v>
      </c>
      <c r="D32" s="60" t="s">
        <v>4064</v>
      </c>
      <c r="E32" s="19" t="s">
        <v>4065</v>
      </c>
      <c r="F32" s="60" t="s">
        <v>4066</v>
      </c>
      <c r="G32" s="60" t="s">
        <v>4067</v>
      </c>
      <c r="H32" s="60" t="s">
        <v>4068</v>
      </c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>
      <c r="A33" s="19" t="s">
        <v>4069</v>
      </c>
      <c r="B33" s="19" t="s">
        <v>4070</v>
      </c>
      <c r="C33" s="19" t="s">
        <v>4071</v>
      </c>
      <c r="D33" s="60" t="s">
        <v>4072</v>
      </c>
      <c r="E33" s="19" t="s">
        <v>4073</v>
      </c>
      <c r="F33" s="60" t="s">
        <v>4074</v>
      </c>
      <c r="G33" s="60" t="s">
        <v>4075</v>
      </c>
      <c r="H33" s="19" t="s">
        <v>4076</v>
      </c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>
      <c r="A34" s="19" t="s">
        <v>4077</v>
      </c>
      <c r="B34" s="19" t="s">
        <v>4078</v>
      </c>
      <c r="C34" s="19" t="s">
        <v>4079</v>
      </c>
      <c r="D34" s="60" t="s">
        <v>4080</v>
      </c>
      <c r="E34" s="19" t="s">
        <v>4081</v>
      </c>
      <c r="F34" s="19" t="s">
        <v>4082</v>
      </c>
      <c r="G34" s="60" t="s">
        <v>4083</v>
      </c>
      <c r="H34" s="60" t="s">
        <v>4084</v>
      </c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>
      <c r="A35" s="19" t="s">
        <v>4085</v>
      </c>
      <c r="B35" s="19" t="s">
        <v>4086</v>
      </c>
      <c r="C35" s="19" t="s">
        <v>4087</v>
      </c>
      <c r="D35" s="19" t="s">
        <v>4088</v>
      </c>
      <c r="E35" s="60" t="s">
        <v>4089</v>
      </c>
      <c r="F35" s="19" t="s">
        <v>4090</v>
      </c>
      <c r="G35" s="19" t="s">
        <v>4091</v>
      </c>
      <c r="H35" s="19" t="s">
        <v>4092</v>
      </c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>
      <c r="A36" s="19" t="s">
        <v>4093</v>
      </c>
      <c r="B36" s="19" t="s">
        <v>4094</v>
      </c>
      <c r="C36" s="19" t="s">
        <v>4095</v>
      </c>
      <c r="D36" s="19" t="s">
        <v>4096</v>
      </c>
      <c r="E36" s="19" t="s">
        <v>4097</v>
      </c>
      <c r="F36" s="60" t="s">
        <v>4098</v>
      </c>
      <c r="G36" s="19" t="s">
        <v>4099</v>
      </c>
      <c r="H36" s="19" t="s">
        <v>4100</v>
      </c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>
      <c r="A37" s="19" t="s">
        <v>4101</v>
      </c>
      <c r="B37" s="19" t="s">
        <v>4102</v>
      </c>
      <c r="C37" s="19" t="s">
        <v>4103</v>
      </c>
      <c r="D37" s="19" t="s">
        <v>4104</v>
      </c>
      <c r="E37" s="19" t="s">
        <v>4105</v>
      </c>
      <c r="F37" s="19" t="s">
        <v>4106</v>
      </c>
      <c r="G37" s="19" t="s">
        <v>4107</v>
      </c>
      <c r="H37" s="19" t="s">
        <v>4108</v>
      </c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>
      <c r="A38" s="19" t="s">
        <v>4109</v>
      </c>
      <c r="B38" s="19" t="s">
        <v>4110</v>
      </c>
      <c r="C38" s="19" t="s">
        <v>4111</v>
      </c>
      <c r="D38" s="19" t="s">
        <v>4112</v>
      </c>
      <c r="E38" s="19" t="s">
        <v>4113</v>
      </c>
      <c r="F38" s="19" t="s">
        <v>4114</v>
      </c>
      <c r="G38" s="19" t="s">
        <v>4115</v>
      </c>
      <c r="H38" s="19" t="s">
        <v>4116</v>
      </c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>
      <c r="A39" s="19" t="s">
        <v>4117</v>
      </c>
      <c r="C39" s="19" t="s">
        <v>4118</v>
      </c>
      <c r="D39" s="19" t="s">
        <v>4119</v>
      </c>
      <c r="F39" s="19" t="s">
        <v>4120</v>
      </c>
      <c r="G39" s="19" t="s">
        <v>4121</v>
      </c>
      <c r="H39" s="19" t="s">
        <v>4122</v>
      </c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>
      <c r="A40" s="19" t="s">
        <v>4123</v>
      </c>
      <c r="C40" s="19" t="s">
        <v>4124</v>
      </c>
      <c r="G40" s="19" t="s">
        <v>4125</v>
      </c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>
      <c r="E42" s="60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>
      <c r="A44" s="211" t="s">
        <v>3502</v>
      </c>
      <c r="I44" s="16"/>
      <c r="J44" s="16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>
      <c r="A45" s="248" t="s">
        <v>2882</v>
      </c>
      <c r="B45" s="248" t="s">
        <v>3045</v>
      </c>
      <c r="C45" s="167" t="s">
        <v>3046</v>
      </c>
      <c r="D45" s="248" t="s">
        <v>2883</v>
      </c>
      <c r="E45" s="248" t="s">
        <v>64</v>
      </c>
      <c r="F45" s="248" t="s">
        <v>3051</v>
      </c>
      <c r="G45" s="248" t="s">
        <v>587</v>
      </c>
      <c r="H45" s="248" t="s">
        <v>579</v>
      </c>
      <c r="I45" s="16"/>
      <c r="J45" s="16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>
      <c r="A46" s="9" t="s">
        <v>4126</v>
      </c>
      <c r="B46" s="9" t="s">
        <v>4127</v>
      </c>
      <c r="C46" s="9" t="s">
        <v>4128</v>
      </c>
      <c r="D46" s="9" t="s">
        <v>655</v>
      </c>
      <c r="E46" s="9" t="s">
        <v>4129</v>
      </c>
      <c r="F46" s="9" t="s">
        <v>4130</v>
      </c>
      <c r="G46" s="9" t="s">
        <v>4130</v>
      </c>
      <c r="H46" s="9" t="s">
        <v>4131</v>
      </c>
      <c r="I46" s="16"/>
      <c r="J46" s="16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>
      <c r="A47" s="9" t="s">
        <v>4132</v>
      </c>
      <c r="B47" s="9" t="s">
        <v>4127</v>
      </c>
      <c r="C47" s="9" t="s">
        <v>4133</v>
      </c>
      <c r="D47" s="9" t="s">
        <v>651</v>
      </c>
      <c r="E47" s="9" t="s">
        <v>4134</v>
      </c>
      <c r="F47" s="9" t="s">
        <v>4135</v>
      </c>
      <c r="G47" s="9" t="s">
        <v>4136</v>
      </c>
      <c r="H47" s="9" t="s">
        <v>4135</v>
      </c>
      <c r="I47" s="16"/>
      <c r="J47" s="16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>
      <c r="A48" s="9" t="s">
        <v>4137</v>
      </c>
      <c r="B48" s="9" t="s">
        <v>4138</v>
      </c>
      <c r="C48" s="9" t="s">
        <v>4139</v>
      </c>
      <c r="D48" s="9" t="s">
        <v>654</v>
      </c>
      <c r="E48" s="9" t="s">
        <v>4134</v>
      </c>
      <c r="F48" s="9" t="s">
        <v>4140</v>
      </c>
      <c r="G48" s="9" t="s">
        <v>4141</v>
      </c>
      <c r="H48" s="9" t="s">
        <v>4140</v>
      </c>
      <c r="I48" s="16"/>
      <c r="J48" s="16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>
      <c r="A49" s="9" t="s">
        <v>4142</v>
      </c>
      <c r="B49" s="9" t="s">
        <v>4138</v>
      </c>
      <c r="C49" s="9" t="s">
        <v>4143</v>
      </c>
      <c r="D49" s="9" t="s">
        <v>648</v>
      </c>
      <c r="E49" s="9" t="s">
        <v>4129</v>
      </c>
      <c r="F49" s="9" t="s">
        <v>4144</v>
      </c>
      <c r="G49" s="9" t="s">
        <v>4145</v>
      </c>
      <c r="H49" s="9" t="s">
        <v>4146</v>
      </c>
      <c r="I49" s="16"/>
      <c r="J49" s="16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>
      <c r="A50" s="9" t="s">
        <v>4147</v>
      </c>
      <c r="B50" s="9" t="s">
        <v>4148</v>
      </c>
      <c r="C50" s="9" t="s">
        <v>4149</v>
      </c>
      <c r="D50" s="9" t="s">
        <v>655</v>
      </c>
      <c r="E50" s="9" t="s">
        <v>4150</v>
      </c>
      <c r="F50" s="9" t="s">
        <v>4151</v>
      </c>
      <c r="G50" s="9" t="s">
        <v>4130</v>
      </c>
      <c r="H50" s="9" t="s">
        <v>4151</v>
      </c>
      <c r="I50" s="16"/>
      <c r="J50" s="16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>
      <c r="A51" s="9" t="s">
        <v>4152</v>
      </c>
      <c r="B51" s="9" t="s">
        <v>4148</v>
      </c>
      <c r="C51" s="9" t="s">
        <v>4143</v>
      </c>
      <c r="D51" s="9" t="s">
        <v>657</v>
      </c>
      <c r="E51" s="9" t="s">
        <v>4153</v>
      </c>
      <c r="F51" s="9" t="s">
        <v>4154</v>
      </c>
      <c r="G51" s="9" t="s">
        <v>4154</v>
      </c>
      <c r="H51" s="9" t="s">
        <v>4141</v>
      </c>
      <c r="I51" s="16"/>
      <c r="J51" s="16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>
      <c r="A52" s="9" t="s">
        <v>4155</v>
      </c>
      <c r="B52" s="9" t="s">
        <v>4156</v>
      </c>
      <c r="C52" s="9" t="s">
        <v>4157</v>
      </c>
      <c r="D52" s="9" t="s">
        <v>646</v>
      </c>
      <c r="E52" s="9" t="s">
        <v>4150</v>
      </c>
      <c r="F52" s="9" t="s">
        <v>4158</v>
      </c>
      <c r="G52" s="9" t="s">
        <v>4159</v>
      </c>
      <c r="H52" s="9" t="s">
        <v>4160</v>
      </c>
      <c r="I52" s="16"/>
      <c r="J52" s="16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>
      <c r="A53" s="9" t="s">
        <v>4161</v>
      </c>
      <c r="B53" s="9" t="s">
        <v>4156</v>
      </c>
      <c r="C53" s="9" t="s">
        <v>4162</v>
      </c>
      <c r="D53" s="9" t="s">
        <v>653</v>
      </c>
      <c r="E53" s="9" t="s">
        <v>4163</v>
      </c>
      <c r="F53" s="9" t="s">
        <v>4164</v>
      </c>
      <c r="G53" s="9" t="s">
        <v>4164</v>
      </c>
      <c r="H53" s="9" t="s">
        <v>4165</v>
      </c>
      <c r="I53" s="16"/>
      <c r="J53" s="16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>
      <c r="A54" s="9" t="s">
        <v>4166</v>
      </c>
      <c r="B54" s="9" t="s">
        <v>4167</v>
      </c>
      <c r="C54" s="9" t="s">
        <v>4128</v>
      </c>
      <c r="D54" s="9" t="s">
        <v>655</v>
      </c>
      <c r="E54" s="9" t="s">
        <v>4168</v>
      </c>
      <c r="F54" s="9" t="s">
        <v>4130</v>
      </c>
      <c r="G54" s="9" t="s">
        <v>4169</v>
      </c>
      <c r="H54" s="9" t="s">
        <v>4170</v>
      </c>
      <c r="I54" s="16"/>
      <c r="J54" s="16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>
      <c r="A55" s="9" t="s">
        <v>4171</v>
      </c>
      <c r="B55" s="9" t="s">
        <v>4167</v>
      </c>
      <c r="C55" s="9" t="s">
        <v>4139</v>
      </c>
      <c r="D55" s="9" t="s">
        <v>651</v>
      </c>
      <c r="E55" s="9" t="s">
        <v>4134</v>
      </c>
      <c r="F55" s="9" t="s">
        <v>4172</v>
      </c>
      <c r="G55" s="9" t="s">
        <v>4173</v>
      </c>
      <c r="H55" s="9" t="s">
        <v>4172</v>
      </c>
      <c r="I55" s="16"/>
      <c r="J55" s="16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>
      <c r="A56" s="9" t="s">
        <v>4174</v>
      </c>
      <c r="B56" s="9" t="s">
        <v>4175</v>
      </c>
      <c r="C56" s="9" t="s">
        <v>4133</v>
      </c>
      <c r="D56" s="9" t="s">
        <v>653</v>
      </c>
      <c r="E56" s="9" t="s">
        <v>4150</v>
      </c>
      <c r="F56" s="9" t="s">
        <v>4176</v>
      </c>
      <c r="G56" s="9" t="s">
        <v>4177</v>
      </c>
      <c r="H56" s="9" t="s">
        <v>4178</v>
      </c>
      <c r="I56" s="16"/>
      <c r="J56" s="16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>
      <c r="A57" s="9" t="s">
        <v>4179</v>
      </c>
      <c r="B57" s="9" t="s">
        <v>4175</v>
      </c>
      <c r="C57" s="9" t="s">
        <v>4157</v>
      </c>
      <c r="D57" s="9" t="s">
        <v>654</v>
      </c>
      <c r="E57" s="9" t="s">
        <v>4153</v>
      </c>
      <c r="F57" s="9" t="s">
        <v>4140</v>
      </c>
      <c r="G57" s="9" t="s">
        <v>4180</v>
      </c>
      <c r="H57" s="9" t="s">
        <v>4181</v>
      </c>
      <c r="I57" s="16"/>
      <c r="J57" s="16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>
      <c r="A58" s="9" t="s">
        <v>4182</v>
      </c>
      <c r="B58" s="9" t="s">
        <v>4184</v>
      </c>
      <c r="C58" s="9" t="s">
        <v>4185</v>
      </c>
      <c r="D58" s="9" t="s">
        <v>655</v>
      </c>
      <c r="E58" s="9" t="s">
        <v>4186</v>
      </c>
      <c r="F58" s="9" t="s">
        <v>4187</v>
      </c>
      <c r="G58" s="9" t="s">
        <v>4188</v>
      </c>
      <c r="H58" s="9" t="s">
        <v>4151</v>
      </c>
      <c r="I58" s="16"/>
      <c r="J58" s="16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>
      <c r="A59" s="9" t="s">
        <v>4189</v>
      </c>
      <c r="B59" s="9" t="s">
        <v>4184</v>
      </c>
      <c r="C59" s="9" t="s">
        <v>4149</v>
      </c>
      <c r="D59" s="9" t="s">
        <v>654</v>
      </c>
      <c r="E59" s="9" t="s">
        <v>4134</v>
      </c>
      <c r="F59" s="9" t="s">
        <v>4190</v>
      </c>
      <c r="G59" s="9" t="s">
        <v>4190</v>
      </c>
      <c r="H59" s="9" t="s">
        <v>4191</v>
      </c>
      <c r="I59" s="16"/>
      <c r="J59" s="16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>
      <c r="A60" s="9" t="s">
        <v>4193</v>
      </c>
      <c r="B60" s="9" t="s">
        <v>4194</v>
      </c>
      <c r="C60" s="9" t="s">
        <v>4143</v>
      </c>
      <c r="D60" s="9" t="s">
        <v>647</v>
      </c>
      <c r="E60" s="9" t="s">
        <v>4153</v>
      </c>
      <c r="F60" s="9" t="s">
        <v>4197</v>
      </c>
      <c r="G60" s="9" t="s">
        <v>4198</v>
      </c>
      <c r="H60" s="9" t="s">
        <v>4197</v>
      </c>
      <c r="I60" s="16"/>
      <c r="J60" s="16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>
      <c r="A61" s="9" t="s">
        <v>4203</v>
      </c>
      <c r="B61" s="9" t="s">
        <v>4194</v>
      </c>
      <c r="C61" s="9" t="s">
        <v>4162</v>
      </c>
      <c r="D61" s="9" t="s">
        <v>657</v>
      </c>
      <c r="E61" s="9" t="s">
        <v>4205</v>
      </c>
      <c r="F61" s="9" t="s">
        <v>4206</v>
      </c>
      <c r="G61" s="9" t="s">
        <v>4207</v>
      </c>
      <c r="H61" s="9" t="s">
        <v>4208</v>
      </c>
      <c r="I61" s="16"/>
      <c r="J61" s="16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>
      <c r="A62" s="9" t="s">
        <v>4216</v>
      </c>
      <c r="B62" s="9" t="s">
        <v>4218</v>
      </c>
      <c r="C62" s="9" t="s">
        <v>4157</v>
      </c>
      <c r="D62" s="9" t="s">
        <v>647</v>
      </c>
      <c r="E62" s="9" t="s">
        <v>4153</v>
      </c>
      <c r="F62" s="9" t="s">
        <v>4197</v>
      </c>
      <c r="G62" s="9" t="s">
        <v>4197</v>
      </c>
      <c r="H62" s="9" t="s">
        <v>4181</v>
      </c>
      <c r="I62" s="16"/>
      <c r="J62" s="16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>
      <c r="A63" s="9" t="s">
        <v>4230</v>
      </c>
      <c r="B63" s="9" t="s">
        <v>4218</v>
      </c>
      <c r="C63" s="9" t="s">
        <v>4149</v>
      </c>
      <c r="D63" s="9" t="s">
        <v>654</v>
      </c>
      <c r="E63" s="9" t="s">
        <v>4150</v>
      </c>
      <c r="F63" s="9" t="s">
        <v>4180</v>
      </c>
      <c r="G63" s="9" t="s">
        <v>4190</v>
      </c>
      <c r="H63" s="9" t="s">
        <v>4180</v>
      </c>
      <c r="I63" s="16"/>
      <c r="J63" s="16"/>
      <c r="K63" s="71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9" t="s">
        <v>4243</v>
      </c>
      <c r="B64" s="9" t="s">
        <v>4245</v>
      </c>
      <c r="C64" s="9" t="s">
        <v>4128</v>
      </c>
      <c r="D64" s="9" t="s">
        <v>653</v>
      </c>
      <c r="E64" s="9" t="s">
        <v>4248</v>
      </c>
      <c r="F64" s="9" t="s">
        <v>4249</v>
      </c>
      <c r="G64" s="9" t="s">
        <v>4251</v>
      </c>
      <c r="H64" s="9" t="s">
        <v>4146</v>
      </c>
      <c r="I64" s="16"/>
      <c r="J64" s="16"/>
      <c r="K64" s="71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9" t="s">
        <v>4259</v>
      </c>
      <c r="B65" s="9" t="s">
        <v>4245</v>
      </c>
      <c r="C65" s="9" t="s">
        <v>4139</v>
      </c>
      <c r="D65" s="9" t="s">
        <v>657</v>
      </c>
      <c r="E65" s="9" t="s">
        <v>4186</v>
      </c>
      <c r="F65" s="9" t="s">
        <v>4264</v>
      </c>
      <c r="G65" s="9" t="s">
        <v>4266</v>
      </c>
      <c r="H65" s="9" t="s">
        <v>4178</v>
      </c>
      <c r="I65" s="16"/>
      <c r="J65" s="16"/>
      <c r="K65" s="71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9" t="s">
        <v>4276</v>
      </c>
      <c r="B66" s="9" t="s">
        <v>4278</v>
      </c>
      <c r="C66" s="9" t="s">
        <v>4128</v>
      </c>
      <c r="D66" s="9" t="s">
        <v>655</v>
      </c>
      <c r="E66" s="9" t="s">
        <v>4279</v>
      </c>
      <c r="F66" s="9" t="s">
        <v>4280</v>
      </c>
      <c r="G66" s="9" t="s">
        <v>4280</v>
      </c>
      <c r="H66" s="9" t="s">
        <v>4282</v>
      </c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9" t="s">
        <v>4291</v>
      </c>
      <c r="B67" s="9" t="s">
        <v>4278</v>
      </c>
      <c r="C67" s="9" t="s">
        <v>4133</v>
      </c>
      <c r="D67" s="9" t="s">
        <v>648</v>
      </c>
      <c r="E67" s="9" t="s">
        <v>4292</v>
      </c>
      <c r="F67" s="9" t="s">
        <v>4293</v>
      </c>
      <c r="G67" s="9" t="s">
        <v>4294</v>
      </c>
      <c r="H67" s="9" t="s">
        <v>4293</v>
      </c>
      <c r="I67" s="16"/>
      <c r="J67" s="16"/>
      <c r="K67" s="71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9" t="s">
        <v>4301</v>
      </c>
      <c r="B68" s="9" t="s">
        <v>4303</v>
      </c>
      <c r="C68" s="9" t="s">
        <v>4185</v>
      </c>
      <c r="D68" s="9" t="s">
        <v>651</v>
      </c>
      <c r="E68" s="9" t="s">
        <v>4279</v>
      </c>
      <c r="F68" s="9" t="s">
        <v>4305</v>
      </c>
      <c r="G68" s="9" t="s">
        <v>4307</v>
      </c>
      <c r="H68" s="9" t="s">
        <v>4305</v>
      </c>
      <c r="I68" s="16"/>
      <c r="J68" s="16"/>
      <c r="K68" s="71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9" t="s">
        <v>4317</v>
      </c>
      <c r="B69" s="9" t="s">
        <v>4303</v>
      </c>
      <c r="C69" s="9" t="s">
        <v>4162</v>
      </c>
      <c r="D69" s="9" t="s">
        <v>653</v>
      </c>
      <c r="E69" s="9" t="s">
        <v>4153</v>
      </c>
      <c r="F69" s="9" t="s">
        <v>4322</v>
      </c>
      <c r="G69" s="9" t="s">
        <v>4322</v>
      </c>
      <c r="H69" s="9" t="s">
        <v>3856</v>
      </c>
      <c r="I69" s="16"/>
      <c r="J69" s="16"/>
      <c r="K69" s="71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9" t="s">
        <v>4335</v>
      </c>
      <c r="B70" s="9" t="s">
        <v>4337</v>
      </c>
      <c r="C70" s="9" t="s">
        <v>4143</v>
      </c>
      <c r="D70" s="9" t="s">
        <v>648</v>
      </c>
      <c r="E70" s="9" t="s">
        <v>4340</v>
      </c>
      <c r="F70" s="9" t="s">
        <v>4293</v>
      </c>
      <c r="G70" s="9" t="s">
        <v>4343</v>
      </c>
      <c r="H70" s="9" t="s">
        <v>4345</v>
      </c>
      <c r="I70" s="16"/>
      <c r="J70" s="16"/>
      <c r="K70" s="71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9" t="s">
        <v>4354</v>
      </c>
      <c r="B71" s="9" t="s">
        <v>4337</v>
      </c>
      <c r="C71" s="9" t="s">
        <v>4133</v>
      </c>
      <c r="D71" s="9" t="s">
        <v>655</v>
      </c>
      <c r="E71" s="9" t="s">
        <v>4357</v>
      </c>
      <c r="F71" s="9" t="s">
        <v>4130</v>
      </c>
      <c r="G71" s="9" t="s">
        <v>4130</v>
      </c>
      <c r="H71" s="9" t="s">
        <v>4151</v>
      </c>
      <c r="I71" s="16"/>
      <c r="J71" s="16"/>
      <c r="K71" s="71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9" t="s">
        <v>4366</v>
      </c>
      <c r="B72" s="9" t="s">
        <v>4367</v>
      </c>
      <c r="C72" s="9" t="s">
        <v>4149</v>
      </c>
      <c r="D72" s="9" t="s">
        <v>653</v>
      </c>
      <c r="E72" s="9" t="s">
        <v>4163</v>
      </c>
      <c r="F72" s="9" t="s">
        <v>4249</v>
      </c>
      <c r="G72" s="9" t="s">
        <v>4369</v>
      </c>
      <c r="H72" s="9" t="s">
        <v>4249</v>
      </c>
      <c r="I72" s="16"/>
      <c r="J72" s="16"/>
      <c r="K72" s="71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9" t="s">
        <v>4374</v>
      </c>
      <c r="B73" s="9" t="s">
        <v>4367</v>
      </c>
      <c r="C73" s="9" t="s">
        <v>4157</v>
      </c>
      <c r="D73" s="9" t="s">
        <v>647</v>
      </c>
      <c r="E73" s="9" t="s">
        <v>4279</v>
      </c>
      <c r="F73" s="9" t="s">
        <v>4376</v>
      </c>
      <c r="G73" s="9" t="s">
        <v>4377</v>
      </c>
      <c r="H73" s="9" t="s">
        <v>4378</v>
      </c>
      <c r="I73" s="16"/>
      <c r="J73" s="16"/>
      <c r="K73" s="71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9" t="s">
        <v>4379</v>
      </c>
      <c r="B74" s="9" t="s">
        <v>4380</v>
      </c>
      <c r="C74" s="9" t="s">
        <v>4128</v>
      </c>
      <c r="D74" s="9" t="s">
        <v>655</v>
      </c>
      <c r="E74" s="9" t="s">
        <v>4383</v>
      </c>
      <c r="F74" s="9" t="s">
        <v>4385</v>
      </c>
      <c r="G74" s="9" t="s">
        <v>4385</v>
      </c>
      <c r="H74" s="9" t="s">
        <v>4151</v>
      </c>
      <c r="I74" s="16"/>
      <c r="J74" s="16"/>
      <c r="K74" s="71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9" t="s">
        <v>4399</v>
      </c>
      <c r="B75" s="9" t="s">
        <v>4380</v>
      </c>
      <c r="C75" s="9" t="s">
        <v>4149</v>
      </c>
      <c r="D75" s="9" t="s">
        <v>651</v>
      </c>
      <c r="E75" s="9" t="s">
        <v>4134</v>
      </c>
      <c r="F75" s="9" t="s">
        <v>4345</v>
      </c>
      <c r="G75" s="9" t="s">
        <v>4180</v>
      </c>
      <c r="H75" s="9" t="s">
        <v>4345</v>
      </c>
      <c r="I75" s="16"/>
      <c r="J75" s="16"/>
      <c r="K75" s="71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9" t="s">
        <v>4425</v>
      </c>
      <c r="B76" s="9" t="s">
        <v>4427</v>
      </c>
      <c r="C76" s="9" t="s">
        <v>4162</v>
      </c>
      <c r="D76" s="9" t="s">
        <v>653</v>
      </c>
      <c r="E76" s="9" t="s">
        <v>4153</v>
      </c>
      <c r="F76" s="9" t="s">
        <v>4249</v>
      </c>
      <c r="G76" s="9" t="s">
        <v>4249</v>
      </c>
      <c r="H76" s="9" t="s">
        <v>4146</v>
      </c>
      <c r="I76" s="16"/>
      <c r="J76" s="16"/>
      <c r="K76" s="71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9" t="s">
        <v>4442</v>
      </c>
      <c r="B77" s="9" t="s">
        <v>4444</v>
      </c>
      <c r="C77" s="9" t="s">
        <v>4128</v>
      </c>
      <c r="D77" s="9" t="s">
        <v>655</v>
      </c>
      <c r="E77" s="9" t="s">
        <v>4134</v>
      </c>
      <c r="F77" s="9" t="s">
        <v>4130</v>
      </c>
      <c r="G77" s="9" t="s">
        <v>4130</v>
      </c>
      <c r="H77" s="9" t="s">
        <v>4146</v>
      </c>
      <c r="I77" s="16"/>
      <c r="J77" s="16"/>
      <c r="K77" s="71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71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39" t="s">
        <v>4476</v>
      </c>
      <c r="F79" s="16"/>
      <c r="G79" s="16"/>
      <c r="H79" s="16"/>
      <c r="I79" s="16"/>
      <c r="J79" s="16"/>
      <c r="K79" s="71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50" t="s">
        <v>509</v>
      </c>
      <c r="B80" s="150" t="s">
        <v>511</v>
      </c>
      <c r="C80" s="150" t="s">
        <v>512</v>
      </c>
      <c r="D80" s="150" t="s">
        <v>513</v>
      </c>
      <c r="E80" s="150" t="s">
        <v>3085</v>
      </c>
      <c r="F80" s="16"/>
      <c r="G80" s="16"/>
      <c r="H80" s="16"/>
      <c r="I80" s="16"/>
      <c r="J80" s="16"/>
      <c r="K80" s="71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9" t="s">
        <v>717</v>
      </c>
      <c r="B81" s="9" t="s">
        <v>718</v>
      </c>
      <c r="C81" s="9" t="s">
        <v>655</v>
      </c>
      <c r="D81" s="9" t="s">
        <v>9</v>
      </c>
      <c r="E81" s="9">
        <v>10000.0</v>
      </c>
      <c r="F81" s="16"/>
      <c r="G81" s="16"/>
      <c r="H81" s="16"/>
      <c r="I81" s="16"/>
      <c r="J81" s="16"/>
      <c r="K81" s="71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9" t="s">
        <v>565</v>
      </c>
      <c r="B82" s="9" t="s">
        <v>721</v>
      </c>
      <c r="C82" s="9" t="s">
        <v>655</v>
      </c>
      <c r="D82" s="9" t="s">
        <v>723</v>
      </c>
      <c r="E82" s="9">
        <v>10000.0</v>
      </c>
      <c r="F82" s="16"/>
      <c r="G82" s="16"/>
      <c r="H82" s="16"/>
      <c r="I82" s="16"/>
      <c r="J82" s="16"/>
      <c r="K82" s="71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9" t="s">
        <v>730</v>
      </c>
      <c r="B83" s="9" t="s">
        <v>732</v>
      </c>
      <c r="C83" s="9" t="s">
        <v>653</v>
      </c>
      <c r="D83" s="9" t="s">
        <v>17</v>
      </c>
      <c r="E83" s="9">
        <v>20000.0</v>
      </c>
      <c r="F83" s="16"/>
      <c r="G83" s="16"/>
      <c r="H83" s="16"/>
      <c r="I83" s="16"/>
      <c r="J83" s="16"/>
      <c r="K83" s="71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9" t="s">
        <v>743</v>
      </c>
      <c r="B84" s="9" t="s">
        <v>745</v>
      </c>
      <c r="C84" s="9" t="s">
        <v>655</v>
      </c>
      <c r="D84" s="9" t="s">
        <v>9</v>
      </c>
      <c r="E84" s="9">
        <v>20000.0</v>
      </c>
      <c r="F84" s="16"/>
      <c r="G84" s="16"/>
      <c r="H84" s="16"/>
      <c r="I84" s="16"/>
      <c r="J84" s="16"/>
      <c r="K84" s="71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9" t="s">
        <v>600</v>
      </c>
      <c r="B85" s="9" t="s">
        <v>745</v>
      </c>
      <c r="C85" s="9" t="s">
        <v>655</v>
      </c>
      <c r="D85" s="9" t="s">
        <v>9</v>
      </c>
      <c r="E85" s="9">
        <v>40000.0</v>
      </c>
      <c r="F85" s="16"/>
      <c r="G85" s="16"/>
      <c r="H85" s="16"/>
      <c r="I85" s="16"/>
      <c r="J85" s="16"/>
      <c r="K85" s="71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9" t="s">
        <v>696</v>
      </c>
      <c r="B86" s="9" t="s">
        <v>647</v>
      </c>
      <c r="E86" s="9">
        <v>50000.0</v>
      </c>
      <c r="F86" s="16"/>
      <c r="G86" s="16"/>
      <c r="H86" s="16"/>
      <c r="I86" s="71"/>
      <c r="J86" s="71"/>
      <c r="K86" s="71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9" t="s">
        <v>705</v>
      </c>
      <c r="B87" s="9" t="s">
        <v>653</v>
      </c>
      <c r="E87" s="9">
        <v>100000.0</v>
      </c>
      <c r="F87" s="16"/>
      <c r="G87" s="16"/>
      <c r="H87" s="16"/>
      <c r="I87" s="71"/>
      <c r="J87" s="71"/>
      <c r="K87" s="71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9" t="s">
        <v>620</v>
      </c>
      <c r="B88" s="9" t="s">
        <v>655</v>
      </c>
      <c r="E88" s="9">
        <v>200000.0</v>
      </c>
      <c r="F88" s="16"/>
      <c r="G88" s="16"/>
      <c r="H88" s="16"/>
      <c r="I88" s="71"/>
      <c r="J88" s="71"/>
      <c r="K88" s="71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6"/>
      <c r="B89" s="16"/>
      <c r="C89" s="16"/>
      <c r="D89" s="16"/>
      <c r="E89" s="16"/>
      <c r="F89" s="16"/>
      <c r="G89" s="16"/>
      <c r="H89" s="16"/>
      <c r="I89" s="71"/>
      <c r="J89" s="71"/>
      <c r="K89" s="71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6"/>
      <c r="B90" s="16"/>
      <c r="C90" s="16"/>
      <c r="D90" s="16"/>
      <c r="E90" s="16"/>
      <c r="F90" s="16"/>
      <c r="G90" s="16"/>
      <c r="H90" s="16"/>
      <c r="I90" s="71"/>
      <c r="J90" s="71"/>
      <c r="K90" s="71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6"/>
      <c r="B91" s="16"/>
      <c r="C91" s="16"/>
      <c r="D91" s="16"/>
      <c r="E91" s="16"/>
      <c r="F91" s="16"/>
      <c r="G91" s="16"/>
      <c r="H91" s="16"/>
      <c r="I91" s="71"/>
      <c r="J91" s="71"/>
      <c r="K91" s="71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6"/>
      <c r="B92" s="16"/>
      <c r="C92" s="16"/>
      <c r="D92" s="16"/>
      <c r="E92" s="16"/>
      <c r="F92" s="16"/>
      <c r="G92" s="16"/>
      <c r="H92" s="16"/>
      <c r="I92" s="71"/>
      <c r="J92" s="71"/>
      <c r="K92" s="71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6"/>
      <c r="B93" s="16"/>
      <c r="C93" s="16"/>
      <c r="D93" s="16"/>
      <c r="E93" s="16"/>
      <c r="F93" s="16"/>
      <c r="G93" s="16"/>
      <c r="H93" s="16"/>
      <c r="I93" s="71"/>
      <c r="J93" s="71"/>
      <c r="K93" s="71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6"/>
      <c r="B94" s="16"/>
      <c r="C94" s="16"/>
      <c r="D94" s="16"/>
      <c r="E94" s="16"/>
      <c r="F94" s="16"/>
      <c r="G94" s="16"/>
      <c r="H94" s="16"/>
      <c r="I94" s="71"/>
      <c r="J94" s="71"/>
      <c r="K94" s="71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6"/>
      <c r="B95" s="16"/>
      <c r="C95" s="16"/>
      <c r="D95" s="16"/>
      <c r="E95" s="16"/>
      <c r="F95" s="16"/>
      <c r="G95" s="16"/>
      <c r="H95" s="16"/>
      <c r="I95" s="71"/>
      <c r="J95" s="71"/>
      <c r="K95" s="71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6"/>
      <c r="C96" s="16"/>
      <c r="D96" s="16"/>
      <c r="E96" s="16"/>
      <c r="F96" s="16"/>
      <c r="G96" s="16"/>
      <c r="H96" s="16"/>
      <c r="I96" s="71"/>
      <c r="J96" s="71"/>
      <c r="K96" s="71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6"/>
      <c r="B97" s="60"/>
      <c r="C97" s="16"/>
      <c r="D97" s="16"/>
      <c r="E97" s="16"/>
      <c r="F97" s="16"/>
      <c r="G97" s="16"/>
      <c r="H97" s="16"/>
      <c r="I97" s="71"/>
      <c r="J97" s="71"/>
      <c r="K97" s="71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6"/>
      <c r="B98" s="60"/>
      <c r="C98" s="16"/>
      <c r="D98" s="16"/>
      <c r="E98" s="16"/>
      <c r="F98" s="16"/>
      <c r="G98" s="16"/>
      <c r="H98" s="16"/>
      <c r="I98" s="71"/>
      <c r="J98" s="71"/>
      <c r="K98" s="71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6"/>
      <c r="B99" s="60"/>
      <c r="C99" s="16"/>
      <c r="D99" s="16"/>
      <c r="E99" s="16"/>
      <c r="F99" s="16"/>
      <c r="G99" s="16"/>
      <c r="H99" s="16"/>
      <c r="I99" s="71"/>
      <c r="J99" s="71"/>
      <c r="K99" s="71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6"/>
      <c r="B100" s="60"/>
      <c r="C100" s="16"/>
      <c r="D100" s="16"/>
      <c r="E100" s="16"/>
      <c r="F100" s="16"/>
      <c r="G100" s="16"/>
      <c r="H100" s="16"/>
      <c r="I100" s="71"/>
      <c r="J100" s="71"/>
      <c r="K100" s="71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6"/>
      <c r="C101" s="16"/>
      <c r="D101" s="16"/>
      <c r="E101" s="16"/>
      <c r="F101" s="16"/>
      <c r="G101" s="16"/>
      <c r="H101" s="16"/>
      <c r="I101" s="71"/>
      <c r="J101" s="71"/>
      <c r="K101" s="71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6"/>
      <c r="C102" s="16"/>
      <c r="D102" s="16"/>
      <c r="E102" s="16"/>
      <c r="F102" s="16"/>
      <c r="G102" s="16"/>
      <c r="H102" s="16"/>
      <c r="I102" s="71"/>
      <c r="J102" s="71"/>
      <c r="K102" s="71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6"/>
      <c r="C103" s="16"/>
      <c r="D103" s="16"/>
      <c r="E103" s="16"/>
      <c r="F103" s="16"/>
      <c r="G103" s="16"/>
      <c r="H103" s="16"/>
      <c r="I103" s="71"/>
      <c r="J103" s="71"/>
      <c r="K103" s="71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6"/>
      <c r="B104" s="60"/>
      <c r="C104" s="16"/>
      <c r="D104" s="16"/>
      <c r="E104" s="16"/>
      <c r="F104" s="16"/>
      <c r="G104" s="16"/>
      <c r="H104" s="16"/>
      <c r="I104" s="71"/>
      <c r="J104" s="71"/>
      <c r="K104" s="71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6"/>
      <c r="B105" s="60"/>
      <c r="C105" s="16"/>
      <c r="D105" s="16"/>
      <c r="E105" s="16"/>
      <c r="F105" s="16"/>
      <c r="G105" s="16"/>
      <c r="H105" s="16"/>
      <c r="I105" s="71"/>
      <c r="J105" s="71"/>
      <c r="K105" s="71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6"/>
      <c r="B106" s="60"/>
      <c r="C106" s="16"/>
      <c r="D106" s="16"/>
      <c r="E106" s="16"/>
      <c r="F106" s="16"/>
      <c r="G106" s="16"/>
      <c r="H106" s="16"/>
      <c r="I106" s="71"/>
      <c r="J106" s="71"/>
      <c r="K106" s="71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6"/>
      <c r="B107" s="60"/>
      <c r="C107" s="16"/>
      <c r="D107" s="16"/>
      <c r="E107" s="16"/>
      <c r="F107" s="16"/>
      <c r="G107" s="16"/>
      <c r="H107" s="16"/>
      <c r="I107" s="71"/>
      <c r="J107" s="71"/>
      <c r="K107" s="71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6"/>
      <c r="B108" s="60"/>
      <c r="C108" s="16"/>
      <c r="D108" s="16"/>
      <c r="E108" s="16"/>
      <c r="F108" s="16"/>
      <c r="G108" s="16"/>
      <c r="H108" s="16"/>
      <c r="I108" s="71"/>
      <c r="J108" s="71"/>
      <c r="K108" s="71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6"/>
      <c r="C109" s="16"/>
      <c r="D109" s="16"/>
      <c r="E109" s="16"/>
      <c r="F109" s="16"/>
      <c r="G109" s="16"/>
      <c r="H109" s="16"/>
      <c r="I109" s="71"/>
      <c r="J109" s="71"/>
      <c r="K109" s="71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6"/>
      <c r="C110" s="16"/>
      <c r="D110" s="16"/>
      <c r="E110" s="16"/>
      <c r="F110" s="16"/>
      <c r="G110" s="16"/>
      <c r="H110" s="16"/>
      <c r="I110" s="71"/>
      <c r="J110" s="71"/>
      <c r="K110" s="71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6"/>
      <c r="C111" s="16"/>
      <c r="D111" s="16"/>
      <c r="E111" s="16"/>
      <c r="F111" s="16"/>
      <c r="G111" s="16"/>
      <c r="H111" s="16"/>
      <c r="I111" s="71"/>
      <c r="J111" s="71"/>
      <c r="K111" s="71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6"/>
      <c r="C112" s="16"/>
      <c r="D112" s="16"/>
      <c r="E112" s="16"/>
      <c r="F112" s="16"/>
      <c r="G112" s="16"/>
      <c r="H112" s="16"/>
      <c r="I112" s="71"/>
      <c r="J112" s="71"/>
      <c r="K112" s="71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6"/>
      <c r="C113" s="16"/>
      <c r="D113" s="16"/>
      <c r="E113" s="16"/>
      <c r="F113" s="16"/>
      <c r="G113" s="16"/>
      <c r="H113" s="16"/>
      <c r="I113" s="71"/>
      <c r="J113" s="71"/>
      <c r="K113" s="71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6"/>
      <c r="C114" s="16"/>
      <c r="D114" s="16"/>
      <c r="E114" s="16"/>
      <c r="F114" s="16"/>
      <c r="G114" s="16"/>
      <c r="H114" s="16"/>
      <c r="I114" s="71"/>
      <c r="J114" s="71"/>
      <c r="K114" s="71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71"/>
      <c r="J115" s="71"/>
      <c r="K115" s="71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71"/>
      <c r="J116" s="71"/>
      <c r="K116" s="71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71"/>
      <c r="J117" s="71"/>
      <c r="K117" s="71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71"/>
      <c r="J118" s="71"/>
      <c r="K118" s="71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71"/>
      <c r="J119" s="71"/>
      <c r="K119" s="71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71"/>
      <c r="J120" s="71"/>
      <c r="K120" s="71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71"/>
      <c r="J121" s="71"/>
      <c r="K121" s="71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71"/>
      <c r="J122" s="71"/>
      <c r="K122" s="71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71"/>
      <c r="J123" s="71"/>
      <c r="K123" s="71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71"/>
      <c r="J124" s="71"/>
      <c r="K124" s="71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71"/>
      <c r="J125" s="71"/>
      <c r="K125" s="71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71"/>
      <c r="J126" s="71"/>
      <c r="K126" s="71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71"/>
      <c r="J127" s="71"/>
      <c r="K127" s="71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71"/>
      <c r="J128" s="71"/>
      <c r="K128" s="71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71"/>
      <c r="J129" s="71"/>
      <c r="K129" s="71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71"/>
      <c r="J130" s="71"/>
      <c r="K130" s="71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71"/>
      <c r="J131" s="71"/>
      <c r="K131" s="71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71"/>
      <c r="J132" s="71"/>
      <c r="K132" s="71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71"/>
      <c r="J133" s="71"/>
      <c r="K133" s="71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71"/>
      <c r="J134" s="71"/>
      <c r="K134" s="71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71"/>
      <c r="J135" s="71"/>
      <c r="K135" s="71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71"/>
      <c r="J136" s="71"/>
      <c r="K136" s="71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71"/>
      <c r="J137" s="71"/>
      <c r="K137" s="71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71"/>
      <c r="J138" s="71"/>
      <c r="K138" s="71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71"/>
      <c r="J139" s="71"/>
      <c r="K139" s="71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71"/>
      <c r="J140" s="71"/>
      <c r="K140" s="71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71"/>
      <c r="J141" s="71"/>
      <c r="K141" s="71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71"/>
      <c r="J142" s="71"/>
      <c r="K142" s="71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71"/>
      <c r="J143" s="71"/>
      <c r="K143" s="71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71"/>
      <c r="J144" s="71"/>
      <c r="K144" s="71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71"/>
      <c r="J145" s="71"/>
      <c r="K145" s="71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71"/>
      <c r="J146" s="71"/>
      <c r="K146" s="71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71"/>
      <c r="J147" s="71"/>
      <c r="K147" s="71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71"/>
      <c r="J148" s="71"/>
      <c r="K148" s="71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71"/>
      <c r="J149" s="71"/>
      <c r="K149" s="71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71"/>
      <c r="J150" s="71"/>
      <c r="K150" s="71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71"/>
      <c r="J151" s="71"/>
      <c r="K151" s="71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71"/>
      <c r="J152" s="71"/>
      <c r="K152" s="71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71"/>
      <c r="J153" s="71"/>
      <c r="K153" s="71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71"/>
      <c r="J154" s="71"/>
      <c r="K154" s="71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71"/>
      <c r="J155" s="71"/>
      <c r="K155" s="71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71"/>
      <c r="J156" s="71"/>
      <c r="K156" s="71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71"/>
      <c r="J157" s="71"/>
      <c r="K157" s="71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71"/>
      <c r="J158" s="71"/>
      <c r="K158" s="71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71"/>
      <c r="J159" s="71"/>
      <c r="K159" s="71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71"/>
      <c r="J160" s="71"/>
      <c r="K160" s="71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71"/>
      <c r="J161" s="71"/>
      <c r="K161" s="71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71"/>
      <c r="J162" s="71"/>
      <c r="K162" s="71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71"/>
      <c r="J163" s="71"/>
      <c r="K163" s="71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71"/>
      <c r="J164" s="71"/>
      <c r="K164" s="71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71"/>
      <c r="J165" s="71"/>
      <c r="K165" s="71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71"/>
      <c r="J166" s="71"/>
      <c r="K166" s="71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71"/>
      <c r="J167" s="71"/>
      <c r="K167" s="71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71"/>
      <c r="J168" s="71"/>
      <c r="K168" s="71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71"/>
      <c r="J169" s="71"/>
      <c r="K169" s="71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71"/>
      <c r="J170" s="71"/>
      <c r="K170" s="71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71"/>
      <c r="J171" s="71"/>
      <c r="K171" s="71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71"/>
      <c r="J172" s="71"/>
      <c r="K172" s="71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71"/>
      <c r="J173" s="71"/>
      <c r="K173" s="71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71"/>
      <c r="J174" s="71"/>
      <c r="K174" s="71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71"/>
      <c r="J175" s="71"/>
      <c r="K175" s="71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71"/>
      <c r="J176" s="71"/>
      <c r="K176" s="71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71"/>
      <c r="J177" s="71"/>
      <c r="K177" s="71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71"/>
      <c r="J178" s="71"/>
      <c r="K178" s="71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71"/>
      <c r="J179" s="71"/>
      <c r="K179" s="71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71"/>
      <c r="J180" s="71"/>
      <c r="K180" s="71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71"/>
      <c r="J181" s="71"/>
      <c r="K181" s="71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71"/>
      <c r="J182" s="71"/>
      <c r="K182" s="71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71"/>
      <c r="J183" s="71"/>
      <c r="K183" s="71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71"/>
      <c r="J184" s="71"/>
      <c r="K184" s="71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71"/>
      <c r="J185" s="71"/>
      <c r="K185" s="71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71"/>
      <c r="J186" s="71"/>
      <c r="K186" s="71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71"/>
      <c r="J187" s="71"/>
      <c r="K187" s="71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71"/>
      <c r="J188" s="71"/>
      <c r="K188" s="71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71"/>
      <c r="J189" s="71"/>
      <c r="K189" s="71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71"/>
      <c r="J190" s="71"/>
      <c r="K190" s="71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71"/>
      <c r="J191" s="71"/>
      <c r="K191" s="71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71"/>
      <c r="J192" s="71"/>
      <c r="K192" s="71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71"/>
      <c r="J193" s="71"/>
      <c r="K193" s="71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71"/>
      <c r="J194" s="71"/>
      <c r="K194" s="71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71"/>
      <c r="J195" s="71"/>
      <c r="K195" s="71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71"/>
      <c r="J196" s="71"/>
      <c r="K196" s="71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71"/>
      <c r="J197" s="71"/>
      <c r="K197" s="71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71"/>
      <c r="J198" s="71"/>
      <c r="K198" s="71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71"/>
      <c r="J199" s="71"/>
      <c r="K199" s="71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71"/>
      <c r="J200" s="71"/>
      <c r="K200" s="71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71"/>
      <c r="J201" s="71"/>
      <c r="K201" s="71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71"/>
      <c r="J202" s="71"/>
      <c r="K202" s="71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71"/>
      <c r="J203" s="71"/>
      <c r="K203" s="71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71"/>
      <c r="J204" s="71"/>
      <c r="K204" s="71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71"/>
      <c r="J205" s="71"/>
      <c r="K205" s="71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71"/>
      <c r="J206" s="71"/>
      <c r="K206" s="71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71"/>
      <c r="J207" s="71"/>
      <c r="K207" s="71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71"/>
      <c r="J208" s="71"/>
      <c r="K208" s="71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71"/>
      <c r="J209" s="71"/>
      <c r="K209" s="71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71"/>
      <c r="J210" s="71"/>
      <c r="K210" s="71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71"/>
      <c r="J211" s="71"/>
      <c r="K211" s="71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71"/>
      <c r="J212" s="71"/>
      <c r="K212" s="71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71"/>
      <c r="J213" s="71"/>
      <c r="K213" s="71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71"/>
      <c r="J214" s="71"/>
      <c r="K214" s="71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71"/>
      <c r="J215" s="71"/>
      <c r="K215" s="71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71"/>
      <c r="J216" s="71"/>
      <c r="K216" s="71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71"/>
      <c r="J217" s="71"/>
      <c r="K217" s="71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71"/>
      <c r="J218" s="71"/>
      <c r="K218" s="71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71"/>
      <c r="J219" s="71"/>
      <c r="K219" s="71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71"/>
      <c r="J220" s="71"/>
      <c r="K220" s="71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71"/>
      <c r="J221" s="71"/>
      <c r="K221" s="71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71"/>
      <c r="J222" s="71"/>
      <c r="K222" s="71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71"/>
      <c r="J223" s="71"/>
      <c r="K223" s="71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71"/>
      <c r="J224" s="71"/>
      <c r="K224" s="71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71"/>
      <c r="J225" s="71"/>
      <c r="K225" s="71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71"/>
      <c r="J226" s="71"/>
      <c r="K226" s="71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71"/>
      <c r="J227" s="71"/>
      <c r="K227" s="71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71"/>
      <c r="J228" s="71"/>
      <c r="K228" s="71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71"/>
      <c r="J229" s="71"/>
      <c r="K229" s="71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71"/>
      <c r="J230" s="71"/>
      <c r="K230" s="71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71"/>
      <c r="J231" s="71"/>
      <c r="K231" s="71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71"/>
      <c r="J232" s="71"/>
      <c r="K232" s="71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71"/>
      <c r="J233" s="71"/>
      <c r="K233" s="71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71"/>
      <c r="J234" s="71"/>
      <c r="K234" s="71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71"/>
      <c r="J235" s="71"/>
      <c r="K235" s="71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71"/>
      <c r="J236" s="71"/>
      <c r="K236" s="71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71"/>
      <c r="J237" s="71"/>
      <c r="K237" s="71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71"/>
      <c r="J238" s="71"/>
      <c r="K238" s="71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71"/>
      <c r="J239" s="71"/>
      <c r="K239" s="71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71"/>
      <c r="J240" s="71"/>
      <c r="K240" s="71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71"/>
      <c r="J241" s="71"/>
      <c r="K241" s="71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71"/>
      <c r="J242" s="71"/>
      <c r="K242" s="71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71"/>
      <c r="J243" s="71"/>
      <c r="K243" s="71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71"/>
      <c r="J244" s="71"/>
      <c r="K244" s="71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71"/>
      <c r="J245" s="71"/>
      <c r="K245" s="71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71"/>
      <c r="J246" s="71"/>
      <c r="K246" s="71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71"/>
      <c r="J247" s="71"/>
      <c r="K247" s="71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71"/>
      <c r="J248" s="71"/>
      <c r="K248" s="71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71"/>
      <c r="J249" s="71"/>
      <c r="K249" s="71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71"/>
      <c r="J250" s="71"/>
      <c r="K250" s="71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71"/>
      <c r="J251" s="71"/>
      <c r="K251" s="71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71"/>
      <c r="J252" s="71"/>
      <c r="K252" s="71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71"/>
      <c r="J253" s="71"/>
      <c r="K253" s="71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71"/>
      <c r="J254" s="71"/>
      <c r="K254" s="71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71"/>
      <c r="J255" s="71"/>
      <c r="K255" s="71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71"/>
      <c r="J256" s="71"/>
      <c r="K256" s="71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71"/>
      <c r="J257" s="71"/>
      <c r="K257" s="71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71"/>
      <c r="J258" s="71"/>
      <c r="K258" s="71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71"/>
      <c r="J259" s="71"/>
      <c r="K259" s="71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71"/>
      <c r="J260" s="71"/>
      <c r="K260" s="71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71"/>
      <c r="J261" s="71"/>
      <c r="K261" s="71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71"/>
      <c r="J262" s="71"/>
      <c r="K262" s="71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71"/>
      <c r="J263" s="71"/>
      <c r="K263" s="71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71"/>
      <c r="J264" s="71"/>
      <c r="K264" s="71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71"/>
      <c r="J265" s="71"/>
      <c r="K265" s="71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71"/>
      <c r="J266" s="71"/>
      <c r="K266" s="71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71"/>
      <c r="J267" s="71"/>
      <c r="K267" s="71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71"/>
      <c r="J268" s="71"/>
      <c r="K268" s="71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71"/>
      <c r="J269" s="71"/>
      <c r="K269" s="71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71"/>
      <c r="J270" s="71"/>
      <c r="K270" s="71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71"/>
      <c r="J271" s="71"/>
      <c r="K271" s="71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71"/>
      <c r="J272" s="71"/>
      <c r="K272" s="71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71"/>
      <c r="J273" s="71"/>
      <c r="K273" s="71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71"/>
      <c r="J274" s="71"/>
      <c r="K274" s="71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71"/>
      <c r="J275" s="71"/>
      <c r="K275" s="71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71"/>
      <c r="J276" s="71"/>
      <c r="K276" s="71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71"/>
      <c r="J277" s="71"/>
      <c r="K277" s="71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71"/>
      <c r="J278" s="71"/>
      <c r="K278" s="71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71"/>
      <c r="J279" s="71"/>
      <c r="K279" s="71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71"/>
      <c r="J280" s="71"/>
      <c r="K280" s="71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71"/>
      <c r="J281" s="71"/>
      <c r="K281" s="71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71"/>
      <c r="J282" s="71"/>
      <c r="K282" s="71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71"/>
      <c r="J283" s="71"/>
      <c r="K283" s="71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71"/>
      <c r="J284" s="71"/>
      <c r="K284" s="71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71"/>
      <c r="J285" s="71"/>
      <c r="K285" s="71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71"/>
      <c r="J286" s="71"/>
      <c r="K286" s="71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71"/>
      <c r="J287" s="71"/>
      <c r="K287" s="71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71"/>
      <c r="J288" s="71"/>
      <c r="K288" s="71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71"/>
      <c r="J289" s="71"/>
      <c r="K289" s="71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71"/>
      <c r="J290" s="71"/>
      <c r="K290" s="71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71"/>
      <c r="J291" s="71"/>
      <c r="K291" s="71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71"/>
      <c r="J292" s="71"/>
      <c r="K292" s="71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71"/>
      <c r="J293" s="71"/>
      <c r="K293" s="71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71"/>
      <c r="J294" s="71"/>
      <c r="K294" s="71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71"/>
      <c r="J295" s="71"/>
      <c r="K295" s="71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71"/>
      <c r="J296" s="71"/>
      <c r="K296" s="71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71"/>
      <c r="J297" s="71"/>
      <c r="K297" s="71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71"/>
      <c r="J298" s="71"/>
      <c r="K298" s="71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71"/>
      <c r="J299" s="71"/>
      <c r="K299" s="71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71"/>
      <c r="J300" s="71"/>
      <c r="K300" s="71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71"/>
      <c r="J301" s="71"/>
      <c r="K301" s="71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71"/>
      <c r="J302" s="71"/>
      <c r="K302" s="71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71"/>
      <c r="J303" s="71"/>
      <c r="K303" s="71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71"/>
      <c r="J304" s="71"/>
      <c r="K304" s="71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71"/>
      <c r="J305" s="71"/>
      <c r="K305" s="71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71"/>
      <c r="J306" s="71"/>
      <c r="K306" s="71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71"/>
      <c r="J307" s="71"/>
      <c r="K307" s="71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71"/>
      <c r="J308" s="71"/>
      <c r="K308" s="71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71"/>
      <c r="J309" s="71"/>
      <c r="K309" s="71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71"/>
      <c r="J310" s="71"/>
      <c r="K310" s="71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71"/>
      <c r="J311" s="71"/>
      <c r="K311" s="71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71"/>
      <c r="J312" s="71"/>
      <c r="K312" s="71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71"/>
      <c r="J313" s="71"/>
      <c r="K313" s="71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71"/>
      <c r="J314" s="71"/>
      <c r="K314" s="71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71"/>
      <c r="J315" s="71"/>
      <c r="K315" s="71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71"/>
      <c r="J316" s="71"/>
      <c r="K316" s="71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71"/>
      <c r="J317" s="71"/>
      <c r="K317" s="71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71"/>
      <c r="J318" s="71"/>
      <c r="K318" s="71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71"/>
      <c r="J319" s="71"/>
      <c r="K319" s="71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71"/>
      <c r="J320" s="71"/>
      <c r="K320" s="71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71"/>
      <c r="J321" s="71"/>
      <c r="K321" s="71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71"/>
      <c r="J322" s="71"/>
      <c r="K322" s="71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71"/>
      <c r="J323" s="71"/>
      <c r="K323" s="71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71"/>
      <c r="J324" s="71"/>
      <c r="K324" s="71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71"/>
      <c r="J325" s="71"/>
      <c r="K325" s="71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71"/>
      <c r="J326" s="71"/>
      <c r="K326" s="71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71"/>
      <c r="J327" s="71"/>
      <c r="K327" s="71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71"/>
      <c r="J328" s="71"/>
      <c r="K328" s="71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71"/>
      <c r="J329" s="71"/>
      <c r="K329" s="71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71"/>
      <c r="J330" s="71"/>
      <c r="K330" s="71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71"/>
      <c r="J331" s="71"/>
      <c r="K331" s="71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71"/>
      <c r="J332" s="71"/>
      <c r="K332" s="71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71"/>
      <c r="J333" s="71"/>
      <c r="K333" s="71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71"/>
      <c r="J334" s="71"/>
      <c r="K334" s="71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71"/>
      <c r="J335" s="71"/>
      <c r="K335" s="71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71"/>
      <c r="J336" s="71"/>
      <c r="K336" s="71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71"/>
      <c r="J337" s="71"/>
      <c r="K337" s="71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71"/>
      <c r="J338" s="71"/>
      <c r="K338" s="71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71"/>
      <c r="J339" s="71"/>
      <c r="K339" s="71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71"/>
      <c r="J340" s="71"/>
      <c r="K340" s="71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71"/>
      <c r="J341" s="71"/>
      <c r="K341" s="71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71"/>
      <c r="J342" s="71"/>
      <c r="K342" s="71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71"/>
      <c r="J343" s="71"/>
      <c r="K343" s="71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71"/>
      <c r="J344" s="71"/>
      <c r="K344" s="71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71"/>
      <c r="J345" s="71"/>
      <c r="K345" s="71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71"/>
      <c r="J346" s="71"/>
      <c r="K346" s="71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71"/>
      <c r="J347" s="71"/>
      <c r="K347" s="71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71"/>
      <c r="J348" s="71"/>
      <c r="K348" s="71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71"/>
      <c r="J349" s="71"/>
      <c r="K349" s="71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71"/>
      <c r="J350" s="71"/>
      <c r="K350" s="71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71"/>
      <c r="J351" s="71"/>
      <c r="K351" s="71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71"/>
      <c r="J352" s="71"/>
      <c r="K352" s="71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71"/>
      <c r="J353" s="71"/>
      <c r="K353" s="71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71"/>
      <c r="J354" s="71"/>
      <c r="K354" s="71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71"/>
      <c r="J355" s="71"/>
      <c r="K355" s="71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71"/>
      <c r="J356" s="71"/>
      <c r="K356" s="71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71"/>
      <c r="J357" s="71"/>
      <c r="K357" s="71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71"/>
      <c r="J358" s="71"/>
      <c r="K358" s="71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71"/>
      <c r="J359" s="71"/>
      <c r="K359" s="71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71"/>
      <c r="J360" s="71"/>
      <c r="K360" s="71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71"/>
      <c r="J361" s="71"/>
      <c r="K361" s="71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71"/>
      <c r="J362" s="71"/>
      <c r="K362" s="71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71"/>
      <c r="J363" s="71"/>
      <c r="K363" s="71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71"/>
      <c r="J364" s="71"/>
      <c r="K364" s="71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71"/>
      <c r="J365" s="71"/>
      <c r="K365" s="71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71"/>
      <c r="J366" s="71"/>
      <c r="K366" s="71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71"/>
      <c r="J367" s="71"/>
      <c r="K367" s="71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71"/>
      <c r="J368" s="71"/>
      <c r="K368" s="71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71"/>
      <c r="J369" s="71"/>
      <c r="K369" s="71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71"/>
      <c r="J370" s="71"/>
      <c r="K370" s="71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71"/>
      <c r="J371" s="71"/>
      <c r="K371" s="71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71"/>
      <c r="J372" s="71"/>
      <c r="K372" s="71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71"/>
      <c r="J373" s="71"/>
      <c r="K373" s="71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71"/>
      <c r="J374" s="71"/>
      <c r="K374" s="71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71"/>
      <c r="J375" s="71"/>
      <c r="K375" s="71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71"/>
      <c r="J376" s="71"/>
      <c r="K376" s="71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71"/>
      <c r="J377" s="71"/>
      <c r="K377" s="71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71"/>
      <c r="J378" s="71"/>
      <c r="K378" s="71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71"/>
      <c r="J379" s="71"/>
      <c r="K379" s="71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71"/>
      <c r="J380" s="71"/>
      <c r="K380" s="71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71"/>
      <c r="J381" s="71"/>
      <c r="K381" s="71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71"/>
      <c r="J382" s="71"/>
      <c r="K382" s="71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71"/>
      <c r="J383" s="71"/>
      <c r="K383" s="71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71"/>
      <c r="J384" s="71"/>
      <c r="K384" s="71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71"/>
      <c r="J385" s="71"/>
      <c r="K385" s="71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71"/>
      <c r="J386" s="71"/>
      <c r="K386" s="71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71"/>
      <c r="J387" s="71"/>
      <c r="K387" s="71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71"/>
      <c r="J388" s="71"/>
      <c r="K388" s="71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71"/>
      <c r="J389" s="71"/>
      <c r="K389" s="71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71"/>
      <c r="J390" s="71"/>
      <c r="K390" s="71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71"/>
      <c r="J391" s="71"/>
      <c r="K391" s="71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71"/>
      <c r="J392" s="71"/>
      <c r="K392" s="71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71"/>
      <c r="J393" s="71"/>
      <c r="K393" s="71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71"/>
      <c r="J394" s="71"/>
      <c r="K394" s="71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71"/>
      <c r="J395" s="71"/>
      <c r="K395" s="71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71"/>
      <c r="J396" s="71"/>
      <c r="K396" s="71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71"/>
      <c r="J397" s="71"/>
      <c r="K397" s="71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71"/>
      <c r="J398" s="71"/>
      <c r="K398" s="71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71"/>
      <c r="J399" s="71"/>
      <c r="K399" s="71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71"/>
      <c r="J400" s="71"/>
      <c r="K400" s="71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71"/>
      <c r="J401" s="71"/>
      <c r="K401" s="71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71"/>
      <c r="J402" s="71"/>
      <c r="K402" s="71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71"/>
      <c r="J403" s="71"/>
      <c r="K403" s="71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71"/>
      <c r="J404" s="71"/>
      <c r="K404" s="71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71"/>
      <c r="J405" s="71"/>
      <c r="K405" s="71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71"/>
      <c r="J406" s="71"/>
      <c r="K406" s="71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71"/>
      <c r="J407" s="71"/>
      <c r="K407" s="71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71"/>
      <c r="J408" s="71"/>
      <c r="K408" s="71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71"/>
      <c r="J409" s="71"/>
      <c r="K409" s="71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71"/>
      <c r="J410" s="71"/>
      <c r="K410" s="71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71"/>
      <c r="J411" s="71"/>
      <c r="K411" s="71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71"/>
      <c r="J412" s="71"/>
      <c r="K412" s="71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71"/>
      <c r="J413" s="71"/>
      <c r="K413" s="71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71"/>
      <c r="J414" s="71"/>
      <c r="K414" s="71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71"/>
      <c r="J415" s="71"/>
      <c r="K415" s="71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71"/>
      <c r="J416" s="71"/>
      <c r="K416" s="71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71"/>
      <c r="J417" s="71"/>
      <c r="K417" s="71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71"/>
      <c r="J418" s="71"/>
      <c r="K418" s="71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71"/>
      <c r="J419" s="71"/>
      <c r="K419" s="71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71"/>
      <c r="J420" s="71"/>
      <c r="K420" s="71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71"/>
      <c r="J421" s="71"/>
      <c r="K421" s="71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71"/>
      <c r="J422" s="71"/>
      <c r="K422" s="71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71"/>
      <c r="J423" s="71"/>
      <c r="K423" s="71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71"/>
      <c r="J424" s="71"/>
      <c r="K424" s="71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71"/>
      <c r="J425" s="71"/>
      <c r="K425" s="71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71"/>
      <c r="J426" s="71"/>
      <c r="K426" s="71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71"/>
      <c r="J427" s="71"/>
      <c r="K427" s="71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71"/>
      <c r="J428" s="71"/>
      <c r="K428" s="71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71"/>
      <c r="J429" s="71"/>
      <c r="K429" s="71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71"/>
      <c r="J430" s="71"/>
      <c r="K430" s="71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71"/>
      <c r="J431" s="71"/>
      <c r="K431" s="71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71"/>
      <c r="J432" s="71"/>
      <c r="K432" s="71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71"/>
      <c r="J433" s="71"/>
      <c r="K433" s="71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71"/>
      <c r="J434" s="71"/>
      <c r="K434" s="71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71"/>
      <c r="J435" s="71"/>
      <c r="K435" s="71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71"/>
      <c r="J436" s="71"/>
      <c r="K436" s="71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71"/>
      <c r="J437" s="71"/>
      <c r="K437" s="71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71"/>
      <c r="J438" s="71"/>
      <c r="K438" s="71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71"/>
      <c r="J439" s="71"/>
      <c r="K439" s="71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71"/>
      <c r="J440" s="71"/>
      <c r="K440" s="71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71"/>
      <c r="J441" s="71"/>
      <c r="K441" s="71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71"/>
      <c r="J442" s="71"/>
      <c r="K442" s="71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71"/>
      <c r="J443" s="71"/>
      <c r="K443" s="71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71"/>
      <c r="J444" s="71"/>
      <c r="K444" s="71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71"/>
      <c r="J445" s="71"/>
      <c r="K445" s="71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71"/>
      <c r="J446" s="71"/>
      <c r="K446" s="71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71"/>
      <c r="J447" s="71"/>
      <c r="K447" s="71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71"/>
      <c r="J448" s="71"/>
      <c r="K448" s="71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71"/>
      <c r="J449" s="71"/>
      <c r="K449" s="71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71"/>
      <c r="J450" s="71"/>
      <c r="K450" s="71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71"/>
      <c r="J451" s="71"/>
      <c r="K451" s="71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71"/>
      <c r="J452" s="71"/>
      <c r="K452" s="71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71"/>
      <c r="J453" s="71"/>
      <c r="K453" s="71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71"/>
      <c r="J454" s="71"/>
      <c r="K454" s="71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71"/>
      <c r="J455" s="71"/>
      <c r="K455" s="71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71"/>
      <c r="J456" s="71"/>
      <c r="K456" s="71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71"/>
      <c r="J457" s="71"/>
      <c r="K457" s="71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71"/>
      <c r="J458" s="71"/>
      <c r="K458" s="71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71"/>
      <c r="J459" s="71"/>
      <c r="K459" s="71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71"/>
      <c r="J460" s="71"/>
      <c r="K460" s="71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71"/>
      <c r="J461" s="71"/>
      <c r="K461" s="71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71"/>
      <c r="J462" s="71"/>
      <c r="K462" s="71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71"/>
      <c r="J463" s="71"/>
      <c r="K463" s="71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71"/>
      <c r="J464" s="71"/>
      <c r="K464" s="71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71"/>
      <c r="J465" s="71"/>
      <c r="K465" s="71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71"/>
      <c r="J466" s="71"/>
      <c r="K466" s="71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71"/>
      <c r="J467" s="71"/>
      <c r="K467" s="71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71"/>
      <c r="J468" s="71"/>
      <c r="K468" s="71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71"/>
      <c r="J469" s="71"/>
      <c r="K469" s="71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71"/>
      <c r="J470" s="71"/>
      <c r="K470" s="71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71"/>
      <c r="J471" s="71"/>
      <c r="K471" s="71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71"/>
      <c r="J472" s="71"/>
      <c r="K472" s="71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71"/>
      <c r="J473" s="71"/>
      <c r="K473" s="71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71"/>
      <c r="J474" s="71"/>
      <c r="K474" s="71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71"/>
      <c r="J475" s="71"/>
      <c r="K475" s="71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71"/>
      <c r="J476" s="71"/>
      <c r="K476" s="71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71"/>
      <c r="J477" s="71"/>
      <c r="K477" s="71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71"/>
      <c r="J478" s="71"/>
      <c r="K478" s="71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71"/>
      <c r="J479" s="71"/>
      <c r="K479" s="71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71"/>
      <c r="J480" s="71"/>
      <c r="K480" s="71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71"/>
      <c r="J481" s="71"/>
      <c r="K481" s="71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71"/>
      <c r="J482" s="71"/>
      <c r="K482" s="71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71"/>
      <c r="J483" s="71"/>
      <c r="K483" s="71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71"/>
      <c r="J484" s="71"/>
      <c r="K484" s="71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71"/>
      <c r="J485" s="71"/>
      <c r="K485" s="71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71"/>
      <c r="J486" s="71"/>
      <c r="K486" s="71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71"/>
      <c r="J487" s="71"/>
      <c r="K487" s="71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71"/>
      <c r="J488" s="71"/>
      <c r="K488" s="71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71"/>
      <c r="J489" s="71"/>
      <c r="K489" s="71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71"/>
      <c r="J490" s="71"/>
      <c r="K490" s="71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71"/>
      <c r="J491" s="71"/>
      <c r="K491" s="71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71"/>
      <c r="J492" s="71"/>
      <c r="K492" s="71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71"/>
      <c r="J493" s="71"/>
      <c r="K493" s="71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71"/>
      <c r="J494" s="71"/>
      <c r="K494" s="71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71"/>
      <c r="J495" s="71"/>
      <c r="K495" s="71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71"/>
      <c r="J496" s="71"/>
      <c r="K496" s="71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71"/>
      <c r="J497" s="71"/>
      <c r="K497" s="71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71"/>
      <c r="J498" s="71"/>
      <c r="K498" s="71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71"/>
      <c r="J499" s="71"/>
      <c r="K499" s="71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71"/>
      <c r="J500" s="71"/>
      <c r="K500" s="71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71"/>
      <c r="J501" s="71"/>
      <c r="K501" s="71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71"/>
      <c r="J502" s="71"/>
      <c r="K502" s="71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71"/>
      <c r="J503" s="71"/>
      <c r="K503" s="71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71"/>
      <c r="J504" s="71"/>
      <c r="K504" s="71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71"/>
      <c r="J505" s="71"/>
      <c r="K505" s="71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71"/>
      <c r="J506" s="71"/>
      <c r="K506" s="71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71"/>
      <c r="J507" s="71"/>
      <c r="K507" s="71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71"/>
      <c r="J508" s="71"/>
      <c r="K508" s="71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71"/>
      <c r="J509" s="71"/>
      <c r="K509" s="71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71"/>
      <c r="J510" s="71"/>
      <c r="K510" s="71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71"/>
      <c r="J511" s="71"/>
      <c r="K511" s="71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71"/>
      <c r="J512" s="71"/>
      <c r="K512" s="71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71"/>
      <c r="J513" s="71"/>
      <c r="K513" s="71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71"/>
      <c r="J514" s="71"/>
      <c r="K514" s="71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71"/>
      <c r="J515" s="71"/>
      <c r="K515" s="71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71"/>
      <c r="J516" s="71"/>
      <c r="K516" s="71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71"/>
      <c r="J517" s="71"/>
      <c r="K517" s="71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71"/>
      <c r="J518" s="71"/>
      <c r="K518" s="71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71"/>
      <c r="J519" s="71"/>
      <c r="K519" s="71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71"/>
      <c r="J520" s="71"/>
      <c r="K520" s="71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71"/>
      <c r="J521" s="71"/>
      <c r="K521" s="71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71"/>
      <c r="J522" s="71"/>
      <c r="K522" s="71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71"/>
      <c r="J523" s="71"/>
      <c r="K523" s="71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71"/>
      <c r="J524" s="71"/>
      <c r="K524" s="71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71"/>
      <c r="J525" s="71"/>
      <c r="K525" s="71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71"/>
      <c r="J526" s="71"/>
      <c r="K526" s="71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71"/>
      <c r="J527" s="71"/>
      <c r="K527" s="71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71"/>
      <c r="J528" s="71"/>
      <c r="K528" s="71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71"/>
      <c r="J529" s="71"/>
      <c r="K529" s="71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71"/>
      <c r="J530" s="71"/>
      <c r="K530" s="71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71"/>
      <c r="J531" s="71"/>
      <c r="K531" s="71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71"/>
      <c r="J532" s="71"/>
      <c r="K532" s="71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71"/>
      <c r="J533" s="71"/>
      <c r="K533" s="71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71"/>
      <c r="J534" s="71"/>
      <c r="K534" s="71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71"/>
      <c r="J535" s="71"/>
      <c r="K535" s="71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71"/>
      <c r="J536" s="71"/>
      <c r="K536" s="71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71"/>
      <c r="J537" s="71"/>
      <c r="K537" s="71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71"/>
      <c r="J538" s="71"/>
      <c r="K538" s="71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71"/>
      <c r="J539" s="71"/>
      <c r="K539" s="71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71"/>
      <c r="J540" s="71"/>
      <c r="K540" s="71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71"/>
      <c r="J541" s="71"/>
      <c r="K541" s="71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71"/>
      <c r="J542" s="71"/>
      <c r="K542" s="71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71"/>
      <c r="J543" s="71"/>
      <c r="K543" s="71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71"/>
      <c r="J544" s="71"/>
      <c r="K544" s="71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71"/>
      <c r="J545" s="71"/>
      <c r="K545" s="71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71"/>
      <c r="J546" s="71"/>
      <c r="K546" s="71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71"/>
      <c r="J547" s="71"/>
      <c r="K547" s="71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71"/>
      <c r="J548" s="71"/>
      <c r="K548" s="71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71"/>
      <c r="J549" s="71"/>
      <c r="K549" s="71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71"/>
      <c r="J550" s="71"/>
      <c r="K550" s="71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71"/>
      <c r="J551" s="71"/>
      <c r="K551" s="71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71"/>
      <c r="J552" s="71"/>
      <c r="K552" s="71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71"/>
      <c r="J553" s="71"/>
      <c r="K553" s="71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71"/>
      <c r="J554" s="71"/>
      <c r="K554" s="71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71"/>
      <c r="J555" s="71"/>
      <c r="K555" s="71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71"/>
      <c r="J556" s="71"/>
      <c r="K556" s="71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71"/>
      <c r="J557" s="71"/>
      <c r="K557" s="71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71"/>
      <c r="J558" s="71"/>
      <c r="K558" s="71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71"/>
      <c r="J559" s="71"/>
      <c r="K559" s="71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71"/>
      <c r="J560" s="71"/>
      <c r="K560" s="71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71"/>
      <c r="J561" s="71"/>
      <c r="K561" s="71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71"/>
      <c r="J562" s="71"/>
      <c r="K562" s="71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71"/>
      <c r="J563" s="71"/>
      <c r="K563" s="71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71"/>
      <c r="J564" s="71"/>
      <c r="K564" s="71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71"/>
      <c r="J565" s="71"/>
      <c r="K565" s="71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71"/>
      <c r="J566" s="71"/>
      <c r="K566" s="71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71"/>
      <c r="J567" s="71"/>
      <c r="K567" s="71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71"/>
      <c r="J568" s="71"/>
      <c r="K568" s="71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71"/>
      <c r="J569" s="71"/>
      <c r="K569" s="71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71"/>
      <c r="J570" s="71"/>
      <c r="K570" s="71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71"/>
      <c r="J571" s="71"/>
      <c r="K571" s="71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71"/>
      <c r="J572" s="71"/>
      <c r="K572" s="71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71"/>
      <c r="J573" s="71"/>
      <c r="K573" s="71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71"/>
      <c r="J574" s="71"/>
      <c r="K574" s="71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71"/>
      <c r="J575" s="71"/>
      <c r="K575" s="71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71"/>
      <c r="J576" s="71"/>
      <c r="K576" s="71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71"/>
      <c r="J577" s="71"/>
      <c r="K577" s="71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71"/>
      <c r="J578" s="71"/>
      <c r="K578" s="71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71"/>
      <c r="J579" s="71"/>
      <c r="K579" s="71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71"/>
      <c r="J580" s="71"/>
      <c r="K580" s="71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71"/>
      <c r="J581" s="71"/>
      <c r="K581" s="71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71"/>
      <c r="J582" s="71"/>
      <c r="K582" s="71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71"/>
      <c r="J583" s="71"/>
      <c r="K583" s="71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71"/>
      <c r="J584" s="71"/>
      <c r="K584" s="71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71"/>
      <c r="J585" s="71"/>
      <c r="K585" s="71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71"/>
      <c r="J586" s="71"/>
      <c r="K586" s="71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71"/>
      <c r="J587" s="71"/>
      <c r="K587" s="71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71"/>
      <c r="J588" s="71"/>
      <c r="K588" s="71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71"/>
      <c r="J589" s="71"/>
      <c r="K589" s="71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71"/>
      <c r="J590" s="71"/>
      <c r="K590" s="71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71"/>
      <c r="J591" s="71"/>
      <c r="K591" s="71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71"/>
      <c r="J592" s="71"/>
      <c r="K592" s="71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71"/>
      <c r="J593" s="71"/>
      <c r="K593" s="71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71"/>
      <c r="J594" s="71"/>
      <c r="K594" s="71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71"/>
      <c r="J595" s="71"/>
      <c r="K595" s="71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71"/>
      <c r="J596" s="71"/>
      <c r="K596" s="71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71"/>
      <c r="J597" s="71"/>
      <c r="K597" s="71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71"/>
      <c r="J598" s="71"/>
      <c r="K598" s="71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71"/>
      <c r="J599" s="71"/>
      <c r="K599" s="71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71"/>
      <c r="J600" s="71"/>
      <c r="K600" s="71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71"/>
      <c r="J601" s="71"/>
      <c r="K601" s="71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71"/>
      <c r="J602" s="71"/>
      <c r="K602" s="71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71"/>
      <c r="J603" s="71"/>
      <c r="K603" s="71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71"/>
      <c r="J604" s="71"/>
      <c r="K604" s="71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71"/>
      <c r="J605" s="71"/>
      <c r="K605" s="71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71"/>
      <c r="J606" s="71"/>
      <c r="K606" s="71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71"/>
      <c r="J607" s="71"/>
      <c r="K607" s="71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71"/>
      <c r="J608" s="71"/>
      <c r="K608" s="71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71"/>
      <c r="J609" s="71"/>
      <c r="K609" s="71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71"/>
      <c r="J610" s="71"/>
      <c r="K610" s="71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71"/>
      <c r="J611" s="71"/>
      <c r="K611" s="71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71"/>
      <c r="J612" s="71"/>
      <c r="K612" s="71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71"/>
      <c r="J613" s="71"/>
      <c r="K613" s="71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71"/>
      <c r="J614" s="71"/>
      <c r="K614" s="71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71"/>
      <c r="J615" s="71"/>
      <c r="K615" s="71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71"/>
      <c r="J616" s="71"/>
      <c r="K616" s="71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71"/>
      <c r="J617" s="71"/>
      <c r="K617" s="71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71"/>
      <c r="J618" s="71"/>
      <c r="K618" s="71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71"/>
      <c r="J619" s="71"/>
      <c r="K619" s="71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71"/>
      <c r="J620" s="71"/>
      <c r="K620" s="71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71"/>
      <c r="J621" s="71"/>
      <c r="K621" s="71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71"/>
      <c r="J622" s="71"/>
      <c r="K622" s="71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71"/>
      <c r="J623" s="71"/>
      <c r="K623" s="71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71"/>
      <c r="J624" s="71"/>
      <c r="K624" s="71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71"/>
      <c r="J625" s="71"/>
      <c r="K625" s="71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71"/>
      <c r="J626" s="71"/>
      <c r="K626" s="71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71"/>
      <c r="J627" s="71"/>
      <c r="K627" s="71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71"/>
      <c r="J628" s="71"/>
      <c r="K628" s="71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71"/>
      <c r="J629" s="71"/>
      <c r="K629" s="71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71"/>
      <c r="J630" s="71"/>
      <c r="K630" s="71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71"/>
      <c r="J631" s="71"/>
      <c r="K631" s="71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71"/>
      <c r="J632" s="71"/>
      <c r="K632" s="71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71"/>
      <c r="J633" s="71"/>
      <c r="K633" s="71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71"/>
      <c r="J634" s="71"/>
      <c r="K634" s="71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71"/>
      <c r="J635" s="71"/>
      <c r="K635" s="71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71"/>
      <c r="J636" s="71"/>
      <c r="K636" s="71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71"/>
      <c r="J637" s="71"/>
      <c r="K637" s="71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71"/>
      <c r="J638" s="71"/>
      <c r="K638" s="71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71"/>
      <c r="J639" s="71"/>
      <c r="K639" s="71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71"/>
      <c r="J640" s="71"/>
      <c r="K640" s="71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71"/>
      <c r="J641" s="71"/>
      <c r="K641" s="71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71"/>
      <c r="J642" s="71"/>
      <c r="K642" s="71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71"/>
      <c r="J643" s="71"/>
      <c r="K643" s="71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71"/>
      <c r="J644" s="71"/>
      <c r="K644" s="71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71"/>
      <c r="J645" s="71"/>
      <c r="K645" s="71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71"/>
      <c r="J646" s="71"/>
      <c r="K646" s="71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71"/>
      <c r="J647" s="71"/>
      <c r="K647" s="71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71"/>
      <c r="J648" s="71"/>
      <c r="K648" s="71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71"/>
      <c r="J649" s="71"/>
      <c r="K649" s="71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71"/>
      <c r="J650" s="71"/>
      <c r="K650" s="71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71"/>
      <c r="J651" s="71"/>
      <c r="K651" s="71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71"/>
      <c r="J652" s="71"/>
      <c r="K652" s="71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71"/>
      <c r="J653" s="71"/>
      <c r="K653" s="71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71"/>
      <c r="J654" s="71"/>
      <c r="K654" s="71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71"/>
      <c r="J655" s="71"/>
      <c r="K655" s="71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71"/>
      <c r="J656" s="71"/>
      <c r="K656" s="71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71"/>
      <c r="J657" s="71"/>
      <c r="K657" s="71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71"/>
      <c r="J658" s="71"/>
      <c r="K658" s="71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71"/>
      <c r="J659" s="71"/>
      <c r="K659" s="71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71"/>
      <c r="J660" s="71"/>
      <c r="K660" s="71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71"/>
      <c r="J661" s="71"/>
      <c r="K661" s="71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71"/>
      <c r="J662" s="71"/>
      <c r="K662" s="71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71"/>
      <c r="J663" s="71"/>
      <c r="K663" s="71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71"/>
      <c r="J664" s="71"/>
      <c r="K664" s="71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71"/>
      <c r="J665" s="71"/>
      <c r="K665" s="71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71"/>
      <c r="J666" s="71"/>
      <c r="K666" s="71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71"/>
      <c r="J667" s="71"/>
      <c r="K667" s="71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71"/>
      <c r="J668" s="71"/>
      <c r="K668" s="71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71"/>
      <c r="J669" s="71"/>
      <c r="K669" s="71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71"/>
      <c r="J670" s="71"/>
      <c r="K670" s="71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71"/>
      <c r="J671" s="71"/>
      <c r="K671" s="71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71"/>
      <c r="J672" s="71"/>
      <c r="K672" s="71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71"/>
      <c r="J673" s="71"/>
      <c r="K673" s="71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71"/>
      <c r="J674" s="71"/>
      <c r="K674" s="71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71"/>
      <c r="J675" s="71"/>
      <c r="K675" s="71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71"/>
      <c r="J676" s="71"/>
      <c r="K676" s="71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71"/>
      <c r="J677" s="71"/>
      <c r="K677" s="71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71"/>
      <c r="J678" s="71"/>
      <c r="K678" s="71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71"/>
      <c r="J679" s="71"/>
      <c r="K679" s="71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71"/>
      <c r="J680" s="71"/>
      <c r="K680" s="71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71"/>
      <c r="J681" s="71"/>
      <c r="K681" s="71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71"/>
      <c r="J682" s="71"/>
      <c r="K682" s="71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71"/>
      <c r="J683" s="71"/>
      <c r="K683" s="71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71"/>
      <c r="J684" s="71"/>
      <c r="K684" s="71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71"/>
      <c r="J685" s="71"/>
      <c r="K685" s="71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71"/>
      <c r="J686" s="71"/>
      <c r="K686" s="71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71"/>
      <c r="J687" s="71"/>
      <c r="K687" s="71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71"/>
      <c r="J688" s="71"/>
      <c r="K688" s="71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71"/>
      <c r="J689" s="71"/>
      <c r="K689" s="71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71"/>
      <c r="J690" s="71"/>
      <c r="K690" s="71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71"/>
      <c r="J691" s="71"/>
      <c r="K691" s="71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71"/>
      <c r="J692" s="71"/>
      <c r="K692" s="71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71"/>
      <c r="J693" s="71"/>
      <c r="K693" s="71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71"/>
      <c r="J694" s="71"/>
      <c r="K694" s="71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71"/>
      <c r="J695" s="71"/>
      <c r="K695" s="71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71"/>
      <c r="J696" s="71"/>
      <c r="K696" s="71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71"/>
      <c r="J697" s="71"/>
      <c r="K697" s="71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71"/>
      <c r="J698" s="71"/>
      <c r="K698" s="71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71"/>
      <c r="J699" s="71"/>
      <c r="K699" s="71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71"/>
      <c r="J700" s="71"/>
      <c r="K700" s="71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71"/>
      <c r="J701" s="71"/>
      <c r="K701" s="71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71"/>
      <c r="J702" s="71"/>
      <c r="K702" s="71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71"/>
      <c r="J703" s="71"/>
      <c r="K703" s="71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71"/>
      <c r="J704" s="71"/>
      <c r="K704" s="71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71"/>
      <c r="J705" s="71"/>
      <c r="K705" s="71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71"/>
      <c r="J706" s="71"/>
      <c r="K706" s="71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71"/>
      <c r="J707" s="71"/>
      <c r="K707" s="71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71"/>
      <c r="J708" s="71"/>
      <c r="K708" s="71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71"/>
      <c r="J709" s="71"/>
      <c r="K709" s="71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71"/>
      <c r="J710" s="71"/>
      <c r="K710" s="71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71"/>
      <c r="J711" s="71"/>
      <c r="K711" s="71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71"/>
      <c r="J712" s="71"/>
      <c r="K712" s="71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71"/>
      <c r="J713" s="71"/>
      <c r="K713" s="71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71"/>
      <c r="J714" s="71"/>
      <c r="K714" s="71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71"/>
      <c r="J715" s="71"/>
      <c r="K715" s="71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71"/>
      <c r="J716" s="71"/>
      <c r="K716" s="71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71"/>
      <c r="J717" s="71"/>
      <c r="K717" s="71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71"/>
      <c r="J718" s="71"/>
      <c r="K718" s="71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71"/>
      <c r="J719" s="71"/>
      <c r="K719" s="71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71"/>
      <c r="J720" s="71"/>
      <c r="K720" s="71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71"/>
      <c r="J721" s="71"/>
      <c r="K721" s="71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71"/>
      <c r="J722" s="71"/>
      <c r="K722" s="71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71"/>
      <c r="J723" s="71"/>
      <c r="K723" s="71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71"/>
      <c r="J724" s="71"/>
      <c r="K724" s="71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71"/>
      <c r="J725" s="71"/>
      <c r="K725" s="71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71"/>
      <c r="J726" s="71"/>
      <c r="K726" s="71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71"/>
      <c r="J727" s="71"/>
      <c r="K727" s="71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71"/>
      <c r="J728" s="71"/>
      <c r="K728" s="71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71"/>
      <c r="J729" s="71"/>
      <c r="K729" s="71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71"/>
      <c r="J730" s="71"/>
      <c r="K730" s="71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71"/>
      <c r="J731" s="71"/>
      <c r="K731" s="71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71"/>
      <c r="J732" s="71"/>
      <c r="K732" s="71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71"/>
      <c r="J733" s="71"/>
      <c r="K733" s="71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71"/>
      <c r="J734" s="71"/>
      <c r="K734" s="71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71"/>
      <c r="J735" s="71"/>
      <c r="K735" s="71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71"/>
      <c r="J736" s="71"/>
      <c r="K736" s="71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71"/>
      <c r="J737" s="71"/>
      <c r="K737" s="71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71"/>
      <c r="J738" s="71"/>
      <c r="K738" s="71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71"/>
      <c r="J739" s="71"/>
      <c r="K739" s="71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71"/>
      <c r="J740" s="71"/>
      <c r="K740" s="71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71"/>
      <c r="J741" s="71"/>
      <c r="K741" s="71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71"/>
      <c r="J742" s="71"/>
      <c r="K742" s="71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71"/>
      <c r="J743" s="71"/>
      <c r="K743" s="71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71"/>
      <c r="J744" s="71"/>
      <c r="K744" s="71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71"/>
      <c r="J745" s="71"/>
      <c r="K745" s="71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71"/>
      <c r="J746" s="71"/>
      <c r="K746" s="71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71"/>
      <c r="J747" s="71"/>
      <c r="K747" s="71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71"/>
      <c r="J748" s="71"/>
      <c r="K748" s="71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71"/>
      <c r="J749" s="71"/>
      <c r="K749" s="71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71"/>
      <c r="J750" s="71"/>
      <c r="K750" s="71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71"/>
      <c r="J751" s="71"/>
      <c r="K751" s="71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71"/>
      <c r="J752" s="71"/>
      <c r="K752" s="71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71"/>
      <c r="J753" s="71"/>
      <c r="K753" s="71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71"/>
      <c r="J754" s="71"/>
      <c r="K754" s="71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71"/>
      <c r="J755" s="71"/>
      <c r="K755" s="71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71"/>
      <c r="J756" s="71"/>
      <c r="K756" s="71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71"/>
      <c r="J757" s="71"/>
      <c r="K757" s="71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71"/>
      <c r="J758" s="71"/>
      <c r="K758" s="71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71"/>
      <c r="J759" s="71"/>
      <c r="K759" s="71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71"/>
      <c r="J760" s="71"/>
      <c r="K760" s="71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71"/>
      <c r="J761" s="71"/>
      <c r="K761" s="71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71"/>
      <c r="J762" s="71"/>
      <c r="K762" s="71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71"/>
      <c r="J763" s="71"/>
      <c r="K763" s="71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71"/>
      <c r="J764" s="71"/>
      <c r="K764" s="71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71"/>
      <c r="J765" s="71"/>
      <c r="K765" s="71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71"/>
      <c r="J766" s="71"/>
      <c r="K766" s="71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71"/>
      <c r="J767" s="71"/>
      <c r="K767" s="71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71"/>
      <c r="J768" s="71"/>
      <c r="K768" s="71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71"/>
      <c r="J769" s="71"/>
      <c r="K769" s="71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71"/>
      <c r="J770" s="71"/>
      <c r="K770" s="71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71"/>
      <c r="J771" s="71"/>
      <c r="K771" s="71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71"/>
      <c r="J772" s="71"/>
      <c r="K772" s="71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71"/>
      <c r="J773" s="71"/>
      <c r="K773" s="71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71"/>
      <c r="J774" s="71"/>
      <c r="K774" s="71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71"/>
      <c r="J775" s="71"/>
      <c r="K775" s="71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71"/>
      <c r="J776" s="71"/>
      <c r="K776" s="71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71"/>
      <c r="J777" s="71"/>
      <c r="K777" s="71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71"/>
      <c r="J778" s="71"/>
      <c r="K778" s="71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71"/>
      <c r="J779" s="71"/>
      <c r="K779" s="71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71"/>
      <c r="J780" s="71"/>
      <c r="K780" s="71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71"/>
      <c r="J781" s="71"/>
      <c r="K781" s="71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71"/>
      <c r="J782" s="71"/>
      <c r="K782" s="71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71"/>
      <c r="J783" s="71"/>
      <c r="K783" s="71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71"/>
      <c r="J784" s="71"/>
      <c r="K784" s="71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71"/>
      <c r="J785" s="71"/>
      <c r="K785" s="71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71"/>
      <c r="J786" s="71"/>
      <c r="K786" s="71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71"/>
      <c r="J787" s="71"/>
      <c r="K787" s="71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71"/>
      <c r="J788" s="71"/>
      <c r="K788" s="71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71"/>
      <c r="J789" s="71"/>
      <c r="K789" s="71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71"/>
      <c r="J790" s="71"/>
      <c r="K790" s="71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71"/>
      <c r="J791" s="71"/>
      <c r="K791" s="71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71"/>
      <c r="J792" s="71"/>
      <c r="K792" s="71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71"/>
      <c r="J793" s="71"/>
      <c r="K793" s="71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71"/>
      <c r="J794" s="71"/>
      <c r="K794" s="71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71"/>
      <c r="J795" s="71"/>
      <c r="K795" s="71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71"/>
      <c r="J796" s="71"/>
      <c r="K796" s="71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71"/>
      <c r="J797" s="71"/>
      <c r="K797" s="71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71"/>
      <c r="J798" s="71"/>
      <c r="K798" s="71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71"/>
      <c r="J799" s="71"/>
      <c r="K799" s="71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71"/>
      <c r="J800" s="71"/>
      <c r="K800" s="71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71"/>
      <c r="J801" s="71"/>
      <c r="K801" s="71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71"/>
      <c r="J802" s="71"/>
      <c r="K802" s="71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71"/>
      <c r="J803" s="71"/>
      <c r="K803" s="71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71"/>
      <c r="J804" s="71"/>
      <c r="K804" s="71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71"/>
      <c r="J805" s="71"/>
      <c r="K805" s="71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71"/>
      <c r="J806" s="71"/>
      <c r="K806" s="71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71"/>
      <c r="J807" s="71"/>
      <c r="K807" s="71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71"/>
      <c r="J808" s="71"/>
      <c r="K808" s="71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71"/>
      <c r="J809" s="71"/>
      <c r="K809" s="71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71"/>
      <c r="J810" s="71"/>
      <c r="K810" s="71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71"/>
      <c r="J811" s="71"/>
      <c r="K811" s="71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71"/>
      <c r="J812" s="71"/>
      <c r="K812" s="71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71"/>
      <c r="J813" s="71"/>
      <c r="K813" s="71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71"/>
      <c r="J814" s="71"/>
      <c r="K814" s="71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71"/>
      <c r="J815" s="71"/>
      <c r="K815" s="71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71"/>
      <c r="J816" s="71"/>
      <c r="K816" s="71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71"/>
      <c r="J817" s="71"/>
      <c r="K817" s="71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71"/>
      <c r="J818" s="71"/>
      <c r="K818" s="71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71"/>
      <c r="J819" s="71"/>
      <c r="K819" s="71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71"/>
      <c r="J820" s="71"/>
      <c r="K820" s="71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71"/>
      <c r="J821" s="71"/>
      <c r="K821" s="71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71"/>
      <c r="J822" s="71"/>
      <c r="K822" s="71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71"/>
      <c r="J823" s="71"/>
      <c r="K823" s="71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71"/>
      <c r="J824" s="71"/>
      <c r="K824" s="71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71"/>
      <c r="J825" s="71"/>
      <c r="K825" s="71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71"/>
      <c r="J826" s="71"/>
      <c r="K826" s="71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71"/>
      <c r="J827" s="71"/>
      <c r="K827" s="71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71"/>
      <c r="J828" s="71"/>
      <c r="K828" s="71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71"/>
      <c r="J829" s="71"/>
      <c r="K829" s="71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71"/>
      <c r="J830" s="71"/>
      <c r="K830" s="71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71"/>
      <c r="J831" s="71"/>
      <c r="K831" s="71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71"/>
      <c r="J832" s="71"/>
      <c r="K832" s="71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71"/>
      <c r="J833" s="71"/>
      <c r="K833" s="71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71"/>
      <c r="J834" s="71"/>
      <c r="K834" s="71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71"/>
      <c r="J835" s="71"/>
      <c r="K835" s="71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71"/>
      <c r="J836" s="71"/>
      <c r="K836" s="71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71"/>
      <c r="J837" s="71"/>
      <c r="K837" s="71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71"/>
      <c r="J838" s="71"/>
      <c r="K838" s="71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71"/>
      <c r="J839" s="71"/>
      <c r="K839" s="71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71"/>
      <c r="J840" s="71"/>
      <c r="K840" s="71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71"/>
      <c r="J841" s="71"/>
      <c r="K841" s="71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71"/>
      <c r="J842" s="71"/>
      <c r="K842" s="71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71"/>
      <c r="J843" s="71"/>
      <c r="K843" s="71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71"/>
      <c r="J844" s="71"/>
      <c r="K844" s="71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71"/>
      <c r="J845" s="71"/>
      <c r="K845" s="71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71"/>
      <c r="J846" s="71"/>
      <c r="K846" s="71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71"/>
      <c r="J847" s="71"/>
      <c r="K847" s="71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71"/>
      <c r="J848" s="71"/>
      <c r="K848" s="71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71"/>
      <c r="J849" s="71"/>
      <c r="K849" s="71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71"/>
      <c r="J850" s="71"/>
      <c r="K850" s="71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71"/>
      <c r="J851" s="71"/>
      <c r="K851" s="71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71"/>
      <c r="J852" s="71"/>
      <c r="K852" s="71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71"/>
      <c r="J853" s="71"/>
      <c r="K853" s="71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71"/>
      <c r="J854" s="71"/>
      <c r="K854" s="71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71"/>
      <c r="J855" s="71"/>
      <c r="K855" s="71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71"/>
      <c r="J856" s="71"/>
      <c r="K856" s="71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71"/>
      <c r="J857" s="71"/>
      <c r="K857" s="71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71"/>
      <c r="J858" s="71"/>
      <c r="K858" s="71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71"/>
      <c r="J859" s="71"/>
      <c r="K859" s="71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71"/>
      <c r="J860" s="71"/>
      <c r="K860" s="71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71"/>
      <c r="J861" s="71"/>
      <c r="K861" s="71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71"/>
      <c r="J862" s="71"/>
      <c r="K862" s="71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71"/>
      <c r="J863" s="71"/>
      <c r="K863" s="71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71"/>
      <c r="J864" s="71"/>
      <c r="K864" s="71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71"/>
      <c r="J865" s="71"/>
      <c r="K865" s="71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71"/>
      <c r="J866" s="71"/>
      <c r="K866" s="71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71"/>
      <c r="J867" s="71"/>
      <c r="K867" s="71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71"/>
      <c r="J868" s="71"/>
      <c r="K868" s="71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71"/>
      <c r="J869" s="71"/>
      <c r="K869" s="71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71"/>
      <c r="J870" s="71"/>
      <c r="K870" s="71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71"/>
      <c r="J871" s="71"/>
      <c r="K871" s="71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71"/>
      <c r="J872" s="71"/>
      <c r="K872" s="71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71"/>
      <c r="J873" s="71"/>
      <c r="K873" s="71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71"/>
      <c r="J874" s="71"/>
      <c r="K874" s="71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71"/>
      <c r="J875" s="71"/>
      <c r="K875" s="71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71"/>
      <c r="J876" s="71"/>
      <c r="K876" s="71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71"/>
      <c r="J877" s="71"/>
      <c r="K877" s="71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71"/>
      <c r="J878" s="71"/>
      <c r="K878" s="71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71"/>
      <c r="J879" s="71"/>
      <c r="K879" s="71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71"/>
      <c r="J880" s="71"/>
      <c r="K880" s="71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71"/>
      <c r="J881" s="71"/>
      <c r="K881" s="71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71"/>
      <c r="J882" s="71"/>
      <c r="K882" s="71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71"/>
      <c r="J883" s="71"/>
      <c r="K883" s="71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71"/>
      <c r="J884" s="71"/>
      <c r="K884" s="71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71"/>
      <c r="J885" s="71"/>
      <c r="K885" s="71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71"/>
      <c r="J886" s="71"/>
      <c r="K886" s="71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71"/>
      <c r="J887" s="71"/>
      <c r="K887" s="71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71"/>
      <c r="J888" s="71"/>
      <c r="K888" s="71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71"/>
      <c r="J889" s="71"/>
      <c r="K889" s="71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71"/>
      <c r="J890" s="71"/>
      <c r="K890" s="71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71"/>
      <c r="J891" s="71"/>
      <c r="K891" s="71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71"/>
      <c r="J892" s="71"/>
      <c r="K892" s="71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71"/>
      <c r="J893" s="71"/>
      <c r="K893" s="71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71"/>
      <c r="J894" s="71"/>
      <c r="K894" s="71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71"/>
      <c r="J895" s="71"/>
      <c r="K895" s="71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71"/>
      <c r="J896" s="71"/>
      <c r="K896" s="71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71"/>
      <c r="J897" s="71"/>
      <c r="K897" s="71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71"/>
      <c r="J898" s="71"/>
      <c r="K898" s="71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71"/>
      <c r="J899" s="71"/>
      <c r="K899" s="71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71"/>
      <c r="J900" s="71"/>
      <c r="K900" s="71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71"/>
      <c r="J901" s="71"/>
      <c r="K901" s="71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71"/>
      <c r="J902" s="71"/>
      <c r="K902" s="71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71"/>
      <c r="J903" s="71"/>
      <c r="K903" s="71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71"/>
      <c r="J904" s="71"/>
      <c r="K904" s="71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71"/>
      <c r="J905" s="71"/>
      <c r="K905" s="71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71"/>
      <c r="J906" s="71"/>
      <c r="K906" s="71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71"/>
      <c r="J907" s="71"/>
      <c r="K907" s="71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71"/>
      <c r="J908" s="71"/>
      <c r="K908" s="71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71"/>
      <c r="J909" s="71"/>
      <c r="K909" s="71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71"/>
      <c r="J910" s="71"/>
      <c r="K910" s="71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71"/>
      <c r="J911" s="71"/>
      <c r="K911" s="71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71"/>
      <c r="J912" s="71"/>
      <c r="K912" s="71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71"/>
      <c r="J913" s="71"/>
      <c r="K913" s="71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71"/>
      <c r="J914" s="71"/>
      <c r="K914" s="71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71"/>
      <c r="J915" s="71"/>
      <c r="K915" s="71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71"/>
      <c r="J916" s="71"/>
      <c r="K916" s="71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71"/>
      <c r="J917" s="71"/>
      <c r="K917" s="71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71"/>
      <c r="J918" s="71"/>
      <c r="K918" s="71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71"/>
      <c r="J919" s="71"/>
      <c r="K919" s="71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71"/>
      <c r="J920" s="71"/>
      <c r="K920" s="71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71"/>
      <c r="J921" s="71"/>
      <c r="K921" s="71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71"/>
      <c r="J922" s="71"/>
      <c r="K922" s="71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71"/>
      <c r="J923" s="71"/>
      <c r="K923" s="71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71"/>
      <c r="J924" s="71"/>
      <c r="K924" s="71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71"/>
      <c r="J925" s="71"/>
      <c r="K925" s="71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71"/>
      <c r="J926" s="71"/>
      <c r="K926" s="71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71"/>
      <c r="J927" s="71"/>
      <c r="K927" s="71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71"/>
      <c r="J928" s="71"/>
      <c r="K928" s="71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71"/>
      <c r="J929" s="71"/>
      <c r="K929" s="71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71"/>
      <c r="J930" s="71"/>
      <c r="K930" s="71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71"/>
      <c r="J931" s="71"/>
      <c r="K931" s="71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71"/>
      <c r="J932" s="71"/>
      <c r="K932" s="71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71"/>
      <c r="J933" s="71"/>
      <c r="K933" s="71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71"/>
      <c r="J934" s="71"/>
      <c r="K934" s="71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71"/>
      <c r="J935" s="71"/>
      <c r="K935" s="71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71"/>
      <c r="J936" s="71"/>
      <c r="K936" s="71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71"/>
      <c r="J937" s="71"/>
      <c r="K937" s="71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71"/>
      <c r="J938" s="71"/>
      <c r="K938" s="71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71"/>
      <c r="J939" s="71"/>
      <c r="K939" s="71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71"/>
      <c r="J940" s="71"/>
      <c r="K940" s="71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71"/>
      <c r="J941" s="71"/>
      <c r="K941" s="71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71"/>
      <c r="J942" s="71"/>
      <c r="K942" s="71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71"/>
      <c r="J943" s="71"/>
      <c r="K943" s="71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71"/>
      <c r="J944" s="71"/>
      <c r="K944" s="71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71"/>
      <c r="J945" s="71"/>
      <c r="K945" s="71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71"/>
      <c r="J946" s="71"/>
      <c r="K946" s="71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71"/>
      <c r="J947" s="71"/>
      <c r="K947" s="71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71"/>
      <c r="J948" s="71"/>
      <c r="K948" s="71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71"/>
      <c r="J949" s="71"/>
      <c r="K949" s="71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71"/>
      <c r="J950" s="71"/>
      <c r="K950" s="71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71"/>
      <c r="J951" s="71"/>
      <c r="K951" s="71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71"/>
      <c r="J952" s="71"/>
      <c r="K952" s="71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71"/>
      <c r="J953" s="71"/>
      <c r="K953" s="71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71"/>
      <c r="J954" s="71"/>
      <c r="K954" s="71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71"/>
      <c r="J955" s="71"/>
      <c r="K955" s="71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71"/>
      <c r="J956" s="71"/>
      <c r="K956" s="71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71"/>
      <c r="J957" s="71"/>
      <c r="K957" s="71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71"/>
      <c r="J958" s="71"/>
      <c r="K958" s="71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71"/>
      <c r="J959" s="71"/>
      <c r="K959" s="71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71"/>
      <c r="J960" s="71"/>
      <c r="K960" s="71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71"/>
      <c r="J961" s="71"/>
      <c r="K961" s="71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71"/>
      <c r="J962" s="71"/>
      <c r="K962" s="71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71"/>
      <c r="J963" s="71"/>
      <c r="K963" s="71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71"/>
      <c r="J964" s="71"/>
      <c r="K964" s="71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71"/>
      <c r="J965" s="71"/>
      <c r="K965" s="71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71"/>
      <c r="J966" s="71"/>
      <c r="K966" s="71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71"/>
      <c r="J967" s="71"/>
      <c r="K967" s="71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71"/>
      <c r="J968" s="71"/>
      <c r="K968" s="71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71"/>
      <c r="J969" s="71"/>
      <c r="K969" s="71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71"/>
      <c r="J970" s="71"/>
      <c r="K970" s="71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71"/>
      <c r="J971" s="71"/>
      <c r="K971" s="71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71"/>
      <c r="J972" s="71"/>
      <c r="K972" s="71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71"/>
      <c r="J973" s="71"/>
      <c r="K973" s="71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71"/>
      <c r="J974" s="71"/>
      <c r="K974" s="71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71"/>
      <c r="J975" s="71"/>
      <c r="K975" s="71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71"/>
      <c r="J976" s="71"/>
      <c r="K976" s="71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71"/>
      <c r="J977" s="71"/>
      <c r="K977" s="71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71"/>
      <c r="J978" s="71"/>
      <c r="K978" s="71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71"/>
      <c r="J979" s="71"/>
      <c r="K979" s="71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71"/>
      <c r="J980" s="71"/>
      <c r="K980" s="71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71"/>
      <c r="J981" s="71"/>
      <c r="K981" s="71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71"/>
      <c r="J982" s="71"/>
      <c r="K982" s="71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71"/>
      <c r="J983" s="71"/>
      <c r="K983" s="71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71"/>
      <c r="J984" s="71"/>
      <c r="K984" s="71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71"/>
      <c r="J985" s="71"/>
      <c r="K985" s="71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71"/>
      <c r="J986" s="71"/>
      <c r="K986" s="71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71"/>
      <c r="J987" s="71"/>
      <c r="K987" s="71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71"/>
      <c r="J988" s="71"/>
      <c r="K988" s="71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71"/>
      <c r="J989" s="71"/>
      <c r="K989" s="71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71"/>
      <c r="J990" s="71"/>
      <c r="K990" s="71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71"/>
      <c r="J991" s="71"/>
      <c r="K991" s="71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71"/>
      <c r="J992" s="71"/>
      <c r="K992" s="71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71"/>
      <c r="J993" s="71"/>
      <c r="K993" s="71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71"/>
      <c r="J994" s="71"/>
      <c r="K994" s="71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71"/>
      <c r="J995" s="71"/>
      <c r="K995" s="71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71"/>
      <c r="J996" s="71"/>
      <c r="K996" s="71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71"/>
      <c r="J997" s="71"/>
      <c r="K997" s="71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71"/>
      <c r="J998" s="71"/>
      <c r="K998" s="71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71"/>
      <c r="J999" s="71"/>
      <c r="K999" s="71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71"/>
      <c r="J1000" s="71"/>
      <c r="K1000" s="71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  <row r="1001">
      <c r="A1001" s="16"/>
      <c r="B1001" s="16"/>
      <c r="C1001" s="16"/>
      <c r="D1001" s="16"/>
      <c r="E1001" s="16"/>
      <c r="F1001" s="16"/>
      <c r="G1001" s="16"/>
      <c r="H1001" s="16"/>
      <c r="I1001" s="71"/>
      <c r="J1001" s="71"/>
      <c r="K1001" s="71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</row>
  </sheetData>
  <mergeCells count="7">
    <mergeCell ref="A1:K1"/>
    <mergeCell ref="A20:H20"/>
    <mergeCell ref="A44:H44"/>
    <mergeCell ref="A79:E79"/>
    <mergeCell ref="B86:D86"/>
    <mergeCell ref="B87:D87"/>
    <mergeCell ref="B88:D88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66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5"/>
    <col customWidth="1" min="2" max="2" width="30.25"/>
    <col customWidth="1" min="3" max="3" width="29.63"/>
    <col customWidth="1" min="4" max="4" width="23.75"/>
    <col customWidth="1" min="5" max="5" width="26.25"/>
    <col customWidth="1" min="6" max="6" width="25.13"/>
    <col customWidth="1" min="7" max="7" width="26.0"/>
    <col customWidth="1" min="8" max="8" width="25.13"/>
    <col customWidth="1" min="9" max="9" width="18.88"/>
    <col customWidth="1" min="10" max="10" width="21.63"/>
    <col customWidth="1" min="11" max="11" width="16.75"/>
    <col customWidth="1" min="12" max="12" width="19.88"/>
  </cols>
  <sheetData>
    <row r="1">
      <c r="A1" s="150" t="s">
        <v>4183</v>
      </c>
    </row>
    <row r="2">
      <c r="A2" s="14" t="s">
        <v>14</v>
      </c>
      <c r="B2" s="14" t="s">
        <v>549</v>
      </c>
      <c r="C2" s="14" t="s">
        <v>11</v>
      </c>
      <c r="D2" s="14" t="s">
        <v>17</v>
      </c>
      <c r="E2" s="14" t="s">
        <v>21</v>
      </c>
      <c r="F2" s="14" t="s">
        <v>15</v>
      </c>
      <c r="G2" s="14" t="s">
        <v>13</v>
      </c>
      <c r="H2" s="14" t="s">
        <v>12</v>
      </c>
      <c r="I2" s="14" t="s">
        <v>4192</v>
      </c>
      <c r="J2" s="14" t="s">
        <v>9</v>
      </c>
      <c r="K2" s="14" t="s">
        <v>19</v>
      </c>
      <c r="L2" s="14" t="s">
        <v>23</v>
      </c>
    </row>
    <row r="3">
      <c r="A3" s="19" t="s">
        <v>1311</v>
      </c>
      <c r="B3" s="19" t="s">
        <v>2211</v>
      </c>
      <c r="C3" s="19" t="s">
        <v>4195</v>
      </c>
      <c r="D3" s="251" t="s">
        <v>4196</v>
      </c>
      <c r="E3" s="251" t="s">
        <v>4199</v>
      </c>
      <c r="F3" s="251" t="s">
        <v>4200</v>
      </c>
      <c r="G3" s="251" t="s">
        <v>4201</v>
      </c>
      <c r="H3" s="19" t="s">
        <v>258</v>
      </c>
      <c r="I3" s="19" t="s">
        <v>4202</v>
      </c>
      <c r="J3" s="19" t="s">
        <v>1006</v>
      </c>
      <c r="K3" s="19" t="s">
        <v>2399</v>
      </c>
      <c r="L3" s="19" t="s">
        <v>4204</v>
      </c>
    </row>
    <row r="4">
      <c r="A4" s="19" t="s">
        <v>1397</v>
      </c>
      <c r="B4" s="19" t="s">
        <v>2100</v>
      </c>
      <c r="C4" s="19" t="s">
        <v>694</v>
      </c>
      <c r="D4" s="19" t="s">
        <v>4209</v>
      </c>
      <c r="E4" s="19" t="s">
        <v>4210</v>
      </c>
      <c r="F4" s="19" t="s">
        <v>4211</v>
      </c>
      <c r="G4" s="19" t="s">
        <v>4212</v>
      </c>
      <c r="H4" s="19" t="s">
        <v>942</v>
      </c>
      <c r="I4" s="19" t="s">
        <v>4213</v>
      </c>
      <c r="J4" s="19" t="s">
        <v>3398</v>
      </c>
      <c r="K4" s="19" t="s">
        <v>4214</v>
      </c>
      <c r="L4" s="19" t="s">
        <v>4215</v>
      </c>
    </row>
    <row r="5">
      <c r="A5" s="19" t="s">
        <v>4217</v>
      </c>
      <c r="B5" s="19" t="s">
        <v>4219</v>
      </c>
      <c r="C5" s="19" t="s">
        <v>781</v>
      </c>
      <c r="D5" s="19" t="s">
        <v>2227</v>
      </c>
      <c r="E5" s="19" t="s">
        <v>4220</v>
      </c>
      <c r="F5" s="19" t="s">
        <v>4221</v>
      </c>
      <c r="G5" s="19" t="s">
        <v>4222</v>
      </c>
      <c r="H5" s="19" t="s">
        <v>302</v>
      </c>
      <c r="I5" s="19" t="s">
        <v>2165</v>
      </c>
      <c r="J5" s="19" t="s">
        <v>4223</v>
      </c>
      <c r="K5" s="19" t="s">
        <v>4224</v>
      </c>
      <c r="L5" s="19" t="s">
        <v>4225</v>
      </c>
    </row>
    <row r="6">
      <c r="A6" s="19" t="s">
        <v>4226</v>
      </c>
      <c r="B6" s="19" t="s">
        <v>4227</v>
      </c>
      <c r="C6" s="19" t="s">
        <v>4228</v>
      </c>
      <c r="D6" s="19" t="s">
        <v>4229</v>
      </c>
      <c r="E6" s="19" t="s">
        <v>4231</v>
      </c>
      <c r="F6" s="19" t="s">
        <v>4232</v>
      </c>
      <c r="G6" s="19" t="s">
        <v>4233</v>
      </c>
      <c r="H6" s="19" t="s">
        <v>351</v>
      </c>
      <c r="I6" s="19" t="s">
        <v>2176</v>
      </c>
      <c r="J6" s="19" t="s">
        <v>4234</v>
      </c>
      <c r="K6" s="19" t="s">
        <v>3419</v>
      </c>
      <c r="L6" s="19" t="s">
        <v>4235</v>
      </c>
    </row>
    <row r="7">
      <c r="A7" s="19" t="s">
        <v>4236</v>
      </c>
      <c r="B7" s="19" t="s">
        <v>4237</v>
      </c>
      <c r="C7" s="19" t="s">
        <v>4238</v>
      </c>
      <c r="D7" s="19" t="s">
        <v>4239</v>
      </c>
      <c r="E7" s="19" t="s">
        <v>4240</v>
      </c>
      <c r="F7" s="19" t="s">
        <v>4241</v>
      </c>
      <c r="G7" s="19" t="s">
        <v>4242</v>
      </c>
      <c r="H7" s="19" t="s">
        <v>742</v>
      </c>
      <c r="I7" s="19" t="s">
        <v>4244</v>
      </c>
      <c r="J7" s="19" t="s">
        <v>4246</v>
      </c>
      <c r="K7" s="19" t="s">
        <v>2280</v>
      </c>
      <c r="L7" s="19" t="s">
        <v>4247</v>
      </c>
    </row>
    <row r="8">
      <c r="A8" s="19" t="s">
        <v>4250</v>
      </c>
      <c r="B8" s="19" t="s">
        <v>4252</v>
      </c>
      <c r="C8" s="19" t="s">
        <v>451</v>
      </c>
      <c r="D8" s="19" t="s">
        <v>4253</v>
      </c>
      <c r="E8" s="19" t="s">
        <v>4254</v>
      </c>
      <c r="F8" s="19" t="s">
        <v>4255</v>
      </c>
      <c r="G8" s="19" t="s">
        <v>4256</v>
      </c>
      <c r="I8" s="19" t="s">
        <v>4257</v>
      </c>
      <c r="J8" s="19" t="s">
        <v>4258</v>
      </c>
      <c r="K8" s="19" t="s">
        <v>2463</v>
      </c>
      <c r="L8" s="19" t="s">
        <v>3918</v>
      </c>
    </row>
    <row r="9">
      <c r="A9" s="19" t="s">
        <v>4260</v>
      </c>
      <c r="B9" s="19" t="s">
        <v>4261</v>
      </c>
      <c r="C9" s="19" t="s">
        <v>4262</v>
      </c>
      <c r="D9" s="19" t="s">
        <v>4263</v>
      </c>
      <c r="E9" s="19" t="s">
        <v>4265</v>
      </c>
      <c r="F9" s="19" t="s">
        <v>4267</v>
      </c>
      <c r="I9" s="19" t="s">
        <v>4268</v>
      </c>
      <c r="J9" s="19" t="s">
        <v>4269</v>
      </c>
      <c r="K9" s="19" t="s">
        <v>4270</v>
      </c>
      <c r="L9" s="19" t="s">
        <v>3927</v>
      </c>
    </row>
    <row r="10">
      <c r="A10" s="19" t="s">
        <v>4271</v>
      </c>
      <c r="B10" s="19" t="s">
        <v>4272</v>
      </c>
      <c r="C10" s="19" t="s">
        <v>4273</v>
      </c>
      <c r="D10" s="19" t="s">
        <v>4274</v>
      </c>
      <c r="E10" s="19" t="s">
        <v>4275</v>
      </c>
      <c r="F10" s="19" t="s">
        <v>4277</v>
      </c>
      <c r="H10" s="252"/>
      <c r="I10" s="19" t="s">
        <v>4281</v>
      </c>
      <c r="J10" s="19" t="s">
        <v>4283</v>
      </c>
      <c r="K10" s="19" t="s">
        <v>4284</v>
      </c>
      <c r="L10" s="19" t="s">
        <v>4285</v>
      </c>
    </row>
    <row r="11">
      <c r="A11" s="19" t="s">
        <v>4286</v>
      </c>
      <c r="B11" s="19" t="s">
        <v>4287</v>
      </c>
      <c r="D11" s="19" t="s">
        <v>4288</v>
      </c>
      <c r="E11" s="19" t="s">
        <v>4289</v>
      </c>
      <c r="F11" s="19" t="s">
        <v>4290</v>
      </c>
      <c r="I11" s="19" t="s">
        <v>4295</v>
      </c>
      <c r="J11" s="19" t="s">
        <v>4296</v>
      </c>
      <c r="K11" s="19" t="s">
        <v>4297</v>
      </c>
      <c r="L11" s="19" t="s">
        <v>4298</v>
      </c>
    </row>
    <row r="12">
      <c r="A12" s="19" t="s">
        <v>4299</v>
      </c>
      <c r="B12" s="19" t="s">
        <v>4300</v>
      </c>
      <c r="D12" s="19" t="s">
        <v>4302</v>
      </c>
      <c r="E12" s="19" t="s">
        <v>3473</v>
      </c>
      <c r="F12" s="19" t="s">
        <v>4304</v>
      </c>
      <c r="I12" s="19" t="s">
        <v>4306</v>
      </c>
      <c r="J12" s="19" t="s">
        <v>4308</v>
      </c>
      <c r="K12" s="19" t="s">
        <v>4309</v>
      </c>
      <c r="L12" s="19" t="s">
        <v>4310</v>
      </c>
    </row>
    <row r="13">
      <c r="A13" s="19" t="s">
        <v>2443</v>
      </c>
      <c r="B13" s="19" t="s">
        <v>4311</v>
      </c>
      <c r="D13" s="19" t="s">
        <v>4312</v>
      </c>
      <c r="E13" s="19" t="s">
        <v>4313</v>
      </c>
      <c r="F13" s="19" t="s">
        <v>4314</v>
      </c>
      <c r="I13" s="19" t="s">
        <v>4315</v>
      </c>
      <c r="J13" s="19" t="s">
        <v>4316</v>
      </c>
      <c r="L13" s="19" t="s">
        <v>4318</v>
      </c>
    </row>
    <row r="14">
      <c r="A14" s="19" t="s">
        <v>4319</v>
      </c>
      <c r="B14" s="19" t="s">
        <v>4320</v>
      </c>
      <c r="D14" s="19" t="s">
        <v>4321</v>
      </c>
      <c r="E14" s="19" t="s">
        <v>4323</v>
      </c>
      <c r="F14" s="19" t="s">
        <v>4324</v>
      </c>
      <c r="I14" s="19" t="s">
        <v>4325</v>
      </c>
      <c r="J14" s="19" t="s">
        <v>4326</v>
      </c>
      <c r="L14" s="19" t="s">
        <v>4327</v>
      </c>
    </row>
    <row r="15">
      <c r="A15" s="19" t="s">
        <v>4328</v>
      </c>
      <c r="B15" s="19" t="s">
        <v>4329</v>
      </c>
      <c r="D15" s="19" t="s">
        <v>4330</v>
      </c>
      <c r="E15" s="19" t="s">
        <v>4331</v>
      </c>
      <c r="F15" s="19" t="s">
        <v>4332</v>
      </c>
      <c r="I15" s="19" t="s">
        <v>4333</v>
      </c>
      <c r="J15" s="19" t="s">
        <v>4334</v>
      </c>
      <c r="L15" s="19" t="s">
        <v>4336</v>
      </c>
    </row>
    <row r="16">
      <c r="A16" s="19" t="s">
        <v>4338</v>
      </c>
      <c r="B16" s="19" t="s">
        <v>4339</v>
      </c>
      <c r="E16" s="19" t="s">
        <v>4341</v>
      </c>
      <c r="I16" s="19" t="s">
        <v>4342</v>
      </c>
      <c r="J16" s="19" t="s">
        <v>4344</v>
      </c>
      <c r="L16" s="19" t="s">
        <v>4346</v>
      </c>
    </row>
    <row r="17">
      <c r="A17" s="19" t="s">
        <v>4347</v>
      </c>
      <c r="B17" s="19" t="s">
        <v>4348</v>
      </c>
      <c r="E17" s="19" t="s">
        <v>4349</v>
      </c>
      <c r="J17" s="19" t="s">
        <v>4350</v>
      </c>
      <c r="L17" s="19" t="s">
        <v>4351</v>
      </c>
    </row>
    <row r="18">
      <c r="B18" s="19" t="s">
        <v>4352</v>
      </c>
      <c r="E18" s="19" t="s">
        <v>4353</v>
      </c>
      <c r="J18" s="19" t="s">
        <v>4355</v>
      </c>
    </row>
    <row r="19">
      <c r="B19" s="19" t="s">
        <v>4356</v>
      </c>
      <c r="J19" s="19" t="s">
        <v>4358</v>
      </c>
    </row>
    <row r="20">
      <c r="B20" s="19" t="s">
        <v>4359</v>
      </c>
      <c r="J20" s="19" t="s">
        <v>4360</v>
      </c>
      <c r="K20" s="19"/>
    </row>
    <row r="21">
      <c r="B21" s="19" t="s">
        <v>4361</v>
      </c>
    </row>
    <row r="22">
      <c r="B22" s="19" t="s">
        <v>4362</v>
      </c>
    </row>
    <row r="23">
      <c r="B23" s="19" t="s">
        <v>4363</v>
      </c>
    </row>
    <row r="24">
      <c r="B24" s="19" t="s">
        <v>4364</v>
      </c>
    </row>
    <row r="25">
      <c r="B25" s="19" t="s">
        <v>4365</v>
      </c>
      <c r="K25" s="19"/>
    </row>
    <row r="26">
      <c r="B26" s="19" t="s">
        <v>4368</v>
      </c>
      <c r="K26" s="19"/>
    </row>
    <row r="27">
      <c r="B27" s="19" t="s">
        <v>4370</v>
      </c>
    </row>
    <row r="28">
      <c r="B28" s="19" t="s">
        <v>4371</v>
      </c>
    </row>
    <row r="29">
      <c r="B29" s="19" t="s">
        <v>4372</v>
      </c>
    </row>
    <row r="30">
      <c r="B30" s="19" t="s">
        <v>4373</v>
      </c>
    </row>
    <row r="32">
      <c r="A32" s="150" t="s">
        <v>4375</v>
      </c>
    </row>
    <row r="33">
      <c r="A33" s="86" t="s">
        <v>731</v>
      </c>
      <c r="B33" s="86" t="s">
        <v>733</v>
      </c>
      <c r="C33" s="86" t="s">
        <v>735</v>
      </c>
      <c r="D33" s="86" t="s">
        <v>736</v>
      </c>
      <c r="E33" s="86" t="s">
        <v>737</v>
      </c>
      <c r="F33" s="86" t="s">
        <v>738</v>
      </c>
      <c r="G33" s="86" t="s">
        <v>740</v>
      </c>
      <c r="H33" s="86" t="s">
        <v>741</v>
      </c>
    </row>
    <row r="34">
      <c r="A34" s="19" t="s">
        <v>4381</v>
      </c>
      <c r="B34" s="19" t="s">
        <v>4382</v>
      </c>
      <c r="C34" s="19" t="s">
        <v>4384</v>
      </c>
      <c r="D34" s="19" t="s">
        <v>4386</v>
      </c>
      <c r="E34" s="19" t="s">
        <v>4387</v>
      </c>
      <c r="F34" s="19" t="s">
        <v>4388</v>
      </c>
      <c r="G34" s="19" t="s">
        <v>4389</v>
      </c>
      <c r="H34" s="19" t="s">
        <v>4390</v>
      </c>
    </row>
    <row r="35">
      <c r="A35" s="19" t="s">
        <v>4391</v>
      </c>
      <c r="B35" s="19" t="s">
        <v>4392</v>
      </c>
      <c r="C35" s="19" t="s">
        <v>4393</v>
      </c>
      <c r="D35" s="19" t="s">
        <v>4394</v>
      </c>
      <c r="E35" s="19" t="s">
        <v>4395</v>
      </c>
      <c r="F35" s="19" t="s">
        <v>4396</v>
      </c>
      <c r="G35" s="19" t="s">
        <v>4397</v>
      </c>
      <c r="H35" s="19" t="s">
        <v>4398</v>
      </c>
    </row>
    <row r="36">
      <c r="A36" s="19" t="s">
        <v>4400</v>
      </c>
      <c r="B36" s="19" t="s">
        <v>4401</v>
      </c>
      <c r="C36" s="19" t="s">
        <v>4402</v>
      </c>
      <c r="D36" s="19" t="s">
        <v>4403</v>
      </c>
      <c r="E36" s="19" t="s">
        <v>4404</v>
      </c>
      <c r="F36" s="19" t="s">
        <v>4405</v>
      </c>
      <c r="G36" s="19" t="s">
        <v>4406</v>
      </c>
      <c r="H36" s="19" t="s">
        <v>4407</v>
      </c>
    </row>
    <row r="37">
      <c r="A37" s="19" t="s">
        <v>4408</v>
      </c>
      <c r="B37" s="19" t="s">
        <v>4409</v>
      </c>
      <c r="C37" s="19" t="s">
        <v>4410</v>
      </c>
      <c r="D37" s="19" t="s">
        <v>4411</v>
      </c>
      <c r="E37" s="19" t="s">
        <v>4412</v>
      </c>
      <c r="F37" s="19" t="s">
        <v>4413</v>
      </c>
      <c r="G37" s="19" t="s">
        <v>4414</v>
      </c>
      <c r="H37" s="19" t="s">
        <v>4415</v>
      </c>
    </row>
    <row r="38">
      <c r="A38" s="19" t="s">
        <v>4416</v>
      </c>
      <c r="B38" s="19" t="s">
        <v>4417</v>
      </c>
      <c r="C38" s="19" t="s">
        <v>4418</v>
      </c>
      <c r="D38" s="19" t="s">
        <v>4419</v>
      </c>
      <c r="E38" s="19" t="s">
        <v>4420</v>
      </c>
      <c r="F38" s="19" t="s">
        <v>4421</v>
      </c>
      <c r="G38" s="19" t="s">
        <v>4422</v>
      </c>
      <c r="H38" s="19" t="s">
        <v>4423</v>
      </c>
    </row>
    <row r="39">
      <c r="A39" s="19" t="s">
        <v>4424</v>
      </c>
      <c r="B39" s="19" t="s">
        <v>4426</v>
      </c>
      <c r="C39" s="19" t="s">
        <v>4428</v>
      </c>
      <c r="D39" s="19" t="s">
        <v>4429</v>
      </c>
      <c r="E39" s="19" t="s">
        <v>4430</v>
      </c>
      <c r="F39" s="19" t="s">
        <v>4431</v>
      </c>
      <c r="G39" s="19" t="s">
        <v>4432</v>
      </c>
      <c r="H39" s="19" t="s">
        <v>4433</v>
      </c>
    </row>
    <row r="40">
      <c r="A40" s="19" t="s">
        <v>4434</v>
      </c>
      <c r="B40" s="19" t="s">
        <v>4435</v>
      </c>
      <c r="C40" s="19" t="s">
        <v>4436</v>
      </c>
      <c r="D40" s="19" t="s">
        <v>4437</v>
      </c>
      <c r="E40" s="19" t="s">
        <v>4438</v>
      </c>
      <c r="F40" s="19" t="s">
        <v>4439</v>
      </c>
      <c r="G40" s="19" t="s">
        <v>4440</v>
      </c>
      <c r="H40" s="19" t="s">
        <v>4441</v>
      </c>
    </row>
    <row r="41">
      <c r="A41" s="19" t="s">
        <v>4443</v>
      </c>
      <c r="B41" s="19" t="s">
        <v>4445</v>
      </c>
      <c r="C41" s="19" t="s">
        <v>4446</v>
      </c>
      <c r="D41" s="19" t="s">
        <v>4447</v>
      </c>
      <c r="E41" s="19" t="s">
        <v>4448</v>
      </c>
      <c r="F41" s="19" t="s">
        <v>4449</v>
      </c>
      <c r="G41" s="19" t="s">
        <v>4450</v>
      </c>
      <c r="H41" s="19" t="s">
        <v>4451</v>
      </c>
    </row>
    <row r="42">
      <c r="A42" s="19" t="s">
        <v>4452</v>
      </c>
      <c r="B42" s="19" t="s">
        <v>4453</v>
      </c>
      <c r="C42" s="19" t="s">
        <v>4454</v>
      </c>
      <c r="D42" s="19" t="s">
        <v>4455</v>
      </c>
      <c r="E42" s="19" t="s">
        <v>4456</v>
      </c>
      <c r="F42" s="19" t="s">
        <v>4457</v>
      </c>
      <c r="G42" s="19" t="s">
        <v>4458</v>
      </c>
      <c r="H42" s="19" t="s">
        <v>4459</v>
      </c>
    </row>
    <row r="43">
      <c r="A43" s="19" t="s">
        <v>4460</v>
      </c>
      <c r="B43" s="19" t="s">
        <v>4461</v>
      </c>
      <c r="C43" s="19" t="s">
        <v>4462</v>
      </c>
      <c r="D43" s="19" t="s">
        <v>4463</v>
      </c>
      <c r="E43" s="19" t="s">
        <v>4464</v>
      </c>
      <c r="F43" s="19" t="s">
        <v>4465</v>
      </c>
      <c r="G43" s="19" t="s">
        <v>4466</v>
      </c>
      <c r="H43" s="19" t="s">
        <v>4467</v>
      </c>
    </row>
    <row r="44">
      <c r="A44" s="19" t="s">
        <v>4468</v>
      </c>
      <c r="B44" s="19" t="s">
        <v>4469</v>
      </c>
      <c r="C44" s="19" t="s">
        <v>4470</v>
      </c>
      <c r="D44" s="19" t="s">
        <v>4471</v>
      </c>
      <c r="E44" s="19" t="s">
        <v>4472</v>
      </c>
      <c r="F44" s="19" t="s">
        <v>4473</v>
      </c>
      <c r="G44" s="19" t="s">
        <v>4474</v>
      </c>
      <c r="H44" s="19" t="s">
        <v>4475</v>
      </c>
    </row>
    <row r="45">
      <c r="A45" s="19" t="s">
        <v>4477</v>
      </c>
      <c r="B45" s="19" t="s">
        <v>4478</v>
      </c>
      <c r="C45" s="19" t="s">
        <v>4479</v>
      </c>
      <c r="D45" s="19" t="s">
        <v>4480</v>
      </c>
      <c r="E45" s="19" t="s">
        <v>4481</v>
      </c>
      <c r="F45" s="19" t="s">
        <v>4482</v>
      </c>
      <c r="G45" s="19" t="s">
        <v>4483</v>
      </c>
      <c r="H45" s="19" t="s">
        <v>4484</v>
      </c>
    </row>
    <row r="46">
      <c r="A46" s="19" t="s">
        <v>4485</v>
      </c>
      <c r="B46" s="19" t="s">
        <v>4486</v>
      </c>
      <c r="C46" s="19" t="s">
        <v>4487</v>
      </c>
      <c r="D46" s="19" t="s">
        <v>4488</v>
      </c>
      <c r="E46" s="19" t="s">
        <v>4489</v>
      </c>
      <c r="F46" s="19" t="s">
        <v>4490</v>
      </c>
      <c r="G46" s="19" t="s">
        <v>4491</v>
      </c>
      <c r="H46" s="19" t="s">
        <v>4492</v>
      </c>
    </row>
    <row r="47">
      <c r="A47" s="19" t="s">
        <v>4493</v>
      </c>
      <c r="B47" s="19" t="s">
        <v>4494</v>
      </c>
      <c r="C47" s="19" t="s">
        <v>4495</v>
      </c>
      <c r="D47" s="19" t="s">
        <v>4496</v>
      </c>
      <c r="E47" s="19" t="s">
        <v>4497</v>
      </c>
      <c r="F47" s="19" t="s">
        <v>4498</v>
      </c>
      <c r="G47" s="19" t="s">
        <v>4499</v>
      </c>
      <c r="H47" s="19" t="s">
        <v>4500</v>
      </c>
    </row>
    <row r="48">
      <c r="A48" s="19" t="s">
        <v>4501</v>
      </c>
      <c r="B48" s="19" t="s">
        <v>4502</v>
      </c>
      <c r="C48" s="19" t="s">
        <v>4503</v>
      </c>
      <c r="D48" s="19" t="s">
        <v>4504</v>
      </c>
      <c r="E48" s="19" t="s">
        <v>4505</v>
      </c>
      <c r="F48" s="19" t="s">
        <v>4506</v>
      </c>
      <c r="G48" s="19" t="s">
        <v>4507</v>
      </c>
      <c r="H48" s="19" t="s">
        <v>4508</v>
      </c>
    </row>
    <row r="49">
      <c r="A49" s="19" t="s">
        <v>4509</v>
      </c>
      <c r="B49" s="19" t="s">
        <v>4510</v>
      </c>
      <c r="C49" s="19" t="s">
        <v>4511</v>
      </c>
      <c r="D49" s="19" t="s">
        <v>4512</v>
      </c>
      <c r="E49" s="19" t="s">
        <v>4513</v>
      </c>
      <c r="F49" s="19" t="s">
        <v>4514</v>
      </c>
      <c r="G49" s="19" t="s">
        <v>4515</v>
      </c>
      <c r="H49" s="19" t="s">
        <v>4516</v>
      </c>
    </row>
    <row r="50">
      <c r="A50" s="19" t="s">
        <v>4517</v>
      </c>
      <c r="B50" s="19" t="s">
        <v>4518</v>
      </c>
      <c r="C50" s="19" t="s">
        <v>4519</v>
      </c>
      <c r="D50" s="19" t="s">
        <v>4520</v>
      </c>
      <c r="G50" s="19" t="s">
        <v>4521</v>
      </c>
    </row>
    <row r="51">
      <c r="B51" s="19" t="s">
        <v>4522</v>
      </c>
      <c r="C51" s="19" t="s">
        <v>4523</v>
      </c>
      <c r="D51" s="19" t="s">
        <v>4524</v>
      </c>
      <c r="G51" s="19" t="s">
        <v>4525</v>
      </c>
    </row>
    <row r="54">
      <c r="A54" s="211" t="s">
        <v>3502</v>
      </c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248" t="s">
        <v>2882</v>
      </c>
      <c r="B55" s="248" t="s">
        <v>3045</v>
      </c>
      <c r="C55" s="167" t="s">
        <v>3046</v>
      </c>
      <c r="D55" s="248" t="s">
        <v>2883</v>
      </c>
      <c r="E55" s="248" t="s">
        <v>64</v>
      </c>
      <c r="F55" s="248" t="s">
        <v>3051</v>
      </c>
      <c r="G55" s="248" t="s">
        <v>587</v>
      </c>
      <c r="H55" s="248" t="s">
        <v>579</v>
      </c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9" t="s">
        <v>4526</v>
      </c>
      <c r="B56" s="9" t="s">
        <v>4527</v>
      </c>
      <c r="C56" s="9" t="s">
        <v>4528</v>
      </c>
      <c r="D56" s="9" t="s">
        <v>737</v>
      </c>
      <c r="E56" s="9" t="s">
        <v>4529</v>
      </c>
      <c r="F56" s="9" t="s">
        <v>4530</v>
      </c>
      <c r="G56" s="9" t="s">
        <v>4530</v>
      </c>
      <c r="H56" s="9" t="s">
        <v>4530</v>
      </c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9" t="s">
        <v>4531</v>
      </c>
      <c r="B57" s="9" t="s">
        <v>4527</v>
      </c>
      <c r="C57" s="9" t="s">
        <v>4532</v>
      </c>
      <c r="D57" s="9" t="s">
        <v>735</v>
      </c>
      <c r="E57" s="9" t="s">
        <v>4533</v>
      </c>
      <c r="F57" s="9" t="s">
        <v>4534</v>
      </c>
      <c r="G57" s="9" t="s">
        <v>4534</v>
      </c>
      <c r="H57" s="9" t="s">
        <v>4535</v>
      </c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9" t="s">
        <v>4536</v>
      </c>
      <c r="B58" s="9" t="s">
        <v>4537</v>
      </c>
      <c r="C58" s="9" t="s">
        <v>4538</v>
      </c>
      <c r="D58" s="9" t="s">
        <v>738</v>
      </c>
      <c r="E58" s="9" t="s">
        <v>4529</v>
      </c>
      <c r="F58" s="9" t="s">
        <v>4539</v>
      </c>
      <c r="G58" s="9" t="s">
        <v>4540</v>
      </c>
      <c r="H58" s="9" t="s">
        <v>4541</v>
      </c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9" t="s">
        <v>4542</v>
      </c>
      <c r="B59" s="9" t="s">
        <v>4537</v>
      </c>
      <c r="C59" s="9" t="s">
        <v>4543</v>
      </c>
      <c r="D59" s="9" t="s">
        <v>782</v>
      </c>
      <c r="E59" s="9" t="s">
        <v>4544</v>
      </c>
      <c r="F59" s="9" t="s">
        <v>4545</v>
      </c>
      <c r="G59" s="9" t="s">
        <v>4546</v>
      </c>
      <c r="H59" s="9" t="s">
        <v>4547</v>
      </c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9" t="s">
        <v>4548</v>
      </c>
      <c r="B60" s="9" t="s">
        <v>4549</v>
      </c>
      <c r="C60" s="9" t="s">
        <v>4550</v>
      </c>
      <c r="D60" s="9" t="s">
        <v>737</v>
      </c>
      <c r="E60" s="9" t="s">
        <v>4551</v>
      </c>
      <c r="F60" s="9" t="s">
        <v>4552</v>
      </c>
      <c r="G60" s="9" t="s">
        <v>4552</v>
      </c>
      <c r="H60" s="9" t="s">
        <v>4553</v>
      </c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9" t="s">
        <v>4554</v>
      </c>
      <c r="B61" s="9" t="s">
        <v>4549</v>
      </c>
      <c r="C61" s="9" t="s">
        <v>4555</v>
      </c>
      <c r="D61" s="9" t="s">
        <v>740</v>
      </c>
      <c r="E61" s="9" t="s">
        <v>4529</v>
      </c>
      <c r="F61" s="9" t="s">
        <v>4556</v>
      </c>
      <c r="G61" s="9" t="s">
        <v>4557</v>
      </c>
      <c r="H61" s="9" t="s">
        <v>4558</v>
      </c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9" t="s">
        <v>4559</v>
      </c>
      <c r="B62" s="9" t="s">
        <v>4560</v>
      </c>
      <c r="C62" s="9" t="s">
        <v>4561</v>
      </c>
      <c r="D62" s="9" t="s">
        <v>741</v>
      </c>
      <c r="E62" s="9" t="s">
        <v>4562</v>
      </c>
      <c r="F62" s="9" t="s">
        <v>4563</v>
      </c>
      <c r="G62" s="9" t="s">
        <v>4563</v>
      </c>
      <c r="H62" s="9" t="s">
        <v>4564</v>
      </c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9" t="s">
        <v>4565</v>
      </c>
      <c r="B63" s="9" t="s">
        <v>4560</v>
      </c>
      <c r="C63" s="9" t="s">
        <v>4543</v>
      </c>
      <c r="D63" s="9" t="s">
        <v>738</v>
      </c>
      <c r="E63" s="9" t="s">
        <v>4551</v>
      </c>
      <c r="F63" s="9" t="s">
        <v>4566</v>
      </c>
      <c r="G63" s="9" t="s">
        <v>4566</v>
      </c>
      <c r="H63" s="9" t="s">
        <v>4567</v>
      </c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9" t="s">
        <v>4568</v>
      </c>
      <c r="B64" s="9" t="s">
        <v>4569</v>
      </c>
      <c r="C64" s="9" t="s">
        <v>4550</v>
      </c>
      <c r="D64" s="9" t="s">
        <v>740</v>
      </c>
      <c r="E64" s="9" t="s">
        <v>4570</v>
      </c>
      <c r="F64" s="9" t="s">
        <v>4571</v>
      </c>
      <c r="G64" s="9" t="s">
        <v>4572</v>
      </c>
      <c r="H64" s="9" t="s">
        <v>4571</v>
      </c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9" t="s">
        <v>4573</v>
      </c>
      <c r="B65" s="9" t="s">
        <v>4569</v>
      </c>
      <c r="C65" s="9" t="s">
        <v>4538</v>
      </c>
      <c r="D65" s="9" t="s">
        <v>782</v>
      </c>
      <c r="E65" s="9" t="s">
        <v>4551</v>
      </c>
      <c r="F65" s="9" t="s">
        <v>4574</v>
      </c>
      <c r="G65" s="9" t="s">
        <v>4575</v>
      </c>
      <c r="H65" s="9" t="s">
        <v>4576</v>
      </c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9" t="s">
        <v>4577</v>
      </c>
      <c r="B66" s="9" t="s">
        <v>4578</v>
      </c>
      <c r="C66" s="9" t="s">
        <v>4532</v>
      </c>
      <c r="D66" s="9" t="s">
        <v>735</v>
      </c>
      <c r="E66" s="9" t="s">
        <v>4579</v>
      </c>
      <c r="F66" s="9" t="s">
        <v>4580</v>
      </c>
      <c r="G66" s="9" t="s">
        <v>4580</v>
      </c>
      <c r="H66" s="9" t="s">
        <v>4581</v>
      </c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9" t="s">
        <v>4582</v>
      </c>
      <c r="B67" s="9" t="s">
        <v>4578</v>
      </c>
      <c r="C67" s="9" t="s">
        <v>4583</v>
      </c>
      <c r="D67" s="9" t="s">
        <v>736</v>
      </c>
      <c r="E67" s="9" t="s">
        <v>4584</v>
      </c>
      <c r="F67" s="9" t="s">
        <v>4585</v>
      </c>
      <c r="G67" s="9" t="s">
        <v>4586</v>
      </c>
      <c r="H67" s="9" t="s">
        <v>4585</v>
      </c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9" t="s">
        <v>4587</v>
      </c>
      <c r="B68" s="9" t="s">
        <v>4588</v>
      </c>
      <c r="C68" s="9" t="s">
        <v>4550</v>
      </c>
      <c r="D68" s="9" t="s">
        <v>735</v>
      </c>
      <c r="E68" s="9" t="s">
        <v>4589</v>
      </c>
      <c r="F68" s="9" t="s">
        <v>4590</v>
      </c>
      <c r="G68" s="9" t="s">
        <v>4591</v>
      </c>
      <c r="H68" s="9" t="s">
        <v>4592</v>
      </c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9" t="s">
        <v>4593</v>
      </c>
      <c r="B69" s="9" t="s">
        <v>4588</v>
      </c>
      <c r="C69" s="9" t="s">
        <v>4555</v>
      </c>
      <c r="D69" s="9" t="s">
        <v>737</v>
      </c>
      <c r="E69" s="9" t="s">
        <v>4529</v>
      </c>
      <c r="F69" s="9" t="s">
        <v>4594</v>
      </c>
      <c r="G69" s="9" t="s">
        <v>4594</v>
      </c>
      <c r="H69" s="9" t="s">
        <v>4571</v>
      </c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9" t="s">
        <v>4548</v>
      </c>
      <c r="B70" s="9" t="s">
        <v>4595</v>
      </c>
      <c r="C70" s="9" t="s">
        <v>4528</v>
      </c>
      <c r="D70" s="9" t="s">
        <v>737</v>
      </c>
      <c r="E70" s="9" t="s">
        <v>4596</v>
      </c>
      <c r="F70" s="9" t="s">
        <v>4597</v>
      </c>
      <c r="G70" s="9" t="s">
        <v>4597</v>
      </c>
      <c r="H70" s="9" t="s">
        <v>4598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9" t="s">
        <v>4599</v>
      </c>
      <c r="B71" s="9" t="s">
        <v>4595</v>
      </c>
      <c r="C71" s="9" t="s">
        <v>4583</v>
      </c>
      <c r="D71" s="9" t="s">
        <v>741</v>
      </c>
      <c r="E71" s="9" t="s">
        <v>4570</v>
      </c>
      <c r="F71" s="9" t="s">
        <v>4600</v>
      </c>
      <c r="G71" s="9" t="s">
        <v>4600</v>
      </c>
      <c r="H71" s="9" t="s">
        <v>4541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9" t="s">
        <v>4601</v>
      </c>
      <c r="B72" s="9" t="s">
        <v>4602</v>
      </c>
      <c r="C72" s="9" t="s">
        <v>4532</v>
      </c>
      <c r="D72" s="9" t="s">
        <v>735</v>
      </c>
      <c r="E72" s="9" t="s">
        <v>4603</v>
      </c>
      <c r="F72" s="9" t="s">
        <v>4592</v>
      </c>
      <c r="G72" s="9" t="s">
        <v>4556</v>
      </c>
      <c r="H72" s="9" t="s">
        <v>4604</v>
      </c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9" t="s">
        <v>4605</v>
      </c>
      <c r="B73" s="9" t="s">
        <v>4602</v>
      </c>
      <c r="C73" s="9" t="s">
        <v>4561</v>
      </c>
      <c r="D73" s="9" t="s">
        <v>782</v>
      </c>
      <c r="E73" s="9" t="s">
        <v>4570</v>
      </c>
      <c r="F73" s="9" t="s">
        <v>4606</v>
      </c>
      <c r="G73" s="9" t="s">
        <v>4607</v>
      </c>
      <c r="H73" s="9" t="s">
        <v>4547</v>
      </c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9" t="s">
        <v>4608</v>
      </c>
      <c r="B74" s="9" t="s">
        <v>4609</v>
      </c>
      <c r="C74" s="9" t="s">
        <v>4583</v>
      </c>
      <c r="D74" s="9" t="s">
        <v>741</v>
      </c>
      <c r="E74" s="9" t="s">
        <v>4610</v>
      </c>
      <c r="F74" s="9" t="s">
        <v>4611</v>
      </c>
      <c r="G74" s="9" t="s">
        <v>4612</v>
      </c>
      <c r="H74" s="9" t="s">
        <v>4611</v>
      </c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9" t="s">
        <v>4613</v>
      </c>
      <c r="B75" s="9" t="s">
        <v>4609</v>
      </c>
      <c r="C75" s="9" t="s">
        <v>4538</v>
      </c>
      <c r="D75" s="9" t="s">
        <v>736</v>
      </c>
      <c r="E75" s="9" t="s">
        <v>4614</v>
      </c>
      <c r="F75" s="9" t="s">
        <v>4615</v>
      </c>
      <c r="G75" s="9" t="s">
        <v>4616</v>
      </c>
      <c r="H75" s="9" t="s">
        <v>4617</v>
      </c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9" t="s">
        <v>4618</v>
      </c>
      <c r="B76" s="9" t="s">
        <v>4619</v>
      </c>
      <c r="C76" s="9" t="s">
        <v>4555</v>
      </c>
      <c r="D76" s="9" t="s">
        <v>4620</v>
      </c>
      <c r="E76" s="9" t="s">
        <v>4579</v>
      </c>
      <c r="F76" s="9" t="s">
        <v>4598</v>
      </c>
      <c r="G76" s="9" t="s">
        <v>4621</v>
      </c>
      <c r="H76" s="9" t="s">
        <v>4598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9" t="s">
        <v>4622</v>
      </c>
      <c r="B77" s="9" t="s">
        <v>4619</v>
      </c>
      <c r="C77" s="9" t="s">
        <v>4561</v>
      </c>
      <c r="D77" s="9" t="s">
        <v>738</v>
      </c>
      <c r="E77" s="9" t="s">
        <v>4529</v>
      </c>
      <c r="F77" s="9" t="s">
        <v>4539</v>
      </c>
      <c r="G77" s="9" t="s">
        <v>4623</v>
      </c>
      <c r="H77" s="9" t="s">
        <v>4539</v>
      </c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9" t="s">
        <v>4624</v>
      </c>
      <c r="B78" s="9" t="s">
        <v>4625</v>
      </c>
      <c r="C78" s="9" t="s">
        <v>4543</v>
      </c>
      <c r="D78" s="9" t="s">
        <v>736</v>
      </c>
      <c r="E78" s="9" t="s">
        <v>4614</v>
      </c>
      <c r="F78" s="9" t="s">
        <v>4616</v>
      </c>
      <c r="G78" s="9" t="s">
        <v>4626</v>
      </c>
      <c r="H78" s="9" t="s">
        <v>4616</v>
      </c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9" t="s">
        <v>4577</v>
      </c>
      <c r="B79" s="9" t="s">
        <v>4625</v>
      </c>
      <c r="C79" s="9" t="s">
        <v>4528</v>
      </c>
      <c r="D79" s="9" t="s">
        <v>737</v>
      </c>
      <c r="E79" s="9" t="s">
        <v>4627</v>
      </c>
      <c r="F79" s="9" t="s">
        <v>4552</v>
      </c>
      <c r="G79" s="9" t="s">
        <v>4628</v>
      </c>
      <c r="H79" s="9" t="s">
        <v>4552</v>
      </c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9" t="s">
        <v>4629</v>
      </c>
      <c r="B80" s="9" t="s">
        <v>4630</v>
      </c>
      <c r="C80" s="9" t="s">
        <v>4532</v>
      </c>
      <c r="D80" s="9" t="s">
        <v>782</v>
      </c>
      <c r="E80" s="9" t="s">
        <v>4529</v>
      </c>
      <c r="F80" s="9" t="s">
        <v>4612</v>
      </c>
      <c r="G80" s="9" t="s">
        <v>4631</v>
      </c>
      <c r="H80" s="9" t="s">
        <v>4612</v>
      </c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9" t="s">
        <v>4632</v>
      </c>
      <c r="B81" s="9" t="s">
        <v>4633</v>
      </c>
      <c r="C81" s="9" t="s">
        <v>4550</v>
      </c>
      <c r="D81" s="9" t="s">
        <v>741</v>
      </c>
      <c r="E81" s="9" t="s">
        <v>4529</v>
      </c>
      <c r="F81" s="9" t="s">
        <v>4611</v>
      </c>
      <c r="G81" s="9" t="s">
        <v>4611</v>
      </c>
      <c r="H81" s="9" t="s">
        <v>4611</v>
      </c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9" t="s">
        <v>4634</v>
      </c>
      <c r="B82" s="9" t="s">
        <v>4635</v>
      </c>
      <c r="C82" s="9" t="s">
        <v>4561</v>
      </c>
      <c r="D82" s="9" t="s">
        <v>737</v>
      </c>
      <c r="E82" s="9" t="s">
        <v>4529</v>
      </c>
      <c r="F82" s="9" t="s">
        <v>4594</v>
      </c>
      <c r="G82" s="9" t="s">
        <v>4597</v>
      </c>
      <c r="H82" s="9" t="s">
        <v>4594</v>
      </c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9" t="s">
        <v>4636</v>
      </c>
      <c r="B83" s="9" t="s">
        <v>4637</v>
      </c>
      <c r="C83" s="9" t="s">
        <v>4543</v>
      </c>
      <c r="D83" s="9" t="s">
        <v>737</v>
      </c>
      <c r="E83" s="9" t="s">
        <v>4638</v>
      </c>
      <c r="F83" s="9" t="s">
        <v>4553</v>
      </c>
      <c r="G83" s="9" t="s">
        <v>4553</v>
      </c>
      <c r="H83" s="9" t="s">
        <v>4563</v>
      </c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39" t="s">
        <v>3154</v>
      </c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50" t="s">
        <v>509</v>
      </c>
      <c r="B87" s="150" t="s">
        <v>511</v>
      </c>
      <c r="C87" s="150" t="s">
        <v>512</v>
      </c>
      <c r="D87" s="150" t="s">
        <v>513</v>
      </c>
      <c r="E87" s="150" t="s">
        <v>3085</v>
      </c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9" t="s">
        <v>779</v>
      </c>
      <c r="B88" s="9" t="s">
        <v>780</v>
      </c>
      <c r="C88" s="9" t="s">
        <v>782</v>
      </c>
      <c r="D88" s="9" t="s">
        <v>16</v>
      </c>
      <c r="E88" s="9">
        <v>20000.0</v>
      </c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9" t="s">
        <v>784</v>
      </c>
      <c r="B89" s="9" t="s">
        <v>786</v>
      </c>
      <c r="C89" s="9" t="s">
        <v>737</v>
      </c>
      <c r="D89" s="9" t="s">
        <v>14</v>
      </c>
      <c r="E89" s="9">
        <v>20000.0</v>
      </c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9" t="s">
        <v>788</v>
      </c>
      <c r="B90" s="9" t="s">
        <v>789</v>
      </c>
      <c r="C90" s="9" t="s">
        <v>741</v>
      </c>
      <c r="D90" s="9" t="s">
        <v>9</v>
      </c>
      <c r="E90" s="9">
        <v>40000.0</v>
      </c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9" t="s">
        <v>795</v>
      </c>
      <c r="B91" s="9" t="s">
        <v>786</v>
      </c>
      <c r="C91" s="9" t="s">
        <v>737</v>
      </c>
      <c r="D91" s="9" t="s">
        <v>14</v>
      </c>
      <c r="E91" s="9">
        <v>40000.0</v>
      </c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9" t="s">
        <v>798</v>
      </c>
      <c r="B92" s="9" t="s">
        <v>660</v>
      </c>
      <c r="C92" s="9" t="s">
        <v>737</v>
      </c>
      <c r="D92" s="9" t="s">
        <v>549</v>
      </c>
      <c r="E92" s="9">
        <v>80000.0</v>
      </c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9" t="s">
        <v>802</v>
      </c>
      <c r="B93" s="9" t="s">
        <v>735</v>
      </c>
      <c r="E93" s="9">
        <v>100000.0</v>
      </c>
    </row>
    <row r="94">
      <c r="A94" s="9" t="s">
        <v>705</v>
      </c>
      <c r="B94" s="9" t="s">
        <v>741</v>
      </c>
      <c r="E94" s="9">
        <v>160000.0</v>
      </c>
    </row>
    <row r="95">
      <c r="A95" s="9" t="s">
        <v>620</v>
      </c>
      <c r="B95" s="9" t="s">
        <v>737</v>
      </c>
      <c r="E95" s="9">
        <v>320000.0</v>
      </c>
    </row>
  </sheetData>
  <mergeCells count="7">
    <mergeCell ref="A1:L1"/>
    <mergeCell ref="A32:H32"/>
    <mergeCell ref="A54:H54"/>
    <mergeCell ref="A86:E86"/>
    <mergeCell ref="B93:D93"/>
    <mergeCell ref="B94:D94"/>
    <mergeCell ref="B95:D95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31.0"/>
    <col customWidth="1" min="3" max="3" width="29.75"/>
    <col customWidth="1" min="4" max="4" width="27.13"/>
    <col customWidth="1" min="5" max="5" width="31.38"/>
    <col customWidth="1" min="6" max="6" width="28.5"/>
    <col customWidth="1" min="7" max="7" width="24.88"/>
    <col customWidth="1" min="8" max="8" width="25.38"/>
    <col customWidth="1" min="9" max="9" width="25.63"/>
    <col customWidth="1" min="10" max="10" width="22.63"/>
    <col customWidth="1" min="11" max="11" width="16.13"/>
    <col customWidth="1" min="12" max="12" width="18.75"/>
    <col customWidth="1" min="14" max="14" width="24.38"/>
  </cols>
  <sheetData>
    <row r="1">
      <c r="A1" s="253" t="s">
        <v>4639</v>
      </c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</row>
    <row r="2">
      <c r="A2" s="255" t="s">
        <v>9</v>
      </c>
      <c r="B2" s="255" t="s">
        <v>549</v>
      </c>
      <c r="C2" s="255" t="s">
        <v>13</v>
      </c>
      <c r="D2" s="255" t="s">
        <v>15</v>
      </c>
      <c r="E2" s="255" t="s">
        <v>16</v>
      </c>
      <c r="F2" s="255" t="s">
        <v>19</v>
      </c>
      <c r="G2" s="38" t="s">
        <v>4641</v>
      </c>
      <c r="H2" s="22" t="s">
        <v>21</v>
      </c>
      <c r="I2" s="22" t="s">
        <v>12</v>
      </c>
      <c r="J2" s="22" t="s">
        <v>14</v>
      </c>
      <c r="K2" s="22" t="s">
        <v>20</v>
      </c>
      <c r="L2" s="22" t="s">
        <v>4642</v>
      </c>
      <c r="M2" s="254"/>
      <c r="N2" s="254"/>
      <c r="O2" s="254"/>
      <c r="P2" s="254"/>
      <c r="Q2" s="254"/>
      <c r="R2" s="254"/>
      <c r="S2" s="254"/>
      <c r="T2" s="254"/>
      <c r="U2" s="254"/>
      <c r="V2" s="254"/>
      <c r="W2" s="254"/>
      <c r="X2" s="254"/>
      <c r="Y2" s="254"/>
      <c r="Z2" s="254"/>
    </row>
    <row r="3" ht="21.0" customHeight="1">
      <c r="A3" s="192" t="s">
        <v>1006</v>
      </c>
      <c r="B3" s="257" t="s">
        <v>4643</v>
      </c>
      <c r="C3" s="257" t="s">
        <v>4646</v>
      </c>
      <c r="D3" s="192" t="s">
        <v>4645</v>
      </c>
      <c r="E3" s="259" t="s">
        <v>4647</v>
      </c>
      <c r="F3" s="251" t="s">
        <v>4648</v>
      </c>
      <c r="G3" s="260" t="s">
        <v>4649</v>
      </c>
      <c r="H3" s="251" t="s">
        <v>4652</v>
      </c>
      <c r="I3" s="192" t="s">
        <v>1039</v>
      </c>
      <c r="J3" s="192" t="s">
        <v>1385</v>
      </c>
      <c r="K3" s="19" t="s">
        <v>2690</v>
      </c>
      <c r="L3" s="19" t="s">
        <v>4655</v>
      </c>
      <c r="M3" s="254"/>
      <c r="O3" s="254"/>
      <c r="P3" s="254"/>
      <c r="Q3" s="254"/>
      <c r="R3" s="254"/>
      <c r="S3" s="254"/>
      <c r="T3" s="254"/>
      <c r="U3" s="254"/>
      <c r="V3" s="254"/>
      <c r="W3" s="254"/>
      <c r="X3" s="254"/>
      <c r="Y3" s="254"/>
      <c r="Z3" s="254"/>
    </row>
    <row r="4">
      <c r="A4" s="192" t="s">
        <v>4660</v>
      </c>
      <c r="B4" s="192" t="s">
        <v>4661</v>
      </c>
      <c r="C4" s="192" t="s">
        <v>4663</v>
      </c>
      <c r="D4" s="192" t="s">
        <v>3335</v>
      </c>
      <c r="E4" s="192" t="s">
        <v>3396</v>
      </c>
      <c r="F4" s="192" t="s">
        <v>2423</v>
      </c>
      <c r="G4" s="260" t="s">
        <v>4665</v>
      </c>
      <c r="H4" s="192" t="s">
        <v>4210</v>
      </c>
      <c r="I4" s="192" t="s">
        <v>4666</v>
      </c>
      <c r="J4" s="192" t="s">
        <v>1397</v>
      </c>
      <c r="K4" s="19" t="s">
        <v>2665</v>
      </c>
      <c r="L4" s="19" t="s">
        <v>3525</v>
      </c>
      <c r="M4" s="254"/>
      <c r="N4" s="19"/>
      <c r="O4" s="254"/>
      <c r="P4" s="254"/>
      <c r="Q4" s="254"/>
      <c r="R4" s="254"/>
      <c r="S4" s="254"/>
      <c r="T4" s="254"/>
      <c r="U4" s="254"/>
      <c r="V4" s="254"/>
      <c r="W4" s="254"/>
      <c r="X4" s="254"/>
      <c r="Y4" s="254"/>
      <c r="Z4" s="254"/>
    </row>
    <row r="5" ht="18.75" customHeight="1">
      <c r="A5" s="192" t="s">
        <v>4674</v>
      </c>
      <c r="B5" s="192" t="s">
        <v>4675</v>
      </c>
      <c r="C5" s="192" t="s">
        <v>4677</v>
      </c>
      <c r="D5" s="192" t="s">
        <v>4679</v>
      </c>
      <c r="E5" s="192" t="s">
        <v>4680</v>
      </c>
      <c r="F5" s="192" t="s">
        <v>2376</v>
      </c>
      <c r="G5" s="260" t="s">
        <v>1831</v>
      </c>
      <c r="H5" s="192" t="s">
        <v>4220</v>
      </c>
      <c r="I5" s="192" t="s">
        <v>302</v>
      </c>
      <c r="J5" s="192" t="s">
        <v>4217</v>
      </c>
      <c r="K5" s="19" t="s">
        <v>2696</v>
      </c>
      <c r="L5" s="19" t="s">
        <v>4687</v>
      </c>
      <c r="M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</row>
    <row r="6">
      <c r="A6" s="192" t="s">
        <v>4684</v>
      </c>
      <c r="B6" s="192" t="s">
        <v>4691</v>
      </c>
      <c r="C6" s="192" t="s">
        <v>4692</v>
      </c>
      <c r="D6" s="192" t="s">
        <v>4694</v>
      </c>
      <c r="E6" s="192" t="s">
        <v>4695</v>
      </c>
      <c r="F6" s="192" t="s">
        <v>4697</v>
      </c>
      <c r="G6" s="260" t="s">
        <v>1899</v>
      </c>
      <c r="H6" s="192" t="s">
        <v>4231</v>
      </c>
      <c r="I6" s="192" t="s">
        <v>4700</v>
      </c>
      <c r="J6" s="192" t="s">
        <v>955</v>
      </c>
      <c r="K6" s="19" t="s">
        <v>4702</v>
      </c>
      <c r="L6" s="19" t="s">
        <v>4703</v>
      </c>
      <c r="M6" s="254"/>
      <c r="O6" s="254"/>
      <c r="P6" s="254"/>
      <c r="Q6" s="254"/>
      <c r="R6" s="254"/>
      <c r="S6" s="254"/>
      <c r="T6" s="254"/>
      <c r="U6" s="254"/>
      <c r="V6" s="254"/>
      <c r="W6" s="254"/>
      <c r="X6" s="254"/>
      <c r="Y6" s="254"/>
      <c r="Z6" s="254"/>
    </row>
    <row r="7">
      <c r="A7" s="192" t="s">
        <v>4709</v>
      </c>
      <c r="B7" s="192" t="s">
        <v>4711</v>
      </c>
      <c r="C7" s="192" t="s">
        <v>4713</v>
      </c>
      <c r="D7" s="192" t="s">
        <v>4714</v>
      </c>
      <c r="E7" s="192" t="s">
        <v>1876</v>
      </c>
      <c r="F7" s="192" t="s">
        <v>4717</v>
      </c>
      <c r="G7" s="260" t="s">
        <v>4699</v>
      </c>
      <c r="H7" s="192" t="s">
        <v>4240</v>
      </c>
      <c r="I7" s="192" t="s">
        <v>4719</v>
      </c>
      <c r="J7" s="192" t="s">
        <v>4721</v>
      </c>
      <c r="K7" s="19" t="s">
        <v>2700</v>
      </c>
      <c r="L7" s="19" t="s">
        <v>4722</v>
      </c>
      <c r="M7" s="254"/>
      <c r="O7" s="254"/>
      <c r="P7" s="254"/>
      <c r="Q7" s="254"/>
      <c r="R7" s="254"/>
      <c r="S7" s="254"/>
      <c r="T7" s="254"/>
      <c r="U7" s="254"/>
      <c r="V7" s="254"/>
      <c r="W7" s="254"/>
      <c r="X7" s="254"/>
      <c r="Y7" s="254"/>
      <c r="Z7" s="254"/>
    </row>
    <row r="8">
      <c r="A8" s="192" t="s">
        <v>4715</v>
      </c>
      <c r="B8" s="192" t="s">
        <v>4729</v>
      </c>
      <c r="C8" s="192" t="s">
        <v>4731</v>
      </c>
      <c r="D8" s="192" t="s">
        <v>4733</v>
      </c>
      <c r="E8" s="192" t="s">
        <v>4735</v>
      </c>
      <c r="F8" s="192" t="s">
        <v>4736</v>
      </c>
      <c r="G8" s="260" t="s">
        <v>4737</v>
      </c>
      <c r="H8" s="192" t="s">
        <v>4254</v>
      </c>
      <c r="I8" s="192" t="s">
        <v>4739</v>
      </c>
      <c r="J8" s="192" t="s">
        <v>3911</v>
      </c>
      <c r="K8" s="19" t="s">
        <v>2702</v>
      </c>
      <c r="L8" s="19" t="s">
        <v>4742</v>
      </c>
      <c r="M8" s="254"/>
      <c r="O8" s="254"/>
      <c r="P8" s="254"/>
      <c r="Q8" s="254"/>
      <c r="R8" s="254"/>
      <c r="S8" s="254"/>
      <c r="T8" s="254"/>
      <c r="U8" s="254"/>
      <c r="V8" s="254"/>
      <c r="W8" s="254"/>
      <c r="X8" s="254"/>
      <c r="Y8" s="254"/>
      <c r="Z8" s="254"/>
    </row>
    <row r="9">
      <c r="A9" s="192" t="s">
        <v>4732</v>
      </c>
      <c r="B9" s="192" t="s">
        <v>4749</v>
      </c>
      <c r="C9" s="192" t="s">
        <v>4751</v>
      </c>
      <c r="D9" s="257" t="s">
        <v>4753</v>
      </c>
      <c r="E9" s="192" t="s">
        <v>3353</v>
      </c>
      <c r="F9" s="192" t="s">
        <v>4756</v>
      </c>
      <c r="G9" s="260" t="s">
        <v>3564</v>
      </c>
      <c r="H9" s="192" t="s">
        <v>4265</v>
      </c>
      <c r="I9" s="254"/>
      <c r="J9" s="192" t="s">
        <v>4758</v>
      </c>
      <c r="K9" s="19" t="s">
        <v>4759</v>
      </c>
      <c r="L9" s="254"/>
      <c r="M9" s="254"/>
      <c r="O9" s="254"/>
      <c r="P9" s="254"/>
      <c r="Q9" s="254"/>
      <c r="R9" s="254"/>
      <c r="S9" s="254"/>
      <c r="T9" s="254"/>
      <c r="U9" s="254"/>
      <c r="V9" s="254"/>
      <c r="W9" s="254"/>
      <c r="X9" s="254"/>
      <c r="Y9" s="254"/>
      <c r="Z9" s="254"/>
    </row>
    <row r="10">
      <c r="A10" s="192" t="s">
        <v>4769</v>
      </c>
      <c r="B10" s="192" t="s">
        <v>4771</v>
      </c>
      <c r="C10" s="192" t="s">
        <v>4773</v>
      </c>
      <c r="D10" s="192" t="s">
        <v>4774</v>
      </c>
      <c r="E10" s="192" t="s">
        <v>4775</v>
      </c>
      <c r="F10" s="192" t="s">
        <v>4777</v>
      </c>
      <c r="G10" s="260" t="s">
        <v>4778</v>
      </c>
      <c r="H10" s="192" t="s">
        <v>4275</v>
      </c>
      <c r="I10" s="254"/>
      <c r="J10" s="192" t="s">
        <v>4782</v>
      </c>
      <c r="K10" s="19" t="s">
        <v>4783</v>
      </c>
      <c r="L10" s="254"/>
      <c r="M10" s="254"/>
      <c r="O10" s="254"/>
      <c r="P10" s="254"/>
      <c r="Q10" s="254"/>
      <c r="R10" s="254"/>
      <c r="S10" s="254"/>
      <c r="T10" s="254"/>
      <c r="U10" s="254"/>
      <c r="V10" s="254"/>
      <c r="W10" s="254"/>
      <c r="X10" s="254"/>
      <c r="Y10" s="254"/>
      <c r="Z10" s="254"/>
    </row>
    <row r="11">
      <c r="A11" s="192" t="s">
        <v>4296</v>
      </c>
      <c r="B11" s="192" t="s">
        <v>4791</v>
      </c>
      <c r="C11" s="192" t="s">
        <v>4793</v>
      </c>
      <c r="D11" s="192" t="s">
        <v>4794</v>
      </c>
      <c r="E11" s="192" t="s">
        <v>4796</v>
      </c>
      <c r="F11" s="192" t="s">
        <v>2321</v>
      </c>
      <c r="G11" s="260" t="s">
        <v>4798</v>
      </c>
      <c r="H11" s="192" t="s">
        <v>4289</v>
      </c>
      <c r="I11" s="254"/>
      <c r="J11" s="192" t="s">
        <v>4802</v>
      </c>
      <c r="K11" s="19" t="s">
        <v>4804</v>
      </c>
      <c r="L11" s="254"/>
      <c r="M11" s="254"/>
      <c r="O11" s="254"/>
      <c r="P11" s="254"/>
      <c r="Q11" s="254"/>
      <c r="R11" s="254"/>
      <c r="S11" s="254"/>
      <c r="T11" s="254"/>
      <c r="U11" s="254"/>
      <c r="V11" s="254"/>
      <c r="W11" s="254"/>
      <c r="X11" s="254"/>
      <c r="Y11" s="254"/>
      <c r="Z11" s="254"/>
    </row>
    <row r="12">
      <c r="A12" s="192" t="s">
        <v>4810</v>
      </c>
      <c r="B12" s="192" t="s">
        <v>4812</v>
      </c>
      <c r="C12" s="192" t="s">
        <v>4814</v>
      </c>
      <c r="D12" s="192" t="s">
        <v>4816</v>
      </c>
      <c r="E12" s="192" t="s">
        <v>4818</v>
      </c>
      <c r="F12" s="192" t="s">
        <v>4819</v>
      </c>
      <c r="G12" s="260" t="s">
        <v>4821</v>
      </c>
      <c r="H12" s="192" t="s">
        <v>4823</v>
      </c>
      <c r="I12" s="254"/>
      <c r="J12" s="192" t="s">
        <v>4825</v>
      </c>
      <c r="K12" s="19" t="s">
        <v>4827</v>
      </c>
      <c r="L12" s="254"/>
      <c r="M12" s="254"/>
      <c r="O12" s="254"/>
      <c r="P12" s="254"/>
      <c r="Q12" s="254"/>
      <c r="R12" s="254"/>
      <c r="S12" s="254"/>
      <c r="T12" s="254"/>
      <c r="U12" s="254"/>
      <c r="V12" s="254"/>
      <c r="W12" s="254"/>
      <c r="X12" s="254"/>
      <c r="Y12" s="254"/>
      <c r="Z12" s="254"/>
    </row>
    <row r="13">
      <c r="A13" s="192" t="s">
        <v>4797</v>
      </c>
      <c r="B13" s="192" t="s">
        <v>4838</v>
      </c>
      <c r="D13" s="192" t="s">
        <v>4839</v>
      </c>
      <c r="E13" s="192" t="s">
        <v>4840</v>
      </c>
      <c r="F13" s="192" t="s">
        <v>4841</v>
      </c>
      <c r="G13" s="260" t="s">
        <v>4842</v>
      </c>
      <c r="H13" s="192" t="s">
        <v>4313</v>
      </c>
      <c r="I13" s="254"/>
      <c r="J13" s="192" t="s">
        <v>4843</v>
      </c>
      <c r="L13" s="254"/>
      <c r="M13" s="254"/>
      <c r="O13" s="254"/>
      <c r="P13" s="254"/>
      <c r="Q13" s="254"/>
      <c r="R13" s="254"/>
      <c r="S13" s="254"/>
      <c r="T13" s="254"/>
      <c r="U13" s="254"/>
      <c r="V13" s="254"/>
      <c r="W13" s="254"/>
      <c r="X13" s="254"/>
      <c r="Y13" s="254"/>
      <c r="Z13" s="254"/>
    </row>
    <row r="14">
      <c r="B14" s="192" t="s">
        <v>4853</v>
      </c>
      <c r="C14" s="254"/>
      <c r="D14" s="192" t="s">
        <v>4856</v>
      </c>
      <c r="E14" s="192" t="s">
        <v>4859</v>
      </c>
      <c r="F14" s="192" t="s">
        <v>4860</v>
      </c>
      <c r="G14" s="260" t="s">
        <v>4862</v>
      </c>
      <c r="H14" s="192" t="s">
        <v>4323</v>
      </c>
      <c r="I14" s="254"/>
      <c r="J14" s="192" t="s">
        <v>4865</v>
      </c>
      <c r="L14" s="254"/>
      <c r="M14" s="254"/>
      <c r="O14" s="254"/>
      <c r="P14" s="254"/>
      <c r="Q14" s="254"/>
      <c r="R14" s="254"/>
      <c r="S14" s="254"/>
      <c r="T14" s="254"/>
      <c r="U14" s="254"/>
      <c r="V14" s="254"/>
      <c r="W14" s="254"/>
      <c r="X14" s="254"/>
      <c r="Y14" s="254"/>
      <c r="Z14" s="254"/>
    </row>
    <row r="15">
      <c r="B15" s="192" t="s">
        <v>4878</v>
      </c>
      <c r="C15" s="254"/>
      <c r="D15" s="192" t="s">
        <v>4879</v>
      </c>
      <c r="E15" s="192" t="s">
        <v>1799</v>
      </c>
      <c r="F15" s="192" t="s">
        <v>4881</v>
      </c>
      <c r="G15" s="260" t="s">
        <v>4330</v>
      </c>
      <c r="H15" s="192" t="s">
        <v>4331</v>
      </c>
      <c r="I15" s="254"/>
      <c r="J15" s="192" t="s">
        <v>4885</v>
      </c>
      <c r="L15" s="254"/>
      <c r="M15" s="254"/>
      <c r="O15" s="254"/>
      <c r="P15" s="254"/>
      <c r="Q15" s="254"/>
      <c r="R15" s="254"/>
      <c r="S15" s="254"/>
      <c r="T15" s="254"/>
      <c r="U15" s="254"/>
      <c r="V15" s="254"/>
      <c r="W15" s="254"/>
      <c r="X15" s="254"/>
      <c r="Y15" s="254"/>
      <c r="Z15" s="254"/>
    </row>
    <row r="16">
      <c r="B16" s="192" t="s">
        <v>4893</v>
      </c>
      <c r="C16" s="254"/>
      <c r="D16" s="192" t="s">
        <v>4894</v>
      </c>
      <c r="E16" s="192" t="s">
        <v>4896</v>
      </c>
      <c r="F16" s="192" t="s">
        <v>4897</v>
      </c>
      <c r="G16" s="260" t="s">
        <v>4899</v>
      </c>
      <c r="H16" s="192" t="s">
        <v>4341</v>
      </c>
      <c r="I16" s="254"/>
      <c r="J16" s="192" t="s">
        <v>4901</v>
      </c>
      <c r="L16" s="254"/>
      <c r="M16" s="254"/>
      <c r="O16" s="254"/>
      <c r="P16" s="254"/>
      <c r="Q16" s="254"/>
      <c r="R16" s="254"/>
      <c r="S16" s="254"/>
      <c r="T16" s="254"/>
      <c r="U16" s="254"/>
      <c r="V16" s="254"/>
      <c r="W16" s="254"/>
      <c r="X16" s="254"/>
      <c r="Y16" s="254"/>
      <c r="Z16" s="254"/>
    </row>
    <row r="17">
      <c r="B17" s="192" t="s">
        <v>4907</v>
      </c>
      <c r="C17" s="254"/>
      <c r="D17" s="192" t="s">
        <v>4908</v>
      </c>
      <c r="E17" s="192" t="s">
        <v>4909</v>
      </c>
      <c r="F17" s="254"/>
      <c r="G17" s="260" t="s">
        <v>4911</v>
      </c>
      <c r="H17" s="192" t="s">
        <v>4349</v>
      </c>
      <c r="I17" s="254"/>
      <c r="J17" s="192" t="s">
        <v>4912</v>
      </c>
      <c r="L17" s="254"/>
      <c r="M17" s="254"/>
      <c r="O17" s="254"/>
      <c r="P17" s="254"/>
      <c r="Q17" s="254"/>
      <c r="R17" s="254"/>
      <c r="S17" s="254"/>
      <c r="T17" s="254"/>
      <c r="U17" s="254"/>
      <c r="V17" s="254"/>
      <c r="W17" s="254"/>
      <c r="X17" s="254"/>
      <c r="Y17" s="254"/>
      <c r="Z17" s="254"/>
    </row>
    <row r="18">
      <c r="A18" s="254"/>
      <c r="B18" s="192" t="s">
        <v>4913</v>
      </c>
      <c r="C18" s="254"/>
      <c r="D18" s="192" t="s">
        <v>4915</v>
      </c>
      <c r="E18" s="192" t="s">
        <v>4917</v>
      </c>
      <c r="F18" s="254"/>
      <c r="G18" s="260" t="s">
        <v>4920</v>
      </c>
      <c r="H18" s="192" t="s">
        <v>4353</v>
      </c>
      <c r="I18" s="254"/>
      <c r="J18" s="254"/>
      <c r="L18" s="254"/>
      <c r="M18" s="254"/>
      <c r="O18" s="254"/>
      <c r="P18" s="254"/>
      <c r="Q18" s="254"/>
      <c r="R18" s="254"/>
      <c r="S18" s="254"/>
      <c r="T18" s="254"/>
      <c r="U18" s="254"/>
      <c r="V18" s="254"/>
      <c r="W18" s="254"/>
      <c r="X18" s="254"/>
      <c r="Y18" s="254"/>
      <c r="Z18" s="254"/>
    </row>
    <row r="19">
      <c r="A19" s="254"/>
      <c r="B19" s="192" t="s">
        <v>4929</v>
      </c>
      <c r="C19" s="254"/>
      <c r="D19" s="192" t="s">
        <v>4931</v>
      </c>
      <c r="E19" s="192" t="s">
        <v>4933</v>
      </c>
      <c r="F19" s="254"/>
      <c r="H19" s="192" t="s">
        <v>4876</v>
      </c>
      <c r="I19" s="254"/>
      <c r="J19" s="254"/>
      <c r="L19" s="254"/>
      <c r="M19" s="254"/>
      <c r="O19" s="254"/>
      <c r="P19" s="254"/>
      <c r="Q19" s="254"/>
      <c r="R19" s="254"/>
      <c r="S19" s="254"/>
      <c r="T19" s="254"/>
      <c r="U19" s="254"/>
      <c r="V19" s="254"/>
      <c r="W19" s="254"/>
      <c r="X19" s="254"/>
      <c r="Y19" s="254"/>
      <c r="Z19" s="254"/>
    </row>
    <row r="20">
      <c r="A20" s="254"/>
      <c r="B20" s="192" t="s">
        <v>4949</v>
      </c>
      <c r="C20" s="254"/>
      <c r="D20" s="192" t="s">
        <v>4951</v>
      </c>
      <c r="E20" s="192" t="s">
        <v>4952</v>
      </c>
      <c r="F20" s="254"/>
      <c r="G20" s="254"/>
      <c r="H20" s="254"/>
      <c r="I20" s="254"/>
      <c r="J20" s="254"/>
      <c r="K20" s="254"/>
      <c r="L20" s="254"/>
      <c r="M20" s="254"/>
      <c r="O20" s="254"/>
      <c r="P20" s="254"/>
      <c r="Q20" s="254"/>
      <c r="R20" s="254"/>
      <c r="S20" s="254"/>
      <c r="T20" s="254"/>
      <c r="U20" s="254"/>
      <c r="V20" s="254"/>
      <c r="W20" s="254"/>
      <c r="X20" s="254"/>
      <c r="Y20" s="254"/>
      <c r="Z20" s="254"/>
    </row>
    <row r="21">
      <c r="A21" s="254"/>
      <c r="B21" s="192" t="s">
        <v>4963</v>
      </c>
      <c r="C21" s="254"/>
      <c r="D21" s="254"/>
      <c r="E21" s="192" t="s">
        <v>4965</v>
      </c>
      <c r="F21" s="254"/>
      <c r="G21" s="254"/>
      <c r="H21" s="254"/>
      <c r="I21" s="254"/>
      <c r="J21" s="254"/>
      <c r="K21" s="254"/>
      <c r="L21" s="254"/>
      <c r="M21" s="254"/>
      <c r="O21" s="254"/>
      <c r="P21" s="254"/>
      <c r="Q21" s="254"/>
      <c r="R21" s="254"/>
      <c r="S21" s="254"/>
      <c r="T21" s="254"/>
      <c r="U21" s="254"/>
      <c r="V21" s="254"/>
      <c r="W21" s="254"/>
      <c r="X21" s="254"/>
      <c r="Y21" s="254"/>
      <c r="Z21" s="254"/>
    </row>
    <row r="22">
      <c r="A22" s="254"/>
      <c r="B22" s="192" t="s">
        <v>4975</v>
      </c>
      <c r="C22" s="254"/>
      <c r="D22" s="254"/>
      <c r="E22" s="192" t="s">
        <v>4978</v>
      </c>
      <c r="F22" s="254"/>
      <c r="G22" s="254"/>
      <c r="H22" s="254"/>
      <c r="I22" s="254"/>
      <c r="J22" s="254"/>
      <c r="K22" s="254"/>
      <c r="L22" s="254"/>
      <c r="M22" s="254"/>
      <c r="O22" s="254"/>
      <c r="P22" s="254"/>
      <c r="Q22" s="254"/>
      <c r="R22" s="254"/>
      <c r="S22" s="254"/>
      <c r="T22" s="254"/>
      <c r="U22" s="254"/>
      <c r="V22" s="254"/>
      <c r="W22" s="254"/>
      <c r="X22" s="254"/>
      <c r="Y22" s="254"/>
      <c r="Z22" s="254"/>
    </row>
    <row r="23">
      <c r="A23" s="254"/>
      <c r="B23" s="192" t="s">
        <v>4987</v>
      </c>
      <c r="C23" s="254"/>
      <c r="D23" s="254"/>
      <c r="E23" s="192" t="s">
        <v>4990</v>
      </c>
      <c r="F23" s="254"/>
      <c r="G23" s="254"/>
      <c r="H23" s="254"/>
      <c r="I23" s="254"/>
      <c r="J23" s="254"/>
      <c r="K23" s="254"/>
      <c r="L23" s="254"/>
      <c r="M23" s="254"/>
      <c r="N23" s="254"/>
      <c r="O23" s="254"/>
      <c r="P23" s="254"/>
      <c r="Q23" s="254"/>
      <c r="R23" s="254"/>
      <c r="S23" s="254"/>
      <c r="T23" s="254"/>
      <c r="U23" s="254"/>
      <c r="V23" s="254"/>
      <c r="W23" s="254"/>
      <c r="X23" s="254"/>
      <c r="Y23" s="254"/>
      <c r="Z23" s="254"/>
    </row>
    <row r="24">
      <c r="A24" s="254"/>
      <c r="B24" s="192" t="s">
        <v>5001</v>
      </c>
      <c r="C24" s="254"/>
      <c r="D24" s="254"/>
      <c r="E24" s="192" t="s">
        <v>5004</v>
      </c>
      <c r="F24" s="254"/>
      <c r="G24" s="254"/>
      <c r="H24" s="254"/>
      <c r="I24" s="254"/>
      <c r="J24" s="254"/>
      <c r="K24" s="254"/>
      <c r="L24" s="254"/>
      <c r="M24" s="254"/>
      <c r="N24" s="254"/>
      <c r="O24" s="254"/>
      <c r="P24" s="254"/>
      <c r="Q24" s="254"/>
      <c r="R24" s="254"/>
      <c r="S24" s="254"/>
      <c r="T24" s="254"/>
      <c r="U24" s="254"/>
      <c r="V24" s="254"/>
      <c r="W24" s="254"/>
      <c r="X24" s="254"/>
      <c r="Y24" s="254"/>
      <c r="Z24" s="254"/>
    </row>
    <row r="25">
      <c r="A25" s="254"/>
      <c r="C25" s="254"/>
      <c r="D25" s="254"/>
      <c r="E25" s="192" t="s">
        <v>5016</v>
      </c>
      <c r="F25" s="254"/>
      <c r="G25" s="254"/>
      <c r="H25" s="254"/>
      <c r="I25" s="254"/>
      <c r="J25" s="254"/>
      <c r="K25" s="254"/>
      <c r="L25" s="254"/>
      <c r="M25" s="254"/>
      <c r="N25" s="254"/>
      <c r="O25" s="254"/>
      <c r="P25" s="254"/>
      <c r="Q25" s="254"/>
      <c r="R25" s="254"/>
      <c r="S25" s="254"/>
      <c r="T25" s="254"/>
      <c r="U25" s="254"/>
      <c r="V25" s="254"/>
      <c r="W25" s="254"/>
      <c r="X25" s="254"/>
      <c r="Y25" s="254"/>
      <c r="Z25" s="254"/>
    </row>
    <row r="26">
      <c r="A26" s="254"/>
      <c r="C26" s="254"/>
      <c r="D26" s="254"/>
      <c r="E26" s="192" t="s">
        <v>5034</v>
      </c>
      <c r="F26" s="254"/>
      <c r="G26" s="254"/>
      <c r="H26" s="254"/>
      <c r="I26" s="254"/>
      <c r="J26" s="254"/>
      <c r="K26" s="254"/>
      <c r="L26" s="254"/>
      <c r="M26" s="254"/>
      <c r="N26" s="254"/>
      <c r="O26" s="254"/>
      <c r="P26" s="254"/>
      <c r="Q26" s="254"/>
      <c r="R26" s="254"/>
      <c r="S26" s="254"/>
      <c r="T26" s="254"/>
      <c r="U26" s="254"/>
      <c r="V26" s="254"/>
      <c r="W26" s="254"/>
      <c r="X26" s="254"/>
      <c r="Y26" s="254"/>
      <c r="Z26" s="254"/>
    </row>
    <row r="27">
      <c r="A27" s="254"/>
      <c r="B27" s="254"/>
      <c r="C27" s="254"/>
      <c r="D27" s="254"/>
      <c r="E27" s="192" t="s">
        <v>5053</v>
      </c>
      <c r="F27" s="254"/>
      <c r="G27" s="254"/>
      <c r="H27" s="254"/>
      <c r="I27" s="254"/>
      <c r="J27" s="254"/>
      <c r="K27" s="254"/>
      <c r="L27" s="254"/>
      <c r="M27" s="254"/>
      <c r="N27" s="254"/>
      <c r="O27" s="254"/>
      <c r="P27" s="254"/>
      <c r="Q27" s="254"/>
      <c r="R27" s="254"/>
      <c r="S27" s="254"/>
      <c r="T27" s="254"/>
      <c r="U27" s="254"/>
      <c r="V27" s="254"/>
      <c r="W27" s="254"/>
      <c r="X27" s="254"/>
      <c r="Y27" s="254"/>
      <c r="Z27" s="254"/>
    </row>
    <row r="28">
      <c r="A28" s="254"/>
      <c r="B28" s="254"/>
      <c r="C28" s="254"/>
      <c r="D28" s="254"/>
      <c r="E28" s="192" t="s">
        <v>5072</v>
      </c>
      <c r="F28" s="254"/>
      <c r="G28" s="254"/>
      <c r="H28" s="254"/>
      <c r="I28" s="254"/>
      <c r="J28" s="254"/>
      <c r="K28" s="254"/>
      <c r="L28" s="254"/>
      <c r="M28" s="254"/>
      <c r="N28" s="254"/>
      <c r="O28" s="254"/>
      <c r="P28" s="254"/>
      <c r="Q28" s="254"/>
      <c r="R28" s="254"/>
      <c r="S28" s="254"/>
      <c r="T28" s="254"/>
      <c r="U28" s="254"/>
      <c r="V28" s="254"/>
      <c r="W28" s="254"/>
      <c r="X28" s="254"/>
      <c r="Y28" s="254"/>
      <c r="Z28" s="254"/>
    </row>
    <row r="29">
      <c r="A29" s="254"/>
      <c r="B29" s="254"/>
      <c r="C29" s="254"/>
      <c r="D29" s="254"/>
      <c r="E29" s="254"/>
      <c r="F29" s="254"/>
      <c r="G29" s="254"/>
      <c r="H29" s="254"/>
      <c r="I29" s="254"/>
      <c r="J29" s="254"/>
      <c r="K29" s="254"/>
      <c r="L29" s="254"/>
      <c r="M29" s="254"/>
      <c r="N29" s="254"/>
      <c r="O29" s="254"/>
      <c r="P29" s="254"/>
      <c r="Q29" s="254"/>
      <c r="R29" s="254"/>
      <c r="S29" s="254"/>
      <c r="T29" s="254"/>
      <c r="U29" s="254"/>
      <c r="V29" s="254"/>
      <c r="W29" s="254"/>
      <c r="X29" s="254"/>
      <c r="Y29" s="254"/>
      <c r="Z29" s="254"/>
    </row>
    <row r="30">
      <c r="A30" s="254"/>
      <c r="B30" s="254"/>
      <c r="C30" s="254"/>
      <c r="D30" s="254"/>
      <c r="E30" s="254"/>
      <c r="F30" s="254"/>
      <c r="G30" s="254"/>
      <c r="H30" s="254"/>
      <c r="I30" s="254"/>
      <c r="J30" s="254"/>
      <c r="K30" s="254"/>
      <c r="L30" s="254"/>
      <c r="M30" s="254"/>
      <c r="N30" s="254"/>
      <c r="O30" s="254"/>
      <c r="P30" s="254"/>
      <c r="Q30" s="254"/>
      <c r="R30" s="254"/>
      <c r="S30" s="254"/>
      <c r="T30" s="254"/>
      <c r="U30" s="254"/>
      <c r="V30" s="254"/>
      <c r="W30" s="254"/>
      <c r="X30" s="254"/>
      <c r="Y30" s="254"/>
      <c r="Z30" s="254"/>
    </row>
    <row r="31">
      <c r="A31" s="254"/>
      <c r="B31" s="254"/>
      <c r="C31" s="254"/>
      <c r="D31" s="254"/>
      <c r="E31" s="254"/>
      <c r="F31" s="254"/>
      <c r="G31" s="254"/>
      <c r="H31" s="254"/>
      <c r="I31" s="254"/>
      <c r="J31" s="254"/>
      <c r="K31" s="254"/>
      <c r="L31" s="254"/>
      <c r="M31" s="254"/>
      <c r="N31" s="254"/>
      <c r="O31" s="254"/>
      <c r="P31" s="254"/>
      <c r="Q31" s="254"/>
      <c r="R31" s="254"/>
      <c r="S31" s="254"/>
      <c r="T31" s="254"/>
      <c r="U31" s="254"/>
      <c r="V31" s="254"/>
      <c r="W31" s="254"/>
      <c r="X31" s="254"/>
      <c r="Y31" s="254"/>
      <c r="Z31" s="254"/>
    </row>
    <row r="32">
      <c r="A32" s="254"/>
      <c r="B32" s="254"/>
      <c r="C32" s="254"/>
      <c r="D32" s="254"/>
      <c r="E32" s="254"/>
      <c r="F32" s="254"/>
      <c r="G32" s="254"/>
      <c r="H32" s="254"/>
      <c r="I32" s="254"/>
      <c r="J32" s="254"/>
      <c r="K32" s="254"/>
      <c r="L32" s="254"/>
      <c r="M32" s="254"/>
      <c r="N32" s="254"/>
      <c r="O32" s="254"/>
      <c r="P32" s="254"/>
      <c r="Q32" s="254"/>
      <c r="R32" s="254"/>
      <c r="S32" s="254"/>
      <c r="T32" s="254"/>
      <c r="U32" s="254"/>
      <c r="V32" s="254"/>
      <c r="W32" s="254"/>
      <c r="X32" s="254"/>
      <c r="Y32" s="254"/>
      <c r="Z32" s="254"/>
    </row>
    <row r="33">
      <c r="A33" s="253" t="s">
        <v>5115</v>
      </c>
      <c r="K33" s="254"/>
      <c r="L33" s="254"/>
      <c r="M33" s="254"/>
      <c r="N33" s="254"/>
      <c r="O33" s="254"/>
      <c r="P33" s="254"/>
      <c r="Q33" s="254"/>
      <c r="R33" s="254"/>
      <c r="S33" s="254"/>
      <c r="T33" s="254"/>
      <c r="U33" s="254"/>
      <c r="V33" s="254"/>
      <c r="W33" s="254"/>
      <c r="X33" s="254"/>
      <c r="Y33" s="254"/>
      <c r="Z33" s="254"/>
    </row>
    <row r="34">
      <c r="A34" s="99" t="s">
        <v>812</v>
      </c>
      <c r="B34" s="99" t="s">
        <v>815</v>
      </c>
      <c r="C34" s="99" t="s">
        <v>817</v>
      </c>
      <c r="D34" s="99" t="s">
        <v>819</v>
      </c>
      <c r="E34" s="99" t="s">
        <v>821</v>
      </c>
      <c r="F34" s="99" t="s">
        <v>822</v>
      </c>
      <c r="G34" s="99" t="s">
        <v>823</v>
      </c>
      <c r="H34" s="99" t="s">
        <v>825</v>
      </c>
      <c r="I34" s="99" t="s">
        <v>827</v>
      </c>
      <c r="J34" s="99" t="s">
        <v>829</v>
      </c>
      <c r="K34" s="254"/>
      <c r="L34" s="254"/>
      <c r="M34" s="254"/>
      <c r="N34" s="254"/>
      <c r="O34" s="254"/>
      <c r="P34" s="254"/>
      <c r="Q34" s="254"/>
      <c r="R34" s="254"/>
      <c r="S34" s="254"/>
      <c r="T34" s="254"/>
      <c r="U34" s="254"/>
      <c r="V34" s="254"/>
      <c r="W34" s="254"/>
      <c r="X34" s="254"/>
      <c r="Y34" s="254"/>
      <c r="Z34" s="254"/>
    </row>
    <row r="35">
      <c r="A35" s="19" t="s">
        <v>5116</v>
      </c>
      <c r="B35" s="19" t="s">
        <v>5117</v>
      </c>
      <c r="C35" s="19" t="s">
        <v>5117</v>
      </c>
      <c r="D35" s="19" t="s">
        <v>5117</v>
      </c>
      <c r="E35" s="19" t="s">
        <v>5118</v>
      </c>
      <c r="F35" s="19" t="s">
        <v>5116</v>
      </c>
      <c r="G35" s="19" t="s">
        <v>5120</v>
      </c>
      <c r="H35" s="19" t="s">
        <v>5117</v>
      </c>
      <c r="I35" s="19" t="s">
        <v>5117</v>
      </c>
      <c r="J35" s="19" t="s">
        <v>5117</v>
      </c>
      <c r="K35" s="254"/>
      <c r="L35" s="254"/>
      <c r="M35" s="254"/>
      <c r="N35" s="254"/>
      <c r="O35" s="254"/>
      <c r="P35" s="254"/>
      <c r="Q35" s="254"/>
      <c r="R35" s="254"/>
      <c r="S35" s="254"/>
      <c r="T35" s="254"/>
      <c r="U35" s="254"/>
      <c r="V35" s="254"/>
      <c r="W35" s="254"/>
      <c r="X35" s="254"/>
      <c r="Y35" s="254"/>
      <c r="Z35" s="254"/>
    </row>
    <row r="36">
      <c r="A36" s="192" t="s">
        <v>5125</v>
      </c>
      <c r="B36" s="192" t="s">
        <v>5126</v>
      </c>
      <c r="C36" s="192" t="s">
        <v>5127</v>
      </c>
      <c r="D36" s="192" t="s">
        <v>5128</v>
      </c>
      <c r="E36" s="192" t="s">
        <v>5129</v>
      </c>
      <c r="F36" s="192" t="s">
        <v>5130</v>
      </c>
      <c r="G36" s="192" t="s">
        <v>5131</v>
      </c>
      <c r="H36" s="192" t="s">
        <v>5132</v>
      </c>
      <c r="I36" s="192" t="s">
        <v>5134</v>
      </c>
      <c r="J36" s="192" t="s">
        <v>5135</v>
      </c>
      <c r="K36" s="254"/>
      <c r="L36" s="254"/>
      <c r="M36" s="254"/>
      <c r="N36" s="254"/>
      <c r="O36" s="254"/>
      <c r="P36" s="254"/>
      <c r="Q36" s="254"/>
      <c r="R36" s="254"/>
      <c r="S36" s="254"/>
      <c r="T36" s="254"/>
      <c r="U36" s="254"/>
      <c r="V36" s="254"/>
      <c r="W36" s="254"/>
      <c r="X36" s="254"/>
      <c r="Y36" s="254"/>
      <c r="Z36" s="254"/>
    </row>
    <row r="37">
      <c r="A37" s="192" t="s">
        <v>5139</v>
      </c>
      <c r="B37" s="192" t="s">
        <v>5140</v>
      </c>
      <c r="C37" s="192" t="s">
        <v>5141</v>
      </c>
      <c r="D37" s="192" t="s">
        <v>5142</v>
      </c>
      <c r="E37" s="192" t="s">
        <v>5143</v>
      </c>
      <c r="F37" s="192" t="s">
        <v>5144</v>
      </c>
      <c r="G37" s="192" t="s">
        <v>5145</v>
      </c>
      <c r="H37" s="192" t="s">
        <v>5146</v>
      </c>
      <c r="I37" s="192" t="s">
        <v>5147</v>
      </c>
      <c r="J37" s="192" t="s">
        <v>5148</v>
      </c>
      <c r="K37" s="254"/>
      <c r="L37" s="254"/>
      <c r="M37" s="254"/>
      <c r="N37" s="254"/>
      <c r="O37" s="254"/>
      <c r="P37" s="254"/>
      <c r="Q37" s="254"/>
      <c r="R37" s="254"/>
      <c r="S37" s="254"/>
      <c r="T37" s="254"/>
      <c r="U37" s="254"/>
      <c r="V37" s="254"/>
      <c r="W37" s="254"/>
      <c r="X37" s="254"/>
      <c r="Y37" s="254"/>
      <c r="Z37" s="254"/>
    </row>
    <row r="38">
      <c r="A38" s="192" t="s">
        <v>5153</v>
      </c>
      <c r="B38" s="192" t="s">
        <v>5154</v>
      </c>
      <c r="C38" s="192" t="s">
        <v>5155</v>
      </c>
      <c r="D38" s="192" t="s">
        <v>5156</v>
      </c>
      <c r="E38" s="192" t="s">
        <v>5157</v>
      </c>
      <c r="F38" s="192" t="s">
        <v>4400</v>
      </c>
      <c r="G38" s="192" t="s">
        <v>5158</v>
      </c>
      <c r="H38" s="192" t="s">
        <v>5159</v>
      </c>
      <c r="I38" s="192" t="s">
        <v>5160</v>
      </c>
      <c r="J38" s="192" t="s">
        <v>5161</v>
      </c>
      <c r="K38" s="254"/>
      <c r="L38" s="254"/>
      <c r="M38" s="254"/>
      <c r="N38" s="254"/>
      <c r="O38" s="254"/>
      <c r="P38" s="254"/>
      <c r="Q38" s="254"/>
      <c r="R38" s="254"/>
      <c r="S38" s="254"/>
      <c r="T38" s="254"/>
      <c r="U38" s="254"/>
      <c r="V38" s="254"/>
      <c r="W38" s="254"/>
      <c r="X38" s="254"/>
      <c r="Y38" s="254"/>
      <c r="Z38" s="254"/>
    </row>
    <row r="39">
      <c r="A39" s="192" t="s">
        <v>5165</v>
      </c>
      <c r="B39" s="192" t="s">
        <v>5167</v>
      </c>
      <c r="C39" s="192" t="s">
        <v>5169</v>
      </c>
      <c r="D39" s="192" t="s">
        <v>5170</v>
      </c>
      <c r="E39" s="192" t="s">
        <v>5172</v>
      </c>
      <c r="F39" s="192" t="s">
        <v>5173</v>
      </c>
      <c r="G39" s="192" t="s">
        <v>5174</v>
      </c>
      <c r="H39" s="192" t="s">
        <v>5175</v>
      </c>
      <c r="I39" s="192" t="s">
        <v>5176</v>
      </c>
      <c r="J39" s="192" t="s">
        <v>5177</v>
      </c>
      <c r="K39" s="254"/>
      <c r="L39" s="254"/>
      <c r="M39" s="254"/>
      <c r="N39" s="254"/>
      <c r="O39" s="254"/>
      <c r="P39" s="254"/>
      <c r="Q39" s="254"/>
      <c r="R39" s="254"/>
      <c r="S39" s="254"/>
      <c r="T39" s="254"/>
      <c r="U39" s="254"/>
      <c r="V39" s="254"/>
      <c r="W39" s="254"/>
      <c r="X39" s="254"/>
      <c r="Y39" s="254"/>
      <c r="Z39" s="254"/>
    </row>
    <row r="40">
      <c r="A40" s="192" t="s">
        <v>5178</v>
      </c>
      <c r="B40" s="192" t="s">
        <v>5180</v>
      </c>
      <c r="C40" s="192" t="s">
        <v>5181</v>
      </c>
      <c r="D40" s="192" t="s">
        <v>5183</v>
      </c>
      <c r="E40" s="192" t="s">
        <v>5184</v>
      </c>
      <c r="F40" s="192" t="s">
        <v>5186</v>
      </c>
      <c r="G40" s="192" t="s">
        <v>5187</v>
      </c>
      <c r="H40" s="192" t="s">
        <v>5189</v>
      </c>
      <c r="I40" s="192" t="s">
        <v>5190</v>
      </c>
      <c r="J40" s="192" t="s">
        <v>5191</v>
      </c>
      <c r="K40" s="254"/>
      <c r="L40" s="254"/>
      <c r="M40" s="254"/>
      <c r="N40" s="254"/>
      <c r="O40" s="254"/>
      <c r="P40" s="254"/>
      <c r="Q40" s="254"/>
      <c r="R40" s="254"/>
      <c r="S40" s="254"/>
      <c r="T40" s="254"/>
      <c r="U40" s="254"/>
      <c r="V40" s="254"/>
      <c r="W40" s="254"/>
      <c r="X40" s="254"/>
      <c r="Y40" s="254"/>
      <c r="Z40" s="254"/>
    </row>
    <row r="41">
      <c r="A41" s="19" t="s">
        <v>5193</v>
      </c>
      <c r="B41" s="192" t="s">
        <v>5194</v>
      </c>
      <c r="C41" s="192" t="s">
        <v>5195</v>
      </c>
      <c r="D41" s="192" t="s">
        <v>5196</v>
      </c>
      <c r="E41" s="192" t="s">
        <v>5197</v>
      </c>
      <c r="F41" s="192" t="s">
        <v>5198</v>
      </c>
      <c r="G41" s="192" t="s">
        <v>5199</v>
      </c>
      <c r="H41" s="192" t="s">
        <v>5200</v>
      </c>
      <c r="I41" s="192" t="s">
        <v>5201</v>
      </c>
      <c r="J41" s="192" t="s">
        <v>5202</v>
      </c>
      <c r="K41" s="254"/>
      <c r="L41" s="254"/>
      <c r="M41" s="254"/>
      <c r="N41" s="254"/>
      <c r="O41" s="254"/>
      <c r="P41" s="254"/>
      <c r="Q41" s="254"/>
      <c r="R41" s="254"/>
      <c r="S41" s="254"/>
      <c r="T41" s="254"/>
      <c r="U41" s="254"/>
      <c r="V41" s="254"/>
      <c r="W41" s="254"/>
      <c r="X41" s="254"/>
      <c r="Y41" s="254"/>
      <c r="Z41" s="254"/>
    </row>
    <row r="42">
      <c r="A42" s="192" t="s">
        <v>5207</v>
      </c>
      <c r="B42" s="192" t="s">
        <v>5209</v>
      </c>
      <c r="C42" s="192" t="s">
        <v>5210</v>
      </c>
      <c r="D42" s="192" t="s">
        <v>5211</v>
      </c>
      <c r="E42" s="192" t="s">
        <v>5212</v>
      </c>
      <c r="F42" s="192" t="s">
        <v>5213</v>
      </c>
      <c r="G42" s="192" t="s">
        <v>5214</v>
      </c>
      <c r="H42" s="192" t="s">
        <v>5215</v>
      </c>
      <c r="I42" s="192" t="s">
        <v>5216</v>
      </c>
      <c r="J42" s="192" t="s">
        <v>5217</v>
      </c>
      <c r="K42" s="254"/>
      <c r="L42" s="254"/>
      <c r="M42" s="254"/>
      <c r="N42" s="254"/>
      <c r="O42" s="254"/>
      <c r="P42" s="254"/>
      <c r="Q42" s="254"/>
      <c r="R42" s="254"/>
      <c r="S42" s="254"/>
      <c r="T42" s="254"/>
      <c r="U42" s="254"/>
      <c r="V42" s="254"/>
      <c r="W42" s="254"/>
      <c r="X42" s="254"/>
      <c r="Y42" s="254"/>
      <c r="Z42" s="254"/>
    </row>
    <row r="43">
      <c r="A43" s="192" t="s">
        <v>5219</v>
      </c>
      <c r="B43" s="192" t="s">
        <v>5220</v>
      </c>
      <c r="C43" s="192" t="s">
        <v>5221</v>
      </c>
      <c r="D43" s="192" t="s">
        <v>5222</v>
      </c>
      <c r="E43" s="19" t="s">
        <v>5224</v>
      </c>
      <c r="F43" s="192" t="s">
        <v>5225</v>
      </c>
      <c r="G43" s="192" t="s">
        <v>5226</v>
      </c>
      <c r="H43" s="192" t="s">
        <v>5228</v>
      </c>
      <c r="I43" s="192" t="s">
        <v>5229</v>
      </c>
      <c r="J43" s="192" t="s">
        <v>5231</v>
      </c>
      <c r="K43" s="254"/>
      <c r="L43" s="254"/>
      <c r="M43" s="254"/>
      <c r="N43" s="254"/>
      <c r="O43" s="254"/>
      <c r="P43" s="254"/>
      <c r="Q43" s="254"/>
      <c r="R43" s="254"/>
      <c r="S43" s="254"/>
      <c r="T43" s="254"/>
      <c r="U43" s="254"/>
      <c r="V43" s="254"/>
      <c r="W43" s="254"/>
      <c r="X43" s="254"/>
      <c r="Y43" s="254"/>
      <c r="Z43" s="254"/>
    </row>
    <row r="44">
      <c r="A44" s="192" t="s">
        <v>5233</v>
      </c>
      <c r="B44" s="19" t="s">
        <v>5234</v>
      </c>
      <c r="C44" s="19" t="s">
        <v>5235</v>
      </c>
      <c r="D44" s="192" t="s">
        <v>5236</v>
      </c>
      <c r="E44" s="19" t="s">
        <v>5237</v>
      </c>
      <c r="F44" s="192" t="s">
        <v>5238</v>
      </c>
      <c r="G44" s="192" t="s">
        <v>5239</v>
      </c>
      <c r="H44" s="192" t="s">
        <v>5240</v>
      </c>
      <c r="I44" s="192" t="s">
        <v>5242</v>
      </c>
      <c r="J44" s="192" t="s">
        <v>5243</v>
      </c>
      <c r="K44" s="254"/>
      <c r="L44" s="254"/>
      <c r="M44" s="254"/>
      <c r="N44" s="254"/>
      <c r="O44" s="254"/>
      <c r="P44" s="254"/>
      <c r="Q44" s="254"/>
      <c r="R44" s="254"/>
      <c r="S44" s="254"/>
      <c r="T44" s="254"/>
      <c r="U44" s="254"/>
      <c r="V44" s="254"/>
      <c r="W44" s="254"/>
      <c r="X44" s="254"/>
      <c r="Y44" s="254"/>
      <c r="Z44" s="254"/>
    </row>
    <row r="45">
      <c r="A45" s="192" t="s">
        <v>5246</v>
      </c>
      <c r="B45" s="19" t="s">
        <v>5247</v>
      </c>
      <c r="C45" s="19" t="s">
        <v>5248</v>
      </c>
      <c r="D45" s="19" t="s">
        <v>5249</v>
      </c>
      <c r="E45" s="192" t="s">
        <v>5250</v>
      </c>
      <c r="F45" s="19" t="s">
        <v>5251</v>
      </c>
      <c r="G45" s="192" t="s">
        <v>5252</v>
      </c>
      <c r="H45" s="19" t="s">
        <v>5253</v>
      </c>
      <c r="I45" s="19" t="s">
        <v>5254</v>
      </c>
      <c r="J45" s="192" t="s">
        <v>5255</v>
      </c>
      <c r="K45" s="254"/>
      <c r="L45" s="254"/>
      <c r="M45" s="254"/>
      <c r="N45" s="254"/>
      <c r="O45" s="254"/>
      <c r="P45" s="254"/>
      <c r="Q45" s="254"/>
      <c r="R45" s="254"/>
      <c r="S45" s="254"/>
      <c r="T45" s="254"/>
      <c r="U45" s="254"/>
      <c r="V45" s="254"/>
      <c r="W45" s="254"/>
      <c r="X45" s="254"/>
      <c r="Y45" s="254"/>
      <c r="Z45" s="254"/>
    </row>
    <row r="46">
      <c r="A46" s="19" t="s">
        <v>5263</v>
      </c>
      <c r="B46" s="19" t="s">
        <v>5264</v>
      </c>
      <c r="C46" s="19" t="s">
        <v>5265</v>
      </c>
      <c r="D46" s="19" t="s">
        <v>5266</v>
      </c>
      <c r="E46" s="19" t="s">
        <v>5267</v>
      </c>
      <c r="F46" s="19" t="s">
        <v>5268</v>
      </c>
      <c r="G46" s="192" t="s">
        <v>5269</v>
      </c>
      <c r="H46" s="192" t="s">
        <v>5270</v>
      </c>
      <c r="I46" s="19" t="s">
        <v>5271</v>
      </c>
      <c r="J46" s="192" t="s">
        <v>5272</v>
      </c>
      <c r="K46" s="254"/>
      <c r="L46" s="254"/>
      <c r="M46" s="254"/>
      <c r="N46" s="254"/>
      <c r="O46" s="254"/>
      <c r="P46" s="254"/>
      <c r="Q46" s="254"/>
      <c r="R46" s="254"/>
      <c r="S46" s="254"/>
      <c r="T46" s="254"/>
      <c r="U46" s="254"/>
      <c r="V46" s="254"/>
      <c r="W46" s="254"/>
      <c r="X46" s="254"/>
      <c r="Y46" s="254"/>
      <c r="Z46" s="254"/>
    </row>
    <row r="47">
      <c r="A47" s="19" t="s">
        <v>5278</v>
      </c>
      <c r="B47" s="19" t="s">
        <v>5279</v>
      </c>
      <c r="C47" s="19" t="s">
        <v>5280</v>
      </c>
      <c r="D47" s="192" t="s">
        <v>5281</v>
      </c>
      <c r="E47" s="19" t="s">
        <v>5282</v>
      </c>
      <c r="F47" s="192" t="s">
        <v>5284</v>
      </c>
      <c r="G47" s="19" t="s">
        <v>5285</v>
      </c>
      <c r="H47" s="19" t="s">
        <v>5287</v>
      </c>
      <c r="I47" s="19" t="s">
        <v>5289</v>
      </c>
      <c r="J47" s="192" t="s">
        <v>5291</v>
      </c>
      <c r="K47" s="254"/>
      <c r="L47" s="254"/>
      <c r="M47" s="254"/>
      <c r="N47" s="254"/>
      <c r="O47" s="254"/>
      <c r="P47" s="254"/>
      <c r="Q47" s="254"/>
      <c r="R47" s="254"/>
      <c r="S47" s="254"/>
      <c r="T47" s="254"/>
      <c r="U47" s="254"/>
      <c r="V47" s="254"/>
      <c r="W47" s="254"/>
      <c r="X47" s="254"/>
      <c r="Y47" s="254"/>
      <c r="Z47" s="254"/>
    </row>
    <row r="48">
      <c r="A48" s="19" t="s">
        <v>5293</v>
      </c>
      <c r="B48" s="19" t="s">
        <v>5294</v>
      </c>
      <c r="C48" s="19" t="s">
        <v>5296</v>
      </c>
      <c r="D48" s="19" t="s">
        <v>5297</v>
      </c>
      <c r="E48" s="19" t="s">
        <v>5298</v>
      </c>
      <c r="F48" s="192" t="s">
        <v>5299</v>
      </c>
      <c r="G48" s="19" t="s">
        <v>5300</v>
      </c>
      <c r="H48" s="19" t="s">
        <v>5302</v>
      </c>
      <c r="I48" s="19" t="s">
        <v>5303</v>
      </c>
      <c r="J48" s="192" t="s">
        <v>5304</v>
      </c>
      <c r="K48" s="254"/>
      <c r="L48" s="254"/>
      <c r="M48" s="254"/>
      <c r="N48" s="254"/>
      <c r="O48" s="254"/>
      <c r="P48" s="254"/>
      <c r="Q48" s="254"/>
      <c r="R48" s="254"/>
      <c r="S48" s="254"/>
      <c r="T48" s="254"/>
      <c r="U48" s="254"/>
      <c r="V48" s="254"/>
      <c r="W48" s="254"/>
      <c r="X48" s="254"/>
      <c r="Y48" s="254"/>
      <c r="Z48" s="254"/>
    </row>
    <row r="49">
      <c r="A49" s="19" t="s">
        <v>5307</v>
      </c>
      <c r="B49" s="19" t="s">
        <v>5308</v>
      </c>
      <c r="C49" s="19" t="s">
        <v>5310</v>
      </c>
      <c r="D49" s="19" t="s">
        <v>5311</v>
      </c>
      <c r="E49" s="19" t="s">
        <v>5312</v>
      </c>
      <c r="F49" s="19" t="s">
        <v>5313</v>
      </c>
      <c r="G49" s="19" t="s">
        <v>5314</v>
      </c>
      <c r="H49" s="19" t="s">
        <v>5316</v>
      </c>
      <c r="I49" s="19" t="s">
        <v>5318</v>
      </c>
      <c r="J49" s="192" t="s">
        <v>5319</v>
      </c>
      <c r="K49" s="254"/>
      <c r="L49" s="254"/>
      <c r="M49" s="254"/>
      <c r="N49" s="254"/>
      <c r="O49" s="254"/>
      <c r="P49" s="254"/>
      <c r="Q49" s="254"/>
      <c r="R49" s="254"/>
      <c r="S49" s="254"/>
      <c r="T49" s="254"/>
      <c r="U49" s="254"/>
      <c r="V49" s="254"/>
      <c r="W49" s="254"/>
      <c r="X49" s="254"/>
      <c r="Y49" s="254"/>
      <c r="Z49" s="254"/>
    </row>
    <row r="50">
      <c r="A50" s="192" t="s">
        <v>5321</v>
      </c>
      <c r="B50" s="19" t="s">
        <v>5322</v>
      </c>
      <c r="C50" s="192" t="s">
        <v>5323</v>
      </c>
      <c r="D50" s="19" t="s">
        <v>5325</v>
      </c>
      <c r="E50" s="19" t="s">
        <v>5327</v>
      </c>
      <c r="F50" s="19" t="s">
        <v>5329</v>
      </c>
      <c r="G50" s="19" t="s">
        <v>5331</v>
      </c>
      <c r="H50" s="19" t="s">
        <v>5333</v>
      </c>
      <c r="I50" s="19" t="s">
        <v>5334</v>
      </c>
      <c r="J50" s="192" t="s">
        <v>5335</v>
      </c>
      <c r="K50" s="254"/>
      <c r="L50" s="254"/>
      <c r="M50" s="254"/>
      <c r="N50" s="254"/>
      <c r="O50" s="254"/>
      <c r="P50" s="254"/>
      <c r="Q50" s="254"/>
      <c r="R50" s="254"/>
      <c r="S50" s="254"/>
      <c r="T50" s="254"/>
      <c r="U50" s="254"/>
      <c r="V50" s="254"/>
      <c r="W50" s="254"/>
      <c r="X50" s="254"/>
      <c r="Y50" s="254"/>
      <c r="Z50" s="254"/>
    </row>
    <row r="51">
      <c r="A51" s="192" t="s">
        <v>5338</v>
      </c>
      <c r="B51" s="19" t="s">
        <v>5339</v>
      </c>
      <c r="C51" s="19" t="s">
        <v>5340</v>
      </c>
      <c r="D51" s="19" t="s">
        <v>5342</v>
      </c>
      <c r="E51" s="192" t="s">
        <v>5343</v>
      </c>
      <c r="F51" s="19" t="s">
        <v>5344</v>
      </c>
      <c r="G51" s="19" t="s">
        <v>5345</v>
      </c>
      <c r="H51" s="19" t="s">
        <v>5346</v>
      </c>
      <c r="I51" s="19" t="s">
        <v>5347</v>
      </c>
      <c r="J51" s="192" t="s">
        <v>5348</v>
      </c>
      <c r="K51" s="254"/>
      <c r="L51" s="254"/>
      <c r="M51" s="254"/>
      <c r="N51" s="254"/>
      <c r="O51" s="254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</row>
    <row r="52">
      <c r="A52" s="192" t="s">
        <v>5352</v>
      </c>
      <c r="B52" s="19" t="s">
        <v>5353</v>
      </c>
      <c r="C52" s="192" t="s">
        <v>5354</v>
      </c>
      <c r="D52" s="192" t="s">
        <v>5355</v>
      </c>
      <c r="E52" s="19" t="s">
        <v>5356</v>
      </c>
      <c r="F52" s="19" t="s">
        <v>5357</v>
      </c>
      <c r="G52" s="19" t="s">
        <v>5358</v>
      </c>
      <c r="H52" s="19" t="s">
        <v>5359</v>
      </c>
      <c r="I52" s="19" t="s">
        <v>5360</v>
      </c>
      <c r="J52" s="192" t="s">
        <v>5361</v>
      </c>
      <c r="K52" s="254"/>
      <c r="L52" s="254"/>
      <c r="M52" s="254"/>
      <c r="N52" s="254"/>
      <c r="O52" s="254"/>
      <c r="P52" s="254"/>
      <c r="Q52" s="254"/>
      <c r="R52" s="254"/>
      <c r="S52" s="254"/>
      <c r="T52" s="254"/>
      <c r="U52" s="254"/>
      <c r="V52" s="254"/>
      <c r="W52" s="254"/>
      <c r="X52" s="254"/>
      <c r="Y52" s="254"/>
      <c r="Z52" s="254"/>
    </row>
    <row r="53">
      <c r="A53" s="192" t="s">
        <v>5364</v>
      </c>
      <c r="B53" s="192" t="s">
        <v>5365</v>
      </c>
      <c r="C53" s="192" t="s">
        <v>5366</v>
      </c>
      <c r="D53" s="19" t="s">
        <v>5367</v>
      </c>
      <c r="E53" s="192" t="s">
        <v>5368</v>
      </c>
      <c r="F53" s="192" t="s">
        <v>5369</v>
      </c>
      <c r="G53" s="192" t="s">
        <v>5370</v>
      </c>
      <c r="H53" s="19" t="s">
        <v>5371</v>
      </c>
      <c r="I53" s="19" t="s">
        <v>5372</v>
      </c>
      <c r="J53" s="192" t="s">
        <v>5373</v>
      </c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</row>
    <row r="54">
      <c r="A54" s="192" t="s">
        <v>5376</v>
      </c>
      <c r="B54" s="192" t="s">
        <v>5378</v>
      </c>
      <c r="C54" s="192" t="s">
        <v>5379</v>
      </c>
      <c r="D54" s="19" t="s">
        <v>5381</v>
      </c>
      <c r="E54" s="192" t="s">
        <v>5382</v>
      </c>
      <c r="F54" s="192"/>
      <c r="G54" s="19" t="s">
        <v>5383</v>
      </c>
      <c r="H54" s="192"/>
      <c r="I54" s="19" t="s">
        <v>5384</v>
      </c>
      <c r="J54" s="192" t="s">
        <v>5385</v>
      </c>
      <c r="K54" s="254"/>
      <c r="L54" s="254"/>
      <c r="M54" s="254"/>
      <c r="N54" s="254"/>
      <c r="O54" s="254"/>
      <c r="P54" s="254"/>
      <c r="Q54" s="254"/>
      <c r="R54" s="254"/>
      <c r="S54" s="254"/>
      <c r="T54" s="254"/>
      <c r="U54" s="254"/>
      <c r="V54" s="254"/>
      <c r="W54" s="254"/>
      <c r="X54" s="254"/>
      <c r="Y54" s="254"/>
      <c r="Z54" s="254"/>
    </row>
    <row r="55">
      <c r="A55" s="192" t="s">
        <v>5386</v>
      </c>
      <c r="B55" s="192" t="s">
        <v>5388</v>
      </c>
      <c r="C55" s="192" t="s">
        <v>5389</v>
      </c>
      <c r="D55" s="19" t="s">
        <v>5390</v>
      </c>
      <c r="E55" s="192" t="s">
        <v>5391</v>
      </c>
      <c r="F55" s="192"/>
      <c r="G55" s="19" t="s">
        <v>5392</v>
      </c>
      <c r="H55" s="192"/>
      <c r="I55" s="192" t="s">
        <v>5394</v>
      </c>
      <c r="K55" s="254"/>
      <c r="L55" s="254"/>
      <c r="M55" s="254"/>
      <c r="N55" s="254"/>
      <c r="O55" s="254"/>
      <c r="P55" s="254"/>
      <c r="Q55" s="254"/>
      <c r="R55" s="254"/>
      <c r="S55" s="254"/>
      <c r="T55" s="254"/>
      <c r="U55" s="254"/>
      <c r="V55" s="254"/>
      <c r="W55" s="254"/>
      <c r="X55" s="254"/>
      <c r="Y55" s="254"/>
      <c r="Z55" s="254"/>
    </row>
    <row r="56">
      <c r="A56" s="192"/>
      <c r="B56" s="192"/>
      <c r="C56" s="192"/>
      <c r="D56" s="192"/>
      <c r="E56" s="192"/>
      <c r="F56" s="192"/>
      <c r="H56" s="192"/>
      <c r="I56" s="192"/>
      <c r="J56" s="192"/>
      <c r="K56" s="254"/>
      <c r="L56" s="254"/>
      <c r="M56" s="254"/>
      <c r="N56" s="254"/>
      <c r="O56" s="254"/>
      <c r="P56" s="254"/>
      <c r="Q56" s="254"/>
      <c r="R56" s="254"/>
      <c r="S56" s="254"/>
      <c r="T56" s="254"/>
      <c r="U56" s="254"/>
      <c r="V56" s="254"/>
      <c r="W56" s="254"/>
      <c r="X56" s="254"/>
      <c r="Y56" s="254"/>
      <c r="Z56" s="254"/>
    </row>
    <row r="57">
      <c r="B57" s="192"/>
      <c r="C57" s="192"/>
      <c r="D57" s="192"/>
      <c r="E57" s="192"/>
      <c r="F57" s="192"/>
      <c r="H57" s="192"/>
      <c r="I57" s="192"/>
      <c r="K57" s="254"/>
      <c r="L57" s="254"/>
      <c r="M57" s="254"/>
      <c r="N57" s="254"/>
      <c r="O57" s="254"/>
      <c r="P57" s="254"/>
      <c r="Q57" s="254"/>
      <c r="R57" s="254"/>
      <c r="S57" s="254"/>
      <c r="T57" s="254"/>
      <c r="U57" s="254"/>
      <c r="V57" s="254"/>
      <c r="W57" s="254"/>
      <c r="X57" s="254"/>
      <c r="Y57" s="254"/>
      <c r="Z57" s="254"/>
    </row>
    <row r="58">
      <c r="A58" s="192"/>
      <c r="B58" s="192"/>
      <c r="C58" s="192"/>
      <c r="D58" s="192"/>
      <c r="E58" s="192"/>
      <c r="F58" s="192"/>
      <c r="H58" s="192"/>
      <c r="I58" s="192"/>
      <c r="J58" s="192"/>
      <c r="K58" s="254"/>
      <c r="L58" s="254"/>
      <c r="M58" s="254"/>
      <c r="N58" s="254"/>
      <c r="O58" s="254"/>
      <c r="P58" s="254"/>
      <c r="Q58" s="254"/>
      <c r="R58" s="254"/>
      <c r="S58" s="254"/>
      <c r="T58" s="254"/>
      <c r="U58" s="254"/>
      <c r="V58" s="254"/>
      <c r="W58" s="254"/>
      <c r="X58" s="254"/>
      <c r="Y58" s="254"/>
      <c r="Z58" s="254"/>
    </row>
    <row r="59">
      <c r="A59" s="211" t="s">
        <v>3502</v>
      </c>
      <c r="I59" s="262"/>
      <c r="J59" s="262"/>
      <c r="K59" s="263"/>
      <c r="L59" s="263"/>
      <c r="M59" s="263"/>
      <c r="N59" s="263"/>
      <c r="O59" s="263"/>
      <c r="P59" s="263"/>
      <c r="Q59" s="263"/>
      <c r="R59" s="263"/>
      <c r="S59" s="263"/>
      <c r="T59" s="263"/>
      <c r="U59" s="263"/>
      <c r="V59" s="263"/>
      <c r="W59" s="263"/>
      <c r="X59" s="263"/>
      <c r="Y59" s="263"/>
      <c r="Z59" s="263"/>
    </row>
    <row r="60">
      <c r="A60" s="248" t="s">
        <v>2882</v>
      </c>
      <c r="B60" s="248" t="s">
        <v>3045</v>
      </c>
      <c r="C60" s="167" t="s">
        <v>3046</v>
      </c>
      <c r="D60" s="248" t="s">
        <v>2883</v>
      </c>
      <c r="E60" s="248" t="s">
        <v>64</v>
      </c>
      <c r="F60" s="248" t="s">
        <v>3051</v>
      </c>
      <c r="G60" s="248" t="s">
        <v>587</v>
      </c>
      <c r="H60" s="248" t="s">
        <v>579</v>
      </c>
      <c r="I60" s="262"/>
      <c r="J60" s="262"/>
      <c r="K60" s="263"/>
      <c r="L60" s="263"/>
      <c r="M60" s="263"/>
      <c r="N60" s="263"/>
      <c r="O60" s="263"/>
      <c r="P60" s="263"/>
      <c r="Q60" s="263"/>
      <c r="R60" s="263"/>
      <c r="S60" s="263"/>
      <c r="T60" s="263"/>
      <c r="U60" s="263"/>
      <c r="V60" s="263"/>
      <c r="W60" s="263"/>
      <c r="X60" s="263"/>
      <c r="Y60" s="263"/>
      <c r="Z60" s="263"/>
    </row>
    <row r="61">
      <c r="A61" s="262" t="s">
        <v>5410</v>
      </c>
      <c r="B61" s="262" t="s">
        <v>5411</v>
      </c>
      <c r="C61" s="262" t="s">
        <v>5412</v>
      </c>
      <c r="D61" s="262" t="s">
        <v>5413</v>
      </c>
      <c r="E61" s="9" t="s">
        <v>645</v>
      </c>
      <c r="F61" s="9" t="s">
        <v>5414</v>
      </c>
      <c r="G61" s="262" t="s">
        <v>5415</v>
      </c>
      <c r="H61" s="9" t="s">
        <v>5414</v>
      </c>
      <c r="I61" s="262"/>
      <c r="J61" s="262"/>
      <c r="K61" s="263"/>
      <c r="L61" s="263"/>
      <c r="M61" s="263"/>
      <c r="N61" s="263"/>
      <c r="O61" s="263"/>
      <c r="P61" s="263"/>
      <c r="Q61" s="263"/>
      <c r="R61" s="263"/>
      <c r="S61" s="263"/>
      <c r="T61" s="263"/>
      <c r="U61" s="263"/>
      <c r="V61" s="263"/>
      <c r="W61" s="263"/>
      <c r="X61" s="263"/>
      <c r="Y61" s="263"/>
      <c r="Z61" s="263"/>
    </row>
    <row r="62">
      <c r="A62" s="9" t="s">
        <v>5419</v>
      </c>
      <c r="B62" s="9" t="s">
        <v>5411</v>
      </c>
      <c r="C62" s="262" t="s">
        <v>5420</v>
      </c>
      <c r="D62" s="9" t="s">
        <v>5422</v>
      </c>
      <c r="E62" s="262" t="s">
        <v>5423</v>
      </c>
      <c r="F62" s="9" t="s">
        <v>5424</v>
      </c>
      <c r="G62" s="9" t="s">
        <v>5424</v>
      </c>
      <c r="H62" s="262" t="s">
        <v>5425</v>
      </c>
      <c r="I62" s="262"/>
      <c r="J62" s="262"/>
      <c r="K62" s="263"/>
      <c r="L62" s="263"/>
      <c r="M62" s="263"/>
      <c r="N62" s="263"/>
      <c r="O62" s="263"/>
      <c r="P62" s="263"/>
      <c r="Q62" s="263"/>
      <c r="R62" s="263"/>
      <c r="S62" s="263"/>
      <c r="T62" s="263"/>
      <c r="U62" s="263"/>
      <c r="V62" s="263"/>
      <c r="W62" s="263"/>
      <c r="X62" s="263"/>
      <c r="Y62" s="263"/>
      <c r="Z62" s="263"/>
    </row>
    <row r="63">
      <c r="A63" s="9" t="s">
        <v>5427</v>
      </c>
      <c r="B63" s="9" t="s">
        <v>5428</v>
      </c>
      <c r="C63" s="9" t="s">
        <v>5429</v>
      </c>
      <c r="D63" s="9" t="s">
        <v>5430</v>
      </c>
      <c r="E63" s="262" t="s">
        <v>658</v>
      </c>
      <c r="F63" s="9" t="s">
        <v>5432</v>
      </c>
      <c r="G63" s="9" t="s">
        <v>5433</v>
      </c>
      <c r="H63" s="9" t="s">
        <v>5432</v>
      </c>
      <c r="I63" s="262"/>
      <c r="J63" s="16"/>
      <c r="K63" s="263"/>
      <c r="L63" s="263"/>
      <c r="M63" s="263"/>
      <c r="N63" s="263"/>
      <c r="O63" s="263"/>
      <c r="P63" s="263"/>
      <c r="Q63" s="263"/>
      <c r="R63" s="263"/>
      <c r="S63" s="263"/>
      <c r="T63" s="263"/>
      <c r="U63" s="263"/>
      <c r="V63" s="263"/>
      <c r="W63" s="263"/>
      <c r="X63" s="263"/>
      <c r="Y63" s="263"/>
      <c r="Z63" s="263"/>
    </row>
    <row r="64">
      <c r="A64" s="9" t="s">
        <v>5435</v>
      </c>
      <c r="B64" s="9" t="s">
        <v>5428</v>
      </c>
      <c r="C64" s="9" t="s">
        <v>5420</v>
      </c>
      <c r="D64" s="9" t="s">
        <v>5436</v>
      </c>
      <c r="E64" s="9" t="s">
        <v>645</v>
      </c>
      <c r="F64" s="9" t="s">
        <v>5437</v>
      </c>
      <c r="G64" s="9" t="s">
        <v>5438</v>
      </c>
      <c r="H64" s="9" t="s">
        <v>5439</v>
      </c>
      <c r="I64" s="16"/>
      <c r="J64" s="263"/>
      <c r="K64" s="263"/>
      <c r="L64" s="263"/>
      <c r="M64" s="263"/>
      <c r="N64" s="263"/>
      <c r="O64" s="263"/>
      <c r="P64" s="263"/>
      <c r="Q64" s="263"/>
      <c r="R64" s="263"/>
      <c r="S64" s="263"/>
      <c r="T64" s="263"/>
      <c r="U64" s="263"/>
      <c r="V64" s="263"/>
      <c r="W64" s="263"/>
      <c r="X64" s="263"/>
      <c r="Y64" s="263"/>
      <c r="Z64" s="263"/>
    </row>
    <row r="65">
      <c r="A65" s="9" t="s">
        <v>5442</v>
      </c>
      <c r="B65" s="9" t="s">
        <v>5443</v>
      </c>
      <c r="C65" s="9" t="s">
        <v>5412</v>
      </c>
      <c r="D65" s="9" t="s">
        <v>5444</v>
      </c>
      <c r="E65" s="9" t="s">
        <v>349</v>
      </c>
      <c r="F65" s="9" t="s">
        <v>5445</v>
      </c>
      <c r="G65" s="9" t="s">
        <v>5446</v>
      </c>
      <c r="H65" s="9" t="s">
        <v>5445</v>
      </c>
      <c r="I65" s="16"/>
      <c r="J65" s="16"/>
      <c r="K65" s="263"/>
      <c r="L65" s="263"/>
      <c r="M65" s="263"/>
      <c r="N65" s="263"/>
      <c r="O65" s="263"/>
      <c r="P65" s="263"/>
      <c r="Q65" s="263"/>
      <c r="R65" s="263"/>
      <c r="S65" s="263"/>
      <c r="T65" s="263"/>
      <c r="U65" s="263"/>
      <c r="V65" s="263"/>
      <c r="W65" s="263"/>
      <c r="X65" s="263"/>
      <c r="Y65" s="263"/>
      <c r="Z65" s="263"/>
    </row>
    <row r="66">
      <c r="A66" s="9" t="s">
        <v>5448</v>
      </c>
      <c r="B66" s="9" t="s">
        <v>5443</v>
      </c>
      <c r="C66" s="9" t="s">
        <v>5420</v>
      </c>
      <c r="D66" s="9" t="s">
        <v>5413</v>
      </c>
      <c r="E66" s="9" t="s">
        <v>5423</v>
      </c>
      <c r="F66" s="9" t="s">
        <v>5449</v>
      </c>
      <c r="G66" s="9" t="s">
        <v>5424</v>
      </c>
      <c r="H66" s="9" t="s">
        <v>5449</v>
      </c>
      <c r="I66" s="16"/>
      <c r="J66" s="16"/>
      <c r="K66" s="263"/>
      <c r="L66" s="263"/>
      <c r="M66" s="263"/>
      <c r="N66" s="263"/>
      <c r="O66" s="263"/>
      <c r="P66" s="263"/>
      <c r="Q66" s="263"/>
      <c r="R66" s="263"/>
      <c r="S66" s="263"/>
      <c r="T66" s="263"/>
      <c r="U66" s="263"/>
      <c r="V66" s="263"/>
      <c r="W66" s="263"/>
      <c r="X66" s="263"/>
      <c r="Y66" s="263"/>
      <c r="Z66" s="263"/>
    </row>
    <row r="67">
      <c r="A67" s="9" t="s">
        <v>5452</v>
      </c>
      <c r="B67" s="9" t="s">
        <v>5443</v>
      </c>
      <c r="C67" s="9" t="s">
        <v>5453</v>
      </c>
      <c r="D67" s="9" t="s">
        <v>5454</v>
      </c>
      <c r="E67" s="9" t="s">
        <v>5288</v>
      </c>
      <c r="F67" s="9" t="s">
        <v>5457</v>
      </c>
      <c r="G67" s="9" t="s">
        <v>5457</v>
      </c>
      <c r="H67" s="9" t="s">
        <v>5458</v>
      </c>
      <c r="I67" s="16"/>
      <c r="J67" s="16"/>
      <c r="K67" s="263"/>
      <c r="L67" s="263"/>
      <c r="M67" s="263"/>
      <c r="N67" s="263"/>
      <c r="O67" s="263"/>
      <c r="P67" s="263"/>
      <c r="Q67" s="263"/>
      <c r="R67" s="263"/>
      <c r="S67" s="263"/>
      <c r="T67" s="263"/>
      <c r="U67" s="263"/>
      <c r="V67" s="263"/>
      <c r="W67" s="263"/>
      <c r="X67" s="263"/>
      <c r="Y67" s="263"/>
      <c r="Z67" s="263"/>
    </row>
    <row r="68">
      <c r="A68" s="9" t="s">
        <v>5461</v>
      </c>
      <c r="B68" s="9" t="s">
        <v>5463</v>
      </c>
      <c r="C68" s="9" t="s">
        <v>5464</v>
      </c>
      <c r="D68" s="9" t="s">
        <v>5466</v>
      </c>
      <c r="E68" s="9" t="s">
        <v>5467</v>
      </c>
      <c r="F68" s="9" t="s">
        <v>5468</v>
      </c>
      <c r="G68" s="9" t="s">
        <v>5469</v>
      </c>
      <c r="H68" s="9" t="s">
        <v>5468</v>
      </c>
      <c r="I68" s="262"/>
      <c r="J68" s="16"/>
      <c r="K68" s="263"/>
      <c r="L68" s="263"/>
      <c r="M68" s="263"/>
      <c r="N68" s="263"/>
      <c r="O68" s="263"/>
      <c r="P68" s="263"/>
      <c r="Q68" s="263"/>
      <c r="R68" s="263"/>
      <c r="S68" s="263"/>
      <c r="T68" s="263"/>
      <c r="U68" s="263"/>
      <c r="V68" s="263"/>
      <c r="W68" s="263"/>
      <c r="X68" s="263"/>
      <c r="Y68" s="263"/>
      <c r="Z68" s="263"/>
    </row>
    <row r="69">
      <c r="A69" s="9" t="s">
        <v>5472</v>
      </c>
      <c r="B69" s="9" t="s">
        <v>5463</v>
      </c>
      <c r="C69" s="9" t="s">
        <v>5420</v>
      </c>
      <c r="D69" s="9" t="s">
        <v>5474</v>
      </c>
      <c r="E69" s="9" t="s">
        <v>5244</v>
      </c>
      <c r="F69" s="9" t="s">
        <v>5475</v>
      </c>
      <c r="G69" s="9" t="s">
        <v>5476</v>
      </c>
      <c r="H69" s="9" t="s">
        <v>5475</v>
      </c>
      <c r="I69" s="16"/>
      <c r="J69" s="16"/>
      <c r="K69" s="263"/>
      <c r="L69" s="263"/>
      <c r="M69" s="263"/>
      <c r="N69" s="263"/>
      <c r="O69" s="263"/>
      <c r="P69" s="263"/>
      <c r="Q69" s="263"/>
      <c r="R69" s="263"/>
      <c r="S69" s="263"/>
      <c r="T69" s="263"/>
      <c r="U69" s="263"/>
      <c r="V69" s="263"/>
      <c r="W69" s="263"/>
      <c r="X69" s="263"/>
      <c r="Y69" s="263"/>
      <c r="Z69" s="263"/>
    </row>
    <row r="70">
      <c r="A70" s="9" t="s">
        <v>5479</v>
      </c>
      <c r="B70" s="9" t="s">
        <v>5463</v>
      </c>
      <c r="C70" s="9" t="s">
        <v>5412</v>
      </c>
      <c r="D70" s="9" t="s">
        <v>5436</v>
      </c>
      <c r="E70" s="9" t="s">
        <v>5288</v>
      </c>
      <c r="F70" s="9" t="s">
        <v>5480</v>
      </c>
      <c r="G70" s="9" t="s">
        <v>5481</v>
      </c>
      <c r="H70" s="9" t="s">
        <v>5480</v>
      </c>
      <c r="I70" s="16"/>
      <c r="J70" s="16"/>
      <c r="K70" s="263"/>
      <c r="L70" s="263"/>
      <c r="M70" s="263"/>
      <c r="N70" s="263"/>
      <c r="O70" s="263"/>
      <c r="P70" s="263"/>
      <c r="Q70" s="263"/>
      <c r="R70" s="263"/>
      <c r="S70" s="263"/>
      <c r="T70" s="263"/>
      <c r="U70" s="263"/>
      <c r="V70" s="263"/>
      <c r="W70" s="263"/>
      <c r="X70" s="263"/>
      <c r="Y70" s="263"/>
      <c r="Z70" s="263"/>
    </row>
    <row r="71">
      <c r="A71" s="9" t="s">
        <v>5483</v>
      </c>
      <c r="B71" s="9" t="s">
        <v>3061</v>
      </c>
      <c r="C71" s="9" t="s">
        <v>5420</v>
      </c>
      <c r="D71" s="9" t="s">
        <v>5474</v>
      </c>
      <c r="E71" s="9" t="s">
        <v>5485</v>
      </c>
      <c r="F71" s="9" t="s">
        <v>5476</v>
      </c>
      <c r="G71" s="9" t="s">
        <v>5476</v>
      </c>
      <c r="H71" s="9" t="s">
        <v>5486</v>
      </c>
      <c r="I71" s="16"/>
      <c r="J71" s="16"/>
      <c r="K71" s="263"/>
      <c r="L71" s="263"/>
      <c r="M71" s="263"/>
      <c r="N71" s="263"/>
      <c r="O71" s="263"/>
      <c r="P71" s="263"/>
      <c r="Q71" s="263"/>
      <c r="R71" s="263"/>
      <c r="S71" s="263"/>
      <c r="T71" s="263"/>
      <c r="U71" s="263"/>
      <c r="V71" s="263"/>
      <c r="W71" s="263"/>
      <c r="X71" s="263"/>
      <c r="Y71" s="263"/>
      <c r="Z71" s="263"/>
    </row>
    <row r="72">
      <c r="A72" s="9" t="s">
        <v>5487</v>
      </c>
      <c r="B72" s="262" t="s">
        <v>3061</v>
      </c>
      <c r="C72" s="9" t="s">
        <v>5412</v>
      </c>
      <c r="D72" s="9" t="s">
        <v>5490</v>
      </c>
      <c r="E72" s="9" t="s">
        <v>5326</v>
      </c>
      <c r="F72" s="9" t="s">
        <v>5491</v>
      </c>
      <c r="G72" s="9" t="s">
        <v>5492</v>
      </c>
      <c r="H72" s="9" t="s">
        <v>5491</v>
      </c>
      <c r="I72" s="16"/>
      <c r="J72" s="16"/>
      <c r="K72" s="263"/>
      <c r="L72" s="263"/>
      <c r="M72" s="263"/>
      <c r="N72" s="263"/>
      <c r="O72" s="263"/>
      <c r="P72" s="263"/>
      <c r="Q72" s="263"/>
      <c r="R72" s="263"/>
      <c r="S72" s="263"/>
      <c r="T72" s="263"/>
      <c r="U72" s="263"/>
      <c r="V72" s="263"/>
      <c r="W72" s="263"/>
      <c r="X72" s="263"/>
      <c r="Y72" s="263"/>
      <c r="Z72" s="263"/>
    </row>
    <row r="73">
      <c r="A73" s="264" t="s">
        <v>5493</v>
      </c>
      <c r="B73" s="262" t="s">
        <v>3061</v>
      </c>
      <c r="C73" s="9" t="s">
        <v>5429</v>
      </c>
      <c r="D73" s="9" t="s">
        <v>5466</v>
      </c>
      <c r="E73" s="9" t="s">
        <v>5288</v>
      </c>
      <c r="F73" s="9" t="s">
        <v>5468</v>
      </c>
      <c r="G73" s="9" t="s">
        <v>5495</v>
      </c>
      <c r="H73" s="9" t="s">
        <v>5468</v>
      </c>
      <c r="I73" s="16"/>
      <c r="J73" s="16"/>
      <c r="K73" s="263"/>
      <c r="L73" s="263"/>
      <c r="M73" s="263"/>
      <c r="N73" s="263"/>
      <c r="O73" s="263"/>
      <c r="P73" s="263"/>
      <c r="Q73" s="263"/>
      <c r="R73" s="263"/>
      <c r="S73" s="263"/>
      <c r="T73" s="263"/>
      <c r="U73" s="263"/>
      <c r="V73" s="263"/>
      <c r="W73" s="263"/>
      <c r="X73" s="263"/>
      <c r="Y73" s="263"/>
      <c r="Z73" s="263"/>
    </row>
    <row r="74">
      <c r="A74" s="265" t="s">
        <v>5499</v>
      </c>
      <c r="B74" s="266" t="s">
        <v>3077</v>
      </c>
      <c r="C74" s="267" t="s">
        <v>5464</v>
      </c>
      <c r="D74" s="267" t="s">
        <v>5474</v>
      </c>
      <c r="E74" s="267" t="s">
        <v>5423</v>
      </c>
      <c r="F74" s="267" t="s">
        <v>5502</v>
      </c>
      <c r="G74" s="268" t="s">
        <v>5503</v>
      </c>
      <c r="H74" s="9" t="s">
        <v>5504</v>
      </c>
      <c r="I74" s="16"/>
      <c r="J74" s="16"/>
      <c r="K74" s="263"/>
      <c r="L74" s="263"/>
      <c r="M74" s="263"/>
      <c r="N74" s="263"/>
      <c r="O74" s="263"/>
      <c r="P74" s="263"/>
      <c r="Q74" s="263"/>
      <c r="R74" s="263"/>
      <c r="S74" s="263"/>
      <c r="T74" s="263"/>
      <c r="U74" s="263"/>
      <c r="V74" s="263"/>
      <c r="W74" s="263"/>
      <c r="X74" s="263"/>
      <c r="Y74" s="263"/>
      <c r="Z74" s="263"/>
    </row>
    <row r="75">
      <c r="A75" s="265" t="s">
        <v>5507</v>
      </c>
      <c r="B75" s="266" t="s">
        <v>3077</v>
      </c>
      <c r="C75" s="267" t="s">
        <v>5429</v>
      </c>
      <c r="D75" s="267" t="s">
        <v>5466</v>
      </c>
      <c r="E75" s="267" t="s">
        <v>658</v>
      </c>
      <c r="F75" s="267" t="s">
        <v>5468</v>
      </c>
      <c r="G75" s="268" t="s">
        <v>5509</v>
      </c>
      <c r="H75" s="9" t="s">
        <v>5468</v>
      </c>
      <c r="I75" s="16"/>
      <c r="J75" s="16"/>
      <c r="K75" s="263"/>
      <c r="L75" s="263"/>
      <c r="M75" s="263"/>
      <c r="N75" s="263"/>
      <c r="O75" s="263"/>
      <c r="P75" s="263"/>
      <c r="Q75" s="263"/>
      <c r="R75" s="263"/>
      <c r="S75" s="263"/>
      <c r="T75" s="263"/>
      <c r="U75" s="263"/>
      <c r="V75" s="263"/>
      <c r="W75" s="263"/>
      <c r="X75" s="263"/>
      <c r="Y75" s="263"/>
      <c r="Z75" s="263"/>
    </row>
    <row r="76">
      <c r="A76" s="265" t="s">
        <v>5512</v>
      </c>
      <c r="B76" s="266" t="s">
        <v>3077</v>
      </c>
      <c r="C76" s="267" t="s">
        <v>5453</v>
      </c>
      <c r="D76" s="267" t="s">
        <v>5454</v>
      </c>
      <c r="E76" s="267" t="s">
        <v>5244</v>
      </c>
      <c r="F76" s="267" t="s">
        <v>5514</v>
      </c>
      <c r="G76" s="268" t="s">
        <v>5515</v>
      </c>
      <c r="H76" s="267" t="s">
        <v>5514</v>
      </c>
      <c r="I76" s="16"/>
      <c r="J76" s="16"/>
      <c r="K76" s="263"/>
      <c r="L76" s="263"/>
      <c r="M76" s="263"/>
      <c r="N76" s="263"/>
      <c r="O76" s="263"/>
      <c r="P76" s="263"/>
      <c r="Q76" s="263"/>
      <c r="R76" s="263"/>
      <c r="S76" s="263"/>
      <c r="T76" s="263"/>
      <c r="U76" s="263"/>
      <c r="V76" s="263"/>
      <c r="W76" s="263"/>
      <c r="X76" s="263"/>
      <c r="Y76" s="263"/>
      <c r="Z76" s="263"/>
    </row>
    <row r="77">
      <c r="A77" s="265" t="s">
        <v>5518</v>
      </c>
      <c r="B77" s="266" t="s">
        <v>3096</v>
      </c>
      <c r="C77" s="267" t="s">
        <v>5412</v>
      </c>
      <c r="D77" s="267" t="s">
        <v>5436</v>
      </c>
      <c r="E77" s="267" t="s">
        <v>5519</v>
      </c>
      <c r="F77" s="267" t="s">
        <v>5520</v>
      </c>
      <c r="G77" s="267" t="s">
        <v>5520</v>
      </c>
      <c r="H77" s="267" t="s">
        <v>5520</v>
      </c>
      <c r="I77" s="16"/>
      <c r="J77" s="16"/>
      <c r="K77" s="263"/>
      <c r="L77" s="263"/>
      <c r="M77" s="263"/>
      <c r="N77" s="263"/>
      <c r="O77" s="263"/>
      <c r="P77" s="263"/>
      <c r="Q77" s="263"/>
      <c r="R77" s="263"/>
      <c r="S77" s="263"/>
      <c r="T77" s="263"/>
      <c r="U77" s="263"/>
      <c r="V77" s="263"/>
      <c r="W77" s="263"/>
      <c r="X77" s="263"/>
      <c r="Y77" s="263"/>
      <c r="Z77" s="263"/>
    </row>
    <row r="78">
      <c r="A78" s="265" t="s">
        <v>5525</v>
      </c>
      <c r="B78" s="266" t="s">
        <v>3096</v>
      </c>
      <c r="C78" s="267" t="s">
        <v>5464</v>
      </c>
      <c r="D78" s="267" t="s">
        <v>5430</v>
      </c>
      <c r="E78" s="267" t="s">
        <v>5205</v>
      </c>
      <c r="F78" s="267" t="s">
        <v>5526</v>
      </c>
      <c r="G78" s="267" t="s">
        <v>5526</v>
      </c>
      <c r="H78" s="9" t="s">
        <v>5527</v>
      </c>
      <c r="I78" s="16"/>
      <c r="J78" s="16"/>
      <c r="K78" s="263"/>
      <c r="L78" s="263"/>
      <c r="M78" s="263"/>
      <c r="N78" s="263"/>
      <c r="O78" s="263"/>
      <c r="P78" s="263"/>
      <c r="Q78" s="263"/>
      <c r="R78" s="263"/>
      <c r="S78" s="263"/>
      <c r="T78" s="263"/>
      <c r="U78" s="263"/>
      <c r="V78" s="263"/>
      <c r="W78" s="263"/>
      <c r="X78" s="263"/>
      <c r="Y78" s="263"/>
      <c r="Z78" s="263"/>
    </row>
    <row r="79">
      <c r="A79" s="265" t="s">
        <v>5530</v>
      </c>
      <c r="B79" s="266" t="s">
        <v>3096</v>
      </c>
      <c r="C79" s="267" t="s">
        <v>5453</v>
      </c>
      <c r="D79" s="267" t="s">
        <v>5444</v>
      </c>
      <c r="E79" s="267" t="s">
        <v>5326</v>
      </c>
      <c r="F79" s="266" t="s">
        <v>5531</v>
      </c>
      <c r="G79" s="268" t="s">
        <v>5532</v>
      </c>
      <c r="H79" s="262" t="s">
        <v>5533</v>
      </c>
      <c r="I79" s="16"/>
      <c r="J79" s="16"/>
      <c r="K79" s="263"/>
      <c r="L79" s="263"/>
      <c r="M79" s="263"/>
      <c r="N79" s="263"/>
      <c r="O79" s="263"/>
      <c r="P79" s="263"/>
      <c r="Q79" s="263"/>
      <c r="R79" s="263"/>
      <c r="S79" s="263"/>
      <c r="T79" s="263"/>
      <c r="U79" s="263"/>
      <c r="V79" s="263"/>
      <c r="W79" s="263"/>
      <c r="X79" s="263"/>
      <c r="Y79" s="263"/>
      <c r="Z79" s="263"/>
    </row>
    <row r="80">
      <c r="A80" s="103" t="s">
        <v>882</v>
      </c>
      <c r="I80" s="16"/>
      <c r="J80" s="16"/>
      <c r="K80" s="263"/>
      <c r="L80" s="263"/>
      <c r="M80" s="263"/>
      <c r="N80" s="263"/>
      <c r="O80" s="263"/>
      <c r="P80" s="263"/>
      <c r="Q80" s="263"/>
      <c r="R80" s="263"/>
      <c r="S80" s="263"/>
      <c r="T80" s="263"/>
      <c r="U80" s="263"/>
      <c r="V80" s="263"/>
      <c r="W80" s="263"/>
      <c r="X80" s="263"/>
      <c r="Y80" s="263"/>
      <c r="Z80" s="263"/>
    </row>
    <row r="81">
      <c r="A81" s="269"/>
      <c r="B81" s="270"/>
      <c r="C81" s="270"/>
      <c r="D81" s="270"/>
      <c r="E81" s="270"/>
      <c r="F81" s="270"/>
      <c r="G81" s="271"/>
      <c r="H81" s="263"/>
      <c r="I81" s="263"/>
      <c r="J81" s="263"/>
      <c r="K81" s="263"/>
      <c r="L81" s="263"/>
      <c r="M81" s="263"/>
      <c r="N81" s="263"/>
      <c r="O81" s="263"/>
      <c r="P81" s="263"/>
      <c r="Q81" s="263"/>
      <c r="R81" s="263"/>
      <c r="S81" s="263"/>
      <c r="T81" s="263"/>
      <c r="U81" s="263"/>
      <c r="V81" s="263"/>
      <c r="W81" s="263"/>
      <c r="X81" s="263"/>
      <c r="Y81" s="263"/>
      <c r="Z81" s="263"/>
    </row>
    <row r="82">
      <c r="A82" s="265"/>
      <c r="B82" s="270"/>
      <c r="C82" s="270"/>
      <c r="D82" s="270"/>
      <c r="E82" s="270"/>
      <c r="F82" s="270"/>
      <c r="G82" s="271"/>
      <c r="H82" s="263"/>
      <c r="I82" s="263"/>
      <c r="J82" s="263"/>
      <c r="K82" s="263"/>
      <c r="L82" s="263"/>
      <c r="M82" s="263"/>
      <c r="N82" s="263"/>
      <c r="O82" s="263"/>
      <c r="P82" s="263"/>
      <c r="Q82" s="263"/>
      <c r="R82" s="263"/>
      <c r="S82" s="263"/>
      <c r="T82" s="263"/>
      <c r="U82" s="263"/>
      <c r="V82" s="263"/>
      <c r="W82" s="263"/>
      <c r="X82" s="263"/>
      <c r="Y82" s="263"/>
      <c r="Z82" s="263"/>
    </row>
    <row r="83">
      <c r="A83" s="265"/>
      <c r="B83" s="270"/>
      <c r="C83" s="270"/>
      <c r="D83" s="270"/>
      <c r="E83" s="270"/>
      <c r="F83" s="270"/>
      <c r="G83" s="270"/>
      <c r="H83" s="263"/>
      <c r="I83" s="263"/>
      <c r="J83" s="263"/>
      <c r="K83" s="263"/>
      <c r="L83" s="263"/>
      <c r="M83" s="263"/>
      <c r="N83" s="263"/>
      <c r="O83" s="263"/>
      <c r="P83" s="263"/>
      <c r="Q83" s="263"/>
      <c r="R83" s="263"/>
      <c r="S83" s="263"/>
      <c r="T83" s="263"/>
      <c r="U83" s="263"/>
      <c r="V83" s="263"/>
      <c r="W83" s="263"/>
      <c r="X83" s="263"/>
      <c r="Y83" s="263"/>
      <c r="Z83" s="263"/>
    </row>
    <row r="84">
      <c r="A84" s="265"/>
      <c r="B84" s="270"/>
      <c r="C84" s="270"/>
      <c r="D84" s="270"/>
      <c r="E84" s="270"/>
      <c r="F84" s="270"/>
      <c r="G84" s="270"/>
      <c r="H84" s="263"/>
      <c r="I84" s="263"/>
      <c r="J84" s="263"/>
      <c r="K84" s="263"/>
      <c r="L84" s="263"/>
      <c r="M84" s="263"/>
      <c r="N84" s="263"/>
      <c r="O84" s="263"/>
      <c r="P84" s="263"/>
      <c r="Q84" s="263"/>
      <c r="R84" s="263"/>
      <c r="S84" s="263"/>
      <c r="T84" s="263"/>
      <c r="U84" s="263"/>
      <c r="V84" s="263"/>
      <c r="W84" s="263"/>
      <c r="X84" s="263"/>
      <c r="Y84" s="263"/>
      <c r="Z84" s="263"/>
    </row>
    <row r="85">
      <c r="A85" s="272"/>
      <c r="B85" s="270"/>
      <c r="C85" s="270"/>
      <c r="D85" s="270"/>
      <c r="E85" s="270"/>
      <c r="F85" s="270"/>
      <c r="G85" s="270"/>
      <c r="H85" s="263"/>
      <c r="I85" s="263"/>
      <c r="J85" s="263"/>
      <c r="K85" s="263"/>
      <c r="L85" s="263"/>
      <c r="M85" s="263"/>
      <c r="N85" s="263"/>
      <c r="O85" s="263"/>
      <c r="P85" s="263"/>
      <c r="Q85" s="263"/>
      <c r="R85" s="263"/>
      <c r="S85" s="263"/>
      <c r="T85" s="263"/>
      <c r="U85" s="263"/>
      <c r="V85" s="263"/>
      <c r="W85" s="263"/>
      <c r="X85" s="263"/>
      <c r="Y85" s="263"/>
      <c r="Z85" s="263"/>
    </row>
    <row r="86">
      <c r="A86" s="265"/>
      <c r="B86" s="270"/>
      <c r="C86" s="270"/>
      <c r="D86" s="270"/>
      <c r="E86" s="270"/>
      <c r="F86" s="270"/>
      <c r="G86" s="270"/>
      <c r="H86" s="263"/>
      <c r="I86" s="263"/>
      <c r="J86" s="263"/>
      <c r="K86" s="263"/>
      <c r="L86" s="263"/>
      <c r="M86" s="263"/>
      <c r="N86" s="263"/>
      <c r="O86" s="263"/>
      <c r="P86" s="263"/>
      <c r="Q86" s="263"/>
      <c r="R86" s="263"/>
      <c r="S86" s="263"/>
      <c r="T86" s="263"/>
      <c r="U86" s="263"/>
      <c r="V86" s="263"/>
      <c r="W86" s="263"/>
      <c r="X86" s="263"/>
      <c r="Y86" s="263"/>
      <c r="Z86" s="263"/>
    </row>
    <row r="87">
      <c r="A87" s="265"/>
      <c r="B87" s="270"/>
      <c r="C87" s="270"/>
      <c r="D87" s="270"/>
      <c r="E87" s="270"/>
      <c r="F87" s="270"/>
      <c r="G87" s="270"/>
      <c r="H87" s="263"/>
      <c r="I87" s="263"/>
      <c r="J87" s="263"/>
      <c r="K87" s="263"/>
      <c r="L87" s="263"/>
      <c r="M87" s="263"/>
      <c r="N87" s="263"/>
      <c r="O87" s="263"/>
      <c r="P87" s="263"/>
      <c r="Q87" s="263"/>
      <c r="R87" s="263"/>
      <c r="S87" s="263"/>
      <c r="T87" s="263"/>
      <c r="U87" s="263"/>
      <c r="V87" s="263"/>
      <c r="W87" s="263"/>
      <c r="X87" s="263"/>
      <c r="Y87" s="263"/>
      <c r="Z87" s="263"/>
    </row>
    <row r="88">
      <c r="A88" s="265"/>
      <c r="B88" s="270"/>
      <c r="C88" s="270"/>
      <c r="D88" s="270"/>
      <c r="E88" s="270"/>
      <c r="F88" s="270"/>
      <c r="G88" s="270"/>
      <c r="H88" s="263"/>
      <c r="I88" s="263"/>
      <c r="J88" s="263"/>
      <c r="K88" s="263"/>
      <c r="L88" s="263"/>
      <c r="M88" s="263"/>
      <c r="N88" s="263"/>
      <c r="O88" s="263"/>
      <c r="P88" s="263"/>
      <c r="Q88" s="263"/>
      <c r="R88" s="263"/>
      <c r="S88" s="263"/>
      <c r="T88" s="263"/>
      <c r="U88" s="263"/>
      <c r="V88" s="263"/>
      <c r="W88" s="263"/>
      <c r="X88" s="263"/>
      <c r="Y88" s="263"/>
      <c r="Z88" s="263"/>
    </row>
    <row r="89">
      <c r="A89" s="265"/>
      <c r="B89" s="270"/>
      <c r="C89" s="270"/>
      <c r="D89" s="270"/>
      <c r="E89" s="270"/>
      <c r="F89" s="270"/>
      <c r="G89" s="270"/>
      <c r="H89" s="263"/>
      <c r="I89" s="263"/>
      <c r="J89" s="263"/>
      <c r="K89" s="263"/>
      <c r="L89" s="263"/>
      <c r="M89" s="263"/>
      <c r="N89" s="263"/>
      <c r="O89" s="263"/>
      <c r="P89" s="263"/>
      <c r="Q89" s="263"/>
      <c r="R89" s="263"/>
      <c r="S89" s="263"/>
      <c r="T89" s="263"/>
      <c r="U89" s="263"/>
      <c r="V89" s="263"/>
      <c r="W89" s="263"/>
      <c r="X89" s="263"/>
      <c r="Y89" s="263"/>
      <c r="Z89" s="263"/>
    </row>
    <row r="90">
      <c r="A90" s="272"/>
      <c r="B90" s="270"/>
      <c r="C90" s="270"/>
      <c r="D90" s="270"/>
      <c r="E90" s="270"/>
      <c r="F90" s="270"/>
      <c r="G90" s="270"/>
      <c r="H90" s="263"/>
      <c r="I90" s="263"/>
      <c r="J90" s="263"/>
      <c r="K90" s="263"/>
      <c r="L90" s="263"/>
      <c r="M90" s="263"/>
      <c r="N90" s="263"/>
      <c r="O90" s="263"/>
      <c r="P90" s="263"/>
      <c r="Q90" s="263"/>
      <c r="R90" s="263"/>
      <c r="S90" s="263"/>
      <c r="T90" s="263"/>
      <c r="U90" s="263"/>
      <c r="V90" s="263"/>
      <c r="W90" s="263"/>
      <c r="X90" s="263"/>
      <c r="Y90" s="263"/>
      <c r="Z90" s="263"/>
    </row>
    <row r="91">
      <c r="A91" s="265"/>
      <c r="B91" s="263"/>
      <c r="C91" s="263"/>
      <c r="D91" s="263"/>
      <c r="E91" s="263"/>
      <c r="F91" s="263"/>
      <c r="G91" s="263"/>
      <c r="H91" s="263"/>
      <c r="I91" s="263"/>
      <c r="J91" s="263"/>
      <c r="K91" s="263"/>
      <c r="L91" s="263"/>
      <c r="M91" s="263"/>
      <c r="N91" s="263"/>
      <c r="O91" s="263"/>
      <c r="P91" s="263"/>
      <c r="Q91" s="263"/>
      <c r="R91" s="263"/>
      <c r="S91" s="263"/>
      <c r="T91" s="263"/>
      <c r="U91" s="263"/>
      <c r="V91" s="263"/>
      <c r="W91" s="263"/>
      <c r="X91" s="263"/>
      <c r="Y91" s="263"/>
      <c r="Z91" s="263"/>
    </row>
    <row r="92">
      <c r="A92" s="274"/>
      <c r="B92" s="263"/>
      <c r="C92" s="263"/>
      <c r="D92" s="263"/>
      <c r="E92" s="263"/>
      <c r="F92" s="263"/>
      <c r="G92" s="263"/>
      <c r="H92" s="263"/>
      <c r="I92" s="263"/>
      <c r="J92" s="263"/>
      <c r="K92" s="263"/>
      <c r="L92" s="263"/>
      <c r="M92" s="263"/>
      <c r="N92" s="263"/>
      <c r="O92" s="263"/>
      <c r="P92" s="263"/>
      <c r="Q92" s="263"/>
      <c r="R92" s="263"/>
      <c r="S92" s="263"/>
      <c r="T92" s="263"/>
      <c r="U92" s="263"/>
      <c r="V92" s="263"/>
      <c r="W92" s="263"/>
      <c r="X92" s="263"/>
      <c r="Y92" s="263"/>
      <c r="Z92" s="263"/>
    </row>
    <row r="93">
      <c r="A93" s="274"/>
      <c r="B93" s="263"/>
      <c r="C93" s="263"/>
      <c r="D93" s="263"/>
      <c r="E93" s="263"/>
      <c r="F93" s="263"/>
      <c r="G93" s="263"/>
      <c r="H93" s="263"/>
      <c r="I93" s="263"/>
      <c r="J93" s="263"/>
      <c r="K93" s="263"/>
      <c r="L93" s="263"/>
      <c r="M93" s="263"/>
      <c r="N93" s="263"/>
      <c r="O93" s="263"/>
      <c r="P93" s="263"/>
      <c r="Q93" s="263"/>
      <c r="R93" s="263"/>
      <c r="S93" s="263"/>
      <c r="T93" s="263"/>
      <c r="U93" s="263"/>
      <c r="V93" s="263"/>
      <c r="W93" s="263"/>
      <c r="X93" s="263"/>
      <c r="Y93" s="263"/>
      <c r="Z93" s="263"/>
    </row>
    <row r="94">
      <c r="A94" s="275"/>
      <c r="B94" s="263"/>
      <c r="C94" s="263"/>
      <c r="D94" s="263"/>
      <c r="E94" s="263"/>
      <c r="F94" s="263"/>
      <c r="G94" s="263"/>
      <c r="H94" s="263"/>
      <c r="I94" s="263"/>
      <c r="J94" s="263"/>
      <c r="K94" s="263"/>
      <c r="L94" s="263"/>
      <c r="M94" s="263"/>
      <c r="N94" s="263"/>
      <c r="O94" s="263"/>
      <c r="P94" s="263"/>
      <c r="Q94" s="263"/>
      <c r="R94" s="263"/>
      <c r="S94" s="263"/>
      <c r="T94" s="263"/>
      <c r="U94" s="263"/>
      <c r="V94" s="263"/>
      <c r="W94" s="263"/>
      <c r="X94" s="263"/>
      <c r="Y94" s="263"/>
      <c r="Z94" s="263"/>
    </row>
    <row r="95">
      <c r="A95" s="274"/>
      <c r="B95" s="263"/>
      <c r="C95" s="263"/>
      <c r="D95" s="263"/>
      <c r="E95" s="263"/>
      <c r="F95" s="263"/>
      <c r="G95" s="263"/>
      <c r="H95" s="263"/>
      <c r="I95" s="263"/>
      <c r="J95" s="263"/>
      <c r="K95" s="263"/>
      <c r="L95" s="263"/>
      <c r="M95" s="263"/>
      <c r="N95" s="263"/>
      <c r="O95" s="263"/>
      <c r="P95" s="263"/>
      <c r="Q95" s="263"/>
      <c r="R95" s="263"/>
      <c r="S95" s="263"/>
      <c r="T95" s="263"/>
      <c r="U95" s="263"/>
      <c r="V95" s="263"/>
      <c r="W95" s="263"/>
      <c r="X95" s="263"/>
      <c r="Y95" s="263"/>
      <c r="Z95" s="263"/>
    </row>
    <row r="96">
      <c r="A96" s="274"/>
      <c r="B96" s="263"/>
      <c r="C96" s="263"/>
      <c r="D96" s="263"/>
      <c r="E96" s="263"/>
      <c r="F96" s="263"/>
      <c r="G96" s="263"/>
      <c r="H96" s="263"/>
      <c r="I96" s="263"/>
      <c r="J96" s="263"/>
      <c r="K96" s="263"/>
      <c r="L96" s="263"/>
      <c r="M96" s="263"/>
      <c r="N96" s="263"/>
      <c r="O96" s="263"/>
      <c r="P96" s="263"/>
      <c r="Q96" s="263"/>
      <c r="R96" s="263"/>
      <c r="S96" s="263"/>
      <c r="T96" s="263"/>
      <c r="U96" s="263"/>
      <c r="V96" s="263"/>
      <c r="W96" s="263"/>
      <c r="X96" s="263"/>
      <c r="Y96" s="263"/>
      <c r="Z96" s="263"/>
    </row>
    <row r="97">
      <c r="A97" s="274"/>
      <c r="B97" s="263"/>
      <c r="C97" s="263"/>
      <c r="D97" s="263"/>
      <c r="E97" s="263"/>
      <c r="F97" s="263"/>
      <c r="G97" s="263"/>
      <c r="H97" s="263"/>
      <c r="I97" s="263"/>
      <c r="J97" s="263"/>
      <c r="K97" s="263"/>
      <c r="L97" s="263"/>
      <c r="M97" s="263"/>
      <c r="N97" s="263"/>
      <c r="O97" s="263"/>
      <c r="P97" s="263"/>
      <c r="Q97" s="263"/>
      <c r="R97" s="263"/>
      <c r="S97" s="263"/>
      <c r="T97" s="263"/>
      <c r="U97" s="263"/>
      <c r="V97" s="263"/>
      <c r="W97" s="263"/>
      <c r="X97" s="263"/>
      <c r="Y97" s="263"/>
      <c r="Z97" s="263"/>
    </row>
    <row r="98">
      <c r="A98" s="275"/>
      <c r="B98" s="263"/>
      <c r="C98" s="263"/>
      <c r="D98" s="263"/>
      <c r="E98" s="263"/>
      <c r="F98" s="263"/>
      <c r="G98" s="263"/>
      <c r="H98" s="263"/>
      <c r="I98" s="263"/>
      <c r="J98" s="263"/>
      <c r="K98" s="263"/>
      <c r="L98" s="263"/>
      <c r="M98" s="263"/>
      <c r="N98" s="263"/>
      <c r="O98" s="263"/>
      <c r="P98" s="263"/>
      <c r="Q98" s="263"/>
      <c r="R98" s="263"/>
      <c r="S98" s="263"/>
      <c r="T98" s="263"/>
      <c r="U98" s="263"/>
      <c r="V98" s="263"/>
      <c r="W98" s="263"/>
      <c r="X98" s="263"/>
      <c r="Y98" s="263"/>
      <c r="Z98" s="263"/>
    </row>
    <row r="99">
      <c r="A99" s="274"/>
      <c r="B99" s="263"/>
      <c r="C99" s="263"/>
      <c r="D99" s="263"/>
      <c r="E99" s="263"/>
      <c r="F99" s="263"/>
      <c r="G99" s="263"/>
      <c r="H99" s="263"/>
      <c r="I99" s="263"/>
      <c r="J99" s="263"/>
      <c r="K99" s="263"/>
      <c r="L99" s="263"/>
      <c r="M99" s="263"/>
      <c r="N99" s="263"/>
      <c r="O99" s="263"/>
      <c r="P99" s="263"/>
      <c r="Q99" s="263"/>
      <c r="R99" s="263"/>
      <c r="S99" s="263"/>
      <c r="T99" s="263"/>
      <c r="U99" s="263"/>
      <c r="V99" s="263"/>
      <c r="W99" s="263"/>
      <c r="X99" s="263"/>
      <c r="Y99" s="263"/>
      <c r="Z99" s="263"/>
    </row>
    <row r="100">
      <c r="A100" s="274"/>
      <c r="B100" s="263"/>
      <c r="C100" s="263"/>
      <c r="D100" s="263"/>
      <c r="E100" s="263"/>
      <c r="F100" s="263"/>
      <c r="G100" s="263"/>
      <c r="H100" s="263"/>
      <c r="I100" s="263"/>
      <c r="J100" s="263"/>
      <c r="K100" s="263"/>
      <c r="L100" s="263"/>
      <c r="M100" s="263"/>
      <c r="N100" s="263"/>
      <c r="O100" s="263"/>
      <c r="P100" s="263"/>
      <c r="Q100" s="263"/>
      <c r="R100" s="263"/>
      <c r="S100" s="263"/>
      <c r="T100" s="263"/>
      <c r="U100" s="263"/>
      <c r="V100" s="263"/>
      <c r="W100" s="263"/>
      <c r="X100" s="263"/>
      <c r="Y100" s="263"/>
      <c r="Z100" s="263"/>
    </row>
    <row r="101">
      <c r="A101" s="275"/>
      <c r="B101" s="263"/>
      <c r="C101" s="263"/>
      <c r="D101" s="263"/>
      <c r="E101" s="263"/>
      <c r="F101" s="263"/>
      <c r="G101" s="263"/>
      <c r="H101" s="263"/>
      <c r="I101" s="263"/>
      <c r="J101" s="263"/>
      <c r="K101" s="263"/>
      <c r="L101" s="263"/>
      <c r="M101" s="263"/>
      <c r="N101" s="263"/>
      <c r="O101" s="263"/>
      <c r="P101" s="263"/>
      <c r="Q101" s="263"/>
      <c r="R101" s="263"/>
      <c r="S101" s="263"/>
      <c r="T101" s="263"/>
      <c r="U101" s="263"/>
      <c r="V101" s="263"/>
      <c r="W101" s="263"/>
      <c r="X101" s="263"/>
      <c r="Y101" s="263"/>
      <c r="Z101" s="263"/>
    </row>
    <row r="102">
      <c r="A102" s="16"/>
      <c r="B102" s="263"/>
      <c r="C102" s="263"/>
      <c r="D102" s="263"/>
      <c r="E102" s="263"/>
      <c r="F102" s="263"/>
      <c r="G102" s="263"/>
      <c r="H102" s="263"/>
      <c r="I102" s="263"/>
      <c r="J102" s="263"/>
      <c r="K102" s="263"/>
      <c r="L102" s="263"/>
      <c r="M102" s="263"/>
      <c r="N102" s="263"/>
      <c r="O102" s="263"/>
      <c r="P102" s="263"/>
      <c r="Q102" s="263"/>
      <c r="R102" s="263"/>
      <c r="S102" s="263"/>
      <c r="T102" s="263"/>
      <c r="U102" s="263"/>
      <c r="V102" s="263"/>
      <c r="W102" s="263"/>
      <c r="X102" s="263"/>
      <c r="Y102" s="263"/>
      <c r="Z102" s="263"/>
    </row>
    <row r="103">
      <c r="A103" s="16"/>
      <c r="B103" s="263"/>
      <c r="C103" s="263"/>
      <c r="D103" s="263"/>
      <c r="E103" s="263"/>
      <c r="F103" s="263"/>
      <c r="G103" s="263"/>
      <c r="H103" s="263"/>
      <c r="I103" s="263"/>
      <c r="J103" s="263"/>
      <c r="K103" s="263"/>
      <c r="L103" s="263"/>
      <c r="M103" s="263"/>
      <c r="N103" s="263"/>
      <c r="O103" s="263"/>
      <c r="P103" s="263"/>
      <c r="Q103" s="263"/>
      <c r="R103" s="263"/>
      <c r="S103" s="263"/>
      <c r="T103" s="263"/>
      <c r="U103" s="263"/>
      <c r="V103" s="263"/>
      <c r="W103" s="263"/>
      <c r="X103" s="263"/>
      <c r="Y103" s="263"/>
      <c r="Z103" s="263"/>
    </row>
    <row r="104">
      <c r="A104" s="16"/>
      <c r="B104" s="263"/>
      <c r="C104" s="263"/>
      <c r="D104" s="263"/>
      <c r="E104" s="263"/>
      <c r="F104" s="263"/>
      <c r="G104" s="263"/>
      <c r="H104" s="263"/>
      <c r="I104" s="263"/>
      <c r="J104" s="263"/>
      <c r="K104" s="263"/>
      <c r="L104" s="263"/>
      <c r="M104" s="263"/>
      <c r="N104" s="263"/>
      <c r="O104" s="263"/>
      <c r="P104" s="263"/>
      <c r="Q104" s="263"/>
      <c r="R104" s="263"/>
      <c r="S104" s="263"/>
      <c r="T104" s="263"/>
      <c r="U104" s="263"/>
      <c r="V104" s="263"/>
      <c r="W104" s="263"/>
      <c r="X104" s="263"/>
      <c r="Y104" s="263"/>
      <c r="Z104" s="263"/>
    </row>
    <row r="105">
      <c r="A105" s="16"/>
      <c r="B105" s="263"/>
      <c r="C105" s="263"/>
      <c r="D105" s="263"/>
      <c r="E105" s="263"/>
      <c r="F105" s="263"/>
      <c r="G105" s="263"/>
      <c r="H105" s="263"/>
      <c r="I105" s="263"/>
      <c r="J105" s="263"/>
      <c r="K105" s="263"/>
      <c r="L105" s="263"/>
      <c r="M105" s="263"/>
      <c r="N105" s="263"/>
      <c r="O105" s="263"/>
      <c r="P105" s="263"/>
      <c r="Q105" s="263"/>
      <c r="R105" s="263"/>
      <c r="S105" s="263"/>
      <c r="T105" s="263"/>
      <c r="U105" s="263"/>
      <c r="V105" s="263"/>
      <c r="W105" s="263"/>
      <c r="X105" s="263"/>
      <c r="Y105" s="263"/>
      <c r="Z105" s="263"/>
    </row>
    <row r="106">
      <c r="A106" s="16"/>
      <c r="B106" s="263"/>
      <c r="C106" s="263"/>
      <c r="D106" s="263"/>
      <c r="E106" s="263"/>
      <c r="F106" s="263"/>
      <c r="G106" s="263"/>
      <c r="H106" s="263"/>
      <c r="I106" s="263"/>
      <c r="J106" s="263"/>
      <c r="K106" s="263"/>
      <c r="L106" s="263"/>
      <c r="M106" s="263"/>
      <c r="N106" s="263"/>
      <c r="O106" s="263"/>
      <c r="P106" s="263"/>
      <c r="Q106" s="263"/>
      <c r="R106" s="263"/>
      <c r="S106" s="263"/>
      <c r="T106" s="263"/>
      <c r="U106" s="263"/>
      <c r="V106" s="263"/>
      <c r="W106" s="263"/>
      <c r="X106" s="263"/>
      <c r="Y106" s="263"/>
      <c r="Z106" s="263"/>
    </row>
    <row r="107">
      <c r="A107" s="16"/>
      <c r="B107" s="263"/>
      <c r="C107" s="263"/>
      <c r="D107" s="263"/>
      <c r="E107" s="263"/>
      <c r="F107" s="263"/>
      <c r="G107" s="263"/>
      <c r="H107" s="263"/>
      <c r="I107" s="263"/>
      <c r="J107" s="263"/>
      <c r="K107" s="263"/>
      <c r="L107" s="263"/>
      <c r="M107" s="263"/>
      <c r="N107" s="263"/>
      <c r="O107" s="263"/>
      <c r="P107" s="263"/>
      <c r="Q107" s="263"/>
      <c r="R107" s="263"/>
      <c r="S107" s="263"/>
      <c r="T107" s="263"/>
      <c r="U107" s="263"/>
      <c r="V107" s="263"/>
      <c r="W107" s="263"/>
      <c r="X107" s="263"/>
      <c r="Y107" s="263"/>
      <c r="Z107" s="263"/>
    </row>
    <row r="108">
      <c r="A108" s="16"/>
      <c r="B108" s="263"/>
      <c r="C108" s="263"/>
      <c r="D108" s="263"/>
      <c r="E108" s="263"/>
      <c r="F108" s="263"/>
      <c r="G108" s="263"/>
      <c r="H108" s="263"/>
      <c r="I108" s="263"/>
      <c r="J108" s="263"/>
      <c r="K108" s="263"/>
      <c r="L108" s="263"/>
      <c r="M108" s="263"/>
      <c r="N108" s="263"/>
      <c r="O108" s="263"/>
      <c r="P108" s="263"/>
      <c r="Q108" s="263"/>
      <c r="R108" s="263"/>
      <c r="S108" s="263"/>
      <c r="T108" s="263"/>
      <c r="U108" s="263"/>
      <c r="V108" s="263"/>
      <c r="W108" s="263"/>
      <c r="X108" s="263"/>
      <c r="Y108" s="263"/>
      <c r="Z108" s="263"/>
    </row>
    <row r="109">
      <c r="A109" s="16"/>
      <c r="B109" s="263"/>
      <c r="C109" s="263"/>
      <c r="D109" s="263"/>
      <c r="E109" s="263"/>
      <c r="F109" s="263"/>
      <c r="G109" s="263"/>
      <c r="H109" s="263"/>
      <c r="I109" s="263"/>
      <c r="J109" s="263"/>
      <c r="K109" s="263"/>
      <c r="L109" s="263"/>
      <c r="M109" s="263"/>
      <c r="N109" s="263"/>
      <c r="O109" s="263"/>
      <c r="P109" s="263"/>
      <c r="Q109" s="263"/>
      <c r="R109" s="263"/>
      <c r="S109" s="263"/>
      <c r="T109" s="263"/>
      <c r="U109" s="263"/>
      <c r="V109" s="263"/>
      <c r="W109" s="263"/>
      <c r="X109" s="263"/>
      <c r="Y109" s="263"/>
      <c r="Z109" s="263"/>
    </row>
    <row r="110">
      <c r="A110" s="16"/>
      <c r="B110" s="263"/>
      <c r="C110" s="263"/>
      <c r="D110" s="263"/>
      <c r="E110" s="263"/>
      <c r="F110" s="263"/>
      <c r="G110" s="263"/>
      <c r="H110" s="263"/>
      <c r="I110" s="263"/>
      <c r="J110" s="263"/>
      <c r="K110" s="263"/>
      <c r="L110" s="263"/>
      <c r="M110" s="263"/>
      <c r="N110" s="263"/>
      <c r="O110" s="263"/>
      <c r="P110" s="263"/>
      <c r="Q110" s="263"/>
      <c r="R110" s="263"/>
      <c r="S110" s="263"/>
      <c r="T110" s="263"/>
      <c r="U110" s="263"/>
      <c r="V110" s="263"/>
      <c r="W110" s="263"/>
      <c r="X110" s="263"/>
      <c r="Y110" s="263"/>
      <c r="Z110" s="263"/>
    </row>
    <row r="111">
      <c r="A111" s="16"/>
      <c r="B111" s="263"/>
      <c r="C111" s="263"/>
      <c r="D111" s="263"/>
      <c r="E111" s="263"/>
      <c r="F111" s="263"/>
      <c r="G111" s="263"/>
      <c r="H111" s="263"/>
      <c r="I111" s="263"/>
      <c r="J111" s="263"/>
      <c r="K111" s="263"/>
      <c r="L111" s="263"/>
      <c r="M111" s="263"/>
      <c r="N111" s="263"/>
      <c r="O111" s="263"/>
      <c r="P111" s="263"/>
      <c r="Q111" s="263"/>
      <c r="R111" s="263"/>
      <c r="S111" s="263"/>
      <c r="T111" s="263"/>
      <c r="U111" s="263"/>
      <c r="V111" s="263"/>
      <c r="W111" s="263"/>
      <c r="X111" s="263"/>
      <c r="Y111" s="263"/>
      <c r="Z111" s="263"/>
    </row>
    <row r="112">
      <c r="A112" s="16"/>
      <c r="B112" s="263"/>
      <c r="C112" s="263"/>
      <c r="D112" s="263"/>
      <c r="E112" s="263"/>
      <c r="F112" s="263"/>
      <c r="G112" s="263"/>
      <c r="H112" s="263"/>
      <c r="I112" s="263"/>
      <c r="J112" s="263"/>
      <c r="K112" s="263"/>
      <c r="L112" s="263"/>
      <c r="M112" s="263"/>
      <c r="N112" s="263"/>
      <c r="O112" s="263"/>
      <c r="P112" s="263"/>
      <c r="Q112" s="263"/>
      <c r="R112" s="263"/>
      <c r="S112" s="263"/>
      <c r="T112" s="263"/>
      <c r="U112" s="263"/>
      <c r="V112" s="263"/>
      <c r="W112" s="263"/>
      <c r="X112" s="263"/>
      <c r="Y112" s="263"/>
      <c r="Z112" s="263"/>
    </row>
    <row r="113">
      <c r="A113" s="16"/>
      <c r="B113" s="263"/>
      <c r="C113" s="263"/>
      <c r="D113" s="263"/>
      <c r="E113" s="263"/>
      <c r="F113" s="263"/>
      <c r="G113" s="263"/>
      <c r="H113" s="263"/>
      <c r="I113" s="263"/>
      <c r="J113" s="263"/>
      <c r="K113" s="263"/>
      <c r="L113" s="263"/>
      <c r="M113" s="263"/>
      <c r="N113" s="263"/>
      <c r="O113" s="263"/>
      <c r="P113" s="263"/>
      <c r="Q113" s="263"/>
      <c r="R113" s="263"/>
      <c r="S113" s="263"/>
      <c r="T113" s="263"/>
      <c r="U113" s="263"/>
      <c r="V113" s="263"/>
      <c r="W113" s="263"/>
      <c r="X113" s="263"/>
      <c r="Y113" s="263"/>
      <c r="Z113" s="263"/>
    </row>
    <row r="114">
      <c r="A114" s="16"/>
      <c r="B114" s="263"/>
      <c r="C114" s="263"/>
      <c r="D114" s="263"/>
      <c r="E114" s="263"/>
      <c r="F114" s="263"/>
      <c r="G114" s="263"/>
      <c r="H114" s="263"/>
      <c r="I114" s="263"/>
      <c r="J114" s="263"/>
      <c r="K114" s="263"/>
      <c r="L114" s="263"/>
      <c r="M114" s="263"/>
      <c r="N114" s="263"/>
      <c r="O114" s="263"/>
      <c r="P114" s="263"/>
      <c r="Q114" s="263"/>
      <c r="R114" s="263"/>
      <c r="S114" s="263"/>
      <c r="T114" s="263"/>
      <c r="U114" s="263"/>
      <c r="V114" s="263"/>
      <c r="W114" s="263"/>
      <c r="X114" s="263"/>
      <c r="Y114" s="263"/>
      <c r="Z114" s="263"/>
    </row>
    <row r="115">
      <c r="A115" s="16"/>
      <c r="B115" s="263"/>
      <c r="C115" s="263"/>
      <c r="D115" s="263"/>
      <c r="E115" s="263"/>
      <c r="F115" s="263"/>
      <c r="G115" s="263"/>
      <c r="H115" s="263"/>
      <c r="I115" s="263"/>
      <c r="J115" s="263"/>
      <c r="K115" s="263"/>
      <c r="L115" s="263"/>
      <c r="M115" s="263"/>
      <c r="N115" s="263"/>
      <c r="O115" s="263"/>
      <c r="P115" s="263"/>
      <c r="Q115" s="263"/>
      <c r="R115" s="263"/>
      <c r="S115" s="263"/>
      <c r="T115" s="263"/>
      <c r="U115" s="263"/>
      <c r="V115" s="263"/>
      <c r="W115" s="263"/>
      <c r="X115" s="263"/>
      <c r="Y115" s="263"/>
      <c r="Z115" s="263"/>
    </row>
    <row r="116">
      <c r="A116" s="16"/>
      <c r="B116" s="263"/>
      <c r="C116" s="263"/>
      <c r="D116" s="263"/>
      <c r="E116" s="263"/>
      <c r="F116" s="263"/>
      <c r="G116" s="263"/>
      <c r="H116" s="263"/>
      <c r="I116" s="263"/>
      <c r="J116" s="263"/>
      <c r="K116" s="263"/>
      <c r="L116" s="263"/>
      <c r="M116" s="263"/>
      <c r="N116" s="263"/>
      <c r="O116" s="263"/>
      <c r="P116" s="263"/>
      <c r="Q116" s="263"/>
      <c r="R116" s="263"/>
      <c r="S116" s="263"/>
      <c r="T116" s="263"/>
      <c r="U116" s="263"/>
      <c r="V116" s="263"/>
      <c r="W116" s="263"/>
      <c r="X116" s="263"/>
      <c r="Y116" s="263"/>
      <c r="Z116" s="263"/>
    </row>
    <row r="117">
      <c r="A117" s="16"/>
      <c r="B117" s="263"/>
      <c r="C117" s="263"/>
      <c r="D117" s="263"/>
      <c r="E117" s="263"/>
      <c r="F117" s="263"/>
      <c r="G117" s="263"/>
      <c r="H117" s="263"/>
      <c r="I117" s="263"/>
      <c r="J117" s="263"/>
      <c r="K117" s="263"/>
      <c r="L117" s="263"/>
      <c r="M117" s="263"/>
      <c r="N117" s="263"/>
      <c r="O117" s="263"/>
      <c r="P117" s="263"/>
      <c r="Q117" s="263"/>
      <c r="R117" s="263"/>
      <c r="S117" s="263"/>
      <c r="T117" s="263"/>
      <c r="U117" s="263"/>
      <c r="V117" s="263"/>
      <c r="W117" s="263"/>
      <c r="X117" s="263"/>
      <c r="Y117" s="263"/>
      <c r="Z117" s="263"/>
    </row>
    <row r="118">
      <c r="A118" s="16"/>
      <c r="B118" s="263"/>
      <c r="C118" s="263"/>
      <c r="D118" s="263"/>
      <c r="E118" s="263"/>
      <c r="F118" s="263"/>
      <c r="G118" s="263"/>
      <c r="H118" s="263"/>
      <c r="I118" s="263"/>
      <c r="J118" s="263"/>
      <c r="K118" s="263"/>
      <c r="L118" s="263"/>
      <c r="M118" s="263"/>
      <c r="N118" s="263"/>
      <c r="O118" s="263"/>
      <c r="P118" s="263"/>
      <c r="Q118" s="263"/>
      <c r="R118" s="263"/>
      <c r="S118" s="263"/>
      <c r="T118" s="263"/>
      <c r="U118" s="263"/>
      <c r="V118" s="263"/>
      <c r="W118" s="263"/>
      <c r="X118" s="263"/>
      <c r="Y118" s="263"/>
      <c r="Z118" s="263"/>
    </row>
    <row r="119">
      <c r="A119" s="16"/>
      <c r="B119" s="263"/>
      <c r="C119" s="263"/>
      <c r="D119" s="263"/>
      <c r="E119" s="263"/>
      <c r="F119" s="263"/>
      <c r="G119" s="263"/>
      <c r="H119" s="263"/>
      <c r="I119" s="263"/>
      <c r="J119" s="263"/>
      <c r="K119" s="263"/>
      <c r="L119" s="263"/>
      <c r="M119" s="263"/>
      <c r="N119" s="263"/>
      <c r="O119" s="263"/>
      <c r="P119" s="263"/>
      <c r="Q119" s="263"/>
      <c r="R119" s="263"/>
      <c r="S119" s="263"/>
      <c r="T119" s="263"/>
      <c r="U119" s="263"/>
      <c r="V119" s="263"/>
      <c r="W119" s="263"/>
      <c r="X119" s="263"/>
      <c r="Y119" s="263"/>
      <c r="Z119" s="263"/>
    </row>
    <row r="120">
      <c r="A120" s="16"/>
      <c r="B120" s="263"/>
      <c r="C120" s="263"/>
      <c r="D120" s="263"/>
      <c r="E120" s="263"/>
      <c r="F120" s="263"/>
      <c r="G120" s="263"/>
      <c r="H120" s="263"/>
      <c r="I120" s="263"/>
      <c r="J120" s="263"/>
      <c r="K120" s="263"/>
      <c r="L120" s="263"/>
      <c r="M120" s="263"/>
      <c r="N120" s="263"/>
      <c r="O120" s="263"/>
      <c r="P120" s="263"/>
      <c r="Q120" s="263"/>
      <c r="R120" s="263"/>
      <c r="S120" s="263"/>
      <c r="T120" s="263"/>
      <c r="U120" s="263"/>
      <c r="V120" s="263"/>
      <c r="W120" s="263"/>
      <c r="X120" s="263"/>
      <c r="Y120" s="263"/>
      <c r="Z120" s="263"/>
    </row>
    <row r="121">
      <c r="B121" s="254"/>
      <c r="C121" s="254"/>
      <c r="D121" s="254"/>
      <c r="E121" s="254"/>
      <c r="F121" s="254"/>
      <c r="G121" s="254"/>
      <c r="H121" s="254"/>
      <c r="I121" s="254"/>
      <c r="J121" s="254"/>
      <c r="K121" s="254"/>
      <c r="L121" s="254"/>
      <c r="M121" s="254"/>
      <c r="N121" s="254"/>
      <c r="O121" s="254"/>
      <c r="P121" s="254"/>
      <c r="Q121" s="254"/>
      <c r="R121" s="254"/>
      <c r="S121" s="254"/>
      <c r="T121" s="254"/>
      <c r="U121" s="254"/>
      <c r="V121" s="254"/>
      <c r="W121" s="254"/>
      <c r="X121" s="254"/>
      <c r="Y121" s="254"/>
      <c r="Z121" s="254"/>
    </row>
    <row r="122">
      <c r="B122" s="254"/>
      <c r="C122" s="254"/>
      <c r="D122" s="254"/>
      <c r="E122" s="254"/>
      <c r="F122" s="254"/>
      <c r="G122" s="254"/>
      <c r="H122" s="254"/>
      <c r="I122" s="254"/>
      <c r="J122" s="254"/>
      <c r="K122" s="254"/>
      <c r="L122" s="254"/>
      <c r="M122" s="254"/>
      <c r="N122" s="254"/>
      <c r="O122" s="254"/>
      <c r="P122" s="254"/>
      <c r="Q122" s="254"/>
      <c r="R122" s="254"/>
      <c r="S122" s="254"/>
      <c r="T122" s="254"/>
      <c r="U122" s="254"/>
      <c r="V122" s="254"/>
      <c r="W122" s="254"/>
      <c r="X122" s="254"/>
      <c r="Y122" s="254"/>
      <c r="Z122" s="254"/>
    </row>
    <row r="123">
      <c r="B123" s="254"/>
      <c r="C123" s="254"/>
      <c r="D123" s="254"/>
      <c r="E123" s="254"/>
      <c r="F123" s="254"/>
      <c r="G123" s="254"/>
      <c r="H123" s="254"/>
      <c r="I123" s="254"/>
      <c r="J123" s="254"/>
      <c r="K123" s="254"/>
      <c r="L123" s="254"/>
      <c r="M123" s="254"/>
      <c r="N123" s="254"/>
      <c r="O123" s="254"/>
      <c r="P123" s="254"/>
      <c r="Q123" s="254"/>
      <c r="R123" s="254"/>
      <c r="S123" s="254"/>
      <c r="T123" s="254"/>
      <c r="U123" s="254"/>
      <c r="V123" s="254"/>
      <c r="W123" s="254"/>
      <c r="X123" s="254"/>
      <c r="Y123" s="254"/>
      <c r="Z123" s="254"/>
    </row>
    <row r="124">
      <c r="B124" s="254"/>
      <c r="C124" s="254"/>
      <c r="D124" s="254"/>
      <c r="E124" s="254"/>
      <c r="F124" s="254"/>
      <c r="G124" s="254"/>
      <c r="H124" s="254"/>
      <c r="I124" s="254"/>
      <c r="J124" s="254"/>
      <c r="K124" s="254"/>
      <c r="L124" s="254"/>
      <c r="M124" s="254"/>
      <c r="N124" s="254"/>
      <c r="O124" s="254"/>
      <c r="P124" s="254"/>
      <c r="Q124" s="254"/>
      <c r="R124" s="254"/>
      <c r="S124" s="254"/>
      <c r="T124" s="254"/>
      <c r="U124" s="254"/>
      <c r="V124" s="254"/>
      <c r="W124" s="254"/>
      <c r="X124" s="254"/>
      <c r="Y124" s="254"/>
      <c r="Z124" s="254"/>
    </row>
    <row r="125">
      <c r="B125" s="254"/>
      <c r="C125" s="254"/>
      <c r="D125" s="254"/>
      <c r="E125" s="254"/>
      <c r="F125" s="254"/>
      <c r="G125" s="254"/>
      <c r="H125" s="254"/>
      <c r="I125" s="254"/>
      <c r="J125" s="254"/>
      <c r="K125" s="254"/>
      <c r="L125" s="254"/>
      <c r="M125" s="254"/>
      <c r="N125" s="254"/>
      <c r="O125" s="254"/>
      <c r="P125" s="254"/>
      <c r="Q125" s="254"/>
      <c r="R125" s="254"/>
      <c r="S125" s="254"/>
      <c r="T125" s="254"/>
      <c r="U125" s="254"/>
      <c r="V125" s="254"/>
      <c r="W125" s="254"/>
      <c r="X125" s="254"/>
      <c r="Y125" s="254"/>
      <c r="Z125" s="254"/>
    </row>
    <row r="126">
      <c r="B126" s="254"/>
      <c r="C126" s="254"/>
      <c r="D126" s="254"/>
      <c r="E126" s="254"/>
      <c r="F126" s="254"/>
      <c r="G126" s="254"/>
      <c r="H126" s="254"/>
      <c r="I126" s="254"/>
      <c r="J126" s="254"/>
      <c r="K126" s="254"/>
      <c r="L126" s="254"/>
      <c r="M126" s="254"/>
      <c r="N126" s="254"/>
      <c r="O126" s="254"/>
      <c r="P126" s="254"/>
      <c r="Q126" s="254"/>
      <c r="R126" s="254"/>
      <c r="S126" s="254"/>
      <c r="T126" s="254"/>
      <c r="U126" s="254"/>
      <c r="V126" s="254"/>
      <c r="W126" s="254"/>
      <c r="X126" s="254"/>
      <c r="Y126" s="254"/>
      <c r="Z126" s="254"/>
    </row>
    <row r="127">
      <c r="A127" s="254"/>
      <c r="B127" s="254"/>
      <c r="C127" s="254"/>
      <c r="D127" s="254"/>
      <c r="E127" s="254"/>
      <c r="F127" s="254"/>
      <c r="G127" s="254"/>
      <c r="H127" s="254"/>
      <c r="I127" s="254"/>
      <c r="J127" s="254"/>
      <c r="K127" s="254"/>
      <c r="L127" s="254"/>
      <c r="M127" s="254"/>
      <c r="N127" s="254"/>
      <c r="O127" s="254"/>
      <c r="P127" s="254"/>
      <c r="Q127" s="254"/>
      <c r="R127" s="254"/>
      <c r="S127" s="254"/>
      <c r="T127" s="254"/>
      <c r="U127" s="254"/>
      <c r="V127" s="254"/>
      <c r="W127" s="254"/>
      <c r="X127" s="254"/>
      <c r="Y127" s="254"/>
      <c r="Z127" s="254"/>
    </row>
    <row r="128">
      <c r="B128" s="254"/>
      <c r="C128" s="254"/>
      <c r="D128" s="254"/>
      <c r="E128" s="254"/>
      <c r="F128" s="254"/>
      <c r="G128" s="254"/>
      <c r="H128" s="254"/>
      <c r="I128" s="254"/>
      <c r="J128" s="254"/>
      <c r="K128" s="254"/>
      <c r="L128" s="254"/>
      <c r="M128" s="254"/>
      <c r="N128" s="254"/>
      <c r="O128" s="254"/>
      <c r="P128" s="254"/>
      <c r="Q128" s="254"/>
      <c r="R128" s="254"/>
      <c r="S128" s="254"/>
      <c r="T128" s="254"/>
      <c r="U128" s="254"/>
      <c r="V128" s="254"/>
      <c r="W128" s="254"/>
      <c r="X128" s="254"/>
      <c r="Y128" s="254"/>
      <c r="Z128" s="254"/>
    </row>
    <row r="129">
      <c r="B129" s="254"/>
      <c r="C129" s="254"/>
      <c r="D129" s="254"/>
      <c r="E129" s="254"/>
      <c r="F129" s="254"/>
      <c r="G129" s="254"/>
      <c r="H129" s="254"/>
      <c r="I129" s="254"/>
      <c r="J129" s="254"/>
      <c r="K129" s="254"/>
      <c r="L129" s="254"/>
      <c r="M129" s="254"/>
      <c r="N129" s="254"/>
      <c r="O129" s="254"/>
      <c r="P129" s="254"/>
      <c r="Q129" s="254"/>
      <c r="R129" s="254"/>
      <c r="S129" s="254"/>
      <c r="T129" s="254"/>
      <c r="U129" s="254"/>
      <c r="V129" s="254"/>
      <c r="W129" s="254"/>
      <c r="X129" s="254"/>
      <c r="Y129" s="254"/>
      <c r="Z129" s="254"/>
    </row>
    <row r="130">
      <c r="B130" s="254"/>
      <c r="C130" s="254"/>
      <c r="D130" s="254"/>
      <c r="E130" s="254"/>
      <c r="F130" s="254"/>
      <c r="G130" s="254"/>
      <c r="H130" s="254"/>
      <c r="I130" s="254"/>
      <c r="J130" s="254"/>
      <c r="K130" s="254"/>
      <c r="L130" s="254"/>
      <c r="M130" s="254"/>
      <c r="N130" s="254"/>
      <c r="O130" s="254"/>
      <c r="P130" s="254"/>
      <c r="Q130" s="254"/>
      <c r="R130" s="254"/>
      <c r="S130" s="254"/>
      <c r="T130" s="254"/>
      <c r="U130" s="254"/>
      <c r="V130" s="254"/>
      <c r="W130" s="254"/>
      <c r="X130" s="254"/>
      <c r="Y130" s="254"/>
      <c r="Z130" s="254"/>
    </row>
    <row r="131">
      <c r="B131" s="254"/>
      <c r="C131" s="254"/>
      <c r="D131" s="254"/>
      <c r="E131" s="254"/>
      <c r="F131" s="254"/>
      <c r="G131" s="254"/>
      <c r="H131" s="254"/>
      <c r="I131" s="254"/>
      <c r="J131" s="254"/>
      <c r="K131" s="254"/>
      <c r="L131" s="254"/>
      <c r="M131" s="254"/>
      <c r="N131" s="254"/>
      <c r="O131" s="254"/>
      <c r="P131" s="254"/>
      <c r="Q131" s="254"/>
      <c r="R131" s="254"/>
      <c r="S131" s="254"/>
      <c r="T131" s="254"/>
      <c r="U131" s="254"/>
      <c r="V131" s="254"/>
      <c r="W131" s="254"/>
      <c r="X131" s="254"/>
      <c r="Y131" s="254"/>
      <c r="Z131" s="254"/>
    </row>
    <row r="132">
      <c r="B132" s="254"/>
      <c r="C132" s="254"/>
      <c r="D132" s="254"/>
      <c r="E132" s="254"/>
      <c r="F132" s="254"/>
      <c r="G132" s="254"/>
      <c r="H132" s="254"/>
      <c r="I132" s="254"/>
      <c r="J132" s="254"/>
      <c r="K132" s="254"/>
      <c r="L132" s="254"/>
      <c r="M132" s="254"/>
      <c r="N132" s="254"/>
      <c r="O132" s="254"/>
      <c r="P132" s="254"/>
      <c r="Q132" s="254"/>
      <c r="R132" s="254"/>
      <c r="S132" s="254"/>
      <c r="T132" s="254"/>
      <c r="U132" s="254"/>
      <c r="V132" s="254"/>
      <c r="W132" s="254"/>
      <c r="X132" s="254"/>
      <c r="Y132" s="254"/>
      <c r="Z132" s="254"/>
    </row>
    <row r="133">
      <c r="B133" s="254"/>
      <c r="C133" s="254"/>
      <c r="D133" s="254"/>
      <c r="E133" s="254"/>
      <c r="F133" s="254"/>
      <c r="G133" s="254"/>
      <c r="H133" s="254"/>
      <c r="I133" s="254"/>
      <c r="J133" s="254"/>
      <c r="K133" s="254"/>
      <c r="L133" s="254"/>
      <c r="M133" s="254"/>
      <c r="N133" s="254"/>
      <c r="O133" s="254"/>
      <c r="P133" s="254"/>
      <c r="Q133" s="254"/>
      <c r="R133" s="254"/>
      <c r="S133" s="254"/>
      <c r="T133" s="254"/>
      <c r="U133" s="254"/>
      <c r="V133" s="254"/>
      <c r="W133" s="254"/>
      <c r="X133" s="254"/>
      <c r="Y133" s="254"/>
      <c r="Z133" s="254"/>
    </row>
    <row r="134">
      <c r="B134" s="254"/>
      <c r="C134" s="254"/>
      <c r="D134" s="254"/>
      <c r="E134" s="254"/>
      <c r="F134" s="254"/>
      <c r="G134" s="254"/>
      <c r="H134" s="254"/>
      <c r="I134" s="254"/>
      <c r="J134" s="254"/>
      <c r="K134" s="254"/>
      <c r="L134" s="254"/>
      <c r="M134" s="254"/>
      <c r="N134" s="254"/>
      <c r="O134" s="254"/>
      <c r="P134" s="254"/>
      <c r="Q134" s="254"/>
      <c r="R134" s="254"/>
      <c r="S134" s="254"/>
      <c r="T134" s="254"/>
      <c r="U134" s="254"/>
      <c r="V134" s="254"/>
      <c r="W134" s="254"/>
      <c r="X134" s="254"/>
      <c r="Y134" s="254"/>
      <c r="Z134" s="254"/>
    </row>
    <row r="135">
      <c r="B135" s="254"/>
      <c r="C135" s="254"/>
      <c r="D135" s="254"/>
      <c r="E135" s="254"/>
      <c r="F135" s="254"/>
      <c r="G135" s="254"/>
      <c r="H135" s="254"/>
      <c r="I135" s="254"/>
      <c r="J135" s="254"/>
      <c r="K135" s="254"/>
      <c r="L135" s="254"/>
      <c r="M135" s="254"/>
      <c r="N135" s="254"/>
      <c r="O135" s="254"/>
      <c r="P135" s="254"/>
      <c r="Q135" s="254"/>
      <c r="R135" s="254"/>
      <c r="S135" s="254"/>
      <c r="T135" s="254"/>
      <c r="U135" s="254"/>
      <c r="V135" s="254"/>
      <c r="W135" s="254"/>
      <c r="X135" s="254"/>
      <c r="Y135" s="254"/>
      <c r="Z135" s="254"/>
    </row>
    <row r="136">
      <c r="B136" s="254"/>
      <c r="C136" s="254"/>
      <c r="D136" s="254"/>
      <c r="E136" s="254"/>
      <c r="F136" s="254"/>
      <c r="G136" s="254"/>
      <c r="H136" s="254"/>
      <c r="I136" s="254"/>
      <c r="J136" s="254"/>
      <c r="K136" s="254"/>
      <c r="L136" s="254"/>
      <c r="M136" s="254"/>
      <c r="N136" s="254"/>
      <c r="O136" s="254"/>
      <c r="P136" s="254"/>
      <c r="Q136" s="254"/>
      <c r="R136" s="254"/>
      <c r="S136" s="254"/>
      <c r="T136" s="254"/>
      <c r="U136" s="254"/>
      <c r="V136" s="254"/>
      <c r="W136" s="254"/>
      <c r="X136" s="254"/>
      <c r="Y136" s="254"/>
      <c r="Z136" s="254"/>
    </row>
    <row r="137">
      <c r="B137" s="254"/>
      <c r="C137" s="254"/>
      <c r="D137" s="254"/>
      <c r="E137" s="254"/>
      <c r="F137" s="254"/>
      <c r="G137" s="254"/>
      <c r="H137" s="254"/>
      <c r="I137" s="254"/>
      <c r="J137" s="254"/>
      <c r="K137" s="254"/>
      <c r="L137" s="254"/>
      <c r="M137" s="254"/>
      <c r="N137" s="254"/>
      <c r="O137" s="254"/>
      <c r="P137" s="254"/>
      <c r="Q137" s="254"/>
      <c r="R137" s="254"/>
      <c r="S137" s="254"/>
      <c r="T137" s="254"/>
      <c r="U137" s="254"/>
      <c r="V137" s="254"/>
      <c r="W137" s="254"/>
      <c r="X137" s="254"/>
      <c r="Y137" s="254"/>
      <c r="Z137" s="254"/>
    </row>
    <row r="138">
      <c r="B138" s="254"/>
      <c r="C138" s="254"/>
      <c r="D138" s="254"/>
      <c r="E138" s="254"/>
      <c r="F138" s="254"/>
      <c r="G138" s="254"/>
      <c r="H138" s="254"/>
      <c r="I138" s="254"/>
      <c r="J138" s="254"/>
      <c r="K138" s="254"/>
      <c r="L138" s="254"/>
      <c r="M138" s="254"/>
      <c r="N138" s="254"/>
      <c r="O138" s="254"/>
      <c r="P138" s="254"/>
      <c r="Q138" s="254"/>
      <c r="R138" s="254"/>
      <c r="S138" s="254"/>
      <c r="T138" s="254"/>
      <c r="U138" s="254"/>
      <c r="V138" s="254"/>
      <c r="W138" s="254"/>
      <c r="X138" s="254"/>
      <c r="Y138" s="254"/>
      <c r="Z138" s="254"/>
    </row>
    <row r="139">
      <c r="B139" s="254"/>
      <c r="C139" s="254"/>
      <c r="D139" s="254"/>
      <c r="E139" s="254"/>
      <c r="F139" s="254"/>
      <c r="G139" s="254"/>
      <c r="H139" s="254"/>
      <c r="I139" s="254"/>
      <c r="J139" s="254"/>
      <c r="K139" s="254"/>
      <c r="L139" s="254"/>
      <c r="M139" s="254"/>
      <c r="N139" s="254"/>
      <c r="O139" s="254"/>
      <c r="P139" s="254"/>
      <c r="Q139" s="254"/>
      <c r="R139" s="254"/>
      <c r="S139" s="254"/>
      <c r="T139" s="254"/>
      <c r="U139" s="254"/>
      <c r="V139" s="254"/>
      <c r="W139" s="254"/>
      <c r="X139" s="254"/>
      <c r="Y139" s="254"/>
      <c r="Z139" s="254"/>
    </row>
    <row r="140">
      <c r="B140" s="254"/>
      <c r="C140" s="254"/>
      <c r="D140" s="254"/>
      <c r="E140" s="254"/>
      <c r="F140" s="254"/>
      <c r="G140" s="254"/>
      <c r="H140" s="254"/>
      <c r="I140" s="254"/>
      <c r="J140" s="254"/>
      <c r="K140" s="254"/>
      <c r="L140" s="254"/>
      <c r="M140" s="254"/>
      <c r="N140" s="254"/>
      <c r="O140" s="254"/>
      <c r="P140" s="254"/>
      <c r="Q140" s="254"/>
      <c r="R140" s="254"/>
      <c r="S140" s="254"/>
      <c r="T140" s="254"/>
      <c r="U140" s="254"/>
      <c r="V140" s="254"/>
      <c r="W140" s="254"/>
      <c r="X140" s="254"/>
      <c r="Y140" s="254"/>
      <c r="Z140" s="254"/>
    </row>
    <row r="141">
      <c r="B141" s="254"/>
      <c r="C141" s="254"/>
      <c r="D141" s="254"/>
      <c r="E141" s="254"/>
      <c r="F141" s="254"/>
      <c r="G141" s="254"/>
      <c r="H141" s="254"/>
      <c r="I141" s="254"/>
      <c r="J141" s="254"/>
      <c r="K141" s="254"/>
      <c r="L141" s="254"/>
      <c r="M141" s="254"/>
      <c r="N141" s="254"/>
      <c r="O141" s="254"/>
      <c r="P141" s="254"/>
      <c r="Q141" s="254"/>
      <c r="R141" s="254"/>
      <c r="S141" s="254"/>
      <c r="T141" s="254"/>
      <c r="U141" s="254"/>
      <c r="V141" s="254"/>
      <c r="W141" s="254"/>
      <c r="X141" s="254"/>
      <c r="Y141" s="254"/>
      <c r="Z141" s="254"/>
    </row>
    <row r="142">
      <c r="B142" s="254"/>
      <c r="C142" s="254"/>
      <c r="D142" s="254"/>
      <c r="E142" s="254"/>
      <c r="F142" s="254"/>
      <c r="G142" s="254"/>
      <c r="H142" s="254"/>
      <c r="I142" s="254"/>
      <c r="J142" s="254"/>
      <c r="K142" s="254"/>
      <c r="L142" s="254"/>
      <c r="M142" s="254"/>
      <c r="N142" s="254"/>
      <c r="O142" s="254"/>
      <c r="P142" s="254"/>
      <c r="Q142" s="254"/>
      <c r="R142" s="254"/>
      <c r="S142" s="254"/>
      <c r="T142" s="254"/>
      <c r="U142" s="254"/>
      <c r="V142" s="254"/>
      <c r="W142" s="254"/>
      <c r="X142" s="254"/>
      <c r="Y142" s="254"/>
      <c r="Z142" s="254"/>
    </row>
    <row r="143">
      <c r="B143" s="254"/>
      <c r="C143" s="254"/>
      <c r="D143" s="254"/>
      <c r="E143" s="254"/>
      <c r="F143" s="254"/>
      <c r="G143" s="254"/>
      <c r="H143" s="254"/>
      <c r="I143" s="254"/>
      <c r="J143" s="254"/>
      <c r="K143" s="254"/>
      <c r="L143" s="254"/>
      <c r="M143" s="254"/>
      <c r="N143" s="254"/>
      <c r="O143" s="254"/>
      <c r="P143" s="254"/>
      <c r="Q143" s="254"/>
      <c r="R143" s="254"/>
      <c r="S143" s="254"/>
      <c r="T143" s="254"/>
      <c r="U143" s="254"/>
      <c r="V143" s="254"/>
      <c r="W143" s="254"/>
      <c r="X143" s="254"/>
      <c r="Y143" s="254"/>
      <c r="Z143" s="254"/>
    </row>
    <row r="144">
      <c r="B144" s="254"/>
      <c r="C144" s="254"/>
      <c r="D144" s="254"/>
      <c r="E144" s="254"/>
      <c r="F144" s="254"/>
      <c r="G144" s="254"/>
      <c r="H144" s="254"/>
      <c r="I144" s="254"/>
      <c r="J144" s="254"/>
      <c r="K144" s="254"/>
      <c r="L144" s="254"/>
      <c r="M144" s="254"/>
      <c r="N144" s="254"/>
      <c r="O144" s="254"/>
      <c r="P144" s="254"/>
      <c r="Q144" s="254"/>
      <c r="R144" s="254"/>
      <c r="S144" s="254"/>
      <c r="T144" s="254"/>
      <c r="U144" s="254"/>
      <c r="V144" s="254"/>
      <c r="W144" s="254"/>
      <c r="X144" s="254"/>
      <c r="Y144" s="254"/>
      <c r="Z144" s="254"/>
    </row>
    <row r="145">
      <c r="B145" s="254"/>
      <c r="C145" s="254"/>
      <c r="D145" s="254"/>
      <c r="E145" s="254"/>
      <c r="F145" s="254"/>
      <c r="G145" s="254"/>
      <c r="H145" s="254"/>
      <c r="I145" s="254"/>
      <c r="J145" s="254"/>
      <c r="K145" s="254"/>
      <c r="L145" s="254"/>
      <c r="M145" s="254"/>
      <c r="N145" s="254"/>
      <c r="O145" s="254"/>
      <c r="P145" s="254"/>
      <c r="Q145" s="254"/>
      <c r="R145" s="254"/>
      <c r="S145" s="254"/>
      <c r="T145" s="254"/>
      <c r="U145" s="254"/>
      <c r="V145" s="254"/>
      <c r="W145" s="254"/>
      <c r="X145" s="254"/>
      <c r="Y145" s="254"/>
      <c r="Z145" s="254"/>
    </row>
    <row r="146">
      <c r="B146" s="254"/>
      <c r="C146" s="254"/>
      <c r="D146" s="254"/>
      <c r="E146" s="254"/>
      <c r="F146" s="254"/>
      <c r="G146" s="254"/>
      <c r="H146" s="254"/>
      <c r="I146" s="254"/>
      <c r="J146" s="254"/>
      <c r="K146" s="254"/>
      <c r="L146" s="254"/>
      <c r="M146" s="254"/>
      <c r="N146" s="254"/>
      <c r="O146" s="254"/>
      <c r="P146" s="254"/>
      <c r="Q146" s="254"/>
      <c r="R146" s="254"/>
      <c r="S146" s="254"/>
      <c r="T146" s="254"/>
      <c r="U146" s="254"/>
      <c r="V146" s="254"/>
      <c r="W146" s="254"/>
      <c r="X146" s="254"/>
      <c r="Y146" s="254"/>
      <c r="Z146" s="254"/>
    </row>
    <row r="147">
      <c r="B147" s="254"/>
      <c r="C147" s="254"/>
      <c r="D147" s="254"/>
      <c r="E147" s="254"/>
      <c r="F147" s="254"/>
      <c r="G147" s="254"/>
      <c r="H147" s="254"/>
      <c r="I147" s="254"/>
      <c r="J147" s="254"/>
      <c r="K147" s="254"/>
      <c r="L147" s="254"/>
      <c r="M147" s="254"/>
      <c r="N147" s="254"/>
      <c r="O147" s="254"/>
      <c r="P147" s="254"/>
      <c r="Q147" s="254"/>
      <c r="R147" s="254"/>
      <c r="S147" s="254"/>
      <c r="T147" s="254"/>
      <c r="U147" s="254"/>
      <c r="V147" s="254"/>
      <c r="W147" s="254"/>
      <c r="X147" s="254"/>
      <c r="Y147" s="254"/>
      <c r="Z147" s="254"/>
    </row>
    <row r="148">
      <c r="B148" s="254"/>
      <c r="C148" s="254"/>
      <c r="D148" s="254"/>
      <c r="E148" s="254"/>
      <c r="F148" s="254"/>
      <c r="G148" s="254"/>
      <c r="H148" s="254"/>
      <c r="I148" s="254"/>
      <c r="J148" s="254"/>
      <c r="K148" s="254"/>
      <c r="L148" s="254"/>
      <c r="M148" s="254"/>
      <c r="N148" s="254"/>
      <c r="O148" s="254"/>
      <c r="P148" s="254"/>
      <c r="Q148" s="254"/>
      <c r="R148" s="254"/>
      <c r="S148" s="254"/>
      <c r="T148" s="254"/>
      <c r="U148" s="254"/>
      <c r="V148" s="254"/>
      <c r="W148" s="254"/>
      <c r="X148" s="254"/>
      <c r="Y148" s="254"/>
      <c r="Z148" s="254"/>
    </row>
    <row r="149">
      <c r="A149" s="254"/>
      <c r="B149" s="254"/>
      <c r="C149" s="254"/>
      <c r="D149" s="254"/>
      <c r="E149" s="254"/>
      <c r="F149" s="254"/>
      <c r="G149" s="254"/>
      <c r="H149" s="254"/>
      <c r="I149" s="254"/>
      <c r="J149" s="254"/>
      <c r="K149" s="254"/>
      <c r="L149" s="254"/>
      <c r="M149" s="254"/>
      <c r="N149" s="254"/>
      <c r="O149" s="254"/>
      <c r="P149" s="254"/>
      <c r="Q149" s="254"/>
      <c r="R149" s="254"/>
      <c r="S149" s="254"/>
      <c r="T149" s="254"/>
      <c r="U149" s="254"/>
      <c r="V149" s="254"/>
      <c r="W149" s="254"/>
      <c r="X149" s="254"/>
      <c r="Y149" s="254"/>
      <c r="Z149" s="254"/>
    </row>
    <row r="150">
      <c r="B150" s="254"/>
      <c r="C150" s="254"/>
      <c r="D150" s="254"/>
      <c r="E150" s="254"/>
      <c r="F150" s="254"/>
      <c r="G150" s="254"/>
      <c r="H150" s="254"/>
      <c r="I150" s="254"/>
      <c r="J150" s="254"/>
      <c r="K150" s="254"/>
      <c r="L150" s="254"/>
      <c r="M150" s="254"/>
      <c r="N150" s="254"/>
      <c r="O150" s="254"/>
      <c r="P150" s="254"/>
      <c r="Q150" s="254"/>
      <c r="R150" s="254"/>
      <c r="S150" s="254"/>
      <c r="T150" s="254"/>
      <c r="U150" s="254"/>
      <c r="V150" s="254"/>
      <c r="W150" s="254"/>
      <c r="X150" s="254"/>
      <c r="Y150" s="254"/>
      <c r="Z150" s="254"/>
    </row>
    <row r="151">
      <c r="B151" s="254"/>
      <c r="C151" s="254"/>
      <c r="D151" s="254"/>
      <c r="E151" s="254"/>
      <c r="F151" s="254"/>
      <c r="G151" s="254"/>
      <c r="H151" s="254"/>
      <c r="I151" s="254"/>
      <c r="J151" s="254"/>
      <c r="K151" s="254"/>
      <c r="L151" s="254"/>
      <c r="M151" s="254"/>
      <c r="N151" s="254"/>
      <c r="O151" s="254"/>
      <c r="P151" s="254"/>
      <c r="Q151" s="254"/>
      <c r="R151" s="254"/>
      <c r="S151" s="254"/>
      <c r="T151" s="254"/>
      <c r="U151" s="254"/>
      <c r="V151" s="254"/>
      <c r="W151" s="254"/>
      <c r="X151" s="254"/>
      <c r="Y151" s="254"/>
      <c r="Z151" s="254"/>
    </row>
    <row r="152">
      <c r="B152" s="254"/>
      <c r="C152" s="254"/>
      <c r="D152" s="254"/>
      <c r="E152" s="254"/>
      <c r="F152" s="254"/>
      <c r="G152" s="254"/>
      <c r="H152" s="254"/>
      <c r="I152" s="254"/>
      <c r="J152" s="254"/>
      <c r="K152" s="254"/>
      <c r="L152" s="254"/>
      <c r="M152" s="254"/>
      <c r="N152" s="254"/>
      <c r="O152" s="254"/>
      <c r="P152" s="254"/>
      <c r="Q152" s="254"/>
      <c r="R152" s="254"/>
      <c r="S152" s="254"/>
      <c r="T152" s="254"/>
      <c r="U152" s="254"/>
      <c r="V152" s="254"/>
      <c r="W152" s="254"/>
      <c r="X152" s="254"/>
      <c r="Y152" s="254"/>
      <c r="Z152" s="254"/>
    </row>
    <row r="153">
      <c r="B153" s="254"/>
      <c r="C153" s="254"/>
      <c r="D153" s="254"/>
      <c r="E153" s="254"/>
      <c r="F153" s="254"/>
      <c r="G153" s="254"/>
      <c r="H153" s="254"/>
      <c r="I153" s="254"/>
      <c r="J153" s="254"/>
      <c r="K153" s="254"/>
      <c r="L153" s="254"/>
      <c r="M153" s="254"/>
      <c r="N153" s="254"/>
      <c r="O153" s="254"/>
      <c r="P153" s="254"/>
      <c r="Q153" s="254"/>
      <c r="R153" s="254"/>
      <c r="S153" s="254"/>
      <c r="T153" s="254"/>
      <c r="U153" s="254"/>
      <c r="V153" s="254"/>
      <c r="W153" s="254"/>
      <c r="X153" s="254"/>
      <c r="Y153" s="254"/>
      <c r="Z153" s="254"/>
    </row>
    <row r="154">
      <c r="B154" s="254"/>
      <c r="C154" s="254"/>
      <c r="D154" s="254"/>
      <c r="E154" s="254"/>
      <c r="F154" s="254"/>
      <c r="G154" s="254"/>
      <c r="H154" s="254"/>
      <c r="I154" s="254"/>
      <c r="J154" s="254"/>
      <c r="K154" s="254"/>
      <c r="L154" s="254"/>
      <c r="M154" s="254"/>
      <c r="N154" s="254"/>
      <c r="O154" s="254"/>
      <c r="P154" s="254"/>
      <c r="Q154" s="254"/>
      <c r="R154" s="254"/>
      <c r="S154" s="254"/>
      <c r="T154" s="254"/>
      <c r="U154" s="254"/>
      <c r="V154" s="254"/>
      <c r="W154" s="254"/>
      <c r="X154" s="254"/>
      <c r="Y154" s="254"/>
      <c r="Z154" s="254"/>
    </row>
    <row r="155">
      <c r="B155" s="254"/>
      <c r="C155" s="254"/>
      <c r="D155" s="254"/>
      <c r="E155" s="254"/>
      <c r="F155" s="254"/>
      <c r="G155" s="254"/>
      <c r="H155" s="254"/>
      <c r="I155" s="254"/>
      <c r="J155" s="254"/>
      <c r="K155" s="254"/>
      <c r="L155" s="254"/>
      <c r="M155" s="254"/>
      <c r="N155" s="254"/>
      <c r="O155" s="254"/>
      <c r="P155" s="254"/>
      <c r="Q155" s="254"/>
      <c r="R155" s="254"/>
      <c r="S155" s="254"/>
      <c r="T155" s="254"/>
      <c r="U155" s="254"/>
      <c r="V155" s="254"/>
      <c r="W155" s="254"/>
      <c r="X155" s="254"/>
      <c r="Y155" s="254"/>
      <c r="Z155" s="254"/>
    </row>
    <row r="156">
      <c r="B156" s="254"/>
      <c r="C156" s="254"/>
      <c r="D156" s="254"/>
      <c r="E156" s="254"/>
      <c r="F156" s="254"/>
      <c r="G156" s="254"/>
      <c r="H156" s="254"/>
      <c r="I156" s="254"/>
      <c r="J156" s="254"/>
      <c r="K156" s="254"/>
      <c r="L156" s="254"/>
      <c r="M156" s="254"/>
      <c r="N156" s="254"/>
      <c r="O156" s="254"/>
      <c r="P156" s="254"/>
      <c r="Q156" s="254"/>
      <c r="R156" s="254"/>
      <c r="S156" s="254"/>
      <c r="T156" s="254"/>
      <c r="U156" s="254"/>
      <c r="V156" s="254"/>
      <c r="W156" s="254"/>
      <c r="X156" s="254"/>
      <c r="Y156" s="254"/>
      <c r="Z156" s="254"/>
    </row>
    <row r="157">
      <c r="B157" s="254"/>
      <c r="C157" s="254"/>
      <c r="D157" s="254"/>
      <c r="E157" s="254"/>
      <c r="F157" s="254"/>
      <c r="G157" s="254"/>
      <c r="H157" s="254"/>
      <c r="I157" s="254"/>
      <c r="J157" s="254"/>
      <c r="K157" s="254"/>
      <c r="L157" s="254"/>
      <c r="M157" s="254"/>
      <c r="N157" s="254"/>
      <c r="O157" s="254"/>
      <c r="P157" s="254"/>
      <c r="Q157" s="254"/>
      <c r="R157" s="254"/>
      <c r="S157" s="254"/>
      <c r="T157" s="254"/>
      <c r="U157" s="254"/>
      <c r="V157" s="254"/>
      <c r="W157" s="254"/>
      <c r="X157" s="254"/>
      <c r="Y157" s="254"/>
      <c r="Z157" s="254"/>
    </row>
    <row r="158">
      <c r="B158" s="254"/>
      <c r="C158" s="254"/>
      <c r="D158" s="254"/>
      <c r="E158" s="254"/>
      <c r="F158" s="254"/>
      <c r="G158" s="254"/>
      <c r="H158" s="254"/>
      <c r="I158" s="254"/>
      <c r="J158" s="254"/>
      <c r="K158" s="254"/>
      <c r="L158" s="254"/>
      <c r="M158" s="254"/>
      <c r="N158" s="254"/>
      <c r="O158" s="254"/>
      <c r="P158" s="254"/>
      <c r="Q158" s="254"/>
      <c r="R158" s="254"/>
      <c r="S158" s="254"/>
      <c r="T158" s="254"/>
      <c r="U158" s="254"/>
      <c r="V158" s="254"/>
      <c r="W158" s="254"/>
      <c r="X158" s="254"/>
      <c r="Y158" s="254"/>
      <c r="Z158" s="254"/>
    </row>
    <row r="159">
      <c r="B159" s="254"/>
      <c r="C159" s="254"/>
      <c r="D159" s="254"/>
      <c r="E159" s="254"/>
      <c r="F159" s="254"/>
      <c r="G159" s="254"/>
      <c r="H159" s="254"/>
      <c r="I159" s="254"/>
      <c r="J159" s="254"/>
      <c r="K159" s="254"/>
      <c r="L159" s="254"/>
      <c r="M159" s="254"/>
      <c r="N159" s="254"/>
      <c r="O159" s="254"/>
      <c r="P159" s="254"/>
      <c r="Q159" s="254"/>
      <c r="R159" s="254"/>
      <c r="S159" s="254"/>
      <c r="T159" s="254"/>
      <c r="U159" s="254"/>
      <c r="V159" s="254"/>
      <c r="W159" s="254"/>
      <c r="X159" s="254"/>
      <c r="Y159" s="254"/>
      <c r="Z159" s="254"/>
    </row>
    <row r="160">
      <c r="B160" s="254"/>
      <c r="C160" s="254"/>
      <c r="D160" s="254"/>
      <c r="E160" s="254"/>
      <c r="F160" s="254"/>
      <c r="G160" s="254"/>
      <c r="H160" s="254"/>
      <c r="I160" s="254"/>
      <c r="J160" s="254"/>
      <c r="K160" s="254"/>
      <c r="L160" s="254"/>
      <c r="M160" s="254"/>
      <c r="N160" s="254"/>
      <c r="O160" s="254"/>
      <c r="P160" s="254"/>
      <c r="Q160" s="254"/>
      <c r="R160" s="254"/>
      <c r="S160" s="254"/>
      <c r="T160" s="254"/>
      <c r="U160" s="254"/>
      <c r="V160" s="254"/>
      <c r="W160" s="254"/>
      <c r="X160" s="254"/>
      <c r="Y160" s="254"/>
      <c r="Z160" s="254"/>
    </row>
    <row r="161">
      <c r="B161" s="254"/>
      <c r="C161" s="254"/>
      <c r="D161" s="254"/>
      <c r="E161" s="254"/>
      <c r="F161" s="254"/>
      <c r="G161" s="254"/>
      <c r="H161" s="254"/>
      <c r="I161" s="254"/>
      <c r="J161" s="254"/>
      <c r="K161" s="254"/>
      <c r="L161" s="254"/>
      <c r="M161" s="254"/>
      <c r="N161" s="254"/>
      <c r="O161" s="254"/>
      <c r="P161" s="254"/>
      <c r="Q161" s="254"/>
      <c r="R161" s="254"/>
      <c r="S161" s="254"/>
      <c r="T161" s="254"/>
      <c r="U161" s="254"/>
      <c r="V161" s="254"/>
      <c r="W161" s="254"/>
      <c r="X161" s="254"/>
      <c r="Y161" s="254"/>
      <c r="Z161" s="254"/>
    </row>
    <row r="162">
      <c r="B162" s="254"/>
      <c r="C162" s="254"/>
      <c r="D162" s="254"/>
      <c r="E162" s="254"/>
      <c r="F162" s="254"/>
      <c r="G162" s="254"/>
      <c r="H162" s="254"/>
      <c r="I162" s="254"/>
      <c r="J162" s="254"/>
      <c r="K162" s="254"/>
      <c r="L162" s="254"/>
      <c r="M162" s="254"/>
      <c r="N162" s="254"/>
      <c r="O162" s="254"/>
      <c r="P162" s="254"/>
      <c r="Q162" s="254"/>
      <c r="R162" s="254"/>
      <c r="S162" s="254"/>
      <c r="T162" s="254"/>
      <c r="U162" s="254"/>
      <c r="V162" s="254"/>
      <c r="W162" s="254"/>
      <c r="X162" s="254"/>
      <c r="Y162" s="254"/>
      <c r="Z162" s="254"/>
    </row>
    <row r="163">
      <c r="B163" s="254"/>
      <c r="C163" s="254"/>
      <c r="D163" s="254"/>
      <c r="E163" s="254"/>
      <c r="F163" s="254"/>
      <c r="G163" s="254"/>
      <c r="H163" s="254"/>
      <c r="I163" s="254"/>
      <c r="J163" s="254"/>
      <c r="K163" s="254"/>
      <c r="L163" s="254"/>
      <c r="M163" s="254"/>
      <c r="N163" s="254"/>
      <c r="O163" s="254"/>
      <c r="P163" s="254"/>
      <c r="Q163" s="254"/>
      <c r="R163" s="254"/>
      <c r="S163" s="254"/>
      <c r="T163" s="254"/>
      <c r="U163" s="254"/>
      <c r="V163" s="254"/>
      <c r="W163" s="254"/>
      <c r="X163" s="254"/>
      <c r="Y163" s="254"/>
      <c r="Z163" s="254"/>
    </row>
    <row r="164">
      <c r="B164" s="254"/>
      <c r="C164" s="254"/>
      <c r="D164" s="254"/>
      <c r="E164" s="254"/>
      <c r="F164" s="254"/>
      <c r="G164" s="254"/>
      <c r="H164" s="254"/>
      <c r="I164" s="254"/>
      <c r="J164" s="254"/>
      <c r="K164" s="254"/>
      <c r="L164" s="254"/>
      <c r="M164" s="254"/>
      <c r="N164" s="254"/>
      <c r="O164" s="254"/>
      <c r="P164" s="254"/>
      <c r="Q164" s="254"/>
      <c r="R164" s="254"/>
      <c r="S164" s="254"/>
      <c r="T164" s="254"/>
      <c r="U164" s="254"/>
      <c r="V164" s="254"/>
      <c r="W164" s="254"/>
      <c r="X164" s="254"/>
      <c r="Y164" s="254"/>
      <c r="Z164" s="254"/>
    </row>
    <row r="165">
      <c r="B165" s="254"/>
      <c r="C165" s="254"/>
      <c r="D165" s="254"/>
      <c r="E165" s="254"/>
      <c r="F165" s="254"/>
      <c r="G165" s="254"/>
      <c r="H165" s="254"/>
      <c r="I165" s="254"/>
      <c r="J165" s="254"/>
      <c r="K165" s="254"/>
      <c r="L165" s="254"/>
      <c r="M165" s="254"/>
      <c r="N165" s="254"/>
      <c r="O165" s="254"/>
      <c r="P165" s="254"/>
      <c r="Q165" s="254"/>
      <c r="R165" s="254"/>
      <c r="S165" s="254"/>
      <c r="T165" s="254"/>
      <c r="U165" s="254"/>
      <c r="V165" s="254"/>
      <c r="W165" s="254"/>
      <c r="X165" s="254"/>
      <c r="Y165" s="254"/>
      <c r="Z165" s="254"/>
    </row>
    <row r="166">
      <c r="B166" s="254"/>
      <c r="C166" s="254"/>
      <c r="D166" s="254"/>
      <c r="E166" s="254"/>
      <c r="F166" s="254"/>
      <c r="G166" s="254"/>
      <c r="H166" s="254"/>
      <c r="I166" s="254"/>
      <c r="J166" s="254"/>
      <c r="K166" s="254"/>
      <c r="L166" s="254"/>
      <c r="M166" s="254"/>
      <c r="N166" s="254"/>
      <c r="O166" s="254"/>
      <c r="P166" s="254"/>
      <c r="Q166" s="254"/>
      <c r="R166" s="254"/>
      <c r="S166" s="254"/>
      <c r="T166" s="254"/>
      <c r="U166" s="254"/>
      <c r="V166" s="254"/>
      <c r="W166" s="254"/>
      <c r="X166" s="254"/>
      <c r="Y166" s="254"/>
      <c r="Z166" s="254"/>
    </row>
    <row r="167">
      <c r="B167" s="254"/>
      <c r="C167" s="254"/>
      <c r="D167" s="254"/>
      <c r="E167" s="254"/>
      <c r="F167" s="254"/>
      <c r="G167" s="254"/>
      <c r="H167" s="254"/>
      <c r="I167" s="254"/>
      <c r="J167" s="254"/>
      <c r="K167" s="254"/>
      <c r="L167" s="254"/>
      <c r="M167" s="254"/>
      <c r="N167" s="254"/>
      <c r="O167" s="254"/>
      <c r="P167" s="254"/>
      <c r="Q167" s="254"/>
      <c r="R167" s="254"/>
      <c r="S167" s="254"/>
      <c r="T167" s="254"/>
      <c r="U167" s="254"/>
      <c r="V167" s="254"/>
      <c r="W167" s="254"/>
      <c r="X167" s="254"/>
      <c r="Y167" s="254"/>
      <c r="Z167" s="254"/>
    </row>
    <row r="168">
      <c r="B168" s="254"/>
      <c r="C168" s="254"/>
      <c r="D168" s="254"/>
      <c r="E168" s="254"/>
      <c r="F168" s="254"/>
      <c r="G168" s="254"/>
      <c r="H168" s="254"/>
      <c r="I168" s="254"/>
      <c r="J168" s="254"/>
      <c r="K168" s="254"/>
      <c r="L168" s="254"/>
      <c r="M168" s="254"/>
      <c r="N168" s="254"/>
      <c r="O168" s="254"/>
      <c r="P168" s="254"/>
      <c r="Q168" s="254"/>
      <c r="R168" s="254"/>
      <c r="S168" s="254"/>
      <c r="T168" s="254"/>
      <c r="U168" s="254"/>
      <c r="V168" s="254"/>
      <c r="W168" s="254"/>
      <c r="X168" s="254"/>
      <c r="Y168" s="254"/>
      <c r="Z168" s="254"/>
    </row>
    <row r="169">
      <c r="B169" s="254"/>
      <c r="C169" s="254"/>
      <c r="D169" s="254"/>
      <c r="E169" s="254"/>
      <c r="F169" s="254"/>
      <c r="G169" s="254"/>
      <c r="H169" s="254"/>
      <c r="I169" s="254"/>
      <c r="J169" s="254"/>
      <c r="K169" s="254"/>
      <c r="L169" s="254"/>
      <c r="M169" s="254"/>
      <c r="N169" s="254"/>
      <c r="O169" s="254"/>
      <c r="P169" s="254"/>
      <c r="Q169" s="254"/>
      <c r="R169" s="254"/>
      <c r="S169" s="254"/>
      <c r="T169" s="254"/>
      <c r="U169" s="254"/>
      <c r="V169" s="254"/>
      <c r="W169" s="254"/>
      <c r="X169" s="254"/>
      <c r="Y169" s="254"/>
      <c r="Z169" s="254"/>
    </row>
    <row r="170">
      <c r="B170" s="254"/>
      <c r="C170" s="254"/>
      <c r="D170" s="254"/>
      <c r="E170" s="254"/>
      <c r="F170" s="254"/>
      <c r="G170" s="254"/>
      <c r="H170" s="254"/>
      <c r="I170" s="254"/>
      <c r="J170" s="254"/>
      <c r="K170" s="254"/>
      <c r="L170" s="254"/>
      <c r="M170" s="254"/>
      <c r="N170" s="254"/>
      <c r="O170" s="254"/>
      <c r="P170" s="254"/>
      <c r="Q170" s="254"/>
      <c r="R170" s="254"/>
      <c r="S170" s="254"/>
      <c r="T170" s="254"/>
      <c r="U170" s="254"/>
      <c r="V170" s="254"/>
      <c r="W170" s="254"/>
      <c r="X170" s="254"/>
      <c r="Y170" s="254"/>
      <c r="Z170" s="254"/>
    </row>
    <row r="171">
      <c r="B171" s="254"/>
      <c r="C171" s="254"/>
      <c r="D171" s="254"/>
      <c r="E171" s="254"/>
      <c r="F171" s="254"/>
      <c r="G171" s="254"/>
      <c r="H171" s="254"/>
      <c r="I171" s="254"/>
      <c r="J171" s="254"/>
      <c r="K171" s="254"/>
      <c r="L171" s="254"/>
      <c r="M171" s="254"/>
      <c r="N171" s="254"/>
      <c r="O171" s="254"/>
      <c r="P171" s="254"/>
      <c r="Q171" s="254"/>
      <c r="R171" s="254"/>
      <c r="S171" s="254"/>
      <c r="T171" s="254"/>
      <c r="U171" s="254"/>
      <c r="V171" s="254"/>
      <c r="W171" s="254"/>
      <c r="X171" s="254"/>
      <c r="Y171" s="254"/>
      <c r="Z171" s="254"/>
    </row>
    <row r="172">
      <c r="B172" s="254"/>
      <c r="C172" s="254"/>
      <c r="D172" s="254"/>
      <c r="E172" s="254"/>
      <c r="F172" s="254"/>
      <c r="G172" s="254"/>
      <c r="H172" s="254"/>
      <c r="I172" s="254"/>
      <c r="J172" s="254"/>
      <c r="K172" s="254"/>
      <c r="L172" s="254"/>
      <c r="M172" s="254"/>
      <c r="N172" s="254"/>
      <c r="O172" s="254"/>
      <c r="P172" s="254"/>
      <c r="Q172" s="254"/>
      <c r="R172" s="254"/>
      <c r="S172" s="254"/>
      <c r="T172" s="254"/>
      <c r="U172" s="254"/>
      <c r="V172" s="254"/>
      <c r="W172" s="254"/>
      <c r="X172" s="254"/>
      <c r="Y172" s="254"/>
      <c r="Z172" s="254"/>
    </row>
    <row r="173">
      <c r="A173" s="254"/>
      <c r="B173" s="254"/>
      <c r="C173" s="254"/>
      <c r="D173" s="254"/>
      <c r="E173" s="254"/>
      <c r="F173" s="254"/>
      <c r="G173" s="254"/>
      <c r="H173" s="254"/>
      <c r="I173" s="254"/>
      <c r="J173" s="254"/>
      <c r="K173" s="254"/>
      <c r="L173" s="254"/>
      <c r="M173" s="254"/>
      <c r="N173" s="254"/>
      <c r="O173" s="254"/>
      <c r="P173" s="254"/>
      <c r="Q173" s="254"/>
      <c r="R173" s="254"/>
      <c r="S173" s="254"/>
      <c r="T173" s="254"/>
      <c r="U173" s="254"/>
      <c r="V173" s="254"/>
      <c r="W173" s="254"/>
      <c r="X173" s="254"/>
      <c r="Y173" s="254"/>
      <c r="Z173" s="254"/>
    </row>
    <row r="174">
      <c r="B174" s="254"/>
      <c r="C174" s="254"/>
      <c r="D174" s="254"/>
      <c r="E174" s="254"/>
      <c r="F174" s="254"/>
      <c r="G174" s="254"/>
      <c r="H174" s="254"/>
      <c r="I174" s="254"/>
      <c r="J174" s="254"/>
      <c r="K174" s="254"/>
      <c r="L174" s="254"/>
      <c r="M174" s="254"/>
      <c r="N174" s="254"/>
      <c r="O174" s="254"/>
      <c r="P174" s="254"/>
      <c r="Q174" s="254"/>
      <c r="R174" s="254"/>
      <c r="S174" s="254"/>
      <c r="T174" s="254"/>
      <c r="U174" s="254"/>
      <c r="V174" s="254"/>
      <c r="W174" s="254"/>
      <c r="X174" s="254"/>
      <c r="Y174" s="254"/>
      <c r="Z174" s="254"/>
    </row>
    <row r="175">
      <c r="B175" s="254"/>
      <c r="C175" s="254"/>
      <c r="D175" s="254"/>
      <c r="E175" s="254"/>
      <c r="F175" s="254"/>
      <c r="G175" s="254"/>
      <c r="H175" s="254"/>
      <c r="I175" s="254"/>
      <c r="J175" s="254"/>
      <c r="K175" s="254"/>
      <c r="L175" s="254"/>
      <c r="M175" s="254"/>
      <c r="N175" s="254"/>
      <c r="O175" s="254"/>
      <c r="P175" s="254"/>
      <c r="Q175" s="254"/>
      <c r="R175" s="254"/>
      <c r="S175" s="254"/>
      <c r="T175" s="254"/>
      <c r="U175" s="254"/>
      <c r="V175" s="254"/>
      <c r="W175" s="254"/>
      <c r="X175" s="254"/>
      <c r="Y175" s="254"/>
      <c r="Z175" s="254"/>
    </row>
    <row r="176">
      <c r="B176" s="254"/>
      <c r="C176" s="254"/>
      <c r="D176" s="254"/>
      <c r="E176" s="254"/>
      <c r="F176" s="254"/>
      <c r="G176" s="254"/>
      <c r="H176" s="254"/>
      <c r="I176" s="254"/>
      <c r="J176" s="254"/>
      <c r="K176" s="254"/>
      <c r="L176" s="254"/>
      <c r="M176" s="254"/>
      <c r="N176" s="254"/>
      <c r="O176" s="254"/>
      <c r="P176" s="254"/>
      <c r="Q176" s="254"/>
      <c r="R176" s="254"/>
      <c r="S176" s="254"/>
      <c r="T176" s="254"/>
      <c r="U176" s="254"/>
      <c r="V176" s="254"/>
      <c r="W176" s="254"/>
      <c r="X176" s="254"/>
      <c r="Y176" s="254"/>
      <c r="Z176" s="254"/>
    </row>
    <row r="177">
      <c r="B177" s="254"/>
      <c r="C177" s="254"/>
      <c r="D177" s="254"/>
      <c r="E177" s="254"/>
      <c r="F177" s="254"/>
      <c r="G177" s="254"/>
      <c r="H177" s="254"/>
      <c r="I177" s="254"/>
      <c r="J177" s="254"/>
      <c r="K177" s="254"/>
      <c r="L177" s="254"/>
      <c r="M177" s="254"/>
      <c r="N177" s="254"/>
      <c r="O177" s="254"/>
      <c r="P177" s="254"/>
      <c r="Q177" s="254"/>
      <c r="R177" s="254"/>
      <c r="S177" s="254"/>
      <c r="T177" s="254"/>
      <c r="U177" s="254"/>
      <c r="V177" s="254"/>
      <c r="W177" s="254"/>
      <c r="X177" s="254"/>
      <c r="Y177" s="254"/>
      <c r="Z177" s="254"/>
    </row>
    <row r="178">
      <c r="B178" s="254"/>
      <c r="C178" s="254"/>
      <c r="D178" s="254"/>
      <c r="E178" s="254"/>
      <c r="F178" s="254"/>
      <c r="G178" s="254"/>
      <c r="H178" s="254"/>
      <c r="I178" s="254"/>
      <c r="J178" s="254"/>
      <c r="K178" s="254"/>
      <c r="L178" s="254"/>
      <c r="M178" s="254"/>
      <c r="N178" s="254"/>
      <c r="O178" s="254"/>
      <c r="P178" s="254"/>
      <c r="Q178" s="254"/>
      <c r="R178" s="254"/>
      <c r="S178" s="254"/>
      <c r="T178" s="254"/>
      <c r="U178" s="254"/>
      <c r="V178" s="254"/>
      <c r="W178" s="254"/>
      <c r="X178" s="254"/>
      <c r="Y178" s="254"/>
      <c r="Z178" s="254"/>
    </row>
    <row r="179">
      <c r="B179" s="254"/>
      <c r="C179" s="254"/>
      <c r="D179" s="254"/>
      <c r="E179" s="254"/>
      <c r="F179" s="254"/>
      <c r="G179" s="254"/>
      <c r="H179" s="254"/>
      <c r="I179" s="254"/>
      <c r="J179" s="254"/>
      <c r="K179" s="254"/>
      <c r="L179" s="254"/>
      <c r="M179" s="254"/>
      <c r="N179" s="254"/>
      <c r="O179" s="254"/>
      <c r="P179" s="254"/>
      <c r="Q179" s="254"/>
      <c r="R179" s="254"/>
      <c r="S179" s="254"/>
      <c r="T179" s="254"/>
      <c r="U179" s="254"/>
      <c r="V179" s="254"/>
      <c r="W179" s="254"/>
      <c r="X179" s="254"/>
      <c r="Y179" s="254"/>
      <c r="Z179" s="254"/>
    </row>
    <row r="180">
      <c r="B180" s="254"/>
      <c r="C180" s="254"/>
      <c r="D180" s="254"/>
      <c r="E180" s="254"/>
      <c r="F180" s="254"/>
      <c r="G180" s="254"/>
      <c r="H180" s="254"/>
      <c r="I180" s="254"/>
      <c r="J180" s="254"/>
      <c r="K180" s="254"/>
      <c r="L180" s="254"/>
      <c r="M180" s="254"/>
      <c r="N180" s="254"/>
      <c r="O180" s="254"/>
      <c r="P180" s="254"/>
      <c r="Q180" s="254"/>
      <c r="R180" s="254"/>
      <c r="S180" s="254"/>
      <c r="T180" s="254"/>
      <c r="U180" s="254"/>
      <c r="V180" s="254"/>
      <c r="W180" s="254"/>
      <c r="X180" s="254"/>
      <c r="Y180" s="254"/>
      <c r="Z180" s="254"/>
    </row>
    <row r="181">
      <c r="B181" s="254"/>
      <c r="C181" s="254"/>
      <c r="D181" s="254"/>
      <c r="E181" s="254"/>
      <c r="F181" s="254"/>
      <c r="G181" s="254"/>
      <c r="H181" s="254"/>
      <c r="I181" s="254"/>
      <c r="J181" s="254"/>
      <c r="K181" s="254"/>
      <c r="L181" s="254"/>
      <c r="M181" s="254"/>
      <c r="N181" s="254"/>
      <c r="O181" s="254"/>
      <c r="P181" s="254"/>
      <c r="Q181" s="254"/>
      <c r="R181" s="254"/>
      <c r="S181" s="254"/>
      <c r="T181" s="254"/>
      <c r="U181" s="254"/>
      <c r="V181" s="254"/>
      <c r="W181" s="254"/>
      <c r="X181" s="254"/>
      <c r="Y181" s="254"/>
      <c r="Z181" s="254"/>
    </row>
    <row r="182">
      <c r="B182" s="254"/>
      <c r="C182" s="254"/>
      <c r="D182" s="254"/>
      <c r="E182" s="254"/>
      <c r="F182" s="254"/>
      <c r="G182" s="254"/>
      <c r="H182" s="254"/>
      <c r="I182" s="254"/>
      <c r="J182" s="254"/>
      <c r="K182" s="254"/>
      <c r="L182" s="254"/>
      <c r="M182" s="254"/>
      <c r="N182" s="254"/>
      <c r="O182" s="254"/>
      <c r="P182" s="254"/>
      <c r="Q182" s="254"/>
      <c r="R182" s="254"/>
      <c r="S182" s="254"/>
      <c r="T182" s="254"/>
      <c r="U182" s="254"/>
      <c r="V182" s="254"/>
      <c r="W182" s="254"/>
      <c r="X182" s="254"/>
      <c r="Y182" s="254"/>
      <c r="Z182" s="254"/>
    </row>
    <row r="183">
      <c r="B183" s="254"/>
      <c r="C183" s="254"/>
      <c r="D183" s="254"/>
      <c r="E183" s="254"/>
      <c r="F183" s="254"/>
      <c r="G183" s="254"/>
      <c r="H183" s="254"/>
      <c r="I183" s="254"/>
      <c r="J183" s="254"/>
      <c r="K183" s="254"/>
      <c r="L183" s="254"/>
      <c r="M183" s="254"/>
      <c r="N183" s="254"/>
      <c r="O183" s="254"/>
      <c r="P183" s="254"/>
      <c r="Q183" s="254"/>
      <c r="R183" s="254"/>
      <c r="S183" s="254"/>
      <c r="T183" s="254"/>
      <c r="U183" s="254"/>
      <c r="V183" s="254"/>
      <c r="W183" s="254"/>
      <c r="X183" s="254"/>
      <c r="Y183" s="254"/>
      <c r="Z183" s="254"/>
    </row>
    <row r="184">
      <c r="B184" s="254"/>
      <c r="C184" s="254"/>
      <c r="D184" s="254"/>
      <c r="E184" s="254"/>
      <c r="F184" s="254"/>
      <c r="G184" s="254"/>
      <c r="H184" s="254"/>
      <c r="I184" s="254"/>
      <c r="J184" s="254"/>
      <c r="K184" s="254"/>
      <c r="L184" s="254"/>
      <c r="M184" s="254"/>
      <c r="N184" s="254"/>
      <c r="O184" s="254"/>
      <c r="P184" s="254"/>
      <c r="Q184" s="254"/>
      <c r="R184" s="254"/>
      <c r="S184" s="254"/>
      <c r="T184" s="254"/>
      <c r="U184" s="254"/>
      <c r="V184" s="254"/>
      <c r="W184" s="254"/>
      <c r="X184" s="254"/>
      <c r="Y184" s="254"/>
      <c r="Z184" s="254"/>
    </row>
    <row r="185">
      <c r="B185" s="254"/>
      <c r="C185" s="254"/>
      <c r="D185" s="254"/>
      <c r="E185" s="254"/>
      <c r="F185" s="254"/>
      <c r="G185" s="254"/>
      <c r="H185" s="254"/>
      <c r="I185" s="254"/>
      <c r="J185" s="254"/>
      <c r="K185" s="254"/>
      <c r="L185" s="254"/>
      <c r="M185" s="254"/>
      <c r="N185" s="254"/>
      <c r="O185" s="254"/>
      <c r="P185" s="254"/>
      <c r="Q185" s="254"/>
      <c r="R185" s="254"/>
      <c r="S185" s="254"/>
      <c r="T185" s="254"/>
      <c r="U185" s="254"/>
      <c r="V185" s="254"/>
      <c r="W185" s="254"/>
      <c r="X185" s="254"/>
      <c r="Y185" s="254"/>
      <c r="Z185" s="254"/>
    </row>
    <row r="186">
      <c r="B186" s="254"/>
      <c r="C186" s="254"/>
      <c r="D186" s="254"/>
      <c r="E186" s="254"/>
      <c r="F186" s="254"/>
      <c r="G186" s="254"/>
      <c r="H186" s="254"/>
      <c r="I186" s="254"/>
      <c r="J186" s="254"/>
      <c r="K186" s="254"/>
      <c r="L186" s="254"/>
      <c r="M186" s="254"/>
      <c r="N186" s="254"/>
      <c r="O186" s="254"/>
      <c r="P186" s="254"/>
      <c r="Q186" s="254"/>
      <c r="R186" s="254"/>
      <c r="S186" s="254"/>
      <c r="T186" s="254"/>
      <c r="U186" s="254"/>
      <c r="V186" s="254"/>
      <c r="W186" s="254"/>
      <c r="X186" s="254"/>
      <c r="Y186" s="254"/>
      <c r="Z186" s="254"/>
    </row>
    <row r="187">
      <c r="B187" s="254"/>
      <c r="C187" s="254"/>
      <c r="D187" s="254"/>
      <c r="E187" s="254"/>
      <c r="F187" s="254"/>
      <c r="G187" s="254"/>
      <c r="H187" s="254"/>
      <c r="I187" s="254"/>
      <c r="J187" s="254"/>
      <c r="K187" s="254"/>
      <c r="L187" s="254"/>
      <c r="M187" s="254"/>
      <c r="N187" s="254"/>
      <c r="O187" s="254"/>
      <c r="P187" s="254"/>
      <c r="Q187" s="254"/>
      <c r="R187" s="254"/>
      <c r="S187" s="254"/>
      <c r="T187" s="254"/>
      <c r="U187" s="254"/>
      <c r="V187" s="254"/>
      <c r="W187" s="254"/>
      <c r="X187" s="254"/>
      <c r="Y187" s="254"/>
      <c r="Z187" s="254"/>
    </row>
    <row r="188">
      <c r="B188" s="254"/>
      <c r="C188" s="254"/>
      <c r="D188" s="254"/>
      <c r="E188" s="254"/>
      <c r="F188" s="254"/>
      <c r="G188" s="254"/>
      <c r="H188" s="254"/>
      <c r="I188" s="254"/>
      <c r="J188" s="254"/>
      <c r="K188" s="254"/>
      <c r="L188" s="254"/>
      <c r="M188" s="254"/>
      <c r="N188" s="254"/>
      <c r="O188" s="254"/>
      <c r="P188" s="254"/>
      <c r="Q188" s="254"/>
      <c r="R188" s="254"/>
      <c r="S188" s="254"/>
      <c r="T188" s="254"/>
      <c r="U188" s="254"/>
      <c r="V188" s="254"/>
      <c r="W188" s="254"/>
      <c r="X188" s="254"/>
      <c r="Y188" s="254"/>
      <c r="Z188" s="254"/>
    </row>
    <row r="189">
      <c r="B189" s="254"/>
      <c r="C189" s="254"/>
      <c r="D189" s="254"/>
      <c r="E189" s="254"/>
      <c r="F189" s="254"/>
      <c r="G189" s="254"/>
      <c r="H189" s="254"/>
      <c r="I189" s="254"/>
      <c r="J189" s="254"/>
      <c r="K189" s="254"/>
      <c r="L189" s="254"/>
      <c r="M189" s="254"/>
      <c r="N189" s="254"/>
      <c r="O189" s="254"/>
      <c r="P189" s="254"/>
      <c r="Q189" s="254"/>
      <c r="R189" s="254"/>
      <c r="S189" s="254"/>
      <c r="T189" s="254"/>
      <c r="U189" s="254"/>
      <c r="V189" s="254"/>
      <c r="W189" s="254"/>
      <c r="X189" s="254"/>
      <c r="Y189" s="254"/>
      <c r="Z189" s="254"/>
    </row>
    <row r="190">
      <c r="B190" s="254"/>
      <c r="C190" s="254"/>
      <c r="D190" s="254"/>
      <c r="E190" s="254"/>
      <c r="F190" s="254"/>
      <c r="G190" s="254"/>
      <c r="H190" s="254"/>
      <c r="I190" s="254"/>
      <c r="J190" s="254"/>
      <c r="K190" s="254"/>
      <c r="L190" s="254"/>
      <c r="M190" s="254"/>
      <c r="N190" s="254"/>
      <c r="O190" s="254"/>
      <c r="P190" s="254"/>
      <c r="Q190" s="254"/>
      <c r="R190" s="254"/>
      <c r="S190" s="254"/>
      <c r="T190" s="254"/>
      <c r="U190" s="254"/>
      <c r="V190" s="254"/>
      <c r="W190" s="254"/>
      <c r="X190" s="254"/>
      <c r="Y190" s="254"/>
      <c r="Z190" s="254"/>
    </row>
    <row r="191">
      <c r="B191" s="254"/>
      <c r="C191" s="254"/>
      <c r="D191" s="254"/>
      <c r="E191" s="254"/>
      <c r="F191" s="254"/>
      <c r="G191" s="254"/>
      <c r="H191" s="254"/>
      <c r="I191" s="254"/>
      <c r="J191" s="254"/>
      <c r="K191" s="254"/>
      <c r="L191" s="254"/>
      <c r="M191" s="254"/>
      <c r="N191" s="254"/>
      <c r="O191" s="254"/>
      <c r="P191" s="254"/>
      <c r="Q191" s="254"/>
      <c r="R191" s="254"/>
      <c r="S191" s="254"/>
      <c r="T191" s="254"/>
      <c r="U191" s="254"/>
      <c r="V191" s="254"/>
      <c r="W191" s="254"/>
      <c r="X191" s="254"/>
      <c r="Y191" s="254"/>
      <c r="Z191" s="254"/>
    </row>
    <row r="192">
      <c r="B192" s="254"/>
      <c r="C192" s="254"/>
      <c r="D192" s="254"/>
      <c r="E192" s="254"/>
      <c r="F192" s="254"/>
      <c r="G192" s="254"/>
      <c r="H192" s="254"/>
      <c r="I192" s="254"/>
      <c r="J192" s="254"/>
      <c r="K192" s="254"/>
      <c r="L192" s="254"/>
      <c r="M192" s="254"/>
      <c r="N192" s="254"/>
      <c r="O192" s="254"/>
      <c r="P192" s="254"/>
      <c r="Q192" s="254"/>
      <c r="R192" s="254"/>
      <c r="S192" s="254"/>
      <c r="T192" s="254"/>
      <c r="U192" s="254"/>
      <c r="V192" s="254"/>
      <c r="W192" s="254"/>
      <c r="X192" s="254"/>
      <c r="Y192" s="254"/>
      <c r="Z192" s="254"/>
    </row>
    <row r="193">
      <c r="B193" s="254"/>
      <c r="C193" s="254"/>
      <c r="D193" s="254"/>
      <c r="E193" s="254"/>
      <c r="F193" s="254"/>
      <c r="G193" s="254"/>
      <c r="H193" s="254"/>
      <c r="I193" s="254"/>
      <c r="J193" s="254"/>
      <c r="K193" s="254"/>
      <c r="L193" s="254"/>
      <c r="M193" s="254"/>
      <c r="N193" s="254"/>
      <c r="O193" s="254"/>
      <c r="P193" s="254"/>
      <c r="Q193" s="254"/>
      <c r="R193" s="254"/>
      <c r="S193" s="254"/>
      <c r="T193" s="254"/>
      <c r="U193" s="254"/>
      <c r="V193" s="254"/>
      <c r="W193" s="254"/>
      <c r="X193" s="254"/>
      <c r="Y193" s="254"/>
      <c r="Z193" s="254"/>
    </row>
    <row r="194">
      <c r="B194" s="254"/>
      <c r="C194" s="254"/>
      <c r="D194" s="254"/>
      <c r="E194" s="254"/>
      <c r="F194" s="254"/>
      <c r="G194" s="254"/>
      <c r="H194" s="254"/>
      <c r="I194" s="254"/>
      <c r="J194" s="254"/>
      <c r="K194" s="254"/>
      <c r="L194" s="254"/>
      <c r="M194" s="254"/>
      <c r="N194" s="254"/>
      <c r="O194" s="254"/>
      <c r="P194" s="254"/>
      <c r="Q194" s="254"/>
      <c r="R194" s="254"/>
      <c r="S194" s="254"/>
      <c r="T194" s="254"/>
      <c r="U194" s="254"/>
      <c r="V194" s="254"/>
      <c r="W194" s="254"/>
      <c r="X194" s="254"/>
      <c r="Y194" s="254"/>
      <c r="Z194" s="254"/>
    </row>
    <row r="195">
      <c r="B195" s="254"/>
      <c r="C195" s="254"/>
      <c r="D195" s="254"/>
      <c r="E195" s="254"/>
      <c r="F195" s="254"/>
      <c r="G195" s="254"/>
      <c r="H195" s="254"/>
      <c r="I195" s="254"/>
      <c r="J195" s="254"/>
      <c r="K195" s="254"/>
      <c r="L195" s="254"/>
      <c r="M195" s="254"/>
      <c r="N195" s="254"/>
      <c r="O195" s="254"/>
      <c r="P195" s="254"/>
      <c r="Q195" s="254"/>
      <c r="R195" s="254"/>
      <c r="S195" s="254"/>
      <c r="T195" s="254"/>
      <c r="U195" s="254"/>
      <c r="V195" s="254"/>
      <c r="W195" s="254"/>
      <c r="X195" s="254"/>
      <c r="Y195" s="254"/>
      <c r="Z195" s="254"/>
    </row>
    <row r="196">
      <c r="B196" s="254"/>
      <c r="C196" s="254"/>
      <c r="D196" s="254"/>
      <c r="E196" s="254"/>
      <c r="F196" s="254"/>
      <c r="G196" s="254"/>
      <c r="H196" s="254"/>
      <c r="I196" s="254"/>
      <c r="J196" s="254"/>
      <c r="K196" s="254"/>
      <c r="L196" s="254"/>
      <c r="M196" s="254"/>
      <c r="N196" s="254"/>
      <c r="O196" s="254"/>
      <c r="P196" s="254"/>
      <c r="Q196" s="254"/>
      <c r="R196" s="254"/>
      <c r="S196" s="254"/>
      <c r="T196" s="254"/>
      <c r="U196" s="254"/>
      <c r="V196" s="254"/>
      <c r="W196" s="254"/>
      <c r="X196" s="254"/>
      <c r="Y196" s="254"/>
      <c r="Z196" s="254"/>
    </row>
    <row r="197">
      <c r="B197" s="254"/>
      <c r="C197" s="254"/>
      <c r="D197" s="254"/>
      <c r="E197" s="254"/>
      <c r="F197" s="254"/>
      <c r="G197" s="254"/>
      <c r="H197" s="254"/>
      <c r="I197" s="254"/>
      <c r="J197" s="254"/>
      <c r="K197" s="254"/>
      <c r="L197" s="254"/>
      <c r="M197" s="254"/>
      <c r="N197" s="254"/>
      <c r="O197" s="254"/>
      <c r="P197" s="254"/>
      <c r="Q197" s="254"/>
      <c r="R197" s="254"/>
      <c r="S197" s="254"/>
      <c r="T197" s="254"/>
      <c r="U197" s="254"/>
      <c r="V197" s="254"/>
      <c r="W197" s="254"/>
      <c r="X197" s="254"/>
      <c r="Y197" s="254"/>
      <c r="Z197" s="254"/>
    </row>
    <row r="198">
      <c r="A198" s="254"/>
      <c r="B198" s="254"/>
      <c r="C198" s="254"/>
      <c r="D198" s="254"/>
      <c r="E198" s="254"/>
      <c r="F198" s="254"/>
      <c r="G198" s="254"/>
      <c r="H198" s="254"/>
      <c r="I198" s="254"/>
      <c r="J198" s="254"/>
      <c r="K198" s="254"/>
      <c r="L198" s="254"/>
      <c r="M198" s="254"/>
      <c r="N198" s="254"/>
      <c r="O198" s="254"/>
      <c r="P198" s="254"/>
      <c r="Q198" s="254"/>
      <c r="R198" s="254"/>
      <c r="S198" s="254"/>
      <c r="T198" s="254"/>
      <c r="U198" s="254"/>
      <c r="V198" s="254"/>
      <c r="W198" s="254"/>
      <c r="X198" s="254"/>
      <c r="Y198" s="254"/>
      <c r="Z198" s="254"/>
    </row>
    <row r="199">
      <c r="B199" s="254"/>
      <c r="C199" s="254"/>
      <c r="D199" s="254"/>
      <c r="E199" s="254"/>
      <c r="F199" s="254"/>
      <c r="G199" s="254"/>
      <c r="H199" s="254"/>
      <c r="I199" s="254"/>
      <c r="J199" s="254"/>
      <c r="K199" s="254"/>
      <c r="L199" s="254"/>
      <c r="M199" s="254"/>
      <c r="N199" s="254"/>
      <c r="O199" s="254"/>
      <c r="P199" s="254"/>
      <c r="Q199" s="254"/>
      <c r="R199" s="254"/>
      <c r="S199" s="254"/>
      <c r="T199" s="254"/>
      <c r="U199" s="254"/>
      <c r="V199" s="254"/>
      <c r="W199" s="254"/>
      <c r="X199" s="254"/>
      <c r="Y199" s="254"/>
      <c r="Z199" s="254"/>
    </row>
    <row r="200">
      <c r="B200" s="254"/>
      <c r="C200" s="254"/>
      <c r="D200" s="254"/>
      <c r="E200" s="254"/>
      <c r="F200" s="254"/>
      <c r="G200" s="254"/>
      <c r="H200" s="254"/>
      <c r="I200" s="254"/>
      <c r="J200" s="254"/>
      <c r="K200" s="254"/>
      <c r="L200" s="254"/>
      <c r="M200" s="254"/>
      <c r="N200" s="254"/>
      <c r="O200" s="254"/>
      <c r="P200" s="254"/>
      <c r="Q200" s="254"/>
      <c r="R200" s="254"/>
      <c r="S200" s="254"/>
      <c r="T200" s="254"/>
      <c r="U200" s="254"/>
      <c r="V200" s="254"/>
      <c r="W200" s="254"/>
      <c r="X200" s="254"/>
      <c r="Y200" s="254"/>
      <c r="Z200" s="254"/>
    </row>
    <row r="201">
      <c r="B201" s="254"/>
      <c r="C201" s="254"/>
      <c r="D201" s="254"/>
      <c r="E201" s="254"/>
      <c r="F201" s="254"/>
      <c r="G201" s="254"/>
      <c r="H201" s="254"/>
      <c r="I201" s="254"/>
      <c r="J201" s="254"/>
      <c r="K201" s="254"/>
      <c r="L201" s="254"/>
      <c r="M201" s="254"/>
      <c r="N201" s="254"/>
      <c r="O201" s="254"/>
      <c r="P201" s="254"/>
      <c r="Q201" s="254"/>
      <c r="R201" s="254"/>
      <c r="S201" s="254"/>
      <c r="T201" s="254"/>
      <c r="U201" s="254"/>
      <c r="V201" s="254"/>
      <c r="W201" s="254"/>
      <c r="X201" s="254"/>
      <c r="Y201" s="254"/>
      <c r="Z201" s="254"/>
    </row>
    <row r="202">
      <c r="B202" s="254"/>
      <c r="C202" s="254"/>
      <c r="D202" s="254"/>
      <c r="E202" s="254"/>
      <c r="F202" s="254"/>
      <c r="G202" s="254"/>
      <c r="H202" s="254"/>
      <c r="I202" s="254"/>
      <c r="J202" s="254"/>
      <c r="K202" s="254"/>
      <c r="L202" s="254"/>
      <c r="M202" s="254"/>
      <c r="N202" s="254"/>
      <c r="O202" s="254"/>
      <c r="P202" s="254"/>
      <c r="Q202" s="254"/>
      <c r="R202" s="254"/>
      <c r="S202" s="254"/>
      <c r="T202" s="254"/>
      <c r="U202" s="254"/>
      <c r="V202" s="254"/>
      <c r="W202" s="254"/>
      <c r="X202" s="254"/>
      <c r="Y202" s="254"/>
      <c r="Z202" s="254"/>
    </row>
    <row r="203">
      <c r="B203" s="254"/>
      <c r="C203" s="254"/>
      <c r="D203" s="254"/>
      <c r="E203" s="254"/>
      <c r="F203" s="254"/>
      <c r="G203" s="254"/>
      <c r="H203" s="254"/>
      <c r="I203" s="254"/>
      <c r="J203" s="254"/>
      <c r="K203" s="254"/>
      <c r="L203" s="254"/>
      <c r="M203" s="254"/>
      <c r="N203" s="254"/>
      <c r="O203" s="254"/>
      <c r="P203" s="254"/>
      <c r="Q203" s="254"/>
      <c r="R203" s="254"/>
      <c r="S203" s="254"/>
      <c r="T203" s="254"/>
      <c r="U203" s="254"/>
      <c r="V203" s="254"/>
      <c r="W203" s="254"/>
      <c r="X203" s="254"/>
      <c r="Y203" s="254"/>
      <c r="Z203" s="254"/>
    </row>
    <row r="204">
      <c r="B204" s="254"/>
      <c r="C204" s="254"/>
      <c r="D204" s="254"/>
      <c r="E204" s="254"/>
      <c r="F204" s="254"/>
      <c r="G204" s="254"/>
      <c r="H204" s="254"/>
      <c r="I204" s="254"/>
      <c r="J204" s="254"/>
      <c r="K204" s="254"/>
      <c r="L204" s="254"/>
      <c r="M204" s="254"/>
      <c r="N204" s="254"/>
      <c r="O204" s="254"/>
      <c r="P204" s="254"/>
      <c r="Q204" s="254"/>
      <c r="R204" s="254"/>
      <c r="S204" s="254"/>
      <c r="T204" s="254"/>
      <c r="U204" s="254"/>
      <c r="V204" s="254"/>
      <c r="W204" s="254"/>
      <c r="X204" s="254"/>
      <c r="Y204" s="254"/>
      <c r="Z204" s="254"/>
    </row>
    <row r="205">
      <c r="B205" s="254"/>
      <c r="C205" s="254"/>
      <c r="D205" s="254"/>
      <c r="E205" s="254"/>
      <c r="F205" s="254"/>
      <c r="G205" s="254"/>
      <c r="H205" s="254"/>
      <c r="I205" s="254"/>
      <c r="J205" s="254"/>
      <c r="K205" s="254"/>
      <c r="L205" s="254"/>
      <c r="M205" s="254"/>
      <c r="N205" s="254"/>
      <c r="O205" s="254"/>
      <c r="P205" s="254"/>
      <c r="Q205" s="254"/>
      <c r="R205" s="254"/>
      <c r="S205" s="254"/>
      <c r="T205" s="254"/>
      <c r="U205" s="254"/>
      <c r="V205" s="254"/>
      <c r="W205" s="254"/>
      <c r="X205" s="254"/>
      <c r="Y205" s="254"/>
      <c r="Z205" s="254"/>
    </row>
    <row r="206">
      <c r="B206" s="254"/>
      <c r="C206" s="254"/>
      <c r="D206" s="254"/>
      <c r="E206" s="254"/>
      <c r="F206" s="254"/>
      <c r="G206" s="254"/>
      <c r="H206" s="254"/>
      <c r="I206" s="254"/>
      <c r="J206" s="254"/>
      <c r="K206" s="254"/>
      <c r="L206" s="254"/>
      <c r="M206" s="254"/>
      <c r="N206" s="254"/>
      <c r="O206" s="254"/>
      <c r="P206" s="254"/>
      <c r="Q206" s="254"/>
      <c r="R206" s="254"/>
      <c r="S206" s="254"/>
      <c r="T206" s="254"/>
      <c r="U206" s="254"/>
      <c r="V206" s="254"/>
      <c r="W206" s="254"/>
      <c r="X206" s="254"/>
      <c r="Y206" s="254"/>
      <c r="Z206" s="254"/>
    </row>
    <row r="207">
      <c r="B207" s="254"/>
      <c r="C207" s="254"/>
      <c r="D207" s="254"/>
      <c r="E207" s="254"/>
      <c r="F207" s="254"/>
      <c r="G207" s="254"/>
      <c r="H207" s="254"/>
      <c r="I207" s="254"/>
      <c r="J207" s="254"/>
      <c r="K207" s="254"/>
      <c r="L207" s="254"/>
      <c r="M207" s="254"/>
      <c r="N207" s="254"/>
      <c r="O207" s="254"/>
      <c r="P207" s="254"/>
      <c r="Q207" s="254"/>
      <c r="R207" s="254"/>
      <c r="S207" s="254"/>
      <c r="T207" s="254"/>
      <c r="U207" s="254"/>
      <c r="V207" s="254"/>
      <c r="W207" s="254"/>
      <c r="X207" s="254"/>
      <c r="Y207" s="254"/>
      <c r="Z207" s="254"/>
    </row>
    <row r="208">
      <c r="B208" s="254"/>
      <c r="C208" s="254"/>
      <c r="D208" s="254"/>
      <c r="E208" s="254"/>
      <c r="F208" s="254"/>
      <c r="G208" s="254"/>
      <c r="H208" s="254"/>
      <c r="I208" s="254"/>
      <c r="J208" s="254"/>
      <c r="K208" s="254"/>
      <c r="L208" s="254"/>
      <c r="M208" s="254"/>
      <c r="N208" s="254"/>
      <c r="O208" s="254"/>
      <c r="P208" s="254"/>
      <c r="Q208" s="254"/>
      <c r="R208" s="254"/>
      <c r="S208" s="254"/>
      <c r="T208" s="254"/>
      <c r="U208" s="254"/>
      <c r="V208" s="254"/>
      <c r="W208" s="254"/>
      <c r="X208" s="254"/>
      <c r="Y208" s="254"/>
      <c r="Z208" s="254"/>
    </row>
    <row r="209">
      <c r="B209" s="254"/>
      <c r="C209" s="254"/>
      <c r="D209" s="254"/>
      <c r="E209" s="254"/>
      <c r="F209" s="254"/>
      <c r="G209" s="254"/>
      <c r="H209" s="254"/>
      <c r="I209" s="254"/>
      <c r="J209" s="254"/>
      <c r="K209" s="254"/>
      <c r="L209" s="254"/>
      <c r="M209" s="254"/>
      <c r="N209" s="254"/>
      <c r="O209" s="254"/>
      <c r="P209" s="254"/>
      <c r="Q209" s="254"/>
      <c r="R209" s="254"/>
      <c r="S209" s="254"/>
      <c r="T209" s="254"/>
      <c r="U209" s="254"/>
      <c r="V209" s="254"/>
      <c r="W209" s="254"/>
      <c r="X209" s="254"/>
      <c r="Y209" s="254"/>
      <c r="Z209" s="254"/>
    </row>
    <row r="210">
      <c r="B210" s="254"/>
      <c r="C210" s="254"/>
      <c r="D210" s="254"/>
      <c r="E210" s="254"/>
      <c r="F210" s="254"/>
      <c r="G210" s="254"/>
      <c r="H210" s="254"/>
      <c r="I210" s="254"/>
      <c r="J210" s="254"/>
      <c r="K210" s="254"/>
      <c r="L210" s="254"/>
      <c r="M210" s="254"/>
      <c r="N210" s="254"/>
      <c r="O210" s="254"/>
      <c r="P210" s="254"/>
      <c r="Q210" s="254"/>
      <c r="R210" s="254"/>
      <c r="S210" s="254"/>
      <c r="T210" s="254"/>
      <c r="U210" s="254"/>
      <c r="V210" s="254"/>
      <c r="W210" s="254"/>
      <c r="X210" s="254"/>
      <c r="Y210" s="254"/>
      <c r="Z210" s="254"/>
    </row>
    <row r="211">
      <c r="B211" s="254"/>
      <c r="C211" s="254"/>
      <c r="D211" s="254"/>
      <c r="E211" s="254"/>
      <c r="F211" s="254"/>
      <c r="G211" s="254"/>
      <c r="H211" s="254"/>
      <c r="I211" s="254"/>
      <c r="J211" s="254"/>
      <c r="K211" s="254"/>
      <c r="L211" s="254"/>
      <c r="M211" s="254"/>
      <c r="N211" s="254"/>
      <c r="O211" s="254"/>
      <c r="P211" s="254"/>
      <c r="Q211" s="254"/>
      <c r="R211" s="254"/>
      <c r="S211" s="254"/>
      <c r="T211" s="254"/>
      <c r="U211" s="254"/>
      <c r="V211" s="254"/>
      <c r="W211" s="254"/>
      <c r="X211" s="254"/>
      <c r="Y211" s="254"/>
      <c r="Z211" s="254"/>
    </row>
    <row r="212">
      <c r="B212" s="254"/>
      <c r="C212" s="254"/>
      <c r="D212" s="254"/>
      <c r="E212" s="254"/>
      <c r="F212" s="254"/>
      <c r="G212" s="254"/>
      <c r="H212" s="254"/>
      <c r="I212" s="254"/>
      <c r="J212" s="254"/>
      <c r="K212" s="254"/>
      <c r="L212" s="254"/>
      <c r="M212" s="254"/>
      <c r="N212" s="254"/>
      <c r="O212" s="254"/>
      <c r="P212" s="254"/>
      <c r="Q212" s="254"/>
      <c r="R212" s="254"/>
      <c r="S212" s="254"/>
      <c r="T212" s="254"/>
      <c r="U212" s="254"/>
      <c r="V212" s="254"/>
      <c r="W212" s="254"/>
      <c r="X212" s="254"/>
      <c r="Y212" s="254"/>
      <c r="Z212" s="254"/>
    </row>
    <row r="213">
      <c r="B213" s="254"/>
      <c r="C213" s="254"/>
      <c r="D213" s="254"/>
      <c r="E213" s="254"/>
      <c r="F213" s="254"/>
      <c r="G213" s="254"/>
      <c r="H213" s="254"/>
      <c r="I213" s="254"/>
      <c r="J213" s="254"/>
      <c r="K213" s="254"/>
      <c r="L213" s="254"/>
      <c r="M213" s="254"/>
      <c r="N213" s="254"/>
      <c r="O213" s="254"/>
      <c r="P213" s="254"/>
      <c r="Q213" s="254"/>
      <c r="R213" s="254"/>
      <c r="S213" s="254"/>
      <c r="T213" s="254"/>
      <c r="U213" s="254"/>
      <c r="V213" s="254"/>
      <c r="W213" s="254"/>
      <c r="X213" s="254"/>
      <c r="Y213" s="254"/>
      <c r="Z213" s="254"/>
    </row>
    <row r="214">
      <c r="B214" s="254"/>
      <c r="C214" s="254"/>
      <c r="D214" s="254"/>
      <c r="E214" s="254"/>
      <c r="F214" s="254"/>
      <c r="G214" s="254"/>
      <c r="H214" s="254"/>
      <c r="I214" s="254"/>
      <c r="J214" s="254"/>
      <c r="K214" s="254"/>
      <c r="L214" s="254"/>
      <c r="M214" s="254"/>
      <c r="N214" s="254"/>
      <c r="O214" s="254"/>
      <c r="P214" s="254"/>
      <c r="Q214" s="254"/>
      <c r="R214" s="254"/>
      <c r="S214" s="254"/>
      <c r="T214" s="254"/>
      <c r="U214" s="254"/>
      <c r="V214" s="254"/>
      <c r="W214" s="254"/>
      <c r="X214" s="254"/>
      <c r="Y214" s="254"/>
      <c r="Z214" s="254"/>
    </row>
    <row r="215">
      <c r="B215" s="254"/>
      <c r="C215" s="254"/>
      <c r="D215" s="254"/>
      <c r="E215" s="254"/>
      <c r="F215" s="254"/>
      <c r="G215" s="254"/>
      <c r="H215" s="254"/>
      <c r="I215" s="254"/>
      <c r="J215" s="254"/>
      <c r="K215" s="254"/>
      <c r="L215" s="254"/>
      <c r="M215" s="254"/>
      <c r="N215" s="254"/>
      <c r="O215" s="254"/>
      <c r="P215" s="254"/>
      <c r="Q215" s="254"/>
      <c r="R215" s="254"/>
      <c r="S215" s="254"/>
      <c r="T215" s="254"/>
      <c r="U215" s="254"/>
      <c r="V215" s="254"/>
      <c r="W215" s="254"/>
      <c r="X215" s="254"/>
      <c r="Y215" s="254"/>
      <c r="Z215" s="254"/>
    </row>
    <row r="216">
      <c r="B216" s="254"/>
      <c r="C216" s="254"/>
      <c r="D216" s="254"/>
      <c r="E216" s="254"/>
      <c r="F216" s="254"/>
      <c r="G216" s="254"/>
      <c r="H216" s="254"/>
      <c r="I216" s="254"/>
      <c r="J216" s="254"/>
      <c r="K216" s="254"/>
      <c r="L216" s="254"/>
      <c r="M216" s="254"/>
      <c r="N216" s="254"/>
      <c r="O216" s="254"/>
      <c r="P216" s="254"/>
      <c r="Q216" s="254"/>
      <c r="R216" s="254"/>
      <c r="S216" s="254"/>
      <c r="T216" s="254"/>
      <c r="U216" s="254"/>
      <c r="V216" s="254"/>
      <c r="W216" s="254"/>
      <c r="X216" s="254"/>
      <c r="Y216" s="254"/>
      <c r="Z216" s="254"/>
    </row>
    <row r="217">
      <c r="B217" s="254"/>
      <c r="C217" s="254"/>
      <c r="D217" s="254"/>
      <c r="E217" s="254"/>
      <c r="F217" s="254"/>
      <c r="G217" s="254"/>
      <c r="H217" s="254"/>
      <c r="I217" s="254"/>
      <c r="J217" s="254"/>
      <c r="K217" s="254"/>
      <c r="L217" s="254"/>
      <c r="M217" s="254"/>
      <c r="N217" s="254"/>
      <c r="O217" s="254"/>
      <c r="P217" s="254"/>
      <c r="Q217" s="254"/>
      <c r="R217" s="254"/>
      <c r="S217" s="254"/>
      <c r="T217" s="254"/>
      <c r="U217" s="254"/>
      <c r="V217" s="254"/>
      <c r="W217" s="254"/>
      <c r="X217" s="254"/>
      <c r="Y217" s="254"/>
      <c r="Z217" s="254"/>
    </row>
    <row r="218">
      <c r="B218" s="254"/>
      <c r="C218" s="254"/>
      <c r="D218" s="254"/>
      <c r="E218" s="254"/>
      <c r="F218" s="254"/>
      <c r="G218" s="254"/>
      <c r="H218" s="254"/>
      <c r="I218" s="254"/>
      <c r="J218" s="254"/>
      <c r="K218" s="254"/>
      <c r="L218" s="254"/>
      <c r="M218" s="254"/>
      <c r="N218" s="254"/>
      <c r="O218" s="254"/>
      <c r="P218" s="254"/>
      <c r="Q218" s="254"/>
      <c r="R218" s="254"/>
      <c r="S218" s="254"/>
      <c r="T218" s="254"/>
      <c r="U218" s="254"/>
      <c r="V218" s="254"/>
      <c r="W218" s="254"/>
      <c r="X218" s="254"/>
      <c r="Y218" s="254"/>
      <c r="Z218" s="254"/>
    </row>
    <row r="219">
      <c r="B219" s="254"/>
      <c r="C219" s="254"/>
      <c r="D219" s="254"/>
      <c r="E219" s="254"/>
      <c r="F219" s="254"/>
      <c r="G219" s="254"/>
      <c r="H219" s="254"/>
      <c r="I219" s="254"/>
      <c r="J219" s="254"/>
      <c r="K219" s="254"/>
      <c r="L219" s="254"/>
      <c r="M219" s="254"/>
      <c r="N219" s="254"/>
      <c r="O219" s="254"/>
      <c r="P219" s="254"/>
      <c r="Q219" s="254"/>
      <c r="R219" s="254"/>
      <c r="S219" s="254"/>
      <c r="T219" s="254"/>
      <c r="U219" s="254"/>
      <c r="V219" s="254"/>
      <c r="W219" s="254"/>
      <c r="X219" s="254"/>
      <c r="Y219" s="254"/>
      <c r="Z219" s="254"/>
    </row>
    <row r="220">
      <c r="B220" s="254"/>
      <c r="C220" s="254"/>
      <c r="D220" s="254"/>
      <c r="E220" s="254"/>
      <c r="F220" s="254"/>
      <c r="G220" s="254"/>
      <c r="H220" s="254"/>
      <c r="I220" s="254"/>
      <c r="J220" s="254"/>
      <c r="K220" s="254"/>
      <c r="L220" s="254"/>
      <c r="M220" s="254"/>
      <c r="N220" s="254"/>
      <c r="O220" s="254"/>
      <c r="P220" s="254"/>
      <c r="Q220" s="254"/>
      <c r="R220" s="254"/>
      <c r="S220" s="254"/>
      <c r="T220" s="254"/>
      <c r="U220" s="254"/>
      <c r="V220" s="254"/>
      <c r="W220" s="254"/>
      <c r="X220" s="254"/>
      <c r="Y220" s="254"/>
      <c r="Z220" s="254"/>
    </row>
    <row r="221">
      <c r="B221" s="254"/>
      <c r="C221" s="254"/>
      <c r="D221" s="254"/>
      <c r="E221" s="254"/>
      <c r="F221" s="254"/>
      <c r="G221" s="254"/>
      <c r="H221" s="254"/>
      <c r="I221" s="254"/>
      <c r="J221" s="254"/>
      <c r="K221" s="254"/>
      <c r="L221" s="254"/>
      <c r="M221" s="254"/>
      <c r="N221" s="254"/>
      <c r="O221" s="254"/>
      <c r="P221" s="254"/>
      <c r="Q221" s="254"/>
      <c r="R221" s="254"/>
      <c r="S221" s="254"/>
      <c r="T221" s="254"/>
      <c r="U221" s="254"/>
      <c r="V221" s="254"/>
      <c r="W221" s="254"/>
      <c r="X221" s="254"/>
      <c r="Y221" s="254"/>
      <c r="Z221" s="254"/>
    </row>
    <row r="222">
      <c r="B222" s="254"/>
      <c r="C222" s="254"/>
      <c r="D222" s="254"/>
      <c r="E222" s="254"/>
      <c r="F222" s="254"/>
      <c r="G222" s="254"/>
      <c r="H222" s="254"/>
      <c r="I222" s="254"/>
      <c r="J222" s="254"/>
      <c r="K222" s="254"/>
      <c r="L222" s="254"/>
      <c r="M222" s="254"/>
      <c r="N222" s="254"/>
      <c r="O222" s="254"/>
      <c r="P222" s="254"/>
      <c r="Q222" s="254"/>
      <c r="R222" s="254"/>
      <c r="S222" s="254"/>
      <c r="T222" s="254"/>
      <c r="U222" s="254"/>
      <c r="V222" s="254"/>
      <c r="W222" s="254"/>
      <c r="X222" s="254"/>
      <c r="Y222" s="254"/>
      <c r="Z222" s="254"/>
    </row>
    <row r="223">
      <c r="A223" s="254"/>
      <c r="B223" s="254"/>
      <c r="C223" s="254"/>
      <c r="D223" s="254"/>
      <c r="E223" s="254"/>
      <c r="F223" s="254"/>
      <c r="G223" s="254"/>
      <c r="H223" s="254"/>
      <c r="I223" s="254"/>
      <c r="J223" s="254"/>
      <c r="K223" s="254"/>
      <c r="L223" s="254"/>
      <c r="M223" s="254"/>
      <c r="N223" s="254"/>
      <c r="O223" s="254"/>
      <c r="P223" s="254"/>
      <c r="Q223" s="254"/>
      <c r="R223" s="254"/>
      <c r="S223" s="254"/>
      <c r="T223" s="254"/>
      <c r="U223" s="254"/>
      <c r="V223" s="254"/>
      <c r="W223" s="254"/>
      <c r="X223" s="254"/>
      <c r="Y223" s="254"/>
      <c r="Z223" s="254"/>
    </row>
    <row r="224">
      <c r="B224" s="254"/>
      <c r="C224" s="254"/>
      <c r="D224" s="254"/>
      <c r="E224" s="254"/>
      <c r="F224" s="254"/>
      <c r="G224" s="254"/>
      <c r="H224" s="254"/>
      <c r="I224" s="254"/>
      <c r="J224" s="254"/>
      <c r="K224" s="254"/>
      <c r="L224" s="254"/>
      <c r="M224" s="254"/>
      <c r="N224" s="254"/>
      <c r="O224" s="254"/>
      <c r="P224" s="254"/>
      <c r="Q224" s="254"/>
      <c r="R224" s="254"/>
      <c r="S224" s="254"/>
      <c r="T224" s="254"/>
      <c r="U224" s="254"/>
      <c r="V224" s="254"/>
      <c r="W224" s="254"/>
      <c r="X224" s="254"/>
      <c r="Y224" s="254"/>
      <c r="Z224" s="254"/>
    </row>
    <row r="225">
      <c r="B225" s="254"/>
      <c r="C225" s="254"/>
      <c r="D225" s="254"/>
      <c r="E225" s="254"/>
      <c r="F225" s="254"/>
      <c r="G225" s="254"/>
      <c r="H225" s="254"/>
      <c r="I225" s="254"/>
      <c r="J225" s="254"/>
      <c r="K225" s="254"/>
      <c r="L225" s="254"/>
      <c r="M225" s="254"/>
      <c r="N225" s="254"/>
      <c r="O225" s="254"/>
      <c r="P225" s="254"/>
      <c r="Q225" s="254"/>
      <c r="R225" s="254"/>
      <c r="S225" s="254"/>
      <c r="T225" s="254"/>
      <c r="U225" s="254"/>
      <c r="V225" s="254"/>
      <c r="W225" s="254"/>
      <c r="X225" s="254"/>
      <c r="Y225" s="254"/>
      <c r="Z225" s="254"/>
    </row>
    <row r="226">
      <c r="B226" s="254"/>
      <c r="C226" s="254"/>
      <c r="D226" s="254"/>
      <c r="E226" s="254"/>
      <c r="F226" s="254"/>
      <c r="G226" s="254"/>
      <c r="H226" s="254"/>
      <c r="I226" s="254"/>
      <c r="J226" s="254"/>
      <c r="K226" s="254"/>
      <c r="L226" s="254"/>
      <c r="M226" s="254"/>
      <c r="N226" s="254"/>
      <c r="O226" s="254"/>
      <c r="P226" s="254"/>
      <c r="Q226" s="254"/>
      <c r="R226" s="254"/>
      <c r="S226" s="254"/>
      <c r="T226" s="254"/>
      <c r="U226" s="254"/>
      <c r="V226" s="254"/>
      <c r="W226" s="254"/>
      <c r="X226" s="254"/>
      <c r="Y226" s="254"/>
      <c r="Z226" s="254"/>
    </row>
    <row r="227">
      <c r="B227" s="254"/>
      <c r="C227" s="254"/>
      <c r="D227" s="254"/>
      <c r="E227" s="254"/>
      <c r="F227" s="254"/>
      <c r="G227" s="254"/>
      <c r="H227" s="254"/>
      <c r="I227" s="254"/>
      <c r="J227" s="254"/>
      <c r="K227" s="254"/>
      <c r="L227" s="254"/>
      <c r="M227" s="254"/>
      <c r="N227" s="254"/>
      <c r="O227" s="254"/>
      <c r="P227" s="254"/>
      <c r="Q227" s="254"/>
      <c r="R227" s="254"/>
      <c r="S227" s="254"/>
      <c r="T227" s="254"/>
      <c r="U227" s="254"/>
      <c r="V227" s="254"/>
      <c r="W227" s="254"/>
      <c r="X227" s="254"/>
      <c r="Y227" s="254"/>
      <c r="Z227" s="254"/>
    </row>
    <row r="228">
      <c r="B228" s="254"/>
      <c r="C228" s="254"/>
      <c r="D228" s="254"/>
      <c r="E228" s="254"/>
      <c r="F228" s="254"/>
      <c r="G228" s="254"/>
      <c r="H228" s="254"/>
      <c r="I228" s="254"/>
      <c r="J228" s="254"/>
      <c r="K228" s="254"/>
      <c r="L228" s="254"/>
      <c r="M228" s="254"/>
      <c r="N228" s="254"/>
      <c r="O228" s="254"/>
      <c r="P228" s="254"/>
      <c r="Q228" s="254"/>
      <c r="R228" s="254"/>
      <c r="S228" s="254"/>
      <c r="T228" s="254"/>
      <c r="U228" s="254"/>
      <c r="V228" s="254"/>
      <c r="W228" s="254"/>
      <c r="X228" s="254"/>
      <c r="Y228" s="254"/>
      <c r="Z228" s="254"/>
    </row>
    <row r="229">
      <c r="B229" s="254"/>
      <c r="C229" s="254"/>
      <c r="D229" s="254"/>
      <c r="E229" s="254"/>
      <c r="F229" s="254"/>
      <c r="G229" s="254"/>
      <c r="H229" s="254"/>
      <c r="I229" s="254"/>
      <c r="J229" s="254"/>
      <c r="K229" s="254"/>
      <c r="L229" s="254"/>
      <c r="M229" s="254"/>
      <c r="N229" s="254"/>
      <c r="O229" s="254"/>
      <c r="P229" s="254"/>
      <c r="Q229" s="254"/>
      <c r="R229" s="254"/>
      <c r="S229" s="254"/>
      <c r="T229" s="254"/>
      <c r="U229" s="254"/>
      <c r="V229" s="254"/>
      <c r="W229" s="254"/>
      <c r="X229" s="254"/>
      <c r="Y229" s="254"/>
      <c r="Z229" s="254"/>
    </row>
    <row r="230">
      <c r="B230" s="254"/>
      <c r="C230" s="254"/>
      <c r="D230" s="254"/>
      <c r="E230" s="254"/>
      <c r="F230" s="254"/>
      <c r="G230" s="254"/>
      <c r="H230" s="254"/>
      <c r="I230" s="254"/>
      <c r="J230" s="254"/>
      <c r="K230" s="254"/>
      <c r="L230" s="254"/>
      <c r="M230" s="254"/>
      <c r="N230" s="254"/>
      <c r="O230" s="254"/>
      <c r="P230" s="254"/>
      <c r="Q230" s="254"/>
      <c r="R230" s="254"/>
      <c r="S230" s="254"/>
      <c r="T230" s="254"/>
      <c r="U230" s="254"/>
      <c r="V230" s="254"/>
      <c r="W230" s="254"/>
      <c r="X230" s="254"/>
      <c r="Y230" s="254"/>
      <c r="Z230" s="254"/>
    </row>
    <row r="231">
      <c r="B231" s="254"/>
      <c r="C231" s="254"/>
      <c r="D231" s="254"/>
      <c r="E231" s="254"/>
      <c r="F231" s="254"/>
      <c r="G231" s="254"/>
      <c r="H231" s="254"/>
      <c r="I231" s="254"/>
      <c r="J231" s="254"/>
      <c r="K231" s="254"/>
      <c r="L231" s="254"/>
      <c r="M231" s="254"/>
      <c r="N231" s="254"/>
      <c r="O231" s="254"/>
      <c r="P231" s="254"/>
      <c r="Q231" s="254"/>
      <c r="R231" s="254"/>
      <c r="S231" s="254"/>
      <c r="T231" s="254"/>
      <c r="U231" s="254"/>
      <c r="V231" s="254"/>
      <c r="W231" s="254"/>
      <c r="X231" s="254"/>
      <c r="Y231" s="254"/>
      <c r="Z231" s="254"/>
    </row>
    <row r="232">
      <c r="B232" s="254"/>
      <c r="C232" s="254"/>
      <c r="D232" s="254"/>
      <c r="E232" s="254"/>
      <c r="F232" s="254"/>
      <c r="G232" s="254"/>
      <c r="H232" s="254"/>
      <c r="I232" s="254"/>
      <c r="J232" s="254"/>
      <c r="K232" s="254"/>
      <c r="L232" s="254"/>
      <c r="M232" s="254"/>
      <c r="N232" s="254"/>
      <c r="O232" s="254"/>
      <c r="P232" s="254"/>
      <c r="Q232" s="254"/>
      <c r="R232" s="254"/>
      <c r="S232" s="254"/>
      <c r="T232" s="254"/>
      <c r="U232" s="254"/>
      <c r="V232" s="254"/>
      <c r="W232" s="254"/>
      <c r="X232" s="254"/>
      <c r="Y232" s="254"/>
      <c r="Z232" s="254"/>
    </row>
    <row r="233">
      <c r="B233" s="254"/>
      <c r="C233" s="254"/>
      <c r="D233" s="254"/>
      <c r="E233" s="254"/>
      <c r="F233" s="254"/>
      <c r="G233" s="254"/>
      <c r="H233" s="254"/>
      <c r="I233" s="254"/>
      <c r="J233" s="254"/>
      <c r="K233" s="254"/>
      <c r="L233" s="254"/>
      <c r="M233" s="254"/>
      <c r="N233" s="254"/>
      <c r="O233" s="254"/>
      <c r="P233" s="254"/>
      <c r="Q233" s="254"/>
      <c r="R233" s="254"/>
      <c r="S233" s="254"/>
      <c r="T233" s="254"/>
      <c r="U233" s="254"/>
      <c r="V233" s="254"/>
      <c r="W233" s="254"/>
      <c r="X233" s="254"/>
      <c r="Y233" s="254"/>
      <c r="Z233" s="254"/>
    </row>
    <row r="234">
      <c r="B234" s="254"/>
      <c r="C234" s="254"/>
      <c r="D234" s="254"/>
      <c r="E234" s="254"/>
      <c r="F234" s="254"/>
      <c r="G234" s="254"/>
      <c r="H234" s="254"/>
      <c r="I234" s="254"/>
      <c r="J234" s="254"/>
      <c r="K234" s="254"/>
      <c r="L234" s="254"/>
      <c r="M234" s="254"/>
      <c r="N234" s="254"/>
      <c r="O234" s="254"/>
      <c r="P234" s="254"/>
      <c r="Q234" s="254"/>
      <c r="R234" s="254"/>
      <c r="S234" s="254"/>
      <c r="T234" s="254"/>
      <c r="U234" s="254"/>
      <c r="V234" s="254"/>
      <c r="W234" s="254"/>
      <c r="X234" s="254"/>
      <c r="Y234" s="254"/>
      <c r="Z234" s="254"/>
    </row>
    <row r="235">
      <c r="B235" s="254"/>
      <c r="C235" s="254"/>
      <c r="D235" s="254"/>
      <c r="E235" s="254"/>
      <c r="F235" s="254"/>
      <c r="G235" s="254"/>
      <c r="H235" s="254"/>
      <c r="I235" s="254"/>
      <c r="J235" s="254"/>
      <c r="K235" s="254"/>
      <c r="L235" s="254"/>
      <c r="M235" s="254"/>
      <c r="N235" s="254"/>
      <c r="O235" s="254"/>
      <c r="P235" s="254"/>
      <c r="Q235" s="254"/>
      <c r="R235" s="254"/>
      <c r="S235" s="254"/>
      <c r="T235" s="254"/>
      <c r="U235" s="254"/>
      <c r="V235" s="254"/>
      <c r="W235" s="254"/>
      <c r="X235" s="254"/>
      <c r="Y235" s="254"/>
      <c r="Z235" s="254"/>
    </row>
    <row r="236">
      <c r="B236" s="254"/>
      <c r="C236" s="254"/>
      <c r="D236" s="254"/>
      <c r="E236" s="254"/>
      <c r="F236" s="254"/>
      <c r="G236" s="254"/>
      <c r="H236" s="254"/>
      <c r="I236" s="254"/>
      <c r="J236" s="254"/>
      <c r="K236" s="254"/>
      <c r="L236" s="254"/>
      <c r="M236" s="254"/>
      <c r="N236" s="254"/>
      <c r="O236" s="254"/>
      <c r="P236" s="254"/>
      <c r="Q236" s="254"/>
      <c r="R236" s="254"/>
      <c r="S236" s="254"/>
      <c r="T236" s="254"/>
      <c r="U236" s="254"/>
      <c r="V236" s="254"/>
      <c r="W236" s="254"/>
      <c r="X236" s="254"/>
      <c r="Y236" s="254"/>
      <c r="Z236" s="254"/>
    </row>
    <row r="237">
      <c r="B237" s="254"/>
      <c r="C237" s="254"/>
      <c r="D237" s="254"/>
      <c r="E237" s="254"/>
      <c r="F237" s="254"/>
      <c r="G237" s="254"/>
      <c r="H237" s="254"/>
      <c r="I237" s="254"/>
      <c r="J237" s="254"/>
      <c r="K237" s="254"/>
      <c r="L237" s="254"/>
      <c r="M237" s="254"/>
      <c r="N237" s="254"/>
      <c r="O237" s="254"/>
      <c r="P237" s="254"/>
      <c r="Q237" s="254"/>
      <c r="R237" s="254"/>
      <c r="S237" s="254"/>
      <c r="T237" s="254"/>
      <c r="U237" s="254"/>
      <c r="V237" s="254"/>
      <c r="W237" s="254"/>
      <c r="X237" s="254"/>
      <c r="Y237" s="254"/>
      <c r="Z237" s="254"/>
    </row>
    <row r="238">
      <c r="B238" s="254"/>
      <c r="C238" s="254"/>
      <c r="D238" s="254"/>
      <c r="E238" s="254"/>
      <c r="F238" s="254"/>
      <c r="G238" s="254"/>
      <c r="H238" s="254"/>
      <c r="I238" s="254"/>
      <c r="J238" s="254"/>
      <c r="K238" s="254"/>
      <c r="L238" s="254"/>
      <c r="M238" s="254"/>
      <c r="N238" s="254"/>
      <c r="O238" s="254"/>
      <c r="P238" s="254"/>
      <c r="Q238" s="254"/>
      <c r="R238" s="254"/>
      <c r="S238" s="254"/>
      <c r="T238" s="254"/>
      <c r="U238" s="254"/>
      <c r="V238" s="254"/>
      <c r="W238" s="254"/>
      <c r="X238" s="254"/>
      <c r="Y238" s="254"/>
      <c r="Z238" s="254"/>
    </row>
    <row r="239">
      <c r="B239" s="254"/>
      <c r="C239" s="254"/>
      <c r="D239" s="254"/>
      <c r="E239" s="254"/>
      <c r="F239" s="254"/>
      <c r="G239" s="254"/>
      <c r="H239" s="254"/>
      <c r="I239" s="254"/>
      <c r="J239" s="254"/>
      <c r="K239" s="254"/>
      <c r="L239" s="254"/>
      <c r="M239" s="254"/>
      <c r="N239" s="254"/>
      <c r="O239" s="254"/>
      <c r="P239" s="254"/>
      <c r="Q239" s="254"/>
      <c r="R239" s="254"/>
      <c r="S239" s="254"/>
      <c r="T239" s="254"/>
      <c r="U239" s="254"/>
      <c r="V239" s="254"/>
      <c r="W239" s="254"/>
      <c r="X239" s="254"/>
      <c r="Y239" s="254"/>
      <c r="Z239" s="254"/>
    </row>
    <row r="240">
      <c r="B240" s="254"/>
      <c r="C240" s="254"/>
      <c r="D240" s="254"/>
      <c r="E240" s="254"/>
      <c r="F240" s="254"/>
      <c r="G240" s="254"/>
      <c r="H240" s="254"/>
      <c r="I240" s="254"/>
      <c r="J240" s="254"/>
      <c r="K240" s="254"/>
      <c r="L240" s="254"/>
      <c r="M240" s="254"/>
      <c r="N240" s="254"/>
      <c r="O240" s="254"/>
      <c r="P240" s="254"/>
      <c r="Q240" s="254"/>
      <c r="R240" s="254"/>
      <c r="S240" s="254"/>
      <c r="T240" s="254"/>
      <c r="U240" s="254"/>
      <c r="V240" s="254"/>
      <c r="W240" s="254"/>
      <c r="X240" s="254"/>
      <c r="Y240" s="254"/>
      <c r="Z240" s="254"/>
    </row>
    <row r="241">
      <c r="B241" s="254"/>
      <c r="C241" s="254"/>
      <c r="D241" s="254"/>
      <c r="E241" s="254"/>
      <c r="F241" s="254"/>
      <c r="G241" s="254"/>
      <c r="H241" s="254"/>
      <c r="I241" s="254"/>
      <c r="J241" s="254"/>
      <c r="K241" s="254"/>
      <c r="L241" s="254"/>
      <c r="M241" s="254"/>
      <c r="N241" s="254"/>
      <c r="O241" s="254"/>
      <c r="P241" s="254"/>
      <c r="Q241" s="254"/>
      <c r="R241" s="254"/>
      <c r="S241" s="254"/>
      <c r="T241" s="254"/>
      <c r="U241" s="254"/>
      <c r="V241" s="254"/>
      <c r="W241" s="254"/>
      <c r="X241" s="254"/>
      <c r="Y241" s="254"/>
      <c r="Z241" s="254"/>
    </row>
    <row r="242">
      <c r="B242" s="254"/>
      <c r="C242" s="254"/>
      <c r="D242" s="254"/>
      <c r="E242" s="254"/>
      <c r="F242" s="254"/>
      <c r="G242" s="254"/>
      <c r="H242" s="254"/>
      <c r="I242" s="254"/>
      <c r="J242" s="254"/>
      <c r="K242" s="254"/>
      <c r="L242" s="254"/>
      <c r="M242" s="254"/>
      <c r="N242" s="254"/>
      <c r="O242" s="254"/>
      <c r="P242" s="254"/>
      <c r="Q242" s="254"/>
      <c r="R242" s="254"/>
      <c r="S242" s="254"/>
      <c r="T242" s="254"/>
      <c r="U242" s="254"/>
      <c r="V242" s="254"/>
      <c r="W242" s="254"/>
      <c r="X242" s="254"/>
      <c r="Y242" s="254"/>
      <c r="Z242" s="254"/>
    </row>
    <row r="243">
      <c r="B243" s="254"/>
      <c r="C243" s="254"/>
      <c r="D243" s="254"/>
      <c r="E243" s="254"/>
      <c r="F243" s="254"/>
      <c r="G243" s="254"/>
      <c r="H243" s="254"/>
      <c r="I243" s="254"/>
      <c r="J243" s="254"/>
      <c r="K243" s="254"/>
      <c r="L243" s="254"/>
      <c r="M243" s="254"/>
      <c r="N243" s="254"/>
      <c r="O243" s="254"/>
      <c r="P243" s="254"/>
      <c r="Q243" s="254"/>
      <c r="R243" s="254"/>
      <c r="S243" s="254"/>
      <c r="T243" s="254"/>
      <c r="U243" s="254"/>
      <c r="V243" s="254"/>
      <c r="W243" s="254"/>
      <c r="X243" s="254"/>
      <c r="Y243" s="254"/>
      <c r="Z243" s="254"/>
    </row>
    <row r="244">
      <c r="B244" s="254"/>
      <c r="C244" s="254"/>
      <c r="D244" s="254"/>
      <c r="E244" s="254"/>
      <c r="F244" s="254"/>
      <c r="G244" s="254"/>
      <c r="H244" s="254"/>
      <c r="I244" s="254"/>
      <c r="J244" s="254"/>
      <c r="K244" s="254"/>
      <c r="L244" s="254"/>
      <c r="M244" s="254"/>
      <c r="N244" s="254"/>
      <c r="O244" s="254"/>
      <c r="P244" s="254"/>
      <c r="Q244" s="254"/>
      <c r="R244" s="254"/>
      <c r="S244" s="254"/>
      <c r="T244" s="254"/>
      <c r="U244" s="254"/>
      <c r="V244" s="254"/>
      <c r="W244" s="254"/>
      <c r="X244" s="254"/>
      <c r="Y244" s="254"/>
      <c r="Z244" s="254"/>
    </row>
    <row r="245">
      <c r="B245" s="254"/>
      <c r="C245" s="254"/>
      <c r="D245" s="254"/>
      <c r="E245" s="254"/>
      <c r="F245" s="254"/>
      <c r="G245" s="254"/>
      <c r="H245" s="254"/>
      <c r="I245" s="254"/>
      <c r="J245" s="254"/>
      <c r="K245" s="254"/>
      <c r="L245" s="254"/>
      <c r="M245" s="254"/>
      <c r="N245" s="254"/>
      <c r="O245" s="254"/>
      <c r="P245" s="254"/>
      <c r="Q245" s="254"/>
      <c r="R245" s="254"/>
      <c r="S245" s="254"/>
      <c r="T245" s="254"/>
      <c r="U245" s="254"/>
      <c r="V245" s="254"/>
      <c r="W245" s="254"/>
      <c r="X245" s="254"/>
      <c r="Y245" s="254"/>
      <c r="Z245" s="254"/>
    </row>
    <row r="246">
      <c r="B246" s="254"/>
      <c r="C246" s="254"/>
      <c r="D246" s="254"/>
      <c r="E246" s="254"/>
      <c r="F246" s="254"/>
      <c r="G246" s="254"/>
      <c r="H246" s="254"/>
      <c r="I246" s="254"/>
      <c r="J246" s="254"/>
      <c r="K246" s="254"/>
      <c r="L246" s="254"/>
      <c r="M246" s="254"/>
      <c r="N246" s="254"/>
      <c r="O246" s="254"/>
      <c r="P246" s="254"/>
      <c r="Q246" s="254"/>
      <c r="R246" s="254"/>
      <c r="S246" s="254"/>
      <c r="T246" s="254"/>
      <c r="U246" s="254"/>
      <c r="V246" s="254"/>
      <c r="W246" s="254"/>
      <c r="X246" s="254"/>
      <c r="Y246" s="254"/>
      <c r="Z246" s="254"/>
    </row>
    <row r="247">
      <c r="A247" s="254"/>
      <c r="B247" s="254"/>
      <c r="C247" s="254"/>
      <c r="D247" s="254"/>
      <c r="E247" s="254"/>
      <c r="F247" s="254"/>
      <c r="G247" s="254"/>
      <c r="H247" s="254"/>
      <c r="I247" s="254"/>
      <c r="J247" s="254"/>
      <c r="K247" s="254"/>
      <c r="L247" s="254"/>
      <c r="M247" s="254"/>
      <c r="N247" s="254"/>
      <c r="O247" s="254"/>
      <c r="P247" s="254"/>
      <c r="Q247" s="254"/>
      <c r="R247" s="254"/>
      <c r="S247" s="254"/>
      <c r="T247" s="254"/>
      <c r="U247" s="254"/>
      <c r="V247" s="254"/>
      <c r="W247" s="254"/>
      <c r="X247" s="254"/>
      <c r="Y247" s="254"/>
      <c r="Z247" s="254"/>
    </row>
    <row r="248">
      <c r="B248" s="254"/>
      <c r="C248" s="254"/>
      <c r="D248" s="254"/>
      <c r="E248" s="254"/>
      <c r="F248" s="254"/>
      <c r="G248" s="254"/>
      <c r="H248" s="254"/>
      <c r="I248" s="254"/>
      <c r="J248" s="254"/>
      <c r="K248" s="254"/>
      <c r="L248" s="254"/>
      <c r="M248" s="254"/>
      <c r="N248" s="254"/>
      <c r="O248" s="254"/>
      <c r="P248" s="254"/>
      <c r="Q248" s="254"/>
      <c r="R248" s="254"/>
      <c r="S248" s="254"/>
      <c r="T248" s="254"/>
      <c r="U248" s="254"/>
      <c r="V248" s="254"/>
      <c r="W248" s="254"/>
      <c r="X248" s="254"/>
      <c r="Y248" s="254"/>
      <c r="Z248" s="254"/>
    </row>
    <row r="249">
      <c r="B249" s="254"/>
      <c r="C249" s="254"/>
      <c r="D249" s="254"/>
      <c r="E249" s="254"/>
      <c r="F249" s="254"/>
      <c r="G249" s="254"/>
      <c r="H249" s="254"/>
      <c r="I249" s="254"/>
      <c r="J249" s="254"/>
      <c r="K249" s="254"/>
      <c r="L249" s="254"/>
      <c r="M249" s="254"/>
      <c r="N249" s="254"/>
      <c r="O249" s="254"/>
      <c r="P249" s="254"/>
      <c r="Q249" s="254"/>
      <c r="R249" s="254"/>
      <c r="S249" s="254"/>
      <c r="T249" s="254"/>
      <c r="U249" s="254"/>
      <c r="V249" s="254"/>
      <c r="W249" s="254"/>
      <c r="X249" s="254"/>
      <c r="Y249" s="254"/>
      <c r="Z249" s="254"/>
    </row>
    <row r="250">
      <c r="B250" s="254"/>
      <c r="C250" s="254"/>
      <c r="D250" s="254"/>
      <c r="E250" s="254"/>
      <c r="F250" s="254"/>
      <c r="G250" s="254"/>
      <c r="H250" s="254"/>
      <c r="I250" s="254"/>
      <c r="J250" s="254"/>
      <c r="K250" s="254"/>
      <c r="L250" s="254"/>
      <c r="M250" s="254"/>
      <c r="N250" s="254"/>
      <c r="O250" s="254"/>
      <c r="P250" s="254"/>
      <c r="Q250" s="254"/>
      <c r="R250" s="254"/>
      <c r="S250" s="254"/>
      <c r="T250" s="254"/>
      <c r="U250" s="254"/>
      <c r="V250" s="254"/>
      <c r="W250" s="254"/>
      <c r="X250" s="254"/>
      <c r="Y250" s="254"/>
      <c r="Z250" s="254"/>
    </row>
    <row r="251">
      <c r="B251" s="254"/>
      <c r="C251" s="254"/>
      <c r="D251" s="254"/>
      <c r="E251" s="254"/>
      <c r="F251" s="254"/>
      <c r="G251" s="254"/>
      <c r="H251" s="254"/>
      <c r="I251" s="254"/>
      <c r="J251" s="254"/>
      <c r="K251" s="254"/>
      <c r="L251" s="254"/>
      <c r="M251" s="254"/>
      <c r="N251" s="254"/>
      <c r="O251" s="254"/>
      <c r="P251" s="254"/>
      <c r="Q251" s="254"/>
      <c r="R251" s="254"/>
      <c r="S251" s="254"/>
      <c r="T251" s="254"/>
      <c r="U251" s="254"/>
      <c r="V251" s="254"/>
      <c r="W251" s="254"/>
      <c r="X251" s="254"/>
      <c r="Y251" s="254"/>
      <c r="Z251" s="254"/>
    </row>
    <row r="252">
      <c r="B252" s="254"/>
      <c r="C252" s="254"/>
      <c r="D252" s="254"/>
      <c r="E252" s="254"/>
      <c r="F252" s="254"/>
      <c r="G252" s="254"/>
      <c r="H252" s="254"/>
      <c r="I252" s="254"/>
      <c r="J252" s="254"/>
      <c r="K252" s="254"/>
      <c r="L252" s="254"/>
      <c r="M252" s="254"/>
      <c r="N252" s="254"/>
      <c r="O252" s="254"/>
      <c r="P252" s="254"/>
      <c r="Q252" s="254"/>
      <c r="R252" s="254"/>
      <c r="S252" s="254"/>
      <c r="T252" s="254"/>
      <c r="U252" s="254"/>
      <c r="V252" s="254"/>
      <c r="W252" s="254"/>
      <c r="X252" s="254"/>
      <c r="Y252" s="254"/>
      <c r="Z252" s="254"/>
    </row>
    <row r="253">
      <c r="B253" s="254"/>
      <c r="C253" s="254"/>
      <c r="D253" s="254"/>
      <c r="E253" s="254"/>
      <c r="F253" s="254"/>
      <c r="G253" s="254"/>
      <c r="H253" s="254"/>
      <c r="I253" s="254"/>
      <c r="J253" s="254"/>
      <c r="K253" s="254"/>
      <c r="L253" s="254"/>
      <c r="M253" s="254"/>
      <c r="N253" s="254"/>
      <c r="O253" s="254"/>
      <c r="P253" s="254"/>
      <c r="Q253" s="254"/>
      <c r="R253" s="254"/>
      <c r="S253" s="254"/>
      <c r="T253" s="254"/>
      <c r="U253" s="254"/>
      <c r="V253" s="254"/>
      <c r="W253" s="254"/>
      <c r="X253" s="254"/>
      <c r="Y253" s="254"/>
      <c r="Z253" s="254"/>
    </row>
    <row r="254">
      <c r="B254" s="254"/>
      <c r="C254" s="254"/>
      <c r="D254" s="254"/>
      <c r="E254" s="254"/>
      <c r="F254" s="254"/>
      <c r="G254" s="254"/>
      <c r="H254" s="254"/>
      <c r="I254" s="254"/>
      <c r="J254" s="254"/>
      <c r="K254" s="254"/>
      <c r="L254" s="254"/>
      <c r="M254" s="254"/>
      <c r="N254" s="254"/>
      <c r="O254" s="254"/>
      <c r="P254" s="254"/>
      <c r="Q254" s="254"/>
      <c r="R254" s="254"/>
      <c r="S254" s="254"/>
      <c r="T254" s="254"/>
      <c r="U254" s="254"/>
      <c r="V254" s="254"/>
      <c r="W254" s="254"/>
      <c r="X254" s="254"/>
      <c r="Y254" s="254"/>
      <c r="Z254" s="254"/>
    </row>
    <row r="255">
      <c r="B255" s="254"/>
      <c r="C255" s="254"/>
      <c r="D255" s="254"/>
      <c r="E255" s="254"/>
      <c r="F255" s="254"/>
      <c r="G255" s="254"/>
      <c r="H255" s="254"/>
      <c r="I255" s="254"/>
      <c r="J255" s="254"/>
      <c r="K255" s="254"/>
      <c r="L255" s="254"/>
      <c r="M255" s="254"/>
      <c r="N255" s="254"/>
      <c r="O255" s="254"/>
      <c r="P255" s="254"/>
      <c r="Q255" s="254"/>
      <c r="R255" s="254"/>
      <c r="S255" s="254"/>
      <c r="T255" s="254"/>
      <c r="U255" s="254"/>
      <c r="V255" s="254"/>
      <c r="W255" s="254"/>
      <c r="X255" s="254"/>
      <c r="Y255" s="254"/>
      <c r="Z255" s="254"/>
    </row>
    <row r="256">
      <c r="B256" s="254"/>
      <c r="C256" s="254"/>
      <c r="D256" s="254"/>
      <c r="E256" s="254"/>
      <c r="F256" s="254"/>
      <c r="G256" s="254"/>
      <c r="H256" s="254"/>
      <c r="I256" s="254"/>
      <c r="J256" s="254"/>
      <c r="K256" s="254"/>
      <c r="L256" s="254"/>
      <c r="M256" s="254"/>
      <c r="N256" s="254"/>
      <c r="O256" s="254"/>
      <c r="P256" s="254"/>
      <c r="Q256" s="254"/>
      <c r="R256" s="254"/>
      <c r="S256" s="254"/>
      <c r="T256" s="254"/>
      <c r="U256" s="254"/>
      <c r="V256" s="254"/>
      <c r="W256" s="254"/>
      <c r="X256" s="254"/>
      <c r="Y256" s="254"/>
      <c r="Z256" s="254"/>
    </row>
    <row r="257">
      <c r="B257" s="254"/>
      <c r="C257" s="254"/>
      <c r="D257" s="254"/>
      <c r="E257" s="254"/>
      <c r="F257" s="254"/>
      <c r="G257" s="254"/>
      <c r="H257" s="254"/>
      <c r="I257" s="254"/>
      <c r="J257" s="254"/>
      <c r="K257" s="254"/>
      <c r="L257" s="254"/>
      <c r="M257" s="254"/>
      <c r="N257" s="254"/>
      <c r="O257" s="254"/>
      <c r="P257" s="254"/>
      <c r="Q257" s="254"/>
      <c r="R257" s="254"/>
      <c r="S257" s="254"/>
      <c r="T257" s="254"/>
      <c r="U257" s="254"/>
      <c r="V257" s="254"/>
      <c r="W257" s="254"/>
      <c r="X257" s="254"/>
      <c r="Y257" s="254"/>
      <c r="Z257" s="254"/>
    </row>
    <row r="258">
      <c r="B258" s="254"/>
      <c r="C258" s="254"/>
      <c r="D258" s="254"/>
      <c r="E258" s="254"/>
      <c r="F258" s="254"/>
      <c r="G258" s="254"/>
      <c r="H258" s="254"/>
      <c r="I258" s="254"/>
      <c r="J258" s="254"/>
      <c r="K258" s="254"/>
      <c r="L258" s="254"/>
      <c r="M258" s="254"/>
      <c r="N258" s="254"/>
      <c r="O258" s="254"/>
      <c r="P258" s="254"/>
      <c r="Q258" s="254"/>
      <c r="R258" s="254"/>
      <c r="S258" s="254"/>
      <c r="T258" s="254"/>
      <c r="U258" s="254"/>
      <c r="V258" s="254"/>
      <c r="W258" s="254"/>
      <c r="X258" s="254"/>
      <c r="Y258" s="254"/>
      <c r="Z258" s="254"/>
    </row>
    <row r="259">
      <c r="B259" s="254"/>
      <c r="C259" s="254"/>
      <c r="D259" s="254"/>
      <c r="E259" s="254"/>
      <c r="F259" s="254"/>
      <c r="G259" s="254"/>
      <c r="H259" s="254"/>
      <c r="I259" s="254"/>
      <c r="J259" s="254"/>
      <c r="K259" s="254"/>
      <c r="L259" s="254"/>
      <c r="M259" s="254"/>
      <c r="N259" s="254"/>
      <c r="O259" s="254"/>
      <c r="P259" s="254"/>
      <c r="Q259" s="254"/>
      <c r="R259" s="254"/>
      <c r="S259" s="254"/>
      <c r="T259" s="254"/>
      <c r="U259" s="254"/>
      <c r="V259" s="254"/>
      <c r="W259" s="254"/>
      <c r="X259" s="254"/>
      <c r="Y259" s="254"/>
      <c r="Z259" s="254"/>
    </row>
    <row r="260">
      <c r="B260" s="254"/>
      <c r="C260" s="254"/>
      <c r="D260" s="254"/>
      <c r="E260" s="254"/>
      <c r="F260" s="254"/>
      <c r="G260" s="254"/>
      <c r="H260" s="254"/>
      <c r="I260" s="254"/>
      <c r="J260" s="254"/>
      <c r="K260" s="254"/>
      <c r="L260" s="254"/>
      <c r="M260" s="254"/>
      <c r="N260" s="254"/>
      <c r="O260" s="254"/>
      <c r="P260" s="254"/>
      <c r="Q260" s="254"/>
      <c r="R260" s="254"/>
      <c r="S260" s="254"/>
      <c r="T260" s="254"/>
      <c r="U260" s="254"/>
      <c r="V260" s="254"/>
      <c r="W260" s="254"/>
      <c r="X260" s="254"/>
      <c r="Y260" s="254"/>
      <c r="Z260" s="254"/>
    </row>
    <row r="261">
      <c r="B261" s="254"/>
      <c r="C261" s="254"/>
      <c r="D261" s="254"/>
      <c r="E261" s="254"/>
      <c r="F261" s="254"/>
      <c r="G261" s="254"/>
      <c r="H261" s="254"/>
      <c r="I261" s="254"/>
      <c r="J261" s="254"/>
      <c r="K261" s="254"/>
      <c r="L261" s="254"/>
      <c r="M261" s="254"/>
      <c r="N261" s="254"/>
      <c r="O261" s="254"/>
      <c r="P261" s="254"/>
      <c r="Q261" s="254"/>
      <c r="R261" s="254"/>
      <c r="S261" s="254"/>
      <c r="T261" s="254"/>
      <c r="U261" s="254"/>
      <c r="V261" s="254"/>
      <c r="W261" s="254"/>
      <c r="X261" s="254"/>
      <c r="Y261" s="254"/>
      <c r="Z261" s="254"/>
    </row>
    <row r="262">
      <c r="B262" s="254"/>
      <c r="C262" s="254"/>
      <c r="D262" s="254"/>
      <c r="E262" s="254"/>
      <c r="F262" s="254"/>
      <c r="G262" s="254"/>
      <c r="H262" s="254"/>
      <c r="I262" s="254"/>
      <c r="J262" s="254"/>
      <c r="K262" s="254"/>
      <c r="L262" s="254"/>
      <c r="M262" s="254"/>
      <c r="N262" s="254"/>
      <c r="O262" s="254"/>
      <c r="P262" s="254"/>
      <c r="Q262" s="254"/>
      <c r="R262" s="254"/>
      <c r="S262" s="254"/>
      <c r="T262" s="254"/>
      <c r="U262" s="254"/>
      <c r="V262" s="254"/>
      <c r="W262" s="254"/>
      <c r="X262" s="254"/>
      <c r="Y262" s="254"/>
      <c r="Z262" s="254"/>
    </row>
    <row r="263">
      <c r="B263" s="254"/>
      <c r="C263" s="254"/>
      <c r="D263" s="254"/>
      <c r="E263" s="254"/>
      <c r="F263" s="254"/>
      <c r="G263" s="254"/>
      <c r="H263" s="254"/>
      <c r="I263" s="254"/>
      <c r="J263" s="254"/>
      <c r="K263" s="254"/>
      <c r="L263" s="254"/>
      <c r="M263" s="254"/>
      <c r="N263" s="254"/>
      <c r="O263" s="254"/>
      <c r="P263" s="254"/>
      <c r="Q263" s="254"/>
      <c r="R263" s="254"/>
      <c r="S263" s="254"/>
      <c r="T263" s="254"/>
      <c r="U263" s="254"/>
      <c r="V263" s="254"/>
      <c r="W263" s="254"/>
      <c r="X263" s="254"/>
      <c r="Y263" s="254"/>
      <c r="Z263" s="254"/>
    </row>
    <row r="264">
      <c r="B264" s="254"/>
      <c r="C264" s="254"/>
      <c r="D264" s="254"/>
      <c r="E264" s="254"/>
      <c r="F264" s="254"/>
      <c r="G264" s="254"/>
      <c r="H264" s="254"/>
      <c r="I264" s="254"/>
      <c r="J264" s="254"/>
      <c r="K264" s="254"/>
      <c r="L264" s="254"/>
      <c r="M264" s="254"/>
      <c r="N264" s="254"/>
      <c r="O264" s="254"/>
      <c r="P264" s="254"/>
      <c r="Q264" s="254"/>
      <c r="R264" s="254"/>
      <c r="S264" s="254"/>
      <c r="T264" s="254"/>
      <c r="U264" s="254"/>
      <c r="V264" s="254"/>
      <c r="W264" s="254"/>
      <c r="X264" s="254"/>
      <c r="Y264" s="254"/>
      <c r="Z264" s="254"/>
    </row>
    <row r="265">
      <c r="B265" s="254"/>
      <c r="C265" s="254"/>
      <c r="D265" s="254"/>
      <c r="E265" s="254"/>
      <c r="F265" s="254"/>
      <c r="G265" s="254"/>
      <c r="H265" s="254"/>
      <c r="I265" s="254"/>
      <c r="J265" s="254"/>
      <c r="K265" s="254"/>
      <c r="L265" s="254"/>
      <c r="M265" s="254"/>
      <c r="N265" s="254"/>
      <c r="O265" s="254"/>
      <c r="P265" s="254"/>
      <c r="Q265" s="254"/>
      <c r="R265" s="254"/>
      <c r="S265" s="254"/>
      <c r="T265" s="254"/>
      <c r="U265" s="254"/>
      <c r="V265" s="254"/>
      <c r="W265" s="254"/>
      <c r="X265" s="254"/>
      <c r="Y265" s="254"/>
      <c r="Z265" s="254"/>
    </row>
    <row r="266">
      <c r="B266" s="254"/>
      <c r="C266" s="254"/>
      <c r="D266" s="254"/>
      <c r="E266" s="254"/>
      <c r="F266" s="254"/>
      <c r="G266" s="254"/>
      <c r="H266" s="254"/>
      <c r="I266" s="254"/>
      <c r="J266" s="254"/>
      <c r="K266" s="254"/>
      <c r="L266" s="254"/>
      <c r="M266" s="254"/>
      <c r="N266" s="254"/>
      <c r="O266" s="254"/>
      <c r="P266" s="254"/>
      <c r="Q266" s="254"/>
      <c r="R266" s="254"/>
      <c r="S266" s="254"/>
      <c r="T266" s="254"/>
      <c r="U266" s="254"/>
      <c r="V266" s="254"/>
      <c r="W266" s="254"/>
      <c r="X266" s="254"/>
      <c r="Y266" s="254"/>
      <c r="Z266" s="254"/>
    </row>
    <row r="267">
      <c r="B267" s="254"/>
      <c r="C267" s="254"/>
      <c r="D267" s="254"/>
      <c r="E267" s="254"/>
      <c r="F267" s="254"/>
      <c r="G267" s="254"/>
      <c r="H267" s="254"/>
      <c r="I267" s="254"/>
      <c r="J267" s="254"/>
      <c r="K267" s="254"/>
      <c r="L267" s="254"/>
      <c r="M267" s="254"/>
      <c r="N267" s="254"/>
      <c r="O267" s="254"/>
      <c r="P267" s="254"/>
      <c r="Q267" s="254"/>
      <c r="R267" s="254"/>
      <c r="S267" s="254"/>
      <c r="T267" s="254"/>
      <c r="U267" s="254"/>
      <c r="V267" s="254"/>
      <c r="W267" s="254"/>
      <c r="X267" s="254"/>
      <c r="Y267" s="254"/>
      <c r="Z267" s="254"/>
    </row>
    <row r="268">
      <c r="B268" s="254"/>
      <c r="C268" s="254"/>
      <c r="D268" s="254"/>
      <c r="E268" s="254"/>
      <c r="F268" s="254"/>
      <c r="G268" s="254"/>
      <c r="H268" s="254"/>
      <c r="I268" s="254"/>
      <c r="J268" s="254"/>
      <c r="K268" s="254"/>
      <c r="L268" s="254"/>
      <c r="M268" s="254"/>
      <c r="N268" s="254"/>
      <c r="O268" s="254"/>
      <c r="P268" s="254"/>
      <c r="Q268" s="254"/>
      <c r="R268" s="254"/>
      <c r="S268" s="254"/>
      <c r="T268" s="254"/>
      <c r="U268" s="254"/>
      <c r="V268" s="254"/>
      <c r="W268" s="254"/>
      <c r="X268" s="254"/>
      <c r="Y268" s="254"/>
      <c r="Z268" s="254"/>
    </row>
    <row r="269">
      <c r="B269" s="254"/>
      <c r="C269" s="254"/>
      <c r="D269" s="254"/>
      <c r="E269" s="254"/>
      <c r="F269" s="254"/>
      <c r="G269" s="254"/>
      <c r="H269" s="254"/>
      <c r="I269" s="254"/>
      <c r="J269" s="254"/>
      <c r="K269" s="254"/>
      <c r="L269" s="254"/>
      <c r="M269" s="254"/>
      <c r="N269" s="254"/>
      <c r="O269" s="254"/>
      <c r="P269" s="254"/>
      <c r="Q269" s="254"/>
      <c r="R269" s="254"/>
      <c r="S269" s="254"/>
      <c r="T269" s="254"/>
      <c r="U269" s="254"/>
      <c r="V269" s="254"/>
      <c r="W269" s="254"/>
      <c r="X269" s="254"/>
      <c r="Y269" s="254"/>
      <c r="Z269" s="254"/>
    </row>
    <row r="270">
      <c r="A270" s="254"/>
      <c r="B270" s="254"/>
      <c r="C270" s="254"/>
      <c r="D270" s="254"/>
      <c r="E270" s="254"/>
      <c r="F270" s="254"/>
      <c r="G270" s="254"/>
      <c r="H270" s="254"/>
      <c r="I270" s="254"/>
      <c r="J270" s="254"/>
      <c r="K270" s="254"/>
      <c r="L270" s="254"/>
      <c r="M270" s="254"/>
      <c r="N270" s="254"/>
      <c r="O270" s="254"/>
      <c r="P270" s="254"/>
      <c r="Q270" s="254"/>
      <c r="R270" s="254"/>
      <c r="S270" s="254"/>
      <c r="T270" s="254"/>
      <c r="U270" s="254"/>
      <c r="V270" s="254"/>
      <c r="W270" s="254"/>
      <c r="X270" s="254"/>
      <c r="Y270" s="254"/>
      <c r="Z270" s="254"/>
    </row>
    <row r="271">
      <c r="B271" s="254"/>
      <c r="C271" s="254"/>
      <c r="D271" s="254"/>
      <c r="E271" s="254"/>
      <c r="F271" s="254"/>
      <c r="G271" s="254"/>
      <c r="H271" s="254"/>
      <c r="I271" s="254"/>
      <c r="J271" s="254"/>
      <c r="K271" s="254"/>
      <c r="L271" s="254"/>
      <c r="M271" s="254"/>
      <c r="N271" s="254"/>
      <c r="O271" s="254"/>
      <c r="P271" s="254"/>
      <c r="Q271" s="254"/>
      <c r="R271" s="254"/>
      <c r="S271" s="254"/>
      <c r="T271" s="254"/>
      <c r="U271" s="254"/>
      <c r="V271" s="254"/>
      <c r="W271" s="254"/>
      <c r="X271" s="254"/>
      <c r="Y271" s="254"/>
      <c r="Z271" s="254"/>
    </row>
    <row r="272">
      <c r="B272" s="254"/>
      <c r="C272" s="254"/>
      <c r="D272" s="254"/>
      <c r="E272" s="254"/>
      <c r="F272" s="254"/>
      <c r="G272" s="254"/>
      <c r="H272" s="254"/>
      <c r="I272" s="254"/>
      <c r="J272" s="254"/>
      <c r="K272" s="254"/>
      <c r="L272" s="254"/>
      <c r="M272" s="254"/>
      <c r="N272" s="254"/>
      <c r="O272" s="254"/>
      <c r="P272" s="254"/>
      <c r="Q272" s="254"/>
      <c r="R272" s="254"/>
      <c r="S272" s="254"/>
      <c r="T272" s="254"/>
      <c r="U272" s="254"/>
      <c r="V272" s="254"/>
      <c r="W272" s="254"/>
      <c r="X272" s="254"/>
      <c r="Y272" s="254"/>
      <c r="Z272" s="254"/>
    </row>
    <row r="273">
      <c r="B273" s="254"/>
      <c r="C273" s="254"/>
      <c r="D273" s="254"/>
      <c r="E273" s="254"/>
      <c r="F273" s="254"/>
      <c r="G273" s="254"/>
      <c r="H273" s="254"/>
      <c r="I273" s="254"/>
      <c r="J273" s="254"/>
      <c r="K273" s="254"/>
      <c r="L273" s="254"/>
      <c r="M273" s="254"/>
      <c r="N273" s="254"/>
      <c r="O273" s="254"/>
      <c r="P273" s="254"/>
      <c r="Q273" s="254"/>
      <c r="R273" s="254"/>
      <c r="S273" s="254"/>
      <c r="T273" s="254"/>
      <c r="U273" s="254"/>
      <c r="V273" s="254"/>
      <c r="W273" s="254"/>
      <c r="X273" s="254"/>
      <c r="Y273" s="254"/>
      <c r="Z273" s="254"/>
    </row>
    <row r="274">
      <c r="B274" s="254"/>
      <c r="C274" s="254"/>
      <c r="D274" s="254"/>
      <c r="E274" s="254"/>
      <c r="F274" s="254"/>
      <c r="G274" s="254"/>
      <c r="H274" s="254"/>
      <c r="I274" s="254"/>
      <c r="J274" s="254"/>
      <c r="K274" s="254"/>
      <c r="L274" s="254"/>
      <c r="M274" s="254"/>
      <c r="N274" s="254"/>
      <c r="O274" s="254"/>
      <c r="P274" s="254"/>
      <c r="Q274" s="254"/>
      <c r="R274" s="254"/>
      <c r="S274" s="254"/>
      <c r="T274" s="254"/>
      <c r="U274" s="254"/>
      <c r="V274" s="254"/>
      <c r="W274" s="254"/>
      <c r="X274" s="254"/>
      <c r="Y274" s="254"/>
      <c r="Z274" s="254"/>
    </row>
    <row r="275">
      <c r="B275" s="254"/>
      <c r="C275" s="254"/>
      <c r="D275" s="254"/>
      <c r="E275" s="254"/>
      <c r="F275" s="254"/>
      <c r="G275" s="254"/>
      <c r="H275" s="254"/>
      <c r="I275" s="254"/>
      <c r="J275" s="254"/>
      <c r="K275" s="254"/>
      <c r="L275" s="254"/>
      <c r="M275" s="254"/>
      <c r="N275" s="254"/>
      <c r="O275" s="254"/>
      <c r="P275" s="254"/>
      <c r="Q275" s="254"/>
      <c r="R275" s="254"/>
      <c r="S275" s="254"/>
      <c r="T275" s="254"/>
      <c r="U275" s="254"/>
      <c r="V275" s="254"/>
      <c r="W275" s="254"/>
      <c r="X275" s="254"/>
      <c r="Y275" s="254"/>
      <c r="Z275" s="254"/>
    </row>
    <row r="276">
      <c r="B276" s="254"/>
      <c r="C276" s="254"/>
      <c r="D276" s="254"/>
      <c r="E276" s="254"/>
      <c r="F276" s="254"/>
      <c r="G276" s="254"/>
      <c r="H276" s="254"/>
      <c r="I276" s="254"/>
      <c r="J276" s="254"/>
      <c r="K276" s="254"/>
      <c r="L276" s="254"/>
      <c r="M276" s="254"/>
      <c r="N276" s="254"/>
      <c r="O276" s="254"/>
      <c r="P276" s="254"/>
      <c r="Q276" s="254"/>
      <c r="R276" s="254"/>
      <c r="S276" s="254"/>
      <c r="T276" s="254"/>
      <c r="U276" s="254"/>
      <c r="V276" s="254"/>
      <c r="W276" s="254"/>
      <c r="X276" s="254"/>
      <c r="Y276" s="254"/>
      <c r="Z276" s="254"/>
    </row>
    <row r="277">
      <c r="B277" s="254"/>
      <c r="C277" s="254"/>
      <c r="D277" s="254"/>
      <c r="E277" s="254"/>
      <c r="F277" s="254"/>
      <c r="G277" s="254"/>
      <c r="H277" s="254"/>
      <c r="I277" s="254"/>
      <c r="J277" s="254"/>
      <c r="K277" s="254"/>
      <c r="L277" s="254"/>
      <c r="M277" s="254"/>
      <c r="N277" s="254"/>
      <c r="O277" s="254"/>
      <c r="P277" s="254"/>
      <c r="Q277" s="254"/>
      <c r="R277" s="254"/>
      <c r="S277" s="254"/>
      <c r="T277" s="254"/>
      <c r="U277" s="254"/>
      <c r="V277" s="254"/>
      <c r="W277" s="254"/>
      <c r="X277" s="254"/>
      <c r="Y277" s="254"/>
      <c r="Z277" s="254"/>
    </row>
    <row r="278">
      <c r="B278" s="254"/>
      <c r="C278" s="254"/>
      <c r="D278" s="254"/>
      <c r="E278" s="254"/>
      <c r="F278" s="254"/>
      <c r="G278" s="254"/>
      <c r="H278" s="254"/>
      <c r="I278" s="254"/>
      <c r="J278" s="254"/>
      <c r="K278" s="254"/>
      <c r="L278" s="254"/>
      <c r="M278" s="254"/>
      <c r="N278" s="254"/>
      <c r="O278" s="254"/>
      <c r="P278" s="254"/>
      <c r="Q278" s="254"/>
      <c r="R278" s="254"/>
      <c r="S278" s="254"/>
      <c r="T278" s="254"/>
      <c r="U278" s="254"/>
      <c r="V278" s="254"/>
      <c r="W278" s="254"/>
      <c r="X278" s="254"/>
      <c r="Y278" s="254"/>
      <c r="Z278" s="254"/>
    </row>
    <row r="279">
      <c r="B279" s="254"/>
      <c r="C279" s="254"/>
      <c r="D279" s="254"/>
      <c r="E279" s="254"/>
      <c r="F279" s="254"/>
      <c r="G279" s="254"/>
      <c r="H279" s="254"/>
      <c r="I279" s="254"/>
      <c r="J279" s="254"/>
      <c r="K279" s="254"/>
      <c r="L279" s="254"/>
      <c r="M279" s="254"/>
      <c r="N279" s="254"/>
      <c r="O279" s="254"/>
      <c r="P279" s="254"/>
      <c r="Q279" s="254"/>
      <c r="R279" s="254"/>
      <c r="S279" s="254"/>
      <c r="T279" s="254"/>
      <c r="U279" s="254"/>
      <c r="V279" s="254"/>
      <c r="W279" s="254"/>
      <c r="X279" s="254"/>
      <c r="Y279" s="254"/>
      <c r="Z279" s="254"/>
    </row>
    <row r="280">
      <c r="B280" s="254"/>
      <c r="C280" s="254"/>
      <c r="D280" s="254"/>
      <c r="E280" s="254"/>
      <c r="F280" s="254"/>
      <c r="G280" s="254"/>
      <c r="H280" s="254"/>
      <c r="I280" s="254"/>
      <c r="J280" s="254"/>
      <c r="K280" s="254"/>
      <c r="L280" s="254"/>
      <c r="M280" s="254"/>
      <c r="N280" s="254"/>
      <c r="O280" s="254"/>
      <c r="P280" s="254"/>
      <c r="Q280" s="254"/>
      <c r="R280" s="254"/>
      <c r="S280" s="254"/>
      <c r="T280" s="254"/>
      <c r="U280" s="254"/>
      <c r="V280" s="254"/>
      <c r="W280" s="254"/>
      <c r="X280" s="254"/>
      <c r="Y280" s="254"/>
      <c r="Z280" s="254"/>
    </row>
    <row r="281">
      <c r="B281" s="254"/>
      <c r="C281" s="254"/>
      <c r="D281" s="254"/>
      <c r="E281" s="254"/>
      <c r="F281" s="254"/>
      <c r="G281" s="254"/>
      <c r="H281" s="254"/>
      <c r="I281" s="254"/>
      <c r="J281" s="254"/>
      <c r="K281" s="254"/>
      <c r="L281" s="254"/>
      <c r="M281" s="254"/>
      <c r="N281" s="254"/>
      <c r="O281" s="254"/>
      <c r="P281" s="254"/>
      <c r="Q281" s="254"/>
      <c r="R281" s="254"/>
      <c r="S281" s="254"/>
      <c r="T281" s="254"/>
      <c r="U281" s="254"/>
      <c r="V281" s="254"/>
      <c r="W281" s="254"/>
      <c r="X281" s="254"/>
      <c r="Y281" s="254"/>
      <c r="Z281" s="254"/>
    </row>
    <row r="282">
      <c r="B282" s="254"/>
      <c r="C282" s="254"/>
      <c r="D282" s="254"/>
      <c r="E282" s="254"/>
      <c r="F282" s="254"/>
      <c r="G282" s="254"/>
      <c r="H282" s="254"/>
      <c r="I282" s="254"/>
      <c r="J282" s="254"/>
      <c r="K282" s="254"/>
      <c r="L282" s="254"/>
      <c r="M282" s="254"/>
      <c r="N282" s="254"/>
      <c r="O282" s="254"/>
      <c r="P282" s="254"/>
      <c r="Q282" s="254"/>
      <c r="R282" s="254"/>
      <c r="S282" s="254"/>
      <c r="T282" s="254"/>
      <c r="U282" s="254"/>
      <c r="V282" s="254"/>
      <c r="W282" s="254"/>
      <c r="X282" s="254"/>
      <c r="Y282" s="254"/>
      <c r="Z282" s="254"/>
    </row>
    <row r="283">
      <c r="B283" s="254"/>
      <c r="C283" s="254"/>
      <c r="D283" s="254"/>
      <c r="E283" s="254"/>
      <c r="F283" s="254"/>
      <c r="G283" s="254"/>
      <c r="H283" s="254"/>
      <c r="I283" s="254"/>
      <c r="J283" s="254"/>
      <c r="K283" s="254"/>
      <c r="L283" s="254"/>
      <c r="M283" s="254"/>
      <c r="N283" s="254"/>
      <c r="O283" s="254"/>
      <c r="P283" s="254"/>
      <c r="Q283" s="254"/>
      <c r="R283" s="254"/>
      <c r="S283" s="254"/>
      <c r="T283" s="254"/>
      <c r="U283" s="254"/>
      <c r="V283" s="254"/>
      <c r="W283" s="254"/>
      <c r="X283" s="254"/>
      <c r="Y283" s="254"/>
      <c r="Z283" s="254"/>
    </row>
    <row r="284">
      <c r="B284" s="254"/>
      <c r="C284" s="254"/>
      <c r="D284" s="254"/>
      <c r="E284" s="254"/>
      <c r="F284" s="254"/>
      <c r="G284" s="254"/>
      <c r="H284" s="254"/>
      <c r="I284" s="254"/>
      <c r="J284" s="254"/>
      <c r="K284" s="254"/>
      <c r="L284" s="254"/>
      <c r="M284" s="254"/>
      <c r="N284" s="254"/>
      <c r="O284" s="254"/>
      <c r="P284" s="254"/>
      <c r="Q284" s="254"/>
      <c r="R284" s="254"/>
      <c r="S284" s="254"/>
      <c r="T284" s="254"/>
      <c r="U284" s="254"/>
      <c r="V284" s="254"/>
      <c r="W284" s="254"/>
      <c r="X284" s="254"/>
      <c r="Y284" s="254"/>
      <c r="Z284" s="254"/>
    </row>
    <row r="285">
      <c r="B285" s="254"/>
      <c r="C285" s="254"/>
      <c r="D285" s="254"/>
      <c r="E285" s="254"/>
      <c r="F285" s="254"/>
      <c r="G285" s="254"/>
      <c r="H285" s="254"/>
      <c r="I285" s="254"/>
      <c r="J285" s="254"/>
      <c r="K285" s="254"/>
      <c r="L285" s="254"/>
      <c r="M285" s="254"/>
      <c r="N285" s="254"/>
      <c r="O285" s="254"/>
      <c r="P285" s="254"/>
      <c r="Q285" s="254"/>
      <c r="R285" s="254"/>
      <c r="S285" s="254"/>
      <c r="T285" s="254"/>
      <c r="U285" s="254"/>
      <c r="V285" s="254"/>
      <c r="W285" s="254"/>
      <c r="X285" s="254"/>
      <c r="Y285" s="254"/>
      <c r="Z285" s="254"/>
    </row>
    <row r="286">
      <c r="B286" s="254"/>
      <c r="C286" s="254"/>
      <c r="D286" s="254"/>
      <c r="E286" s="254"/>
      <c r="F286" s="254"/>
      <c r="G286" s="254"/>
      <c r="H286" s="254"/>
      <c r="I286" s="254"/>
      <c r="J286" s="254"/>
      <c r="K286" s="254"/>
      <c r="L286" s="254"/>
      <c r="M286" s="254"/>
      <c r="N286" s="254"/>
      <c r="O286" s="254"/>
      <c r="P286" s="254"/>
      <c r="Q286" s="254"/>
      <c r="R286" s="254"/>
      <c r="S286" s="254"/>
      <c r="T286" s="254"/>
      <c r="U286" s="254"/>
      <c r="V286" s="254"/>
      <c r="W286" s="254"/>
      <c r="X286" s="254"/>
      <c r="Y286" s="254"/>
      <c r="Z286" s="254"/>
    </row>
    <row r="287">
      <c r="B287" s="254"/>
      <c r="C287" s="254"/>
      <c r="D287" s="254"/>
      <c r="E287" s="254"/>
      <c r="F287" s="254"/>
      <c r="G287" s="254"/>
      <c r="H287" s="254"/>
      <c r="I287" s="254"/>
      <c r="J287" s="254"/>
      <c r="K287" s="254"/>
      <c r="L287" s="254"/>
      <c r="M287" s="254"/>
      <c r="N287" s="254"/>
      <c r="O287" s="254"/>
      <c r="P287" s="254"/>
      <c r="Q287" s="254"/>
      <c r="R287" s="254"/>
      <c r="S287" s="254"/>
      <c r="T287" s="254"/>
      <c r="U287" s="254"/>
      <c r="V287" s="254"/>
      <c r="W287" s="254"/>
      <c r="X287" s="254"/>
      <c r="Y287" s="254"/>
      <c r="Z287" s="254"/>
    </row>
    <row r="288">
      <c r="B288" s="254"/>
      <c r="C288" s="254"/>
      <c r="D288" s="254"/>
      <c r="E288" s="254"/>
      <c r="F288" s="254"/>
      <c r="G288" s="254"/>
      <c r="H288" s="254"/>
      <c r="I288" s="254"/>
      <c r="J288" s="254"/>
      <c r="K288" s="254"/>
      <c r="L288" s="254"/>
      <c r="M288" s="254"/>
      <c r="N288" s="254"/>
      <c r="O288" s="254"/>
      <c r="P288" s="254"/>
      <c r="Q288" s="254"/>
      <c r="R288" s="254"/>
      <c r="S288" s="254"/>
      <c r="T288" s="254"/>
      <c r="U288" s="254"/>
      <c r="V288" s="254"/>
      <c r="W288" s="254"/>
      <c r="X288" s="254"/>
      <c r="Y288" s="254"/>
      <c r="Z288" s="254"/>
    </row>
    <row r="289">
      <c r="B289" s="254"/>
      <c r="C289" s="254"/>
      <c r="D289" s="254"/>
      <c r="E289" s="254"/>
      <c r="F289" s="254"/>
      <c r="G289" s="254"/>
      <c r="H289" s="254"/>
      <c r="I289" s="254"/>
      <c r="J289" s="254"/>
      <c r="K289" s="254"/>
      <c r="L289" s="254"/>
      <c r="M289" s="254"/>
      <c r="N289" s="254"/>
      <c r="O289" s="254"/>
      <c r="P289" s="254"/>
      <c r="Q289" s="254"/>
      <c r="R289" s="254"/>
      <c r="S289" s="254"/>
      <c r="T289" s="254"/>
      <c r="U289" s="254"/>
      <c r="V289" s="254"/>
      <c r="W289" s="254"/>
      <c r="X289" s="254"/>
      <c r="Y289" s="254"/>
      <c r="Z289" s="254"/>
    </row>
    <row r="290">
      <c r="B290" s="254"/>
      <c r="C290" s="254"/>
      <c r="D290" s="254"/>
      <c r="E290" s="254"/>
      <c r="F290" s="254"/>
      <c r="G290" s="254"/>
      <c r="H290" s="254"/>
      <c r="I290" s="254"/>
      <c r="J290" s="254"/>
      <c r="K290" s="254"/>
      <c r="L290" s="254"/>
      <c r="M290" s="254"/>
      <c r="N290" s="254"/>
      <c r="O290" s="254"/>
      <c r="P290" s="254"/>
      <c r="Q290" s="254"/>
      <c r="R290" s="254"/>
      <c r="S290" s="254"/>
      <c r="T290" s="254"/>
      <c r="U290" s="254"/>
      <c r="V290" s="254"/>
      <c r="W290" s="254"/>
      <c r="X290" s="254"/>
      <c r="Y290" s="254"/>
      <c r="Z290" s="254"/>
    </row>
    <row r="291">
      <c r="B291" s="254"/>
      <c r="C291" s="254"/>
      <c r="D291" s="254"/>
      <c r="E291" s="254"/>
      <c r="F291" s="254"/>
      <c r="G291" s="254"/>
      <c r="H291" s="254"/>
      <c r="I291" s="254"/>
      <c r="J291" s="254"/>
      <c r="K291" s="254"/>
      <c r="L291" s="254"/>
      <c r="M291" s="254"/>
      <c r="N291" s="254"/>
      <c r="O291" s="254"/>
      <c r="P291" s="254"/>
      <c r="Q291" s="254"/>
      <c r="R291" s="254"/>
      <c r="S291" s="254"/>
      <c r="T291" s="254"/>
      <c r="U291" s="254"/>
      <c r="V291" s="254"/>
      <c r="W291" s="254"/>
      <c r="X291" s="254"/>
      <c r="Y291" s="254"/>
      <c r="Z291" s="254"/>
    </row>
    <row r="292">
      <c r="B292" s="254"/>
      <c r="C292" s="254"/>
      <c r="D292" s="254"/>
      <c r="E292" s="254"/>
      <c r="F292" s="254"/>
      <c r="G292" s="254"/>
      <c r="H292" s="254"/>
      <c r="I292" s="254"/>
      <c r="J292" s="254"/>
      <c r="K292" s="254"/>
      <c r="L292" s="254"/>
      <c r="M292" s="254"/>
      <c r="N292" s="254"/>
      <c r="O292" s="254"/>
      <c r="P292" s="254"/>
      <c r="Q292" s="254"/>
      <c r="R292" s="254"/>
      <c r="S292" s="254"/>
      <c r="T292" s="254"/>
      <c r="U292" s="254"/>
      <c r="V292" s="254"/>
      <c r="W292" s="254"/>
      <c r="X292" s="254"/>
      <c r="Y292" s="254"/>
      <c r="Z292" s="254"/>
    </row>
    <row r="293">
      <c r="A293" s="254"/>
      <c r="B293" s="254"/>
      <c r="C293" s="254"/>
      <c r="D293" s="254"/>
      <c r="E293" s="254"/>
      <c r="F293" s="254"/>
      <c r="G293" s="254"/>
      <c r="H293" s="254"/>
      <c r="I293" s="254"/>
      <c r="J293" s="254"/>
      <c r="K293" s="254"/>
      <c r="L293" s="254"/>
      <c r="M293" s="254"/>
      <c r="N293" s="254"/>
      <c r="O293" s="254"/>
      <c r="P293" s="254"/>
      <c r="Q293" s="254"/>
      <c r="R293" s="254"/>
      <c r="S293" s="254"/>
      <c r="T293" s="254"/>
      <c r="U293" s="254"/>
      <c r="V293" s="254"/>
      <c r="W293" s="254"/>
      <c r="X293" s="254"/>
      <c r="Y293" s="254"/>
      <c r="Z293" s="254"/>
    </row>
    <row r="294">
      <c r="A294" s="254"/>
      <c r="B294" s="254"/>
      <c r="C294" s="254"/>
      <c r="D294" s="254"/>
      <c r="E294" s="254"/>
      <c r="F294" s="254"/>
      <c r="G294" s="254"/>
      <c r="H294" s="254"/>
      <c r="I294" s="254"/>
      <c r="J294" s="254"/>
      <c r="K294" s="254"/>
      <c r="L294" s="254"/>
      <c r="M294" s="254"/>
      <c r="N294" s="254"/>
      <c r="O294" s="254"/>
      <c r="P294" s="254"/>
      <c r="Q294" s="254"/>
      <c r="R294" s="254"/>
      <c r="S294" s="254"/>
      <c r="T294" s="254"/>
      <c r="U294" s="254"/>
      <c r="V294" s="254"/>
      <c r="W294" s="254"/>
      <c r="X294" s="254"/>
      <c r="Y294" s="254"/>
      <c r="Z294" s="254"/>
    </row>
    <row r="295">
      <c r="A295" s="254"/>
      <c r="B295" s="254"/>
      <c r="C295" s="254"/>
      <c r="D295" s="254"/>
      <c r="E295" s="254"/>
      <c r="F295" s="254"/>
      <c r="G295" s="254"/>
      <c r="H295" s="254"/>
      <c r="I295" s="254"/>
      <c r="J295" s="254"/>
      <c r="K295" s="254"/>
      <c r="L295" s="254"/>
      <c r="M295" s="254"/>
      <c r="N295" s="254"/>
      <c r="O295" s="254"/>
      <c r="P295" s="254"/>
      <c r="Q295" s="254"/>
      <c r="R295" s="254"/>
      <c r="S295" s="254"/>
      <c r="T295" s="254"/>
      <c r="U295" s="254"/>
      <c r="V295" s="254"/>
      <c r="W295" s="254"/>
      <c r="X295" s="254"/>
      <c r="Y295" s="254"/>
      <c r="Z295" s="254"/>
    </row>
    <row r="296">
      <c r="A296" s="254"/>
      <c r="B296" s="254"/>
      <c r="C296" s="254"/>
      <c r="D296" s="254"/>
      <c r="E296" s="254"/>
      <c r="F296" s="254"/>
      <c r="G296" s="254"/>
      <c r="H296" s="254"/>
      <c r="I296" s="254"/>
      <c r="J296" s="254"/>
      <c r="K296" s="254"/>
      <c r="L296" s="254"/>
      <c r="M296" s="254"/>
      <c r="N296" s="254"/>
      <c r="O296" s="254"/>
      <c r="P296" s="254"/>
      <c r="Q296" s="254"/>
      <c r="R296" s="254"/>
      <c r="S296" s="254"/>
      <c r="T296" s="254"/>
      <c r="U296" s="254"/>
      <c r="V296" s="254"/>
      <c r="W296" s="254"/>
      <c r="X296" s="254"/>
      <c r="Y296" s="254"/>
      <c r="Z296" s="254"/>
    </row>
    <row r="297">
      <c r="A297" s="254"/>
      <c r="B297" s="254"/>
      <c r="C297" s="254"/>
      <c r="D297" s="254"/>
      <c r="E297" s="254"/>
      <c r="F297" s="254"/>
      <c r="G297" s="254"/>
      <c r="H297" s="254"/>
      <c r="I297" s="254"/>
      <c r="J297" s="254"/>
      <c r="K297" s="254"/>
      <c r="L297" s="254"/>
      <c r="M297" s="254"/>
      <c r="N297" s="254"/>
      <c r="O297" s="254"/>
      <c r="P297" s="254"/>
      <c r="Q297" s="254"/>
      <c r="R297" s="254"/>
      <c r="S297" s="254"/>
      <c r="T297" s="254"/>
      <c r="U297" s="254"/>
      <c r="V297" s="254"/>
      <c r="W297" s="254"/>
      <c r="X297" s="254"/>
      <c r="Y297" s="254"/>
      <c r="Z297" s="254"/>
    </row>
    <row r="298">
      <c r="A298" s="254"/>
      <c r="B298" s="254"/>
      <c r="C298" s="254"/>
      <c r="D298" s="254"/>
      <c r="E298" s="254"/>
      <c r="F298" s="254"/>
      <c r="G298" s="254"/>
      <c r="H298" s="254"/>
      <c r="I298" s="254"/>
      <c r="J298" s="254"/>
      <c r="K298" s="254"/>
      <c r="L298" s="254"/>
      <c r="M298" s="254"/>
      <c r="N298" s="254"/>
      <c r="O298" s="254"/>
      <c r="P298" s="254"/>
      <c r="Q298" s="254"/>
      <c r="R298" s="254"/>
      <c r="S298" s="254"/>
      <c r="T298" s="254"/>
      <c r="U298" s="254"/>
      <c r="V298" s="254"/>
      <c r="W298" s="254"/>
      <c r="X298" s="254"/>
      <c r="Y298" s="254"/>
      <c r="Z298" s="254"/>
    </row>
    <row r="299">
      <c r="A299" s="254"/>
      <c r="B299" s="254"/>
      <c r="C299" s="254"/>
      <c r="D299" s="254"/>
      <c r="E299" s="254"/>
      <c r="F299" s="254"/>
      <c r="G299" s="254"/>
      <c r="H299" s="254"/>
      <c r="I299" s="254"/>
      <c r="J299" s="254"/>
      <c r="K299" s="254"/>
      <c r="L299" s="254"/>
      <c r="M299" s="254"/>
      <c r="N299" s="254"/>
      <c r="O299" s="254"/>
      <c r="P299" s="254"/>
      <c r="Q299" s="254"/>
      <c r="R299" s="254"/>
      <c r="S299" s="254"/>
      <c r="T299" s="254"/>
      <c r="U299" s="254"/>
      <c r="V299" s="254"/>
      <c r="W299" s="254"/>
      <c r="X299" s="254"/>
      <c r="Y299" s="254"/>
      <c r="Z299" s="254"/>
    </row>
    <row r="300">
      <c r="A300" s="254"/>
      <c r="B300" s="254"/>
      <c r="C300" s="254"/>
      <c r="D300" s="254"/>
      <c r="E300" s="254"/>
      <c r="F300" s="254"/>
      <c r="G300" s="254"/>
      <c r="H300" s="254"/>
      <c r="I300" s="254"/>
      <c r="J300" s="254"/>
      <c r="K300" s="254"/>
      <c r="L300" s="254"/>
      <c r="M300" s="254"/>
      <c r="N300" s="254"/>
      <c r="O300" s="254"/>
      <c r="P300" s="254"/>
      <c r="Q300" s="254"/>
      <c r="R300" s="254"/>
      <c r="S300" s="254"/>
      <c r="T300" s="254"/>
      <c r="U300" s="254"/>
      <c r="V300" s="254"/>
      <c r="W300" s="254"/>
      <c r="X300" s="254"/>
      <c r="Y300" s="254"/>
      <c r="Z300" s="254"/>
    </row>
    <row r="301">
      <c r="A301" s="254"/>
      <c r="B301" s="254"/>
      <c r="C301" s="254"/>
      <c r="D301" s="254"/>
      <c r="E301" s="254"/>
      <c r="F301" s="254"/>
      <c r="G301" s="254"/>
      <c r="H301" s="254"/>
      <c r="I301" s="254"/>
      <c r="J301" s="254"/>
      <c r="K301" s="254"/>
      <c r="L301" s="254"/>
      <c r="M301" s="254"/>
      <c r="N301" s="254"/>
      <c r="O301" s="254"/>
      <c r="P301" s="254"/>
      <c r="Q301" s="254"/>
      <c r="R301" s="254"/>
      <c r="S301" s="254"/>
      <c r="T301" s="254"/>
      <c r="U301" s="254"/>
      <c r="V301" s="254"/>
      <c r="W301" s="254"/>
      <c r="X301" s="254"/>
      <c r="Y301" s="254"/>
      <c r="Z301" s="254"/>
    </row>
    <row r="302">
      <c r="A302" s="254"/>
      <c r="B302" s="254"/>
      <c r="C302" s="254"/>
      <c r="D302" s="254"/>
      <c r="E302" s="254"/>
      <c r="F302" s="254"/>
      <c r="G302" s="254"/>
      <c r="H302" s="254"/>
      <c r="I302" s="254"/>
      <c r="J302" s="254"/>
      <c r="K302" s="254"/>
      <c r="L302" s="254"/>
      <c r="M302" s="254"/>
      <c r="N302" s="254"/>
      <c r="O302" s="254"/>
      <c r="P302" s="254"/>
      <c r="Q302" s="254"/>
      <c r="R302" s="254"/>
      <c r="S302" s="254"/>
      <c r="T302" s="254"/>
      <c r="U302" s="254"/>
      <c r="V302" s="254"/>
      <c r="W302" s="254"/>
      <c r="X302" s="254"/>
      <c r="Y302" s="254"/>
      <c r="Z302" s="254"/>
    </row>
    <row r="303">
      <c r="A303" s="254"/>
      <c r="B303" s="254"/>
      <c r="C303" s="254"/>
      <c r="D303" s="254"/>
      <c r="E303" s="254"/>
      <c r="F303" s="254"/>
      <c r="G303" s="254"/>
      <c r="H303" s="254"/>
      <c r="I303" s="254"/>
      <c r="J303" s="254"/>
      <c r="K303" s="254"/>
      <c r="L303" s="254"/>
      <c r="M303" s="254"/>
      <c r="N303" s="254"/>
      <c r="O303" s="254"/>
      <c r="P303" s="254"/>
      <c r="Q303" s="254"/>
      <c r="R303" s="254"/>
      <c r="S303" s="254"/>
      <c r="T303" s="254"/>
      <c r="U303" s="254"/>
      <c r="V303" s="254"/>
      <c r="W303" s="254"/>
      <c r="X303" s="254"/>
      <c r="Y303" s="254"/>
      <c r="Z303" s="254"/>
    </row>
    <row r="304">
      <c r="A304" s="254"/>
      <c r="B304" s="254"/>
      <c r="C304" s="254"/>
      <c r="D304" s="254"/>
      <c r="E304" s="254"/>
      <c r="F304" s="254"/>
      <c r="G304" s="254"/>
      <c r="H304" s="254"/>
      <c r="I304" s="254"/>
      <c r="J304" s="254"/>
      <c r="K304" s="254"/>
      <c r="L304" s="254"/>
      <c r="M304" s="254"/>
      <c r="N304" s="254"/>
      <c r="O304" s="254"/>
      <c r="P304" s="254"/>
      <c r="Q304" s="254"/>
      <c r="R304" s="254"/>
      <c r="S304" s="254"/>
      <c r="T304" s="254"/>
      <c r="U304" s="254"/>
      <c r="V304" s="254"/>
      <c r="W304" s="254"/>
      <c r="X304" s="254"/>
      <c r="Y304" s="254"/>
      <c r="Z304" s="254"/>
    </row>
    <row r="305">
      <c r="A305" s="254"/>
      <c r="B305" s="254"/>
      <c r="C305" s="254"/>
      <c r="D305" s="254"/>
      <c r="E305" s="254"/>
      <c r="F305" s="254"/>
      <c r="G305" s="254"/>
      <c r="H305" s="254"/>
      <c r="I305" s="254"/>
      <c r="J305" s="254"/>
      <c r="K305" s="254"/>
      <c r="L305" s="254"/>
      <c r="M305" s="254"/>
      <c r="N305" s="254"/>
      <c r="O305" s="254"/>
      <c r="P305" s="254"/>
      <c r="Q305" s="254"/>
      <c r="R305" s="254"/>
      <c r="S305" s="254"/>
      <c r="T305" s="254"/>
      <c r="U305" s="254"/>
      <c r="V305" s="254"/>
      <c r="W305" s="254"/>
      <c r="X305" s="254"/>
      <c r="Y305" s="254"/>
      <c r="Z305" s="254"/>
    </row>
    <row r="306">
      <c r="A306" s="254"/>
      <c r="B306" s="254"/>
      <c r="C306" s="254"/>
      <c r="D306" s="254"/>
      <c r="E306" s="254"/>
      <c r="F306" s="254"/>
      <c r="G306" s="254"/>
      <c r="H306" s="254"/>
      <c r="I306" s="254"/>
      <c r="J306" s="254"/>
      <c r="K306" s="254"/>
      <c r="L306" s="254"/>
      <c r="M306" s="254"/>
      <c r="N306" s="254"/>
      <c r="O306" s="254"/>
      <c r="P306" s="254"/>
      <c r="Q306" s="254"/>
      <c r="R306" s="254"/>
      <c r="S306" s="254"/>
      <c r="T306" s="254"/>
      <c r="U306" s="254"/>
      <c r="V306" s="254"/>
      <c r="W306" s="254"/>
      <c r="X306" s="254"/>
      <c r="Y306" s="254"/>
      <c r="Z306" s="254"/>
    </row>
    <row r="307">
      <c r="A307" s="254"/>
      <c r="B307" s="254"/>
      <c r="C307" s="254"/>
      <c r="D307" s="254"/>
      <c r="E307" s="254"/>
      <c r="F307" s="254"/>
      <c r="G307" s="254"/>
      <c r="H307" s="254"/>
      <c r="I307" s="254"/>
      <c r="J307" s="254"/>
      <c r="K307" s="254"/>
      <c r="L307" s="254"/>
      <c r="M307" s="254"/>
      <c r="N307" s="254"/>
      <c r="O307" s="254"/>
      <c r="P307" s="254"/>
      <c r="Q307" s="254"/>
      <c r="R307" s="254"/>
      <c r="S307" s="254"/>
      <c r="T307" s="254"/>
      <c r="U307" s="254"/>
      <c r="V307" s="254"/>
      <c r="W307" s="254"/>
      <c r="X307" s="254"/>
      <c r="Y307" s="254"/>
      <c r="Z307" s="254"/>
    </row>
    <row r="308">
      <c r="A308" s="254"/>
      <c r="B308" s="254"/>
      <c r="C308" s="254"/>
      <c r="D308" s="254"/>
      <c r="E308" s="254"/>
      <c r="F308" s="254"/>
      <c r="G308" s="254"/>
      <c r="H308" s="254"/>
      <c r="I308" s="254"/>
      <c r="J308" s="254"/>
      <c r="K308" s="254"/>
      <c r="L308" s="254"/>
      <c r="M308" s="254"/>
      <c r="N308" s="254"/>
      <c r="O308" s="254"/>
      <c r="P308" s="254"/>
      <c r="Q308" s="254"/>
      <c r="R308" s="254"/>
      <c r="S308" s="254"/>
      <c r="T308" s="254"/>
      <c r="U308" s="254"/>
      <c r="V308" s="254"/>
      <c r="W308" s="254"/>
      <c r="X308" s="254"/>
      <c r="Y308" s="254"/>
      <c r="Z308" s="254"/>
    </row>
    <row r="309">
      <c r="A309" s="254"/>
      <c r="B309" s="254"/>
      <c r="C309" s="254"/>
      <c r="D309" s="254"/>
      <c r="E309" s="254"/>
      <c r="F309" s="254"/>
      <c r="G309" s="254"/>
      <c r="H309" s="254"/>
      <c r="I309" s="254"/>
      <c r="J309" s="254"/>
      <c r="K309" s="254"/>
      <c r="L309" s="254"/>
      <c r="M309" s="254"/>
      <c r="N309" s="254"/>
      <c r="O309" s="254"/>
      <c r="P309" s="254"/>
      <c r="Q309" s="254"/>
      <c r="R309" s="254"/>
      <c r="S309" s="254"/>
      <c r="T309" s="254"/>
      <c r="U309" s="254"/>
      <c r="V309" s="254"/>
      <c r="W309" s="254"/>
      <c r="X309" s="254"/>
      <c r="Y309" s="254"/>
      <c r="Z309" s="254"/>
    </row>
    <row r="310">
      <c r="A310" s="254"/>
      <c r="B310" s="254"/>
      <c r="C310" s="254"/>
      <c r="D310" s="254"/>
      <c r="E310" s="254"/>
      <c r="F310" s="254"/>
      <c r="G310" s="254"/>
      <c r="H310" s="254"/>
      <c r="I310" s="254"/>
      <c r="J310" s="254"/>
      <c r="K310" s="254"/>
      <c r="L310" s="254"/>
      <c r="M310" s="254"/>
      <c r="N310" s="254"/>
      <c r="O310" s="254"/>
      <c r="P310" s="254"/>
      <c r="Q310" s="254"/>
      <c r="R310" s="254"/>
      <c r="S310" s="254"/>
      <c r="T310" s="254"/>
      <c r="U310" s="254"/>
      <c r="V310" s="254"/>
      <c r="W310" s="254"/>
      <c r="X310" s="254"/>
      <c r="Y310" s="254"/>
      <c r="Z310" s="254"/>
    </row>
    <row r="311">
      <c r="A311" s="254"/>
      <c r="B311" s="254"/>
      <c r="C311" s="254"/>
      <c r="D311" s="254"/>
      <c r="E311" s="254"/>
      <c r="F311" s="254"/>
      <c r="G311" s="254"/>
      <c r="H311" s="254"/>
      <c r="I311" s="254"/>
      <c r="J311" s="254"/>
      <c r="K311" s="254"/>
      <c r="L311" s="254"/>
      <c r="M311" s="254"/>
      <c r="N311" s="254"/>
      <c r="O311" s="254"/>
      <c r="P311" s="254"/>
      <c r="Q311" s="254"/>
      <c r="R311" s="254"/>
      <c r="S311" s="254"/>
      <c r="T311" s="254"/>
      <c r="U311" s="254"/>
      <c r="V311" s="254"/>
      <c r="W311" s="254"/>
      <c r="X311" s="254"/>
      <c r="Y311" s="254"/>
      <c r="Z311" s="254"/>
    </row>
    <row r="312">
      <c r="A312" s="254"/>
      <c r="B312" s="254"/>
      <c r="C312" s="254"/>
      <c r="D312" s="254"/>
      <c r="E312" s="254"/>
      <c r="F312" s="254"/>
      <c r="G312" s="254"/>
      <c r="H312" s="254"/>
      <c r="I312" s="254"/>
      <c r="J312" s="254"/>
      <c r="K312" s="254"/>
      <c r="L312" s="254"/>
      <c r="M312" s="254"/>
      <c r="N312" s="254"/>
      <c r="O312" s="254"/>
      <c r="P312" s="254"/>
      <c r="Q312" s="254"/>
      <c r="R312" s="254"/>
      <c r="S312" s="254"/>
      <c r="T312" s="254"/>
      <c r="U312" s="254"/>
      <c r="V312" s="254"/>
      <c r="W312" s="254"/>
      <c r="X312" s="254"/>
      <c r="Y312" s="254"/>
      <c r="Z312" s="254"/>
    </row>
    <row r="313">
      <c r="A313" s="254"/>
      <c r="B313" s="254"/>
      <c r="C313" s="254"/>
      <c r="D313" s="254"/>
      <c r="E313" s="254"/>
      <c r="F313" s="254"/>
      <c r="G313" s="254"/>
      <c r="H313" s="254"/>
      <c r="I313" s="254"/>
      <c r="J313" s="254"/>
      <c r="K313" s="254"/>
      <c r="L313" s="254"/>
      <c r="M313" s="254"/>
      <c r="N313" s="254"/>
      <c r="O313" s="254"/>
      <c r="P313" s="254"/>
      <c r="Q313" s="254"/>
      <c r="R313" s="254"/>
      <c r="S313" s="254"/>
      <c r="T313" s="254"/>
      <c r="U313" s="254"/>
      <c r="V313" s="254"/>
      <c r="W313" s="254"/>
      <c r="X313" s="254"/>
      <c r="Y313" s="254"/>
      <c r="Z313" s="254"/>
    </row>
    <row r="314">
      <c r="A314" s="254"/>
      <c r="B314" s="254"/>
      <c r="C314" s="254"/>
      <c r="D314" s="254"/>
      <c r="E314" s="254"/>
      <c r="F314" s="254"/>
      <c r="G314" s="254"/>
      <c r="H314" s="254"/>
      <c r="I314" s="254"/>
      <c r="J314" s="254"/>
      <c r="K314" s="254"/>
      <c r="L314" s="254"/>
      <c r="M314" s="254"/>
      <c r="N314" s="254"/>
      <c r="O314" s="254"/>
      <c r="P314" s="254"/>
      <c r="Q314" s="254"/>
      <c r="R314" s="254"/>
      <c r="S314" s="254"/>
      <c r="T314" s="254"/>
      <c r="U314" s="254"/>
      <c r="V314" s="254"/>
      <c r="W314" s="254"/>
      <c r="X314" s="254"/>
      <c r="Y314" s="254"/>
      <c r="Z314" s="254"/>
    </row>
    <row r="315">
      <c r="A315" s="254"/>
      <c r="B315" s="254"/>
      <c r="C315" s="254"/>
      <c r="D315" s="254"/>
      <c r="E315" s="254"/>
      <c r="F315" s="254"/>
      <c r="G315" s="254"/>
      <c r="H315" s="254"/>
      <c r="I315" s="254"/>
      <c r="J315" s="254"/>
      <c r="K315" s="254"/>
      <c r="L315" s="254"/>
      <c r="M315" s="254"/>
      <c r="N315" s="254"/>
      <c r="O315" s="254"/>
      <c r="P315" s="254"/>
      <c r="Q315" s="254"/>
      <c r="R315" s="254"/>
      <c r="S315" s="254"/>
      <c r="T315" s="254"/>
      <c r="U315" s="254"/>
      <c r="V315" s="254"/>
      <c r="W315" s="254"/>
      <c r="X315" s="254"/>
      <c r="Y315" s="254"/>
      <c r="Z315" s="254"/>
    </row>
    <row r="316">
      <c r="A316" s="254"/>
      <c r="B316" s="254"/>
      <c r="C316" s="254"/>
      <c r="D316" s="254"/>
      <c r="E316" s="254"/>
      <c r="F316" s="254"/>
      <c r="G316" s="254"/>
      <c r="H316" s="254"/>
      <c r="I316" s="254"/>
      <c r="J316" s="254"/>
      <c r="K316" s="254"/>
      <c r="L316" s="254"/>
      <c r="M316" s="254"/>
      <c r="N316" s="254"/>
      <c r="O316" s="254"/>
      <c r="P316" s="254"/>
      <c r="Q316" s="254"/>
      <c r="R316" s="254"/>
      <c r="S316" s="254"/>
      <c r="T316" s="254"/>
      <c r="U316" s="254"/>
      <c r="V316" s="254"/>
      <c r="W316" s="254"/>
      <c r="X316" s="254"/>
      <c r="Y316" s="254"/>
      <c r="Z316" s="254"/>
    </row>
    <row r="317">
      <c r="A317" s="254"/>
      <c r="B317" s="254"/>
      <c r="C317" s="254"/>
      <c r="D317" s="254"/>
      <c r="E317" s="254"/>
      <c r="F317" s="254"/>
      <c r="G317" s="254"/>
      <c r="H317" s="254"/>
      <c r="I317" s="254"/>
      <c r="J317" s="254"/>
      <c r="K317" s="254"/>
      <c r="L317" s="254"/>
      <c r="M317" s="254"/>
      <c r="N317" s="254"/>
      <c r="O317" s="254"/>
      <c r="P317" s="254"/>
      <c r="Q317" s="254"/>
      <c r="R317" s="254"/>
      <c r="S317" s="254"/>
      <c r="T317" s="254"/>
      <c r="U317" s="254"/>
      <c r="V317" s="254"/>
      <c r="W317" s="254"/>
      <c r="X317" s="254"/>
      <c r="Y317" s="254"/>
      <c r="Z317" s="254"/>
    </row>
    <row r="318">
      <c r="A318" s="254"/>
      <c r="B318" s="254"/>
      <c r="C318" s="254"/>
      <c r="D318" s="254"/>
      <c r="E318" s="254"/>
      <c r="F318" s="254"/>
      <c r="G318" s="254"/>
      <c r="H318" s="254"/>
      <c r="I318" s="254"/>
      <c r="J318" s="254"/>
      <c r="K318" s="254"/>
      <c r="L318" s="254"/>
      <c r="M318" s="254"/>
      <c r="N318" s="254"/>
      <c r="O318" s="254"/>
      <c r="P318" s="254"/>
      <c r="Q318" s="254"/>
      <c r="R318" s="254"/>
      <c r="S318" s="254"/>
      <c r="T318" s="254"/>
      <c r="U318" s="254"/>
      <c r="V318" s="254"/>
      <c r="W318" s="254"/>
      <c r="X318" s="254"/>
      <c r="Y318" s="254"/>
      <c r="Z318" s="254"/>
    </row>
    <row r="319">
      <c r="A319" s="254"/>
      <c r="B319" s="254"/>
      <c r="C319" s="254"/>
      <c r="D319" s="254"/>
      <c r="E319" s="254"/>
      <c r="F319" s="254"/>
      <c r="G319" s="254"/>
      <c r="H319" s="254"/>
      <c r="I319" s="254"/>
      <c r="J319" s="254"/>
      <c r="K319" s="254"/>
      <c r="L319" s="254"/>
      <c r="M319" s="254"/>
      <c r="N319" s="254"/>
      <c r="O319" s="254"/>
      <c r="P319" s="254"/>
      <c r="Q319" s="254"/>
      <c r="R319" s="254"/>
      <c r="S319" s="254"/>
      <c r="T319" s="254"/>
      <c r="U319" s="254"/>
      <c r="V319" s="254"/>
      <c r="W319" s="254"/>
      <c r="X319" s="254"/>
      <c r="Y319" s="254"/>
      <c r="Z319" s="254"/>
    </row>
    <row r="320">
      <c r="A320" s="254"/>
      <c r="B320" s="254"/>
      <c r="C320" s="254"/>
      <c r="D320" s="254"/>
      <c r="E320" s="254"/>
      <c r="F320" s="254"/>
      <c r="G320" s="254"/>
      <c r="H320" s="254"/>
      <c r="I320" s="254"/>
      <c r="J320" s="254"/>
      <c r="K320" s="254"/>
      <c r="L320" s="254"/>
      <c r="M320" s="254"/>
      <c r="N320" s="254"/>
      <c r="O320" s="254"/>
      <c r="P320" s="254"/>
      <c r="Q320" s="254"/>
      <c r="R320" s="254"/>
      <c r="S320" s="254"/>
      <c r="T320" s="254"/>
      <c r="U320" s="254"/>
      <c r="V320" s="254"/>
      <c r="W320" s="254"/>
      <c r="X320" s="254"/>
      <c r="Y320" s="254"/>
      <c r="Z320" s="254"/>
    </row>
    <row r="321">
      <c r="A321" s="254"/>
      <c r="B321" s="254"/>
      <c r="C321" s="254"/>
      <c r="D321" s="254"/>
      <c r="E321" s="254"/>
      <c r="F321" s="254"/>
      <c r="G321" s="254"/>
      <c r="H321" s="254"/>
      <c r="I321" s="254"/>
      <c r="J321" s="254"/>
      <c r="K321" s="254"/>
      <c r="L321" s="254"/>
      <c r="M321" s="254"/>
      <c r="N321" s="254"/>
      <c r="O321" s="254"/>
      <c r="P321" s="254"/>
      <c r="Q321" s="254"/>
      <c r="R321" s="254"/>
      <c r="S321" s="254"/>
      <c r="T321" s="254"/>
      <c r="U321" s="254"/>
      <c r="V321" s="254"/>
      <c r="W321" s="254"/>
      <c r="X321" s="254"/>
      <c r="Y321" s="254"/>
      <c r="Z321" s="254"/>
    </row>
    <row r="322">
      <c r="A322" s="254"/>
      <c r="B322" s="254"/>
      <c r="C322" s="254"/>
      <c r="D322" s="254"/>
      <c r="E322" s="254"/>
      <c r="F322" s="254"/>
      <c r="G322" s="254"/>
      <c r="H322" s="254"/>
      <c r="I322" s="254"/>
      <c r="J322" s="254"/>
      <c r="K322" s="254"/>
      <c r="L322" s="254"/>
      <c r="M322" s="254"/>
      <c r="N322" s="254"/>
      <c r="O322" s="254"/>
      <c r="P322" s="254"/>
      <c r="Q322" s="254"/>
      <c r="R322" s="254"/>
      <c r="S322" s="254"/>
      <c r="T322" s="254"/>
      <c r="U322" s="254"/>
      <c r="V322" s="254"/>
      <c r="W322" s="254"/>
      <c r="X322" s="254"/>
      <c r="Y322" s="254"/>
      <c r="Z322" s="254"/>
    </row>
    <row r="323">
      <c r="A323" s="254"/>
      <c r="B323" s="254"/>
      <c r="C323" s="254"/>
      <c r="D323" s="254"/>
      <c r="E323" s="254"/>
      <c r="F323" s="254"/>
      <c r="G323" s="254"/>
      <c r="H323" s="254"/>
      <c r="I323" s="254"/>
      <c r="J323" s="254"/>
      <c r="K323" s="254"/>
      <c r="L323" s="254"/>
      <c r="M323" s="254"/>
      <c r="N323" s="254"/>
      <c r="O323" s="254"/>
      <c r="P323" s="254"/>
      <c r="Q323" s="254"/>
      <c r="R323" s="254"/>
      <c r="S323" s="254"/>
      <c r="T323" s="254"/>
      <c r="U323" s="254"/>
      <c r="V323" s="254"/>
      <c r="W323" s="254"/>
      <c r="X323" s="254"/>
      <c r="Y323" s="254"/>
      <c r="Z323" s="254"/>
    </row>
    <row r="324">
      <c r="A324" s="254"/>
      <c r="B324" s="254"/>
      <c r="C324" s="254"/>
      <c r="D324" s="254"/>
      <c r="E324" s="254"/>
      <c r="F324" s="254"/>
      <c r="G324" s="254"/>
      <c r="H324" s="254"/>
      <c r="I324" s="254"/>
      <c r="J324" s="254"/>
      <c r="K324" s="254"/>
      <c r="L324" s="254"/>
      <c r="M324" s="254"/>
      <c r="N324" s="254"/>
      <c r="O324" s="254"/>
      <c r="P324" s="254"/>
      <c r="Q324" s="254"/>
      <c r="R324" s="254"/>
      <c r="S324" s="254"/>
      <c r="T324" s="254"/>
      <c r="U324" s="254"/>
      <c r="V324" s="254"/>
      <c r="W324" s="254"/>
      <c r="X324" s="254"/>
      <c r="Y324" s="254"/>
      <c r="Z324" s="254"/>
    </row>
    <row r="325">
      <c r="A325" s="254"/>
      <c r="B325" s="254"/>
      <c r="C325" s="254"/>
      <c r="D325" s="254"/>
      <c r="E325" s="254"/>
      <c r="F325" s="254"/>
      <c r="G325" s="254"/>
      <c r="H325" s="254"/>
      <c r="I325" s="254"/>
      <c r="J325" s="254"/>
      <c r="K325" s="254"/>
      <c r="L325" s="254"/>
      <c r="M325" s="254"/>
      <c r="N325" s="254"/>
      <c r="O325" s="254"/>
      <c r="P325" s="254"/>
      <c r="Q325" s="254"/>
      <c r="R325" s="254"/>
      <c r="S325" s="254"/>
      <c r="T325" s="254"/>
      <c r="U325" s="254"/>
      <c r="V325" s="254"/>
      <c r="W325" s="254"/>
      <c r="X325" s="254"/>
      <c r="Y325" s="254"/>
      <c r="Z325" s="254"/>
    </row>
    <row r="326">
      <c r="A326" s="254"/>
      <c r="B326" s="254"/>
      <c r="C326" s="254"/>
      <c r="D326" s="254"/>
      <c r="E326" s="254"/>
      <c r="F326" s="254"/>
      <c r="G326" s="254"/>
      <c r="H326" s="254"/>
      <c r="I326" s="254"/>
      <c r="J326" s="254"/>
      <c r="K326" s="254"/>
      <c r="L326" s="254"/>
      <c r="M326" s="254"/>
      <c r="N326" s="254"/>
      <c r="O326" s="254"/>
      <c r="P326" s="254"/>
      <c r="Q326" s="254"/>
      <c r="R326" s="254"/>
      <c r="S326" s="254"/>
      <c r="T326" s="254"/>
      <c r="U326" s="254"/>
      <c r="V326" s="254"/>
      <c r="W326" s="254"/>
      <c r="X326" s="254"/>
      <c r="Y326" s="254"/>
      <c r="Z326" s="254"/>
    </row>
    <row r="327">
      <c r="A327" s="254"/>
      <c r="B327" s="254"/>
      <c r="C327" s="254"/>
      <c r="D327" s="254"/>
      <c r="E327" s="254"/>
      <c r="F327" s="254"/>
      <c r="G327" s="254"/>
      <c r="H327" s="254"/>
      <c r="I327" s="254"/>
      <c r="J327" s="254"/>
      <c r="K327" s="254"/>
      <c r="L327" s="254"/>
      <c r="M327" s="254"/>
      <c r="N327" s="254"/>
      <c r="O327" s="254"/>
      <c r="P327" s="254"/>
      <c r="Q327" s="254"/>
      <c r="R327" s="254"/>
      <c r="S327" s="254"/>
      <c r="T327" s="254"/>
      <c r="U327" s="254"/>
      <c r="V327" s="254"/>
      <c r="W327" s="254"/>
      <c r="X327" s="254"/>
      <c r="Y327" s="254"/>
      <c r="Z327" s="254"/>
    </row>
    <row r="328">
      <c r="A328" s="254"/>
      <c r="B328" s="254"/>
      <c r="C328" s="254"/>
      <c r="D328" s="254"/>
      <c r="E328" s="254"/>
      <c r="F328" s="254"/>
      <c r="G328" s="254"/>
      <c r="H328" s="254"/>
      <c r="I328" s="254"/>
      <c r="J328" s="254"/>
      <c r="K328" s="254"/>
      <c r="L328" s="254"/>
      <c r="M328" s="254"/>
      <c r="N328" s="254"/>
      <c r="O328" s="254"/>
      <c r="P328" s="254"/>
      <c r="Q328" s="254"/>
      <c r="R328" s="254"/>
      <c r="S328" s="254"/>
      <c r="T328" s="254"/>
      <c r="U328" s="254"/>
      <c r="V328" s="254"/>
      <c r="W328" s="254"/>
      <c r="X328" s="254"/>
      <c r="Y328" s="254"/>
      <c r="Z328" s="254"/>
    </row>
    <row r="329">
      <c r="A329" s="254"/>
      <c r="B329" s="254"/>
      <c r="C329" s="254"/>
      <c r="D329" s="254"/>
      <c r="E329" s="254"/>
      <c r="F329" s="254"/>
      <c r="G329" s="254"/>
      <c r="H329" s="254"/>
      <c r="I329" s="254"/>
      <c r="J329" s="254"/>
      <c r="K329" s="254"/>
      <c r="L329" s="254"/>
      <c r="M329" s="254"/>
      <c r="N329" s="254"/>
      <c r="O329" s="254"/>
      <c r="P329" s="254"/>
      <c r="Q329" s="254"/>
      <c r="R329" s="254"/>
      <c r="S329" s="254"/>
      <c r="T329" s="254"/>
      <c r="U329" s="254"/>
      <c r="V329" s="254"/>
      <c r="W329" s="254"/>
      <c r="X329" s="254"/>
      <c r="Y329" s="254"/>
      <c r="Z329" s="254"/>
    </row>
    <row r="330">
      <c r="A330" s="254"/>
      <c r="B330" s="254"/>
      <c r="C330" s="254"/>
      <c r="D330" s="254"/>
      <c r="E330" s="254"/>
      <c r="F330" s="254"/>
      <c r="G330" s="254"/>
      <c r="H330" s="254"/>
      <c r="I330" s="254"/>
      <c r="J330" s="254"/>
      <c r="K330" s="254"/>
      <c r="L330" s="254"/>
      <c r="M330" s="254"/>
      <c r="N330" s="254"/>
      <c r="O330" s="254"/>
      <c r="P330" s="254"/>
      <c r="Q330" s="254"/>
      <c r="R330" s="254"/>
      <c r="S330" s="254"/>
      <c r="T330" s="254"/>
      <c r="U330" s="254"/>
      <c r="V330" s="254"/>
      <c r="W330" s="254"/>
      <c r="X330" s="254"/>
      <c r="Y330" s="254"/>
      <c r="Z330" s="254"/>
    </row>
    <row r="331">
      <c r="A331" s="254"/>
      <c r="B331" s="254"/>
      <c r="C331" s="254"/>
      <c r="D331" s="254"/>
      <c r="E331" s="254"/>
      <c r="F331" s="254"/>
      <c r="G331" s="254"/>
      <c r="H331" s="254"/>
      <c r="I331" s="254"/>
      <c r="J331" s="254"/>
      <c r="K331" s="254"/>
      <c r="L331" s="254"/>
      <c r="M331" s="254"/>
      <c r="N331" s="254"/>
      <c r="O331" s="254"/>
      <c r="P331" s="254"/>
      <c r="Q331" s="254"/>
      <c r="R331" s="254"/>
      <c r="S331" s="254"/>
      <c r="T331" s="254"/>
      <c r="U331" s="254"/>
      <c r="V331" s="254"/>
      <c r="W331" s="254"/>
      <c r="X331" s="254"/>
      <c r="Y331" s="254"/>
      <c r="Z331" s="254"/>
    </row>
    <row r="332">
      <c r="A332" s="254"/>
      <c r="B332" s="254"/>
      <c r="C332" s="254"/>
      <c r="D332" s="254"/>
      <c r="E332" s="254"/>
      <c r="F332" s="254"/>
      <c r="G332" s="254"/>
      <c r="H332" s="254"/>
      <c r="I332" s="254"/>
      <c r="J332" s="254"/>
      <c r="K332" s="254"/>
      <c r="L332" s="254"/>
      <c r="M332" s="254"/>
      <c r="N332" s="254"/>
      <c r="O332" s="254"/>
      <c r="P332" s="254"/>
      <c r="Q332" s="254"/>
      <c r="R332" s="254"/>
      <c r="S332" s="254"/>
      <c r="T332" s="254"/>
      <c r="U332" s="254"/>
      <c r="V332" s="254"/>
      <c r="W332" s="254"/>
      <c r="X332" s="254"/>
      <c r="Y332" s="254"/>
      <c r="Z332" s="254"/>
    </row>
    <row r="333">
      <c r="A333" s="254"/>
      <c r="B333" s="254"/>
      <c r="C333" s="254"/>
      <c r="D333" s="254"/>
      <c r="E333" s="254"/>
      <c r="F333" s="254"/>
      <c r="G333" s="254"/>
      <c r="H333" s="254"/>
      <c r="I333" s="254"/>
      <c r="J333" s="254"/>
      <c r="K333" s="254"/>
      <c r="L333" s="254"/>
      <c r="M333" s="254"/>
      <c r="N333" s="254"/>
      <c r="O333" s="254"/>
      <c r="P333" s="254"/>
      <c r="Q333" s="254"/>
      <c r="R333" s="254"/>
      <c r="S333" s="254"/>
      <c r="T333" s="254"/>
      <c r="U333" s="254"/>
      <c r="V333" s="254"/>
      <c r="W333" s="254"/>
      <c r="X333" s="254"/>
      <c r="Y333" s="254"/>
      <c r="Z333" s="254"/>
    </row>
    <row r="334">
      <c r="A334" s="254"/>
      <c r="B334" s="254"/>
      <c r="C334" s="254"/>
      <c r="D334" s="254"/>
      <c r="E334" s="254"/>
      <c r="F334" s="254"/>
      <c r="G334" s="254"/>
      <c r="H334" s="254"/>
      <c r="I334" s="254"/>
      <c r="J334" s="254"/>
      <c r="K334" s="254"/>
      <c r="L334" s="254"/>
      <c r="M334" s="254"/>
      <c r="N334" s="254"/>
      <c r="O334" s="254"/>
      <c r="P334" s="254"/>
      <c r="Q334" s="254"/>
      <c r="R334" s="254"/>
      <c r="S334" s="254"/>
      <c r="T334" s="254"/>
      <c r="U334" s="254"/>
      <c r="V334" s="254"/>
      <c r="W334" s="254"/>
      <c r="X334" s="254"/>
      <c r="Y334" s="254"/>
      <c r="Z334" s="254"/>
    </row>
    <row r="335">
      <c r="A335" s="254"/>
      <c r="B335" s="254"/>
      <c r="C335" s="254"/>
      <c r="D335" s="254"/>
      <c r="E335" s="254"/>
      <c r="F335" s="254"/>
      <c r="G335" s="254"/>
      <c r="H335" s="254"/>
      <c r="I335" s="254"/>
      <c r="J335" s="254"/>
      <c r="K335" s="254"/>
      <c r="L335" s="254"/>
      <c r="M335" s="254"/>
      <c r="N335" s="254"/>
      <c r="O335" s="254"/>
      <c r="P335" s="254"/>
      <c r="Q335" s="254"/>
      <c r="R335" s="254"/>
      <c r="S335" s="254"/>
      <c r="T335" s="254"/>
      <c r="U335" s="254"/>
      <c r="V335" s="254"/>
      <c r="W335" s="254"/>
      <c r="X335" s="254"/>
      <c r="Y335" s="254"/>
      <c r="Z335" s="254"/>
    </row>
    <row r="336">
      <c r="A336" s="254"/>
      <c r="B336" s="254"/>
      <c r="C336" s="254"/>
      <c r="D336" s="254"/>
      <c r="E336" s="254"/>
      <c r="F336" s="254"/>
      <c r="G336" s="254"/>
      <c r="H336" s="254"/>
      <c r="I336" s="254"/>
      <c r="J336" s="254"/>
      <c r="K336" s="254"/>
      <c r="L336" s="254"/>
      <c r="M336" s="254"/>
      <c r="N336" s="254"/>
      <c r="O336" s="254"/>
      <c r="P336" s="254"/>
      <c r="Q336" s="254"/>
      <c r="R336" s="254"/>
      <c r="S336" s="254"/>
      <c r="T336" s="254"/>
      <c r="U336" s="254"/>
      <c r="V336" s="254"/>
      <c r="W336" s="254"/>
      <c r="X336" s="254"/>
      <c r="Y336" s="254"/>
      <c r="Z336" s="254"/>
    </row>
    <row r="337">
      <c r="A337" s="254"/>
      <c r="B337" s="254"/>
      <c r="C337" s="254"/>
      <c r="D337" s="254"/>
      <c r="E337" s="254"/>
      <c r="F337" s="254"/>
      <c r="G337" s="254"/>
      <c r="H337" s="254"/>
      <c r="I337" s="254"/>
      <c r="J337" s="254"/>
      <c r="K337" s="254"/>
      <c r="L337" s="254"/>
      <c r="M337" s="254"/>
      <c r="N337" s="254"/>
      <c r="O337" s="254"/>
      <c r="P337" s="254"/>
      <c r="Q337" s="254"/>
      <c r="R337" s="254"/>
      <c r="S337" s="254"/>
      <c r="T337" s="254"/>
      <c r="U337" s="254"/>
      <c r="V337" s="254"/>
      <c r="W337" s="254"/>
      <c r="X337" s="254"/>
      <c r="Y337" s="254"/>
      <c r="Z337" s="254"/>
    </row>
    <row r="338">
      <c r="A338" s="254"/>
      <c r="B338" s="254"/>
      <c r="C338" s="254"/>
      <c r="D338" s="254"/>
      <c r="E338" s="254"/>
      <c r="F338" s="254"/>
      <c r="G338" s="254"/>
      <c r="H338" s="254"/>
      <c r="I338" s="254"/>
      <c r="J338" s="254"/>
      <c r="K338" s="254"/>
      <c r="L338" s="254"/>
      <c r="M338" s="254"/>
      <c r="N338" s="254"/>
      <c r="O338" s="254"/>
      <c r="P338" s="254"/>
      <c r="Q338" s="254"/>
      <c r="R338" s="254"/>
      <c r="S338" s="254"/>
      <c r="T338" s="254"/>
      <c r="U338" s="254"/>
      <c r="V338" s="254"/>
      <c r="W338" s="254"/>
      <c r="X338" s="254"/>
      <c r="Y338" s="254"/>
      <c r="Z338" s="254"/>
    </row>
    <row r="339">
      <c r="A339" s="254"/>
      <c r="B339" s="254"/>
      <c r="C339" s="254"/>
      <c r="D339" s="254"/>
      <c r="E339" s="254"/>
      <c r="F339" s="254"/>
      <c r="G339" s="254"/>
      <c r="H339" s="254"/>
      <c r="I339" s="254"/>
      <c r="J339" s="254"/>
      <c r="K339" s="254"/>
      <c r="L339" s="254"/>
      <c r="M339" s="254"/>
      <c r="N339" s="254"/>
      <c r="O339" s="254"/>
      <c r="P339" s="254"/>
      <c r="Q339" s="254"/>
      <c r="R339" s="254"/>
      <c r="S339" s="254"/>
      <c r="T339" s="254"/>
      <c r="U339" s="254"/>
      <c r="V339" s="254"/>
      <c r="W339" s="254"/>
      <c r="X339" s="254"/>
      <c r="Y339" s="254"/>
      <c r="Z339" s="254"/>
    </row>
    <row r="340">
      <c r="A340" s="254"/>
      <c r="B340" s="254"/>
      <c r="C340" s="254"/>
      <c r="D340" s="254"/>
      <c r="E340" s="254"/>
      <c r="F340" s="254"/>
      <c r="G340" s="254"/>
      <c r="H340" s="254"/>
      <c r="I340" s="254"/>
      <c r="J340" s="254"/>
      <c r="K340" s="254"/>
      <c r="L340" s="254"/>
      <c r="M340" s="254"/>
      <c r="N340" s="254"/>
      <c r="O340" s="254"/>
      <c r="P340" s="254"/>
      <c r="Q340" s="254"/>
      <c r="R340" s="254"/>
      <c r="S340" s="254"/>
      <c r="T340" s="254"/>
      <c r="U340" s="254"/>
      <c r="V340" s="254"/>
      <c r="W340" s="254"/>
      <c r="X340" s="254"/>
      <c r="Y340" s="254"/>
      <c r="Z340" s="254"/>
    </row>
    <row r="341">
      <c r="A341" s="254"/>
      <c r="B341" s="254"/>
      <c r="C341" s="254"/>
      <c r="D341" s="254"/>
      <c r="E341" s="254"/>
      <c r="F341" s="254"/>
      <c r="G341" s="254"/>
      <c r="H341" s="254"/>
      <c r="I341" s="254"/>
      <c r="J341" s="254"/>
      <c r="K341" s="254"/>
      <c r="L341" s="254"/>
      <c r="M341" s="254"/>
      <c r="N341" s="254"/>
      <c r="O341" s="254"/>
      <c r="P341" s="254"/>
      <c r="Q341" s="254"/>
      <c r="R341" s="254"/>
      <c r="S341" s="254"/>
      <c r="T341" s="254"/>
      <c r="U341" s="254"/>
      <c r="V341" s="254"/>
      <c r="W341" s="254"/>
      <c r="X341" s="254"/>
      <c r="Y341" s="254"/>
      <c r="Z341" s="254"/>
    </row>
    <row r="342">
      <c r="A342" s="254"/>
      <c r="B342" s="254"/>
      <c r="C342" s="254"/>
      <c r="D342" s="254"/>
      <c r="E342" s="254"/>
      <c r="F342" s="254"/>
      <c r="G342" s="254"/>
      <c r="H342" s="254"/>
      <c r="I342" s="254"/>
      <c r="J342" s="254"/>
      <c r="K342" s="254"/>
      <c r="L342" s="254"/>
      <c r="M342" s="254"/>
      <c r="N342" s="254"/>
      <c r="O342" s="254"/>
      <c r="P342" s="254"/>
      <c r="Q342" s="254"/>
      <c r="R342" s="254"/>
      <c r="S342" s="254"/>
      <c r="T342" s="254"/>
      <c r="U342" s="254"/>
      <c r="V342" s="254"/>
      <c r="W342" s="254"/>
      <c r="X342" s="254"/>
      <c r="Y342" s="254"/>
      <c r="Z342" s="254"/>
    </row>
    <row r="343">
      <c r="A343" s="254"/>
      <c r="B343" s="254"/>
      <c r="C343" s="254"/>
      <c r="D343" s="254"/>
      <c r="E343" s="254"/>
      <c r="F343" s="254"/>
      <c r="G343" s="254"/>
      <c r="H343" s="254"/>
      <c r="I343" s="254"/>
      <c r="J343" s="254"/>
      <c r="K343" s="254"/>
      <c r="L343" s="254"/>
      <c r="M343" s="254"/>
      <c r="N343" s="254"/>
      <c r="O343" s="254"/>
      <c r="P343" s="254"/>
      <c r="Q343" s="254"/>
      <c r="R343" s="254"/>
      <c r="S343" s="254"/>
      <c r="T343" s="254"/>
      <c r="U343" s="254"/>
      <c r="V343" s="254"/>
      <c r="W343" s="254"/>
      <c r="X343" s="254"/>
      <c r="Y343" s="254"/>
      <c r="Z343" s="254"/>
    </row>
    <row r="344">
      <c r="A344" s="254"/>
      <c r="B344" s="254"/>
      <c r="C344" s="254"/>
      <c r="D344" s="254"/>
      <c r="E344" s="254"/>
      <c r="F344" s="254"/>
      <c r="G344" s="254"/>
      <c r="H344" s="254"/>
      <c r="I344" s="254"/>
      <c r="J344" s="254"/>
      <c r="K344" s="254"/>
      <c r="L344" s="254"/>
      <c r="M344" s="254"/>
      <c r="N344" s="254"/>
      <c r="O344" s="254"/>
      <c r="P344" s="254"/>
      <c r="Q344" s="254"/>
      <c r="R344" s="254"/>
      <c r="S344" s="254"/>
      <c r="T344" s="254"/>
      <c r="U344" s="254"/>
      <c r="V344" s="254"/>
      <c r="W344" s="254"/>
      <c r="X344" s="254"/>
      <c r="Y344" s="254"/>
      <c r="Z344" s="254"/>
    </row>
    <row r="345">
      <c r="A345" s="254"/>
      <c r="B345" s="254"/>
      <c r="C345" s="254"/>
      <c r="D345" s="254"/>
      <c r="E345" s="254"/>
      <c r="F345" s="254"/>
      <c r="G345" s="254"/>
      <c r="H345" s="254"/>
      <c r="I345" s="254"/>
      <c r="J345" s="254"/>
      <c r="K345" s="254"/>
      <c r="L345" s="254"/>
      <c r="M345" s="254"/>
      <c r="N345" s="254"/>
      <c r="O345" s="254"/>
      <c r="P345" s="254"/>
      <c r="Q345" s="254"/>
      <c r="R345" s="254"/>
      <c r="S345" s="254"/>
      <c r="T345" s="254"/>
      <c r="U345" s="254"/>
      <c r="V345" s="254"/>
      <c r="W345" s="254"/>
      <c r="X345" s="254"/>
      <c r="Y345" s="254"/>
      <c r="Z345" s="254"/>
    </row>
    <row r="346">
      <c r="A346" s="254"/>
      <c r="B346" s="254"/>
      <c r="C346" s="254"/>
      <c r="D346" s="254"/>
      <c r="E346" s="254"/>
      <c r="F346" s="254"/>
      <c r="G346" s="254"/>
      <c r="H346" s="254"/>
      <c r="I346" s="254"/>
      <c r="J346" s="254"/>
      <c r="K346" s="254"/>
      <c r="L346" s="254"/>
      <c r="M346" s="254"/>
      <c r="N346" s="254"/>
      <c r="O346" s="254"/>
      <c r="P346" s="254"/>
      <c r="Q346" s="254"/>
      <c r="R346" s="254"/>
      <c r="S346" s="254"/>
      <c r="T346" s="254"/>
      <c r="U346" s="254"/>
      <c r="V346" s="254"/>
      <c r="W346" s="254"/>
      <c r="X346" s="254"/>
      <c r="Y346" s="254"/>
      <c r="Z346" s="254"/>
    </row>
    <row r="347">
      <c r="A347" s="254"/>
      <c r="B347" s="254"/>
      <c r="C347" s="254"/>
      <c r="D347" s="254"/>
      <c r="E347" s="254"/>
      <c r="F347" s="254"/>
      <c r="G347" s="254"/>
      <c r="H347" s="254"/>
      <c r="I347" s="254"/>
      <c r="J347" s="254"/>
      <c r="K347" s="254"/>
      <c r="L347" s="254"/>
      <c r="M347" s="254"/>
      <c r="N347" s="254"/>
      <c r="O347" s="254"/>
      <c r="P347" s="254"/>
      <c r="Q347" s="254"/>
      <c r="R347" s="254"/>
      <c r="S347" s="254"/>
      <c r="T347" s="254"/>
      <c r="U347" s="254"/>
      <c r="V347" s="254"/>
      <c r="W347" s="254"/>
      <c r="X347" s="254"/>
      <c r="Y347" s="254"/>
      <c r="Z347" s="254"/>
    </row>
    <row r="348">
      <c r="A348" s="254"/>
      <c r="B348" s="254"/>
      <c r="C348" s="254"/>
      <c r="D348" s="254"/>
      <c r="E348" s="254"/>
      <c r="F348" s="254"/>
      <c r="G348" s="254"/>
      <c r="H348" s="254"/>
      <c r="I348" s="254"/>
      <c r="J348" s="254"/>
      <c r="K348" s="254"/>
      <c r="L348" s="254"/>
      <c r="M348" s="254"/>
      <c r="N348" s="254"/>
      <c r="O348" s="254"/>
      <c r="P348" s="254"/>
      <c r="Q348" s="254"/>
      <c r="R348" s="254"/>
      <c r="S348" s="254"/>
      <c r="T348" s="254"/>
      <c r="U348" s="254"/>
      <c r="V348" s="254"/>
      <c r="W348" s="254"/>
      <c r="X348" s="254"/>
      <c r="Y348" s="254"/>
      <c r="Z348" s="254"/>
    </row>
    <row r="349">
      <c r="A349" s="254"/>
      <c r="B349" s="254"/>
      <c r="C349" s="254"/>
      <c r="D349" s="254"/>
      <c r="E349" s="254"/>
      <c r="F349" s="254"/>
      <c r="G349" s="254"/>
      <c r="H349" s="254"/>
      <c r="I349" s="254"/>
      <c r="J349" s="254"/>
      <c r="K349" s="254"/>
      <c r="L349" s="254"/>
      <c r="M349" s="254"/>
      <c r="N349" s="254"/>
      <c r="O349" s="254"/>
      <c r="P349" s="254"/>
      <c r="Q349" s="254"/>
      <c r="R349" s="254"/>
      <c r="S349" s="254"/>
      <c r="T349" s="254"/>
      <c r="U349" s="254"/>
      <c r="V349" s="254"/>
      <c r="W349" s="254"/>
      <c r="X349" s="254"/>
      <c r="Y349" s="254"/>
      <c r="Z349" s="254"/>
    </row>
    <row r="350">
      <c r="A350" s="254"/>
      <c r="B350" s="254"/>
      <c r="C350" s="254"/>
      <c r="D350" s="254"/>
      <c r="E350" s="254"/>
      <c r="F350" s="254"/>
      <c r="G350" s="254"/>
      <c r="H350" s="254"/>
      <c r="I350" s="254"/>
      <c r="J350" s="254"/>
      <c r="K350" s="254"/>
      <c r="L350" s="254"/>
      <c r="M350" s="254"/>
      <c r="N350" s="254"/>
      <c r="O350" s="254"/>
      <c r="P350" s="254"/>
      <c r="Q350" s="254"/>
      <c r="R350" s="254"/>
      <c r="S350" s="254"/>
      <c r="T350" s="254"/>
      <c r="U350" s="254"/>
      <c r="V350" s="254"/>
      <c r="W350" s="254"/>
      <c r="X350" s="254"/>
      <c r="Y350" s="254"/>
      <c r="Z350" s="254"/>
    </row>
    <row r="351">
      <c r="A351" s="254"/>
      <c r="B351" s="254"/>
      <c r="C351" s="254"/>
      <c r="D351" s="254"/>
      <c r="E351" s="254"/>
      <c r="F351" s="254"/>
      <c r="G351" s="254"/>
      <c r="H351" s="254"/>
      <c r="I351" s="254"/>
      <c r="J351" s="254"/>
      <c r="K351" s="254"/>
      <c r="L351" s="254"/>
      <c r="M351" s="254"/>
      <c r="N351" s="254"/>
      <c r="O351" s="254"/>
      <c r="P351" s="254"/>
      <c r="Q351" s="254"/>
      <c r="R351" s="254"/>
      <c r="S351" s="254"/>
      <c r="T351" s="254"/>
      <c r="U351" s="254"/>
      <c r="V351" s="254"/>
      <c r="W351" s="254"/>
      <c r="X351" s="254"/>
      <c r="Y351" s="254"/>
      <c r="Z351" s="254"/>
    </row>
    <row r="352">
      <c r="A352" s="254"/>
      <c r="B352" s="254"/>
      <c r="C352" s="254"/>
      <c r="D352" s="254"/>
      <c r="E352" s="254"/>
      <c r="F352" s="254"/>
      <c r="G352" s="254"/>
      <c r="H352" s="254"/>
      <c r="I352" s="254"/>
      <c r="J352" s="254"/>
      <c r="K352" s="254"/>
      <c r="L352" s="254"/>
      <c r="M352" s="254"/>
      <c r="N352" s="254"/>
      <c r="O352" s="254"/>
      <c r="P352" s="254"/>
      <c r="Q352" s="254"/>
      <c r="R352" s="254"/>
      <c r="S352" s="254"/>
      <c r="T352" s="254"/>
      <c r="U352" s="254"/>
      <c r="V352" s="254"/>
      <c r="W352" s="254"/>
      <c r="X352" s="254"/>
      <c r="Y352" s="254"/>
      <c r="Z352" s="254"/>
    </row>
    <row r="353">
      <c r="A353" s="254"/>
      <c r="B353" s="254"/>
      <c r="C353" s="254"/>
      <c r="D353" s="254"/>
      <c r="E353" s="254"/>
      <c r="F353" s="254"/>
      <c r="G353" s="254"/>
      <c r="H353" s="254"/>
      <c r="I353" s="254"/>
      <c r="J353" s="254"/>
      <c r="K353" s="254"/>
      <c r="L353" s="254"/>
      <c r="M353" s="254"/>
      <c r="N353" s="254"/>
      <c r="O353" s="254"/>
      <c r="P353" s="254"/>
      <c r="Q353" s="254"/>
      <c r="R353" s="254"/>
      <c r="S353" s="254"/>
      <c r="T353" s="254"/>
      <c r="U353" s="254"/>
      <c r="V353" s="254"/>
      <c r="W353" s="254"/>
      <c r="X353" s="254"/>
      <c r="Y353" s="254"/>
      <c r="Z353" s="254"/>
    </row>
    <row r="354">
      <c r="A354" s="254"/>
      <c r="B354" s="254"/>
      <c r="C354" s="254"/>
      <c r="D354" s="254"/>
      <c r="E354" s="254"/>
      <c r="F354" s="254"/>
      <c r="G354" s="254"/>
      <c r="H354" s="254"/>
      <c r="I354" s="254"/>
      <c r="J354" s="254"/>
      <c r="K354" s="254"/>
      <c r="L354" s="254"/>
      <c r="M354" s="254"/>
      <c r="N354" s="254"/>
      <c r="O354" s="254"/>
      <c r="P354" s="254"/>
      <c r="Q354" s="254"/>
      <c r="R354" s="254"/>
      <c r="S354" s="254"/>
      <c r="T354" s="254"/>
      <c r="U354" s="254"/>
      <c r="V354" s="254"/>
      <c r="W354" s="254"/>
      <c r="X354" s="254"/>
      <c r="Y354" s="254"/>
      <c r="Z354" s="254"/>
    </row>
    <row r="355">
      <c r="A355" s="254"/>
      <c r="B355" s="254"/>
      <c r="C355" s="254"/>
      <c r="D355" s="254"/>
      <c r="E355" s="254"/>
      <c r="F355" s="254"/>
      <c r="G355" s="254"/>
      <c r="H355" s="254"/>
      <c r="I355" s="254"/>
      <c r="J355" s="254"/>
      <c r="K355" s="254"/>
      <c r="L355" s="254"/>
      <c r="M355" s="254"/>
      <c r="N355" s="254"/>
      <c r="O355" s="254"/>
      <c r="P355" s="254"/>
      <c r="Q355" s="254"/>
      <c r="R355" s="254"/>
      <c r="S355" s="254"/>
      <c r="T355" s="254"/>
      <c r="U355" s="254"/>
      <c r="V355" s="254"/>
      <c r="W355" s="254"/>
      <c r="X355" s="254"/>
      <c r="Y355" s="254"/>
      <c r="Z355" s="254"/>
    </row>
    <row r="356">
      <c r="A356" s="254"/>
      <c r="B356" s="254"/>
      <c r="C356" s="254"/>
      <c r="D356" s="254"/>
      <c r="E356" s="254"/>
      <c r="F356" s="254"/>
      <c r="G356" s="254"/>
      <c r="H356" s="254"/>
      <c r="I356" s="254"/>
      <c r="J356" s="254"/>
      <c r="K356" s="254"/>
      <c r="L356" s="254"/>
      <c r="M356" s="254"/>
      <c r="N356" s="254"/>
      <c r="O356" s="254"/>
      <c r="P356" s="254"/>
      <c r="Q356" s="254"/>
      <c r="R356" s="254"/>
      <c r="S356" s="254"/>
      <c r="T356" s="254"/>
      <c r="U356" s="254"/>
      <c r="V356" s="254"/>
      <c r="W356" s="254"/>
      <c r="X356" s="254"/>
      <c r="Y356" s="254"/>
      <c r="Z356" s="254"/>
    </row>
    <row r="357">
      <c r="A357" s="254"/>
      <c r="B357" s="254"/>
      <c r="C357" s="254"/>
      <c r="D357" s="254"/>
      <c r="E357" s="254"/>
      <c r="F357" s="254"/>
      <c r="G357" s="254"/>
      <c r="H357" s="254"/>
      <c r="I357" s="254"/>
      <c r="J357" s="254"/>
      <c r="K357" s="254"/>
      <c r="L357" s="254"/>
      <c r="M357" s="254"/>
      <c r="N357" s="254"/>
      <c r="O357" s="254"/>
      <c r="P357" s="254"/>
      <c r="Q357" s="254"/>
      <c r="R357" s="254"/>
      <c r="S357" s="254"/>
      <c r="T357" s="254"/>
      <c r="U357" s="254"/>
      <c r="V357" s="254"/>
      <c r="W357" s="254"/>
      <c r="X357" s="254"/>
      <c r="Y357" s="254"/>
      <c r="Z357" s="254"/>
    </row>
    <row r="358">
      <c r="A358" s="254"/>
      <c r="B358" s="254"/>
      <c r="C358" s="254"/>
      <c r="D358" s="254"/>
      <c r="E358" s="254"/>
      <c r="F358" s="254"/>
      <c r="G358" s="254"/>
      <c r="H358" s="254"/>
      <c r="I358" s="254"/>
      <c r="J358" s="254"/>
      <c r="K358" s="254"/>
      <c r="L358" s="254"/>
      <c r="M358" s="254"/>
      <c r="N358" s="254"/>
      <c r="O358" s="254"/>
      <c r="P358" s="254"/>
      <c r="Q358" s="254"/>
      <c r="R358" s="254"/>
      <c r="S358" s="254"/>
      <c r="T358" s="254"/>
      <c r="U358" s="254"/>
      <c r="V358" s="254"/>
      <c r="W358" s="254"/>
      <c r="X358" s="254"/>
      <c r="Y358" s="254"/>
      <c r="Z358" s="254"/>
    </row>
    <row r="359">
      <c r="A359" s="254"/>
      <c r="B359" s="254"/>
      <c r="C359" s="254"/>
      <c r="D359" s="254"/>
      <c r="E359" s="254"/>
      <c r="F359" s="254"/>
      <c r="G359" s="254"/>
      <c r="H359" s="254"/>
      <c r="I359" s="254"/>
      <c r="J359" s="254"/>
      <c r="K359" s="254"/>
      <c r="L359" s="254"/>
      <c r="M359" s="254"/>
      <c r="N359" s="254"/>
      <c r="O359" s="254"/>
      <c r="P359" s="254"/>
      <c r="Q359" s="254"/>
      <c r="R359" s="254"/>
      <c r="S359" s="254"/>
      <c r="T359" s="254"/>
      <c r="U359" s="254"/>
      <c r="V359" s="254"/>
      <c r="W359" s="254"/>
      <c r="X359" s="254"/>
      <c r="Y359" s="254"/>
      <c r="Z359" s="254"/>
    </row>
    <row r="360">
      <c r="A360" s="254"/>
      <c r="B360" s="254"/>
      <c r="C360" s="254"/>
      <c r="D360" s="254"/>
      <c r="E360" s="254"/>
      <c r="F360" s="254"/>
      <c r="G360" s="254"/>
      <c r="H360" s="254"/>
      <c r="I360" s="254"/>
      <c r="J360" s="254"/>
      <c r="K360" s="254"/>
      <c r="L360" s="254"/>
      <c r="M360" s="254"/>
      <c r="N360" s="254"/>
      <c r="O360" s="254"/>
      <c r="P360" s="254"/>
      <c r="Q360" s="254"/>
      <c r="R360" s="254"/>
      <c r="S360" s="254"/>
      <c r="T360" s="254"/>
      <c r="U360" s="254"/>
      <c r="V360" s="254"/>
      <c r="W360" s="254"/>
      <c r="X360" s="254"/>
      <c r="Y360" s="254"/>
      <c r="Z360" s="254"/>
    </row>
    <row r="361">
      <c r="A361" s="254"/>
      <c r="B361" s="254"/>
      <c r="C361" s="254"/>
      <c r="D361" s="254"/>
      <c r="E361" s="254"/>
      <c r="F361" s="254"/>
      <c r="G361" s="254"/>
      <c r="H361" s="254"/>
      <c r="I361" s="254"/>
      <c r="J361" s="254"/>
      <c r="K361" s="254"/>
      <c r="L361" s="254"/>
      <c r="M361" s="254"/>
      <c r="N361" s="254"/>
      <c r="O361" s="254"/>
      <c r="P361" s="254"/>
      <c r="Q361" s="254"/>
      <c r="R361" s="254"/>
      <c r="S361" s="254"/>
      <c r="T361" s="254"/>
      <c r="U361" s="254"/>
      <c r="V361" s="254"/>
      <c r="W361" s="254"/>
      <c r="X361" s="254"/>
      <c r="Y361" s="254"/>
      <c r="Z361" s="254"/>
    </row>
    <row r="362">
      <c r="A362" s="254"/>
      <c r="B362" s="254"/>
      <c r="C362" s="254"/>
      <c r="D362" s="254"/>
      <c r="E362" s="254"/>
      <c r="F362" s="254"/>
      <c r="G362" s="254"/>
      <c r="H362" s="254"/>
      <c r="I362" s="254"/>
      <c r="J362" s="254"/>
      <c r="K362" s="254"/>
      <c r="L362" s="254"/>
      <c r="M362" s="254"/>
      <c r="N362" s="254"/>
      <c r="O362" s="254"/>
      <c r="P362" s="254"/>
      <c r="Q362" s="254"/>
      <c r="R362" s="254"/>
      <c r="S362" s="254"/>
      <c r="T362" s="254"/>
      <c r="U362" s="254"/>
      <c r="V362" s="254"/>
      <c r="W362" s="254"/>
      <c r="X362" s="254"/>
      <c r="Y362" s="254"/>
      <c r="Z362" s="254"/>
    </row>
    <row r="363">
      <c r="A363" s="254"/>
      <c r="B363" s="254"/>
      <c r="C363" s="254"/>
      <c r="D363" s="254"/>
      <c r="E363" s="254"/>
      <c r="F363" s="254"/>
      <c r="G363" s="254"/>
      <c r="H363" s="254"/>
      <c r="I363" s="254"/>
      <c r="J363" s="254"/>
      <c r="K363" s="254"/>
      <c r="L363" s="254"/>
      <c r="M363" s="254"/>
      <c r="N363" s="254"/>
      <c r="O363" s="254"/>
      <c r="P363" s="254"/>
      <c r="Q363" s="254"/>
      <c r="R363" s="254"/>
      <c r="S363" s="254"/>
      <c r="T363" s="254"/>
      <c r="U363" s="254"/>
      <c r="V363" s="254"/>
      <c r="W363" s="254"/>
      <c r="X363" s="254"/>
      <c r="Y363" s="254"/>
      <c r="Z363" s="254"/>
    </row>
    <row r="364">
      <c r="A364" s="254"/>
      <c r="B364" s="254"/>
      <c r="C364" s="254"/>
      <c r="D364" s="254"/>
      <c r="E364" s="254"/>
      <c r="F364" s="254"/>
      <c r="G364" s="254"/>
      <c r="H364" s="254"/>
      <c r="I364" s="254"/>
      <c r="J364" s="254"/>
      <c r="K364" s="254"/>
      <c r="L364" s="254"/>
      <c r="M364" s="254"/>
      <c r="N364" s="254"/>
      <c r="O364" s="254"/>
      <c r="P364" s="254"/>
      <c r="Q364" s="254"/>
      <c r="R364" s="254"/>
      <c r="S364" s="254"/>
      <c r="T364" s="254"/>
      <c r="U364" s="254"/>
      <c r="V364" s="254"/>
      <c r="W364" s="254"/>
      <c r="X364" s="254"/>
      <c r="Y364" s="254"/>
      <c r="Z364" s="254"/>
    </row>
    <row r="365">
      <c r="A365" s="254"/>
      <c r="B365" s="254"/>
      <c r="C365" s="254"/>
      <c r="D365" s="254"/>
      <c r="E365" s="254"/>
      <c r="F365" s="254"/>
      <c r="G365" s="254"/>
      <c r="H365" s="254"/>
      <c r="I365" s="254"/>
      <c r="J365" s="254"/>
      <c r="K365" s="254"/>
      <c r="L365" s="254"/>
      <c r="M365" s="254"/>
      <c r="N365" s="254"/>
      <c r="O365" s="254"/>
      <c r="P365" s="254"/>
      <c r="Q365" s="254"/>
      <c r="R365" s="254"/>
      <c r="S365" s="254"/>
      <c r="T365" s="254"/>
      <c r="U365" s="254"/>
      <c r="V365" s="254"/>
      <c r="W365" s="254"/>
      <c r="X365" s="254"/>
      <c r="Y365" s="254"/>
      <c r="Z365" s="254"/>
    </row>
    <row r="366">
      <c r="A366" s="254"/>
      <c r="B366" s="254"/>
      <c r="C366" s="254"/>
      <c r="D366" s="254"/>
      <c r="E366" s="254"/>
      <c r="F366" s="254"/>
      <c r="G366" s="254"/>
      <c r="H366" s="254"/>
      <c r="I366" s="254"/>
      <c r="J366" s="254"/>
      <c r="K366" s="254"/>
      <c r="L366" s="254"/>
      <c r="M366" s="254"/>
      <c r="N366" s="254"/>
      <c r="O366" s="254"/>
      <c r="P366" s="254"/>
      <c r="Q366" s="254"/>
      <c r="R366" s="254"/>
      <c r="S366" s="254"/>
      <c r="T366" s="254"/>
      <c r="U366" s="254"/>
      <c r="V366" s="254"/>
      <c r="W366" s="254"/>
      <c r="X366" s="254"/>
      <c r="Y366" s="254"/>
      <c r="Z366" s="254"/>
    </row>
    <row r="367">
      <c r="A367" s="254"/>
      <c r="B367" s="254"/>
      <c r="C367" s="254"/>
      <c r="D367" s="254"/>
      <c r="E367" s="254"/>
      <c r="F367" s="254"/>
      <c r="G367" s="254"/>
      <c r="H367" s="254"/>
      <c r="I367" s="254"/>
      <c r="J367" s="254"/>
      <c r="K367" s="254"/>
      <c r="L367" s="254"/>
      <c r="M367" s="254"/>
      <c r="N367" s="254"/>
      <c r="O367" s="254"/>
      <c r="P367" s="254"/>
      <c r="Q367" s="254"/>
      <c r="R367" s="254"/>
      <c r="S367" s="254"/>
      <c r="T367" s="254"/>
      <c r="U367" s="254"/>
      <c r="V367" s="254"/>
      <c r="W367" s="254"/>
      <c r="X367" s="254"/>
      <c r="Y367" s="254"/>
      <c r="Z367" s="254"/>
    </row>
    <row r="368">
      <c r="A368" s="254"/>
      <c r="B368" s="254"/>
      <c r="C368" s="254"/>
      <c r="D368" s="254"/>
      <c r="E368" s="254"/>
      <c r="F368" s="254"/>
      <c r="G368" s="254"/>
      <c r="H368" s="254"/>
      <c r="I368" s="254"/>
      <c r="J368" s="254"/>
      <c r="K368" s="254"/>
      <c r="L368" s="254"/>
      <c r="M368" s="254"/>
      <c r="N368" s="254"/>
      <c r="O368" s="254"/>
      <c r="P368" s="254"/>
      <c r="Q368" s="254"/>
      <c r="R368" s="254"/>
      <c r="S368" s="254"/>
      <c r="T368" s="254"/>
      <c r="U368" s="254"/>
      <c r="V368" s="254"/>
      <c r="W368" s="254"/>
      <c r="X368" s="254"/>
      <c r="Y368" s="254"/>
      <c r="Z368" s="254"/>
    </row>
    <row r="369">
      <c r="A369" s="254"/>
      <c r="B369" s="254"/>
      <c r="C369" s="254"/>
      <c r="D369" s="254"/>
      <c r="E369" s="254"/>
      <c r="F369" s="254"/>
      <c r="G369" s="254"/>
      <c r="H369" s="254"/>
      <c r="I369" s="254"/>
      <c r="J369" s="254"/>
      <c r="K369" s="254"/>
      <c r="L369" s="254"/>
      <c r="M369" s="254"/>
      <c r="N369" s="254"/>
      <c r="O369" s="254"/>
      <c r="P369" s="254"/>
      <c r="Q369" s="254"/>
      <c r="R369" s="254"/>
      <c r="S369" s="254"/>
      <c r="T369" s="254"/>
      <c r="U369" s="254"/>
      <c r="V369" s="254"/>
      <c r="W369" s="254"/>
      <c r="X369" s="254"/>
      <c r="Y369" s="254"/>
      <c r="Z369" s="254"/>
    </row>
    <row r="370">
      <c r="A370" s="254"/>
      <c r="B370" s="254"/>
      <c r="C370" s="254"/>
      <c r="D370" s="254"/>
      <c r="E370" s="254"/>
      <c r="F370" s="254"/>
      <c r="G370" s="254"/>
      <c r="H370" s="254"/>
      <c r="I370" s="254"/>
      <c r="J370" s="254"/>
      <c r="K370" s="254"/>
      <c r="L370" s="254"/>
      <c r="M370" s="254"/>
      <c r="N370" s="254"/>
      <c r="O370" s="254"/>
      <c r="P370" s="254"/>
      <c r="Q370" s="254"/>
      <c r="R370" s="254"/>
      <c r="S370" s="254"/>
      <c r="T370" s="254"/>
      <c r="U370" s="254"/>
      <c r="V370" s="254"/>
      <c r="W370" s="254"/>
      <c r="X370" s="254"/>
      <c r="Y370" s="254"/>
      <c r="Z370" s="254"/>
    </row>
    <row r="371">
      <c r="A371" s="254"/>
      <c r="B371" s="254"/>
      <c r="C371" s="254"/>
      <c r="D371" s="254"/>
      <c r="E371" s="254"/>
      <c r="F371" s="254"/>
      <c r="G371" s="254"/>
      <c r="H371" s="254"/>
      <c r="I371" s="254"/>
      <c r="J371" s="254"/>
      <c r="K371" s="254"/>
      <c r="L371" s="254"/>
      <c r="M371" s="254"/>
      <c r="N371" s="254"/>
      <c r="O371" s="254"/>
      <c r="P371" s="254"/>
      <c r="Q371" s="254"/>
      <c r="R371" s="254"/>
      <c r="S371" s="254"/>
      <c r="T371" s="254"/>
      <c r="U371" s="254"/>
      <c r="V371" s="254"/>
      <c r="W371" s="254"/>
      <c r="X371" s="254"/>
      <c r="Y371" s="254"/>
      <c r="Z371" s="254"/>
    </row>
    <row r="372">
      <c r="A372" s="254"/>
      <c r="B372" s="254"/>
      <c r="C372" s="254"/>
      <c r="D372" s="254"/>
      <c r="E372" s="254"/>
      <c r="F372" s="254"/>
      <c r="G372" s="254"/>
      <c r="H372" s="254"/>
      <c r="I372" s="254"/>
      <c r="J372" s="254"/>
      <c r="K372" s="254"/>
      <c r="L372" s="254"/>
      <c r="M372" s="254"/>
      <c r="N372" s="254"/>
      <c r="O372" s="254"/>
      <c r="P372" s="254"/>
      <c r="Q372" s="254"/>
      <c r="R372" s="254"/>
      <c r="S372" s="254"/>
      <c r="T372" s="254"/>
      <c r="U372" s="254"/>
      <c r="V372" s="254"/>
      <c r="W372" s="254"/>
      <c r="X372" s="254"/>
      <c r="Y372" s="254"/>
      <c r="Z372" s="254"/>
    </row>
    <row r="373">
      <c r="A373" s="254"/>
      <c r="B373" s="254"/>
      <c r="C373" s="254"/>
      <c r="D373" s="254"/>
      <c r="E373" s="254"/>
      <c r="F373" s="254"/>
      <c r="G373" s="254"/>
      <c r="H373" s="254"/>
      <c r="I373" s="254"/>
      <c r="J373" s="254"/>
      <c r="K373" s="254"/>
      <c r="L373" s="254"/>
      <c r="M373" s="254"/>
      <c r="N373" s="254"/>
      <c r="O373" s="254"/>
      <c r="P373" s="254"/>
      <c r="Q373" s="254"/>
      <c r="R373" s="254"/>
      <c r="S373" s="254"/>
      <c r="T373" s="254"/>
      <c r="U373" s="254"/>
      <c r="V373" s="254"/>
      <c r="W373" s="254"/>
      <c r="X373" s="254"/>
      <c r="Y373" s="254"/>
      <c r="Z373" s="254"/>
    </row>
    <row r="374">
      <c r="A374" s="254"/>
      <c r="B374" s="254"/>
      <c r="C374" s="254"/>
      <c r="D374" s="254"/>
      <c r="E374" s="254"/>
      <c r="F374" s="254"/>
      <c r="G374" s="254"/>
      <c r="H374" s="254"/>
      <c r="I374" s="254"/>
      <c r="J374" s="254"/>
      <c r="K374" s="254"/>
      <c r="L374" s="254"/>
      <c r="M374" s="254"/>
      <c r="N374" s="254"/>
      <c r="O374" s="254"/>
      <c r="P374" s="254"/>
      <c r="Q374" s="254"/>
      <c r="R374" s="254"/>
      <c r="S374" s="254"/>
      <c r="T374" s="254"/>
      <c r="U374" s="254"/>
      <c r="V374" s="254"/>
      <c r="W374" s="254"/>
      <c r="X374" s="254"/>
      <c r="Y374" s="254"/>
      <c r="Z374" s="254"/>
    </row>
    <row r="375">
      <c r="A375" s="254"/>
      <c r="B375" s="254"/>
      <c r="C375" s="254"/>
      <c r="D375" s="254"/>
      <c r="E375" s="254"/>
      <c r="F375" s="254"/>
      <c r="G375" s="254"/>
      <c r="H375" s="254"/>
      <c r="I375" s="254"/>
      <c r="J375" s="254"/>
      <c r="K375" s="254"/>
      <c r="L375" s="254"/>
      <c r="M375" s="254"/>
      <c r="N375" s="254"/>
      <c r="O375" s="254"/>
      <c r="P375" s="254"/>
      <c r="Q375" s="254"/>
      <c r="R375" s="254"/>
      <c r="S375" s="254"/>
      <c r="T375" s="254"/>
      <c r="U375" s="254"/>
      <c r="V375" s="254"/>
      <c r="W375" s="254"/>
      <c r="X375" s="254"/>
      <c r="Y375" s="254"/>
      <c r="Z375" s="254"/>
    </row>
    <row r="376">
      <c r="A376" s="254"/>
      <c r="B376" s="254"/>
      <c r="C376" s="254"/>
      <c r="D376" s="254"/>
      <c r="E376" s="254"/>
      <c r="F376" s="254"/>
      <c r="G376" s="254"/>
      <c r="H376" s="254"/>
      <c r="I376" s="254"/>
      <c r="J376" s="254"/>
      <c r="K376" s="254"/>
      <c r="L376" s="254"/>
      <c r="M376" s="254"/>
      <c r="N376" s="254"/>
      <c r="O376" s="254"/>
      <c r="P376" s="254"/>
      <c r="Q376" s="254"/>
      <c r="R376" s="254"/>
      <c r="S376" s="254"/>
      <c r="T376" s="254"/>
      <c r="U376" s="254"/>
      <c r="V376" s="254"/>
      <c r="W376" s="254"/>
      <c r="X376" s="254"/>
      <c r="Y376" s="254"/>
      <c r="Z376" s="254"/>
    </row>
    <row r="377">
      <c r="A377" s="254"/>
      <c r="B377" s="254"/>
      <c r="C377" s="254"/>
      <c r="D377" s="254"/>
      <c r="E377" s="254"/>
      <c r="F377" s="254"/>
      <c r="G377" s="254"/>
      <c r="H377" s="254"/>
      <c r="I377" s="254"/>
      <c r="J377" s="254"/>
      <c r="K377" s="254"/>
      <c r="L377" s="254"/>
      <c r="M377" s="254"/>
      <c r="N377" s="254"/>
      <c r="O377" s="254"/>
      <c r="P377" s="254"/>
      <c r="Q377" s="254"/>
      <c r="R377" s="254"/>
      <c r="S377" s="254"/>
      <c r="T377" s="254"/>
      <c r="U377" s="254"/>
      <c r="V377" s="254"/>
      <c r="W377" s="254"/>
      <c r="X377" s="254"/>
      <c r="Y377" s="254"/>
      <c r="Z377" s="254"/>
    </row>
    <row r="378">
      <c r="A378" s="254"/>
      <c r="B378" s="254"/>
      <c r="C378" s="254"/>
      <c r="D378" s="254"/>
      <c r="E378" s="254"/>
      <c r="F378" s="254"/>
      <c r="G378" s="254"/>
      <c r="H378" s="254"/>
      <c r="I378" s="254"/>
      <c r="J378" s="254"/>
      <c r="K378" s="254"/>
      <c r="L378" s="254"/>
      <c r="M378" s="254"/>
      <c r="N378" s="254"/>
      <c r="O378" s="254"/>
      <c r="P378" s="254"/>
      <c r="Q378" s="254"/>
      <c r="R378" s="254"/>
      <c r="S378" s="254"/>
      <c r="T378" s="254"/>
      <c r="U378" s="254"/>
      <c r="V378" s="254"/>
      <c r="W378" s="254"/>
      <c r="X378" s="254"/>
      <c r="Y378" s="254"/>
      <c r="Z378" s="254"/>
    </row>
    <row r="379">
      <c r="A379" s="254"/>
      <c r="B379" s="254"/>
      <c r="C379" s="254"/>
      <c r="D379" s="254"/>
      <c r="E379" s="254"/>
      <c r="F379" s="254"/>
      <c r="G379" s="254"/>
      <c r="H379" s="254"/>
      <c r="I379" s="254"/>
      <c r="J379" s="254"/>
      <c r="K379" s="254"/>
      <c r="L379" s="254"/>
      <c r="M379" s="254"/>
      <c r="N379" s="254"/>
      <c r="O379" s="254"/>
      <c r="P379" s="254"/>
      <c r="Q379" s="254"/>
      <c r="R379" s="254"/>
      <c r="S379" s="254"/>
      <c r="T379" s="254"/>
      <c r="U379" s="254"/>
      <c r="V379" s="254"/>
      <c r="W379" s="254"/>
      <c r="X379" s="254"/>
      <c r="Y379" s="254"/>
      <c r="Z379" s="254"/>
    </row>
    <row r="380">
      <c r="A380" s="254"/>
      <c r="B380" s="254"/>
      <c r="C380" s="254"/>
      <c r="D380" s="254"/>
      <c r="E380" s="254"/>
      <c r="F380" s="254"/>
      <c r="G380" s="254"/>
      <c r="H380" s="254"/>
      <c r="I380" s="254"/>
      <c r="J380" s="254"/>
      <c r="K380" s="254"/>
      <c r="L380" s="254"/>
      <c r="M380" s="254"/>
      <c r="N380" s="254"/>
      <c r="O380" s="254"/>
      <c r="P380" s="254"/>
      <c r="Q380" s="254"/>
      <c r="R380" s="254"/>
      <c r="S380" s="254"/>
      <c r="T380" s="254"/>
      <c r="U380" s="254"/>
      <c r="V380" s="254"/>
      <c r="W380" s="254"/>
      <c r="X380" s="254"/>
      <c r="Y380" s="254"/>
      <c r="Z380" s="254"/>
    </row>
    <row r="381">
      <c r="A381" s="254"/>
      <c r="B381" s="254"/>
      <c r="C381" s="254"/>
      <c r="D381" s="254"/>
      <c r="E381" s="254"/>
      <c r="F381" s="254"/>
      <c r="G381" s="254"/>
      <c r="H381" s="254"/>
      <c r="I381" s="254"/>
      <c r="J381" s="254"/>
      <c r="K381" s="254"/>
      <c r="L381" s="254"/>
      <c r="M381" s="254"/>
      <c r="N381" s="254"/>
      <c r="O381" s="254"/>
      <c r="P381" s="254"/>
      <c r="Q381" s="254"/>
      <c r="R381" s="254"/>
      <c r="S381" s="254"/>
      <c r="T381" s="254"/>
      <c r="U381" s="254"/>
      <c r="V381" s="254"/>
      <c r="W381" s="254"/>
      <c r="X381" s="254"/>
      <c r="Y381" s="254"/>
      <c r="Z381" s="254"/>
    </row>
    <row r="382">
      <c r="A382" s="254"/>
      <c r="B382" s="254"/>
      <c r="C382" s="254"/>
      <c r="D382" s="254"/>
      <c r="E382" s="254"/>
      <c r="F382" s="254"/>
      <c r="G382" s="254"/>
      <c r="H382" s="254"/>
      <c r="I382" s="254"/>
      <c r="J382" s="254"/>
      <c r="K382" s="254"/>
      <c r="L382" s="254"/>
      <c r="M382" s="254"/>
      <c r="N382" s="254"/>
      <c r="O382" s="254"/>
      <c r="P382" s="254"/>
      <c r="Q382" s="254"/>
      <c r="R382" s="254"/>
      <c r="S382" s="254"/>
      <c r="T382" s="254"/>
      <c r="U382" s="254"/>
      <c r="V382" s="254"/>
      <c r="W382" s="254"/>
      <c r="X382" s="254"/>
      <c r="Y382" s="254"/>
      <c r="Z382" s="254"/>
    </row>
    <row r="383">
      <c r="A383" s="254"/>
      <c r="B383" s="254"/>
      <c r="C383" s="254"/>
      <c r="D383" s="254"/>
      <c r="E383" s="254"/>
      <c r="F383" s="254"/>
      <c r="G383" s="254"/>
      <c r="H383" s="254"/>
      <c r="I383" s="254"/>
      <c r="J383" s="254"/>
      <c r="K383" s="254"/>
      <c r="L383" s="254"/>
      <c r="M383" s="254"/>
      <c r="N383" s="254"/>
      <c r="O383" s="254"/>
      <c r="P383" s="254"/>
      <c r="Q383" s="254"/>
      <c r="R383" s="254"/>
      <c r="S383" s="254"/>
      <c r="T383" s="254"/>
      <c r="U383" s="254"/>
      <c r="V383" s="254"/>
      <c r="W383" s="254"/>
      <c r="X383" s="254"/>
      <c r="Y383" s="254"/>
      <c r="Z383" s="254"/>
    </row>
    <row r="384">
      <c r="A384" s="254"/>
      <c r="B384" s="254"/>
      <c r="C384" s="254"/>
      <c r="D384" s="254"/>
      <c r="E384" s="254"/>
      <c r="F384" s="254"/>
      <c r="G384" s="254"/>
      <c r="H384" s="254"/>
      <c r="I384" s="254"/>
      <c r="J384" s="254"/>
      <c r="K384" s="254"/>
      <c r="L384" s="254"/>
      <c r="M384" s="254"/>
      <c r="N384" s="254"/>
      <c r="O384" s="254"/>
      <c r="P384" s="254"/>
      <c r="Q384" s="254"/>
      <c r="R384" s="254"/>
      <c r="S384" s="254"/>
      <c r="T384" s="254"/>
      <c r="U384" s="254"/>
      <c r="V384" s="254"/>
      <c r="W384" s="254"/>
      <c r="X384" s="254"/>
      <c r="Y384" s="254"/>
      <c r="Z384" s="254"/>
    </row>
    <row r="385">
      <c r="A385" s="254"/>
      <c r="B385" s="254"/>
      <c r="C385" s="254"/>
      <c r="D385" s="254"/>
      <c r="E385" s="254"/>
      <c r="F385" s="254"/>
      <c r="G385" s="254"/>
      <c r="H385" s="254"/>
      <c r="I385" s="254"/>
      <c r="J385" s="254"/>
      <c r="K385" s="254"/>
      <c r="L385" s="254"/>
      <c r="M385" s="254"/>
      <c r="N385" s="254"/>
      <c r="O385" s="254"/>
      <c r="P385" s="254"/>
      <c r="Q385" s="254"/>
      <c r="R385" s="254"/>
      <c r="S385" s="254"/>
      <c r="T385" s="254"/>
      <c r="U385" s="254"/>
      <c r="V385" s="254"/>
      <c r="W385" s="254"/>
      <c r="X385" s="254"/>
      <c r="Y385" s="254"/>
      <c r="Z385" s="254"/>
    </row>
    <row r="386">
      <c r="A386" s="254"/>
      <c r="B386" s="254"/>
      <c r="C386" s="254"/>
      <c r="D386" s="254"/>
      <c r="E386" s="254"/>
      <c r="F386" s="254"/>
      <c r="G386" s="254"/>
      <c r="H386" s="254"/>
      <c r="I386" s="254"/>
      <c r="J386" s="254"/>
      <c r="K386" s="254"/>
      <c r="L386" s="254"/>
      <c r="M386" s="254"/>
      <c r="N386" s="254"/>
      <c r="O386" s="254"/>
      <c r="P386" s="254"/>
      <c r="Q386" s="254"/>
      <c r="R386" s="254"/>
      <c r="S386" s="254"/>
      <c r="T386" s="254"/>
      <c r="U386" s="254"/>
      <c r="V386" s="254"/>
      <c r="W386" s="254"/>
      <c r="X386" s="254"/>
      <c r="Y386" s="254"/>
      <c r="Z386" s="254"/>
    </row>
    <row r="387">
      <c r="A387" s="254"/>
      <c r="B387" s="254"/>
      <c r="C387" s="254"/>
      <c r="D387" s="254"/>
      <c r="E387" s="254"/>
      <c r="F387" s="254"/>
      <c r="G387" s="254"/>
      <c r="H387" s="254"/>
      <c r="I387" s="254"/>
      <c r="J387" s="254"/>
      <c r="K387" s="254"/>
      <c r="L387" s="254"/>
      <c r="M387" s="254"/>
      <c r="N387" s="254"/>
      <c r="O387" s="254"/>
      <c r="P387" s="254"/>
      <c r="Q387" s="254"/>
      <c r="R387" s="254"/>
      <c r="S387" s="254"/>
      <c r="T387" s="254"/>
      <c r="U387" s="254"/>
      <c r="V387" s="254"/>
      <c r="W387" s="254"/>
      <c r="X387" s="254"/>
      <c r="Y387" s="254"/>
      <c r="Z387" s="254"/>
    </row>
    <row r="388">
      <c r="A388" s="254"/>
      <c r="B388" s="254"/>
      <c r="C388" s="254"/>
      <c r="D388" s="254"/>
      <c r="E388" s="254"/>
      <c r="F388" s="254"/>
      <c r="G388" s="254"/>
      <c r="H388" s="254"/>
      <c r="I388" s="254"/>
      <c r="J388" s="254"/>
      <c r="K388" s="254"/>
      <c r="L388" s="254"/>
      <c r="M388" s="254"/>
      <c r="N388" s="254"/>
      <c r="O388" s="254"/>
      <c r="P388" s="254"/>
      <c r="Q388" s="254"/>
      <c r="R388" s="254"/>
      <c r="S388" s="254"/>
      <c r="T388" s="254"/>
      <c r="U388" s="254"/>
      <c r="V388" s="254"/>
      <c r="W388" s="254"/>
      <c r="X388" s="254"/>
      <c r="Y388" s="254"/>
      <c r="Z388" s="254"/>
    </row>
    <row r="389">
      <c r="A389" s="254"/>
      <c r="B389" s="254"/>
      <c r="C389" s="254"/>
      <c r="D389" s="254"/>
      <c r="E389" s="254"/>
      <c r="F389" s="254"/>
      <c r="G389" s="254"/>
      <c r="H389" s="254"/>
      <c r="I389" s="254"/>
      <c r="J389" s="254"/>
      <c r="K389" s="254"/>
      <c r="L389" s="254"/>
      <c r="M389" s="254"/>
      <c r="N389" s="254"/>
      <c r="O389" s="254"/>
      <c r="P389" s="254"/>
      <c r="Q389" s="254"/>
      <c r="R389" s="254"/>
      <c r="S389" s="254"/>
      <c r="T389" s="254"/>
      <c r="U389" s="254"/>
      <c r="V389" s="254"/>
      <c r="W389" s="254"/>
      <c r="X389" s="254"/>
      <c r="Y389" s="254"/>
      <c r="Z389" s="254"/>
    </row>
    <row r="390">
      <c r="A390" s="254"/>
      <c r="B390" s="254"/>
      <c r="C390" s="254"/>
      <c r="D390" s="254"/>
      <c r="E390" s="254"/>
      <c r="F390" s="254"/>
      <c r="G390" s="254"/>
      <c r="H390" s="254"/>
      <c r="I390" s="254"/>
      <c r="J390" s="254"/>
      <c r="K390" s="254"/>
      <c r="L390" s="254"/>
      <c r="M390" s="254"/>
      <c r="N390" s="254"/>
      <c r="O390" s="254"/>
      <c r="P390" s="254"/>
      <c r="Q390" s="254"/>
      <c r="R390" s="254"/>
      <c r="S390" s="254"/>
      <c r="T390" s="254"/>
      <c r="U390" s="254"/>
      <c r="V390" s="254"/>
      <c r="W390" s="254"/>
      <c r="X390" s="254"/>
      <c r="Y390" s="254"/>
      <c r="Z390" s="254"/>
    </row>
    <row r="391">
      <c r="A391" s="254"/>
      <c r="B391" s="254"/>
      <c r="C391" s="254"/>
      <c r="D391" s="254"/>
      <c r="E391" s="254"/>
      <c r="F391" s="254"/>
      <c r="G391" s="254"/>
      <c r="H391" s="254"/>
      <c r="I391" s="254"/>
      <c r="J391" s="254"/>
      <c r="K391" s="254"/>
      <c r="L391" s="254"/>
      <c r="M391" s="254"/>
      <c r="N391" s="254"/>
      <c r="O391" s="254"/>
      <c r="P391" s="254"/>
      <c r="Q391" s="254"/>
      <c r="R391" s="254"/>
      <c r="S391" s="254"/>
      <c r="T391" s="254"/>
      <c r="U391" s="254"/>
      <c r="V391" s="254"/>
      <c r="W391" s="254"/>
      <c r="X391" s="254"/>
      <c r="Y391" s="254"/>
      <c r="Z391" s="254"/>
    </row>
    <row r="392">
      <c r="A392" s="254"/>
      <c r="B392" s="254"/>
      <c r="C392" s="254"/>
      <c r="D392" s="254"/>
      <c r="E392" s="254"/>
      <c r="F392" s="254"/>
      <c r="G392" s="254"/>
      <c r="H392" s="254"/>
      <c r="I392" s="254"/>
      <c r="J392" s="254"/>
      <c r="K392" s="254"/>
      <c r="L392" s="254"/>
      <c r="M392" s="254"/>
      <c r="N392" s="254"/>
      <c r="O392" s="254"/>
      <c r="P392" s="254"/>
      <c r="Q392" s="254"/>
      <c r="R392" s="254"/>
      <c r="S392" s="254"/>
      <c r="T392" s="254"/>
      <c r="U392" s="254"/>
      <c r="V392" s="254"/>
      <c r="W392" s="254"/>
      <c r="X392" s="254"/>
      <c r="Y392" s="254"/>
      <c r="Z392" s="254"/>
    </row>
    <row r="393">
      <c r="A393" s="254"/>
      <c r="B393" s="254"/>
      <c r="C393" s="254"/>
      <c r="D393" s="254"/>
      <c r="E393" s="254"/>
      <c r="F393" s="254"/>
      <c r="G393" s="254"/>
      <c r="H393" s="254"/>
      <c r="I393" s="254"/>
      <c r="J393" s="254"/>
      <c r="K393" s="254"/>
      <c r="L393" s="254"/>
      <c r="M393" s="254"/>
      <c r="N393" s="254"/>
      <c r="O393" s="254"/>
      <c r="P393" s="254"/>
      <c r="Q393" s="254"/>
      <c r="R393" s="254"/>
      <c r="S393" s="254"/>
      <c r="T393" s="254"/>
      <c r="U393" s="254"/>
      <c r="V393" s="254"/>
      <c r="W393" s="254"/>
      <c r="X393" s="254"/>
      <c r="Y393" s="254"/>
      <c r="Z393" s="254"/>
    </row>
    <row r="394">
      <c r="A394" s="254"/>
      <c r="B394" s="254"/>
      <c r="C394" s="254"/>
      <c r="D394" s="254"/>
      <c r="E394" s="254"/>
      <c r="F394" s="254"/>
      <c r="G394" s="254"/>
      <c r="H394" s="254"/>
      <c r="I394" s="254"/>
      <c r="J394" s="254"/>
      <c r="K394" s="254"/>
      <c r="L394" s="254"/>
      <c r="M394" s="254"/>
      <c r="N394" s="254"/>
      <c r="O394" s="254"/>
      <c r="P394" s="254"/>
      <c r="Q394" s="254"/>
      <c r="R394" s="254"/>
      <c r="S394" s="254"/>
      <c r="T394" s="254"/>
      <c r="U394" s="254"/>
      <c r="V394" s="254"/>
      <c r="W394" s="254"/>
      <c r="X394" s="254"/>
      <c r="Y394" s="254"/>
      <c r="Z394" s="254"/>
    </row>
    <row r="395">
      <c r="A395" s="254"/>
      <c r="B395" s="254"/>
      <c r="C395" s="254"/>
      <c r="D395" s="254"/>
      <c r="E395" s="254"/>
      <c r="F395" s="254"/>
      <c r="G395" s="254"/>
      <c r="H395" s="254"/>
      <c r="I395" s="254"/>
      <c r="J395" s="254"/>
      <c r="K395" s="254"/>
      <c r="L395" s="254"/>
      <c r="M395" s="254"/>
      <c r="N395" s="254"/>
      <c r="O395" s="254"/>
      <c r="P395" s="254"/>
      <c r="Q395" s="254"/>
      <c r="R395" s="254"/>
      <c r="S395" s="254"/>
      <c r="T395" s="254"/>
      <c r="U395" s="254"/>
      <c r="V395" s="254"/>
      <c r="W395" s="254"/>
      <c r="X395" s="254"/>
      <c r="Y395" s="254"/>
      <c r="Z395" s="254"/>
    </row>
    <row r="396">
      <c r="A396" s="254"/>
      <c r="B396" s="254"/>
      <c r="C396" s="254"/>
      <c r="D396" s="254"/>
      <c r="E396" s="254"/>
      <c r="F396" s="254"/>
      <c r="G396" s="254"/>
      <c r="H396" s="254"/>
      <c r="I396" s="254"/>
      <c r="J396" s="254"/>
      <c r="K396" s="254"/>
      <c r="L396" s="254"/>
      <c r="M396" s="254"/>
      <c r="N396" s="254"/>
      <c r="O396" s="254"/>
      <c r="P396" s="254"/>
      <c r="Q396" s="254"/>
      <c r="R396" s="254"/>
      <c r="S396" s="254"/>
      <c r="T396" s="254"/>
      <c r="U396" s="254"/>
      <c r="V396" s="254"/>
      <c r="W396" s="254"/>
      <c r="X396" s="254"/>
      <c r="Y396" s="254"/>
      <c r="Z396" s="254"/>
    </row>
    <row r="397">
      <c r="A397" s="254"/>
      <c r="B397" s="254"/>
      <c r="C397" s="254"/>
      <c r="D397" s="254"/>
      <c r="E397" s="254"/>
      <c r="F397" s="254"/>
      <c r="G397" s="254"/>
      <c r="H397" s="254"/>
      <c r="I397" s="254"/>
      <c r="J397" s="254"/>
      <c r="K397" s="254"/>
      <c r="L397" s="254"/>
      <c r="M397" s="254"/>
      <c r="N397" s="254"/>
      <c r="O397" s="254"/>
      <c r="P397" s="254"/>
      <c r="Q397" s="254"/>
      <c r="R397" s="254"/>
      <c r="S397" s="254"/>
      <c r="T397" s="254"/>
      <c r="U397" s="254"/>
      <c r="V397" s="254"/>
      <c r="W397" s="254"/>
      <c r="X397" s="254"/>
      <c r="Y397" s="254"/>
      <c r="Z397" s="254"/>
    </row>
    <row r="398">
      <c r="A398" s="254"/>
      <c r="B398" s="254"/>
      <c r="C398" s="254"/>
      <c r="D398" s="254"/>
      <c r="E398" s="254"/>
      <c r="F398" s="254"/>
      <c r="G398" s="254"/>
      <c r="H398" s="254"/>
      <c r="I398" s="254"/>
      <c r="J398" s="254"/>
      <c r="K398" s="254"/>
      <c r="L398" s="254"/>
      <c r="M398" s="254"/>
      <c r="N398" s="254"/>
      <c r="O398" s="254"/>
      <c r="P398" s="254"/>
      <c r="Q398" s="254"/>
      <c r="R398" s="254"/>
      <c r="S398" s="254"/>
      <c r="T398" s="254"/>
      <c r="U398" s="254"/>
      <c r="V398" s="254"/>
      <c r="W398" s="254"/>
      <c r="X398" s="254"/>
      <c r="Y398" s="254"/>
      <c r="Z398" s="254"/>
    </row>
    <row r="399">
      <c r="A399" s="254"/>
      <c r="B399" s="254"/>
      <c r="C399" s="254"/>
      <c r="D399" s="254"/>
      <c r="E399" s="254"/>
      <c r="F399" s="254"/>
      <c r="G399" s="254"/>
      <c r="H399" s="254"/>
      <c r="I399" s="254"/>
      <c r="J399" s="254"/>
      <c r="K399" s="254"/>
      <c r="L399" s="254"/>
      <c r="M399" s="254"/>
      <c r="N399" s="254"/>
      <c r="O399" s="254"/>
      <c r="P399" s="254"/>
      <c r="Q399" s="254"/>
      <c r="R399" s="254"/>
      <c r="S399" s="254"/>
      <c r="T399" s="254"/>
      <c r="U399" s="254"/>
      <c r="V399" s="254"/>
      <c r="W399" s="254"/>
      <c r="X399" s="254"/>
      <c r="Y399" s="254"/>
      <c r="Z399" s="254"/>
    </row>
    <row r="400">
      <c r="A400" s="254"/>
      <c r="B400" s="254"/>
      <c r="C400" s="254"/>
      <c r="D400" s="254"/>
      <c r="E400" s="254"/>
      <c r="F400" s="254"/>
      <c r="G400" s="254"/>
      <c r="H400" s="254"/>
      <c r="I400" s="254"/>
      <c r="J400" s="254"/>
      <c r="K400" s="254"/>
      <c r="L400" s="254"/>
      <c r="M400" s="254"/>
      <c r="N400" s="254"/>
      <c r="O400" s="254"/>
      <c r="P400" s="254"/>
      <c r="Q400" s="254"/>
      <c r="R400" s="254"/>
      <c r="S400" s="254"/>
      <c r="T400" s="254"/>
      <c r="U400" s="254"/>
      <c r="V400" s="254"/>
      <c r="W400" s="254"/>
      <c r="X400" s="254"/>
      <c r="Y400" s="254"/>
      <c r="Z400" s="254"/>
    </row>
    <row r="401">
      <c r="A401" s="254"/>
      <c r="B401" s="254"/>
      <c r="C401" s="254"/>
      <c r="D401" s="254"/>
      <c r="E401" s="254"/>
      <c r="F401" s="254"/>
      <c r="G401" s="254"/>
      <c r="H401" s="254"/>
      <c r="I401" s="254"/>
      <c r="J401" s="254"/>
      <c r="K401" s="254"/>
      <c r="L401" s="254"/>
      <c r="M401" s="254"/>
      <c r="N401" s="254"/>
      <c r="O401" s="254"/>
      <c r="P401" s="254"/>
      <c r="Q401" s="254"/>
      <c r="R401" s="254"/>
      <c r="S401" s="254"/>
      <c r="T401" s="254"/>
      <c r="U401" s="254"/>
      <c r="V401" s="254"/>
      <c r="W401" s="254"/>
      <c r="X401" s="254"/>
      <c r="Y401" s="254"/>
      <c r="Z401" s="254"/>
    </row>
    <row r="402">
      <c r="A402" s="254"/>
      <c r="B402" s="254"/>
      <c r="C402" s="254"/>
      <c r="D402" s="254"/>
      <c r="E402" s="254"/>
      <c r="F402" s="254"/>
      <c r="G402" s="254"/>
      <c r="H402" s="254"/>
      <c r="I402" s="254"/>
      <c r="J402" s="254"/>
      <c r="K402" s="254"/>
      <c r="L402" s="254"/>
      <c r="M402" s="254"/>
      <c r="N402" s="254"/>
      <c r="O402" s="254"/>
      <c r="P402" s="254"/>
      <c r="Q402" s="254"/>
      <c r="R402" s="254"/>
      <c r="S402" s="254"/>
      <c r="T402" s="254"/>
      <c r="U402" s="254"/>
      <c r="V402" s="254"/>
      <c r="W402" s="254"/>
      <c r="X402" s="254"/>
      <c r="Y402" s="254"/>
      <c r="Z402" s="254"/>
    </row>
    <row r="403">
      <c r="A403" s="254"/>
      <c r="B403" s="254"/>
      <c r="C403" s="254"/>
      <c r="D403" s="254"/>
      <c r="E403" s="254"/>
      <c r="F403" s="254"/>
      <c r="G403" s="254"/>
      <c r="H403" s="254"/>
      <c r="I403" s="254"/>
      <c r="J403" s="254"/>
      <c r="K403" s="254"/>
      <c r="L403" s="254"/>
      <c r="M403" s="254"/>
      <c r="N403" s="254"/>
      <c r="O403" s="254"/>
      <c r="P403" s="254"/>
      <c r="Q403" s="254"/>
      <c r="R403" s="254"/>
      <c r="S403" s="254"/>
      <c r="T403" s="254"/>
      <c r="U403" s="254"/>
      <c r="V403" s="254"/>
      <c r="W403" s="254"/>
      <c r="X403" s="254"/>
      <c r="Y403" s="254"/>
      <c r="Z403" s="254"/>
    </row>
    <row r="404">
      <c r="A404" s="254"/>
      <c r="B404" s="254"/>
      <c r="C404" s="254"/>
      <c r="D404" s="254"/>
      <c r="E404" s="254"/>
      <c r="F404" s="254"/>
      <c r="G404" s="254"/>
      <c r="H404" s="254"/>
      <c r="I404" s="254"/>
      <c r="J404" s="254"/>
      <c r="K404" s="254"/>
      <c r="L404" s="254"/>
      <c r="M404" s="254"/>
      <c r="N404" s="254"/>
      <c r="O404" s="254"/>
      <c r="P404" s="254"/>
      <c r="Q404" s="254"/>
      <c r="R404" s="254"/>
      <c r="S404" s="254"/>
      <c r="T404" s="254"/>
      <c r="U404" s="254"/>
      <c r="V404" s="254"/>
      <c r="W404" s="254"/>
      <c r="X404" s="254"/>
      <c r="Y404" s="254"/>
      <c r="Z404" s="254"/>
    </row>
    <row r="405">
      <c r="A405" s="254"/>
      <c r="B405" s="254"/>
      <c r="C405" s="254"/>
      <c r="D405" s="254"/>
      <c r="E405" s="254"/>
      <c r="F405" s="254"/>
      <c r="G405" s="254"/>
      <c r="H405" s="254"/>
      <c r="I405" s="254"/>
      <c r="J405" s="254"/>
      <c r="K405" s="254"/>
      <c r="L405" s="254"/>
      <c r="M405" s="254"/>
      <c r="N405" s="254"/>
      <c r="O405" s="254"/>
      <c r="P405" s="254"/>
      <c r="Q405" s="254"/>
      <c r="R405" s="254"/>
      <c r="S405" s="254"/>
      <c r="T405" s="254"/>
      <c r="U405" s="254"/>
      <c r="V405" s="254"/>
      <c r="W405" s="254"/>
      <c r="X405" s="254"/>
      <c r="Y405" s="254"/>
      <c r="Z405" s="254"/>
    </row>
    <row r="406">
      <c r="A406" s="254"/>
      <c r="B406" s="254"/>
      <c r="C406" s="254"/>
      <c r="D406" s="254"/>
      <c r="E406" s="254"/>
      <c r="F406" s="254"/>
      <c r="G406" s="254"/>
      <c r="H406" s="254"/>
      <c r="I406" s="254"/>
      <c r="J406" s="254"/>
      <c r="K406" s="254"/>
      <c r="L406" s="254"/>
      <c r="M406" s="254"/>
      <c r="N406" s="254"/>
      <c r="O406" s="254"/>
      <c r="P406" s="254"/>
      <c r="Q406" s="254"/>
      <c r="R406" s="254"/>
      <c r="S406" s="254"/>
      <c r="T406" s="254"/>
      <c r="U406" s="254"/>
      <c r="V406" s="254"/>
      <c r="W406" s="254"/>
      <c r="X406" s="254"/>
      <c r="Y406" s="254"/>
      <c r="Z406" s="254"/>
    </row>
    <row r="407">
      <c r="A407" s="254"/>
      <c r="B407" s="254"/>
      <c r="C407" s="254"/>
      <c r="D407" s="254"/>
      <c r="E407" s="254"/>
      <c r="F407" s="254"/>
      <c r="G407" s="254"/>
      <c r="H407" s="254"/>
      <c r="I407" s="254"/>
      <c r="J407" s="254"/>
      <c r="K407" s="254"/>
      <c r="L407" s="254"/>
      <c r="M407" s="254"/>
      <c r="N407" s="254"/>
      <c r="O407" s="254"/>
      <c r="P407" s="254"/>
      <c r="Q407" s="254"/>
      <c r="R407" s="254"/>
      <c r="S407" s="254"/>
      <c r="T407" s="254"/>
      <c r="U407" s="254"/>
      <c r="V407" s="254"/>
      <c r="W407" s="254"/>
      <c r="X407" s="254"/>
      <c r="Y407" s="254"/>
      <c r="Z407" s="254"/>
    </row>
    <row r="408">
      <c r="A408" s="254"/>
      <c r="B408" s="254"/>
      <c r="C408" s="254"/>
      <c r="D408" s="254"/>
      <c r="E408" s="254"/>
      <c r="F408" s="254"/>
      <c r="G408" s="254"/>
      <c r="H408" s="254"/>
      <c r="I408" s="254"/>
      <c r="J408" s="254"/>
      <c r="K408" s="254"/>
      <c r="L408" s="254"/>
      <c r="M408" s="254"/>
      <c r="N408" s="254"/>
      <c r="O408" s="254"/>
      <c r="P408" s="254"/>
      <c r="Q408" s="254"/>
      <c r="R408" s="254"/>
      <c r="S408" s="254"/>
      <c r="T408" s="254"/>
      <c r="U408" s="254"/>
      <c r="V408" s="254"/>
      <c r="W408" s="254"/>
      <c r="X408" s="254"/>
      <c r="Y408" s="254"/>
      <c r="Z408" s="254"/>
    </row>
    <row r="409">
      <c r="A409" s="254"/>
      <c r="B409" s="254"/>
      <c r="C409" s="254"/>
      <c r="D409" s="254"/>
      <c r="E409" s="254"/>
      <c r="F409" s="254"/>
      <c r="G409" s="254"/>
      <c r="H409" s="254"/>
      <c r="I409" s="254"/>
      <c r="J409" s="254"/>
      <c r="K409" s="254"/>
      <c r="L409" s="254"/>
      <c r="M409" s="254"/>
      <c r="N409" s="254"/>
      <c r="O409" s="254"/>
      <c r="P409" s="254"/>
      <c r="Q409" s="254"/>
      <c r="R409" s="254"/>
      <c r="S409" s="254"/>
      <c r="T409" s="254"/>
      <c r="U409" s="254"/>
      <c r="V409" s="254"/>
      <c r="W409" s="254"/>
      <c r="X409" s="254"/>
      <c r="Y409" s="254"/>
      <c r="Z409" s="254"/>
    </row>
    <row r="410">
      <c r="A410" s="254"/>
      <c r="B410" s="254"/>
      <c r="C410" s="254"/>
      <c r="D410" s="254"/>
      <c r="E410" s="254"/>
      <c r="F410" s="254"/>
      <c r="G410" s="254"/>
      <c r="H410" s="254"/>
      <c r="I410" s="254"/>
      <c r="J410" s="254"/>
      <c r="K410" s="254"/>
      <c r="L410" s="254"/>
      <c r="M410" s="254"/>
      <c r="N410" s="254"/>
      <c r="O410" s="254"/>
      <c r="P410" s="254"/>
      <c r="Q410" s="254"/>
      <c r="R410" s="254"/>
      <c r="S410" s="254"/>
      <c r="T410" s="254"/>
      <c r="U410" s="254"/>
      <c r="V410" s="254"/>
      <c r="W410" s="254"/>
      <c r="X410" s="254"/>
      <c r="Y410" s="254"/>
      <c r="Z410" s="254"/>
    </row>
    <row r="411">
      <c r="A411" s="254"/>
      <c r="B411" s="254"/>
      <c r="C411" s="254"/>
      <c r="D411" s="254"/>
      <c r="E411" s="254"/>
      <c r="F411" s="254"/>
      <c r="G411" s="254"/>
      <c r="H411" s="254"/>
      <c r="I411" s="254"/>
      <c r="J411" s="254"/>
      <c r="K411" s="254"/>
      <c r="L411" s="254"/>
      <c r="M411" s="254"/>
      <c r="N411" s="254"/>
      <c r="O411" s="254"/>
      <c r="P411" s="254"/>
      <c r="Q411" s="254"/>
      <c r="R411" s="254"/>
      <c r="S411" s="254"/>
      <c r="T411" s="254"/>
      <c r="U411" s="254"/>
      <c r="V411" s="254"/>
      <c r="W411" s="254"/>
      <c r="X411" s="254"/>
      <c r="Y411" s="254"/>
      <c r="Z411" s="254"/>
    </row>
    <row r="412">
      <c r="A412" s="254"/>
      <c r="B412" s="254"/>
      <c r="C412" s="254"/>
      <c r="D412" s="254"/>
      <c r="E412" s="254"/>
      <c r="F412" s="254"/>
      <c r="G412" s="254"/>
      <c r="H412" s="254"/>
      <c r="I412" s="254"/>
      <c r="J412" s="254"/>
      <c r="K412" s="254"/>
      <c r="L412" s="254"/>
      <c r="M412" s="254"/>
      <c r="N412" s="254"/>
      <c r="O412" s="254"/>
      <c r="P412" s="254"/>
      <c r="Q412" s="254"/>
      <c r="R412" s="254"/>
      <c r="S412" s="254"/>
      <c r="T412" s="254"/>
      <c r="U412" s="254"/>
      <c r="V412" s="254"/>
      <c r="W412" s="254"/>
      <c r="X412" s="254"/>
      <c r="Y412" s="254"/>
      <c r="Z412" s="254"/>
    </row>
    <row r="413">
      <c r="A413" s="254"/>
      <c r="B413" s="254"/>
      <c r="C413" s="254"/>
      <c r="D413" s="254"/>
      <c r="E413" s="254"/>
      <c r="F413" s="254"/>
      <c r="G413" s="254"/>
      <c r="H413" s="254"/>
      <c r="I413" s="254"/>
      <c r="J413" s="254"/>
      <c r="K413" s="254"/>
      <c r="L413" s="254"/>
      <c r="M413" s="254"/>
      <c r="N413" s="254"/>
      <c r="O413" s="254"/>
      <c r="P413" s="254"/>
      <c r="Q413" s="254"/>
      <c r="R413" s="254"/>
      <c r="S413" s="254"/>
      <c r="T413" s="254"/>
      <c r="U413" s="254"/>
      <c r="V413" s="254"/>
      <c r="W413" s="254"/>
      <c r="X413" s="254"/>
      <c r="Y413" s="254"/>
      <c r="Z413" s="254"/>
    </row>
    <row r="414">
      <c r="A414" s="254"/>
      <c r="B414" s="254"/>
      <c r="C414" s="254"/>
      <c r="D414" s="254"/>
      <c r="E414" s="254"/>
      <c r="F414" s="254"/>
      <c r="G414" s="254"/>
      <c r="H414" s="254"/>
      <c r="I414" s="254"/>
      <c r="J414" s="254"/>
      <c r="K414" s="254"/>
      <c r="L414" s="254"/>
      <c r="M414" s="254"/>
      <c r="N414" s="254"/>
      <c r="O414" s="254"/>
      <c r="P414" s="254"/>
      <c r="Q414" s="254"/>
      <c r="R414" s="254"/>
      <c r="S414" s="254"/>
      <c r="T414" s="254"/>
      <c r="U414" s="254"/>
      <c r="V414" s="254"/>
      <c r="W414" s="254"/>
      <c r="X414" s="254"/>
      <c r="Y414" s="254"/>
      <c r="Z414" s="254"/>
    </row>
    <row r="415">
      <c r="A415" s="254"/>
      <c r="B415" s="254"/>
      <c r="C415" s="254"/>
      <c r="D415" s="254"/>
      <c r="E415" s="254"/>
      <c r="F415" s="254"/>
      <c r="G415" s="254"/>
      <c r="H415" s="254"/>
      <c r="I415" s="254"/>
      <c r="J415" s="254"/>
      <c r="K415" s="254"/>
      <c r="L415" s="254"/>
      <c r="M415" s="254"/>
      <c r="N415" s="254"/>
      <c r="O415" s="254"/>
      <c r="P415" s="254"/>
      <c r="Q415" s="254"/>
      <c r="R415" s="254"/>
      <c r="S415" s="254"/>
      <c r="T415" s="254"/>
      <c r="U415" s="254"/>
      <c r="V415" s="254"/>
      <c r="W415" s="254"/>
      <c r="X415" s="254"/>
      <c r="Y415" s="254"/>
      <c r="Z415" s="254"/>
    </row>
    <row r="416">
      <c r="A416" s="254"/>
      <c r="B416" s="254"/>
      <c r="C416" s="254"/>
      <c r="D416" s="254"/>
      <c r="E416" s="254"/>
      <c r="F416" s="254"/>
      <c r="G416" s="254"/>
      <c r="H416" s="254"/>
      <c r="I416" s="254"/>
      <c r="J416" s="254"/>
      <c r="K416" s="254"/>
      <c r="L416" s="254"/>
      <c r="M416" s="254"/>
      <c r="N416" s="254"/>
      <c r="O416" s="254"/>
      <c r="P416" s="254"/>
      <c r="Q416" s="254"/>
      <c r="R416" s="254"/>
      <c r="S416" s="254"/>
      <c r="T416" s="254"/>
      <c r="U416" s="254"/>
      <c r="V416" s="254"/>
      <c r="W416" s="254"/>
      <c r="X416" s="254"/>
      <c r="Y416" s="254"/>
      <c r="Z416" s="254"/>
    </row>
    <row r="417">
      <c r="A417" s="254"/>
      <c r="B417" s="254"/>
      <c r="C417" s="254"/>
      <c r="D417" s="254"/>
      <c r="E417" s="254"/>
      <c r="F417" s="254"/>
      <c r="G417" s="254"/>
      <c r="H417" s="254"/>
      <c r="I417" s="254"/>
      <c r="J417" s="254"/>
      <c r="K417" s="254"/>
      <c r="L417" s="254"/>
      <c r="M417" s="254"/>
      <c r="N417" s="254"/>
      <c r="O417" s="254"/>
      <c r="P417" s="254"/>
      <c r="Q417" s="254"/>
      <c r="R417" s="254"/>
      <c r="S417" s="254"/>
      <c r="T417" s="254"/>
      <c r="U417" s="254"/>
      <c r="V417" s="254"/>
      <c r="W417" s="254"/>
      <c r="X417" s="254"/>
      <c r="Y417" s="254"/>
      <c r="Z417" s="254"/>
    </row>
    <row r="418">
      <c r="A418" s="254"/>
      <c r="B418" s="254"/>
      <c r="C418" s="254"/>
      <c r="D418" s="254"/>
      <c r="E418" s="254"/>
      <c r="F418" s="254"/>
      <c r="G418" s="254"/>
      <c r="H418" s="254"/>
      <c r="I418" s="254"/>
      <c r="J418" s="254"/>
      <c r="K418" s="254"/>
      <c r="L418" s="254"/>
      <c r="M418" s="254"/>
      <c r="N418" s="254"/>
      <c r="O418" s="254"/>
      <c r="P418" s="254"/>
      <c r="Q418" s="254"/>
      <c r="R418" s="254"/>
      <c r="S418" s="254"/>
      <c r="T418" s="254"/>
      <c r="U418" s="254"/>
      <c r="V418" s="254"/>
      <c r="W418" s="254"/>
      <c r="X418" s="254"/>
      <c r="Y418" s="254"/>
      <c r="Z418" s="254"/>
    </row>
    <row r="419">
      <c r="A419" s="254"/>
      <c r="B419" s="254"/>
      <c r="C419" s="254"/>
      <c r="D419" s="254"/>
      <c r="E419" s="254"/>
      <c r="F419" s="254"/>
      <c r="G419" s="254"/>
      <c r="H419" s="254"/>
      <c r="I419" s="254"/>
      <c r="J419" s="254"/>
      <c r="K419" s="254"/>
      <c r="L419" s="254"/>
      <c r="M419" s="254"/>
      <c r="N419" s="254"/>
      <c r="O419" s="254"/>
      <c r="P419" s="254"/>
      <c r="Q419" s="254"/>
      <c r="R419" s="254"/>
      <c r="S419" s="254"/>
      <c r="T419" s="254"/>
      <c r="U419" s="254"/>
      <c r="V419" s="254"/>
      <c r="W419" s="254"/>
      <c r="X419" s="254"/>
      <c r="Y419" s="254"/>
      <c r="Z419" s="254"/>
    </row>
    <row r="420">
      <c r="A420" s="254"/>
      <c r="B420" s="254"/>
      <c r="C420" s="254"/>
      <c r="D420" s="254"/>
      <c r="E420" s="254"/>
      <c r="F420" s="254"/>
      <c r="G420" s="254"/>
      <c r="H420" s="254"/>
      <c r="I420" s="254"/>
      <c r="J420" s="254"/>
      <c r="K420" s="254"/>
      <c r="L420" s="254"/>
      <c r="M420" s="254"/>
      <c r="N420" s="254"/>
      <c r="O420" s="254"/>
      <c r="P420" s="254"/>
      <c r="Q420" s="254"/>
      <c r="R420" s="254"/>
      <c r="S420" s="254"/>
      <c r="T420" s="254"/>
      <c r="U420" s="254"/>
      <c r="V420" s="254"/>
      <c r="W420" s="254"/>
      <c r="X420" s="254"/>
      <c r="Y420" s="254"/>
      <c r="Z420" s="254"/>
    </row>
    <row r="421">
      <c r="A421" s="254"/>
      <c r="B421" s="254"/>
      <c r="C421" s="254"/>
      <c r="D421" s="254"/>
      <c r="E421" s="254"/>
      <c r="F421" s="254"/>
      <c r="G421" s="254"/>
      <c r="H421" s="254"/>
      <c r="I421" s="254"/>
      <c r="J421" s="254"/>
      <c r="K421" s="254"/>
      <c r="L421" s="254"/>
      <c r="M421" s="254"/>
      <c r="N421" s="254"/>
      <c r="O421" s="254"/>
      <c r="P421" s="254"/>
      <c r="Q421" s="254"/>
      <c r="R421" s="254"/>
      <c r="S421" s="254"/>
      <c r="T421" s="254"/>
      <c r="U421" s="254"/>
      <c r="V421" s="254"/>
      <c r="W421" s="254"/>
      <c r="X421" s="254"/>
      <c r="Y421" s="254"/>
      <c r="Z421" s="254"/>
    </row>
    <row r="422">
      <c r="A422" s="254"/>
      <c r="B422" s="254"/>
      <c r="C422" s="254"/>
      <c r="D422" s="254"/>
      <c r="E422" s="254"/>
      <c r="F422" s="254"/>
      <c r="G422" s="254"/>
      <c r="H422" s="254"/>
      <c r="I422" s="254"/>
      <c r="J422" s="254"/>
      <c r="K422" s="254"/>
      <c r="L422" s="254"/>
      <c r="M422" s="254"/>
      <c r="N422" s="254"/>
      <c r="O422" s="254"/>
      <c r="P422" s="254"/>
      <c r="Q422" s="254"/>
      <c r="R422" s="254"/>
      <c r="S422" s="254"/>
      <c r="T422" s="254"/>
      <c r="U422" s="254"/>
      <c r="V422" s="254"/>
      <c r="W422" s="254"/>
      <c r="X422" s="254"/>
      <c r="Y422" s="254"/>
      <c r="Z422" s="254"/>
    </row>
    <row r="423">
      <c r="A423" s="254"/>
      <c r="B423" s="254"/>
      <c r="C423" s="254"/>
      <c r="D423" s="254"/>
      <c r="E423" s="254"/>
      <c r="F423" s="254"/>
      <c r="G423" s="254"/>
      <c r="H423" s="254"/>
      <c r="I423" s="254"/>
      <c r="J423" s="254"/>
      <c r="K423" s="254"/>
      <c r="L423" s="254"/>
      <c r="M423" s="254"/>
      <c r="N423" s="254"/>
      <c r="O423" s="254"/>
      <c r="P423" s="254"/>
      <c r="Q423" s="254"/>
      <c r="R423" s="254"/>
      <c r="S423" s="254"/>
      <c r="T423" s="254"/>
      <c r="U423" s="254"/>
      <c r="V423" s="254"/>
      <c r="W423" s="254"/>
      <c r="X423" s="254"/>
      <c r="Y423" s="254"/>
      <c r="Z423" s="254"/>
    </row>
    <row r="424">
      <c r="A424" s="254"/>
      <c r="B424" s="254"/>
      <c r="C424" s="254"/>
      <c r="D424" s="254"/>
      <c r="E424" s="254"/>
      <c r="F424" s="254"/>
      <c r="G424" s="254"/>
      <c r="H424" s="254"/>
      <c r="I424" s="254"/>
      <c r="J424" s="254"/>
      <c r="K424" s="254"/>
      <c r="L424" s="254"/>
      <c r="M424" s="254"/>
      <c r="N424" s="254"/>
      <c r="O424" s="254"/>
      <c r="P424" s="254"/>
      <c r="Q424" s="254"/>
      <c r="R424" s="254"/>
      <c r="S424" s="254"/>
      <c r="T424" s="254"/>
      <c r="U424" s="254"/>
      <c r="V424" s="254"/>
      <c r="W424" s="254"/>
      <c r="X424" s="254"/>
      <c r="Y424" s="254"/>
      <c r="Z424" s="254"/>
    </row>
    <row r="425">
      <c r="A425" s="254"/>
      <c r="B425" s="254"/>
      <c r="C425" s="254"/>
      <c r="D425" s="254"/>
      <c r="E425" s="254"/>
      <c r="F425" s="254"/>
      <c r="G425" s="254"/>
      <c r="H425" s="254"/>
      <c r="I425" s="254"/>
      <c r="J425" s="254"/>
      <c r="K425" s="254"/>
      <c r="L425" s="254"/>
      <c r="M425" s="254"/>
      <c r="N425" s="254"/>
      <c r="O425" s="254"/>
      <c r="P425" s="254"/>
      <c r="Q425" s="254"/>
      <c r="R425" s="254"/>
      <c r="S425" s="254"/>
      <c r="T425" s="254"/>
      <c r="U425" s="254"/>
      <c r="V425" s="254"/>
      <c r="W425" s="254"/>
      <c r="X425" s="254"/>
      <c r="Y425" s="254"/>
      <c r="Z425" s="254"/>
    </row>
    <row r="426">
      <c r="A426" s="254"/>
      <c r="B426" s="254"/>
      <c r="C426" s="254"/>
      <c r="D426" s="254"/>
      <c r="E426" s="254"/>
      <c r="F426" s="254"/>
      <c r="G426" s="254"/>
      <c r="H426" s="254"/>
      <c r="I426" s="254"/>
      <c r="J426" s="254"/>
      <c r="K426" s="254"/>
      <c r="L426" s="254"/>
      <c r="M426" s="254"/>
      <c r="N426" s="254"/>
      <c r="O426" s="254"/>
      <c r="P426" s="254"/>
      <c r="Q426" s="254"/>
      <c r="R426" s="254"/>
      <c r="S426" s="254"/>
      <c r="T426" s="254"/>
      <c r="U426" s="254"/>
      <c r="V426" s="254"/>
      <c r="W426" s="254"/>
      <c r="X426" s="254"/>
      <c r="Y426" s="254"/>
      <c r="Z426" s="254"/>
    </row>
    <row r="427">
      <c r="A427" s="254"/>
      <c r="B427" s="254"/>
      <c r="C427" s="254"/>
      <c r="D427" s="254"/>
      <c r="E427" s="254"/>
      <c r="F427" s="254"/>
      <c r="G427" s="254"/>
      <c r="H427" s="254"/>
      <c r="I427" s="254"/>
      <c r="J427" s="254"/>
      <c r="K427" s="254"/>
      <c r="L427" s="254"/>
      <c r="M427" s="254"/>
      <c r="N427" s="254"/>
      <c r="O427" s="254"/>
      <c r="P427" s="254"/>
      <c r="Q427" s="254"/>
      <c r="R427" s="254"/>
      <c r="S427" s="254"/>
      <c r="T427" s="254"/>
      <c r="U427" s="254"/>
      <c r="V427" s="254"/>
      <c r="W427" s="254"/>
      <c r="X427" s="254"/>
      <c r="Y427" s="254"/>
      <c r="Z427" s="254"/>
    </row>
    <row r="428">
      <c r="A428" s="254"/>
      <c r="B428" s="254"/>
      <c r="C428" s="254"/>
      <c r="D428" s="254"/>
      <c r="E428" s="254"/>
      <c r="F428" s="254"/>
      <c r="G428" s="254"/>
      <c r="H428" s="254"/>
      <c r="I428" s="254"/>
      <c r="J428" s="254"/>
      <c r="K428" s="254"/>
      <c r="L428" s="254"/>
      <c r="M428" s="254"/>
      <c r="N428" s="254"/>
      <c r="O428" s="254"/>
      <c r="P428" s="254"/>
      <c r="Q428" s="254"/>
      <c r="R428" s="254"/>
      <c r="S428" s="254"/>
      <c r="T428" s="254"/>
      <c r="U428" s="254"/>
      <c r="V428" s="254"/>
      <c r="W428" s="254"/>
      <c r="X428" s="254"/>
      <c r="Y428" s="254"/>
      <c r="Z428" s="254"/>
    </row>
    <row r="429">
      <c r="A429" s="254"/>
      <c r="B429" s="254"/>
      <c r="C429" s="254"/>
      <c r="D429" s="254"/>
      <c r="E429" s="254"/>
      <c r="F429" s="254"/>
      <c r="G429" s="254"/>
      <c r="H429" s="254"/>
      <c r="I429" s="254"/>
      <c r="J429" s="254"/>
      <c r="K429" s="254"/>
      <c r="L429" s="254"/>
      <c r="M429" s="254"/>
      <c r="N429" s="254"/>
      <c r="O429" s="254"/>
      <c r="P429" s="254"/>
      <c r="Q429" s="254"/>
      <c r="R429" s="254"/>
      <c r="S429" s="254"/>
      <c r="T429" s="254"/>
      <c r="U429" s="254"/>
      <c r="V429" s="254"/>
      <c r="W429" s="254"/>
      <c r="X429" s="254"/>
      <c r="Y429" s="254"/>
      <c r="Z429" s="254"/>
    </row>
    <row r="430">
      <c r="A430" s="254"/>
      <c r="B430" s="254"/>
      <c r="C430" s="254"/>
      <c r="D430" s="254"/>
      <c r="E430" s="254"/>
      <c r="F430" s="254"/>
      <c r="G430" s="254"/>
      <c r="H430" s="254"/>
      <c r="I430" s="254"/>
      <c r="J430" s="254"/>
      <c r="K430" s="254"/>
      <c r="L430" s="254"/>
      <c r="M430" s="254"/>
      <c r="N430" s="254"/>
      <c r="O430" s="254"/>
      <c r="P430" s="254"/>
      <c r="Q430" s="254"/>
      <c r="R430" s="254"/>
      <c r="S430" s="254"/>
      <c r="T430" s="254"/>
      <c r="U430" s="254"/>
      <c r="V430" s="254"/>
      <c r="W430" s="254"/>
      <c r="X430" s="254"/>
      <c r="Y430" s="254"/>
      <c r="Z430" s="254"/>
    </row>
    <row r="431">
      <c r="A431" s="254"/>
      <c r="B431" s="254"/>
      <c r="C431" s="254"/>
      <c r="D431" s="254"/>
      <c r="E431" s="254"/>
      <c r="F431" s="254"/>
      <c r="G431" s="254"/>
      <c r="H431" s="254"/>
      <c r="I431" s="254"/>
      <c r="J431" s="254"/>
      <c r="K431" s="254"/>
      <c r="L431" s="254"/>
      <c r="M431" s="254"/>
      <c r="N431" s="254"/>
      <c r="O431" s="254"/>
      <c r="P431" s="254"/>
      <c r="Q431" s="254"/>
      <c r="R431" s="254"/>
      <c r="S431" s="254"/>
      <c r="T431" s="254"/>
      <c r="U431" s="254"/>
      <c r="V431" s="254"/>
      <c r="W431" s="254"/>
      <c r="X431" s="254"/>
      <c r="Y431" s="254"/>
      <c r="Z431" s="254"/>
    </row>
    <row r="432">
      <c r="A432" s="254"/>
      <c r="B432" s="254"/>
      <c r="C432" s="254"/>
      <c r="D432" s="254"/>
      <c r="E432" s="254"/>
      <c r="F432" s="254"/>
      <c r="G432" s="254"/>
      <c r="H432" s="254"/>
      <c r="I432" s="254"/>
      <c r="J432" s="254"/>
      <c r="K432" s="254"/>
      <c r="L432" s="254"/>
      <c r="M432" s="254"/>
      <c r="N432" s="254"/>
      <c r="O432" s="254"/>
      <c r="P432" s="254"/>
      <c r="Q432" s="254"/>
      <c r="R432" s="254"/>
      <c r="S432" s="254"/>
      <c r="T432" s="254"/>
      <c r="U432" s="254"/>
      <c r="V432" s="254"/>
      <c r="W432" s="254"/>
      <c r="X432" s="254"/>
      <c r="Y432" s="254"/>
      <c r="Z432" s="254"/>
    </row>
    <row r="433">
      <c r="A433" s="254"/>
      <c r="B433" s="254"/>
      <c r="C433" s="254"/>
      <c r="D433" s="254"/>
      <c r="E433" s="254"/>
      <c r="F433" s="254"/>
      <c r="G433" s="254"/>
      <c r="H433" s="254"/>
      <c r="I433" s="254"/>
      <c r="J433" s="254"/>
      <c r="K433" s="254"/>
      <c r="L433" s="254"/>
      <c r="M433" s="254"/>
      <c r="N433" s="254"/>
      <c r="O433" s="254"/>
      <c r="P433" s="254"/>
      <c r="Q433" s="254"/>
      <c r="R433" s="254"/>
      <c r="S433" s="254"/>
      <c r="T433" s="254"/>
      <c r="U433" s="254"/>
      <c r="V433" s="254"/>
      <c r="W433" s="254"/>
      <c r="X433" s="254"/>
      <c r="Y433" s="254"/>
      <c r="Z433" s="254"/>
    </row>
    <row r="434">
      <c r="A434" s="254"/>
      <c r="B434" s="254"/>
      <c r="C434" s="254"/>
      <c r="D434" s="254"/>
      <c r="E434" s="254"/>
      <c r="F434" s="254"/>
      <c r="G434" s="254"/>
      <c r="H434" s="254"/>
      <c r="I434" s="254"/>
      <c r="J434" s="254"/>
      <c r="K434" s="254"/>
      <c r="L434" s="254"/>
      <c r="M434" s="254"/>
      <c r="N434" s="254"/>
      <c r="O434" s="254"/>
      <c r="P434" s="254"/>
      <c r="Q434" s="254"/>
      <c r="R434" s="254"/>
      <c r="S434" s="254"/>
      <c r="T434" s="254"/>
      <c r="U434" s="254"/>
      <c r="V434" s="254"/>
      <c r="W434" s="254"/>
      <c r="X434" s="254"/>
      <c r="Y434" s="254"/>
      <c r="Z434" s="254"/>
    </row>
    <row r="435">
      <c r="A435" s="254"/>
      <c r="B435" s="254"/>
      <c r="C435" s="254"/>
      <c r="D435" s="254"/>
      <c r="E435" s="254"/>
      <c r="F435" s="254"/>
      <c r="G435" s="254"/>
      <c r="H435" s="254"/>
      <c r="I435" s="254"/>
      <c r="J435" s="254"/>
      <c r="K435" s="254"/>
      <c r="L435" s="254"/>
      <c r="M435" s="254"/>
      <c r="N435" s="254"/>
      <c r="O435" s="254"/>
      <c r="P435" s="254"/>
      <c r="Q435" s="254"/>
      <c r="R435" s="254"/>
      <c r="S435" s="254"/>
      <c r="T435" s="254"/>
      <c r="U435" s="254"/>
      <c r="V435" s="254"/>
      <c r="W435" s="254"/>
      <c r="X435" s="254"/>
      <c r="Y435" s="254"/>
      <c r="Z435" s="254"/>
    </row>
    <row r="436">
      <c r="A436" s="254"/>
      <c r="B436" s="254"/>
      <c r="C436" s="254"/>
      <c r="D436" s="254"/>
      <c r="E436" s="254"/>
      <c r="F436" s="254"/>
      <c r="G436" s="254"/>
      <c r="H436" s="254"/>
      <c r="I436" s="254"/>
      <c r="J436" s="254"/>
      <c r="K436" s="254"/>
      <c r="L436" s="254"/>
      <c r="M436" s="254"/>
      <c r="N436" s="254"/>
      <c r="O436" s="254"/>
      <c r="P436" s="254"/>
      <c r="Q436" s="254"/>
      <c r="R436" s="254"/>
      <c r="S436" s="254"/>
      <c r="T436" s="254"/>
      <c r="U436" s="254"/>
      <c r="V436" s="254"/>
      <c r="W436" s="254"/>
      <c r="X436" s="254"/>
      <c r="Y436" s="254"/>
      <c r="Z436" s="254"/>
    </row>
    <row r="437">
      <c r="A437" s="254"/>
      <c r="B437" s="254"/>
      <c r="C437" s="254"/>
      <c r="D437" s="254"/>
      <c r="E437" s="254"/>
      <c r="F437" s="254"/>
      <c r="G437" s="254"/>
      <c r="H437" s="254"/>
      <c r="I437" s="254"/>
      <c r="J437" s="254"/>
      <c r="K437" s="254"/>
      <c r="L437" s="254"/>
      <c r="M437" s="254"/>
      <c r="N437" s="254"/>
      <c r="O437" s="254"/>
      <c r="P437" s="254"/>
      <c r="Q437" s="254"/>
      <c r="R437" s="254"/>
      <c r="S437" s="254"/>
      <c r="T437" s="254"/>
      <c r="U437" s="254"/>
      <c r="V437" s="254"/>
      <c r="W437" s="254"/>
      <c r="X437" s="254"/>
      <c r="Y437" s="254"/>
      <c r="Z437" s="254"/>
    </row>
    <row r="438">
      <c r="A438" s="254"/>
      <c r="B438" s="254"/>
      <c r="C438" s="254"/>
      <c r="D438" s="254"/>
      <c r="E438" s="254"/>
      <c r="F438" s="254"/>
      <c r="G438" s="254"/>
      <c r="H438" s="254"/>
      <c r="I438" s="254"/>
      <c r="J438" s="254"/>
      <c r="K438" s="254"/>
      <c r="L438" s="254"/>
      <c r="M438" s="254"/>
      <c r="N438" s="254"/>
      <c r="O438" s="254"/>
      <c r="P438" s="254"/>
      <c r="Q438" s="254"/>
      <c r="R438" s="254"/>
      <c r="S438" s="254"/>
      <c r="T438" s="254"/>
      <c r="U438" s="254"/>
      <c r="V438" s="254"/>
      <c r="W438" s="254"/>
      <c r="X438" s="254"/>
      <c r="Y438" s="254"/>
      <c r="Z438" s="254"/>
    </row>
    <row r="439">
      <c r="A439" s="254"/>
      <c r="B439" s="254"/>
      <c r="C439" s="254"/>
      <c r="D439" s="254"/>
      <c r="E439" s="254"/>
      <c r="F439" s="254"/>
      <c r="G439" s="254"/>
      <c r="H439" s="254"/>
      <c r="I439" s="254"/>
      <c r="J439" s="254"/>
      <c r="K439" s="254"/>
      <c r="L439" s="254"/>
      <c r="M439" s="254"/>
      <c r="N439" s="254"/>
      <c r="O439" s="254"/>
      <c r="P439" s="254"/>
      <c r="Q439" s="254"/>
      <c r="R439" s="254"/>
      <c r="S439" s="254"/>
      <c r="T439" s="254"/>
      <c r="U439" s="254"/>
      <c r="V439" s="254"/>
      <c r="W439" s="254"/>
      <c r="X439" s="254"/>
      <c r="Y439" s="254"/>
      <c r="Z439" s="254"/>
    </row>
    <row r="440">
      <c r="A440" s="254"/>
      <c r="B440" s="254"/>
      <c r="C440" s="254"/>
      <c r="D440" s="254"/>
      <c r="E440" s="254"/>
      <c r="F440" s="254"/>
      <c r="G440" s="254"/>
      <c r="H440" s="254"/>
      <c r="I440" s="254"/>
      <c r="J440" s="254"/>
      <c r="K440" s="254"/>
      <c r="L440" s="254"/>
      <c r="M440" s="254"/>
      <c r="N440" s="254"/>
      <c r="O440" s="254"/>
      <c r="P440" s="254"/>
      <c r="Q440" s="254"/>
      <c r="R440" s="254"/>
      <c r="S440" s="254"/>
      <c r="T440" s="254"/>
      <c r="U440" s="254"/>
      <c r="V440" s="254"/>
      <c r="W440" s="254"/>
      <c r="X440" s="254"/>
      <c r="Y440" s="254"/>
      <c r="Z440" s="254"/>
    </row>
    <row r="441">
      <c r="A441" s="254"/>
      <c r="B441" s="254"/>
      <c r="C441" s="254"/>
      <c r="D441" s="254"/>
      <c r="E441" s="254"/>
      <c r="F441" s="254"/>
      <c r="G441" s="254"/>
      <c r="H441" s="254"/>
      <c r="I441" s="254"/>
      <c r="J441" s="254"/>
      <c r="K441" s="254"/>
      <c r="L441" s="254"/>
      <c r="M441" s="254"/>
      <c r="N441" s="254"/>
      <c r="O441" s="254"/>
      <c r="P441" s="254"/>
      <c r="Q441" s="254"/>
      <c r="R441" s="254"/>
      <c r="S441" s="254"/>
      <c r="T441" s="254"/>
      <c r="U441" s="254"/>
      <c r="V441" s="254"/>
      <c r="W441" s="254"/>
      <c r="X441" s="254"/>
      <c r="Y441" s="254"/>
      <c r="Z441" s="254"/>
    </row>
    <row r="442">
      <c r="A442" s="254"/>
      <c r="B442" s="254"/>
      <c r="C442" s="254"/>
      <c r="D442" s="254"/>
      <c r="E442" s="254"/>
      <c r="F442" s="254"/>
      <c r="G442" s="254"/>
      <c r="H442" s="254"/>
      <c r="I442" s="254"/>
      <c r="J442" s="254"/>
      <c r="K442" s="254"/>
      <c r="L442" s="254"/>
      <c r="M442" s="254"/>
      <c r="N442" s="254"/>
      <c r="O442" s="254"/>
      <c r="P442" s="254"/>
      <c r="Q442" s="254"/>
      <c r="R442" s="254"/>
      <c r="S442" s="254"/>
      <c r="T442" s="254"/>
      <c r="U442" s="254"/>
      <c r="V442" s="254"/>
      <c r="W442" s="254"/>
      <c r="X442" s="254"/>
      <c r="Y442" s="254"/>
      <c r="Z442" s="254"/>
    </row>
    <row r="443">
      <c r="A443" s="254"/>
      <c r="B443" s="254"/>
      <c r="C443" s="254"/>
      <c r="D443" s="254"/>
      <c r="E443" s="254"/>
      <c r="F443" s="254"/>
      <c r="G443" s="254"/>
      <c r="H443" s="254"/>
      <c r="I443" s="254"/>
      <c r="J443" s="254"/>
      <c r="K443" s="254"/>
      <c r="L443" s="254"/>
      <c r="M443" s="254"/>
      <c r="N443" s="254"/>
      <c r="O443" s="254"/>
      <c r="P443" s="254"/>
      <c r="Q443" s="254"/>
      <c r="R443" s="254"/>
      <c r="S443" s="254"/>
      <c r="T443" s="254"/>
      <c r="U443" s="254"/>
      <c r="V443" s="254"/>
      <c r="W443" s="254"/>
      <c r="X443" s="254"/>
      <c r="Y443" s="254"/>
      <c r="Z443" s="254"/>
    </row>
    <row r="444">
      <c r="A444" s="254"/>
      <c r="B444" s="254"/>
      <c r="C444" s="254"/>
      <c r="D444" s="254"/>
      <c r="E444" s="254"/>
      <c r="F444" s="254"/>
      <c r="G444" s="254"/>
      <c r="H444" s="254"/>
      <c r="I444" s="254"/>
      <c r="J444" s="254"/>
      <c r="K444" s="254"/>
      <c r="L444" s="254"/>
      <c r="M444" s="254"/>
      <c r="N444" s="254"/>
      <c r="O444" s="254"/>
      <c r="P444" s="254"/>
      <c r="Q444" s="254"/>
      <c r="R444" s="254"/>
      <c r="S444" s="254"/>
      <c r="T444" s="254"/>
      <c r="U444" s="254"/>
      <c r="V444" s="254"/>
      <c r="W444" s="254"/>
      <c r="X444" s="254"/>
      <c r="Y444" s="254"/>
      <c r="Z444" s="254"/>
    </row>
    <row r="445">
      <c r="A445" s="254"/>
      <c r="B445" s="254"/>
      <c r="C445" s="254"/>
      <c r="D445" s="254"/>
      <c r="E445" s="254"/>
      <c r="F445" s="254"/>
      <c r="G445" s="254"/>
      <c r="H445" s="254"/>
      <c r="I445" s="254"/>
      <c r="J445" s="254"/>
      <c r="K445" s="254"/>
      <c r="L445" s="254"/>
      <c r="M445" s="254"/>
      <c r="N445" s="254"/>
      <c r="O445" s="254"/>
      <c r="P445" s="254"/>
      <c r="Q445" s="254"/>
      <c r="R445" s="254"/>
      <c r="S445" s="254"/>
      <c r="T445" s="254"/>
      <c r="U445" s="254"/>
      <c r="V445" s="254"/>
      <c r="W445" s="254"/>
      <c r="X445" s="254"/>
      <c r="Y445" s="254"/>
      <c r="Z445" s="254"/>
    </row>
    <row r="446">
      <c r="A446" s="254"/>
      <c r="B446" s="254"/>
      <c r="C446" s="254"/>
      <c r="D446" s="254"/>
      <c r="E446" s="254"/>
      <c r="F446" s="254"/>
      <c r="G446" s="254"/>
      <c r="H446" s="254"/>
      <c r="I446" s="254"/>
      <c r="J446" s="254"/>
      <c r="K446" s="254"/>
      <c r="L446" s="254"/>
      <c r="M446" s="254"/>
      <c r="N446" s="254"/>
      <c r="O446" s="254"/>
      <c r="P446" s="254"/>
      <c r="Q446" s="254"/>
      <c r="R446" s="254"/>
      <c r="S446" s="254"/>
      <c r="T446" s="254"/>
      <c r="U446" s="254"/>
      <c r="V446" s="254"/>
      <c r="W446" s="254"/>
      <c r="X446" s="254"/>
      <c r="Y446" s="254"/>
      <c r="Z446" s="254"/>
    </row>
    <row r="447">
      <c r="A447" s="254"/>
      <c r="B447" s="254"/>
      <c r="C447" s="254"/>
      <c r="D447" s="254"/>
      <c r="E447" s="254"/>
      <c r="F447" s="254"/>
      <c r="G447" s="254"/>
      <c r="H447" s="254"/>
      <c r="I447" s="254"/>
      <c r="J447" s="254"/>
      <c r="K447" s="254"/>
      <c r="L447" s="254"/>
      <c r="M447" s="254"/>
      <c r="N447" s="254"/>
      <c r="O447" s="254"/>
      <c r="P447" s="254"/>
      <c r="Q447" s="254"/>
      <c r="R447" s="254"/>
      <c r="S447" s="254"/>
      <c r="T447" s="254"/>
      <c r="U447" s="254"/>
      <c r="V447" s="254"/>
      <c r="W447" s="254"/>
      <c r="X447" s="254"/>
      <c r="Y447" s="254"/>
      <c r="Z447" s="254"/>
    </row>
    <row r="448">
      <c r="A448" s="254"/>
      <c r="B448" s="254"/>
      <c r="C448" s="254"/>
      <c r="D448" s="254"/>
      <c r="E448" s="254"/>
      <c r="F448" s="254"/>
      <c r="G448" s="254"/>
      <c r="H448" s="254"/>
      <c r="I448" s="254"/>
      <c r="J448" s="254"/>
      <c r="K448" s="254"/>
      <c r="L448" s="254"/>
      <c r="M448" s="254"/>
      <c r="N448" s="254"/>
      <c r="O448" s="254"/>
      <c r="P448" s="254"/>
      <c r="Q448" s="254"/>
      <c r="R448" s="254"/>
      <c r="S448" s="254"/>
      <c r="T448" s="254"/>
      <c r="U448" s="254"/>
      <c r="V448" s="254"/>
      <c r="W448" s="254"/>
      <c r="X448" s="254"/>
      <c r="Y448" s="254"/>
      <c r="Z448" s="254"/>
    </row>
    <row r="449">
      <c r="A449" s="254"/>
      <c r="B449" s="254"/>
      <c r="C449" s="254"/>
      <c r="D449" s="254"/>
      <c r="E449" s="254"/>
      <c r="F449" s="254"/>
      <c r="G449" s="254"/>
      <c r="H449" s="254"/>
      <c r="I449" s="254"/>
      <c r="J449" s="254"/>
      <c r="K449" s="254"/>
      <c r="L449" s="254"/>
      <c r="M449" s="254"/>
      <c r="N449" s="254"/>
      <c r="O449" s="254"/>
      <c r="P449" s="254"/>
      <c r="Q449" s="254"/>
      <c r="R449" s="254"/>
      <c r="S449" s="254"/>
      <c r="T449" s="254"/>
      <c r="U449" s="254"/>
      <c r="V449" s="254"/>
      <c r="W449" s="254"/>
      <c r="X449" s="254"/>
      <c r="Y449" s="254"/>
      <c r="Z449" s="254"/>
    </row>
    <row r="450">
      <c r="A450" s="254"/>
      <c r="B450" s="254"/>
      <c r="C450" s="254"/>
      <c r="D450" s="254"/>
      <c r="E450" s="254"/>
      <c r="F450" s="254"/>
      <c r="G450" s="254"/>
      <c r="H450" s="254"/>
      <c r="I450" s="254"/>
      <c r="J450" s="254"/>
      <c r="K450" s="254"/>
      <c r="L450" s="254"/>
      <c r="M450" s="254"/>
      <c r="N450" s="254"/>
      <c r="O450" s="254"/>
      <c r="P450" s="254"/>
      <c r="Q450" s="254"/>
      <c r="R450" s="254"/>
      <c r="S450" s="254"/>
      <c r="T450" s="254"/>
      <c r="U450" s="254"/>
      <c r="V450" s="254"/>
      <c r="W450" s="254"/>
      <c r="X450" s="254"/>
      <c r="Y450" s="254"/>
      <c r="Z450" s="254"/>
    </row>
    <row r="451">
      <c r="A451" s="254"/>
      <c r="B451" s="254"/>
      <c r="C451" s="254"/>
      <c r="D451" s="254"/>
      <c r="E451" s="254"/>
      <c r="F451" s="254"/>
      <c r="G451" s="254"/>
      <c r="H451" s="254"/>
      <c r="I451" s="254"/>
      <c r="J451" s="254"/>
      <c r="K451" s="254"/>
      <c r="L451" s="254"/>
      <c r="M451" s="254"/>
      <c r="N451" s="254"/>
      <c r="O451" s="254"/>
      <c r="P451" s="254"/>
      <c r="Q451" s="254"/>
      <c r="R451" s="254"/>
      <c r="S451" s="254"/>
      <c r="T451" s="254"/>
      <c r="U451" s="254"/>
      <c r="V451" s="254"/>
      <c r="W451" s="254"/>
      <c r="X451" s="254"/>
      <c r="Y451" s="254"/>
      <c r="Z451" s="254"/>
    </row>
    <row r="452">
      <c r="A452" s="254"/>
      <c r="B452" s="254"/>
      <c r="C452" s="254"/>
      <c r="D452" s="254"/>
      <c r="E452" s="254"/>
      <c r="F452" s="254"/>
      <c r="G452" s="254"/>
      <c r="H452" s="254"/>
      <c r="I452" s="254"/>
      <c r="J452" s="254"/>
      <c r="K452" s="254"/>
      <c r="L452" s="254"/>
      <c r="M452" s="254"/>
      <c r="N452" s="254"/>
      <c r="O452" s="254"/>
      <c r="P452" s="254"/>
      <c r="Q452" s="254"/>
      <c r="R452" s="254"/>
      <c r="S452" s="254"/>
      <c r="T452" s="254"/>
      <c r="U452" s="254"/>
      <c r="V452" s="254"/>
      <c r="W452" s="254"/>
      <c r="X452" s="254"/>
      <c r="Y452" s="254"/>
      <c r="Z452" s="254"/>
    </row>
    <row r="453">
      <c r="A453" s="254"/>
      <c r="B453" s="254"/>
      <c r="C453" s="254"/>
      <c r="D453" s="254"/>
      <c r="E453" s="254"/>
      <c r="F453" s="254"/>
      <c r="G453" s="254"/>
      <c r="H453" s="254"/>
      <c r="I453" s="254"/>
      <c r="J453" s="254"/>
      <c r="K453" s="254"/>
      <c r="L453" s="254"/>
      <c r="M453" s="254"/>
      <c r="N453" s="254"/>
      <c r="O453" s="254"/>
      <c r="P453" s="254"/>
      <c r="Q453" s="254"/>
      <c r="R453" s="254"/>
      <c r="S453" s="254"/>
      <c r="T453" s="254"/>
      <c r="U453" s="254"/>
      <c r="V453" s="254"/>
      <c r="W453" s="254"/>
      <c r="X453" s="254"/>
      <c r="Y453" s="254"/>
      <c r="Z453" s="254"/>
    </row>
    <row r="454">
      <c r="A454" s="254"/>
      <c r="B454" s="254"/>
      <c r="C454" s="254"/>
      <c r="D454" s="254"/>
      <c r="E454" s="254"/>
      <c r="F454" s="254"/>
      <c r="G454" s="254"/>
      <c r="H454" s="254"/>
      <c r="I454" s="254"/>
      <c r="J454" s="254"/>
      <c r="K454" s="254"/>
      <c r="L454" s="254"/>
      <c r="M454" s="254"/>
      <c r="N454" s="254"/>
      <c r="O454" s="254"/>
      <c r="P454" s="254"/>
      <c r="Q454" s="254"/>
      <c r="R454" s="254"/>
      <c r="S454" s="254"/>
      <c r="T454" s="254"/>
      <c r="U454" s="254"/>
      <c r="V454" s="254"/>
      <c r="W454" s="254"/>
      <c r="X454" s="254"/>
      <c r="Y454" s="254"/>
      <c r="Z454" s="254"/>
    </row>
    <row r="455">
      <c r="A455" s="254"/>
      <c r="B455" s="254"/>
      <c r="C455" s="254"/>
      <c r="D455" s="254"/>
      <c r="E455" s="254"/>
      <c r="F455" s="254"/>
      <c r="G455" s="254"/>
      <c r="H455" s="254"/>
      <c r="I455" s="254"/>
      <c r="J455" s="254"/>
      <c r="K455" s="254"/>
      <c r="L455" s="254"/>
      <c r="M455" s="254"/>
      <c r="N455" s="254"/>
      <c r="O455" s="254"/>
      <c r="P455" s="254"/>
      <c r="Q455" s="254"/>
      <c r="R455" s="254"/>
      <c r="S455" s="254"/>
      <c r="T455" s="254"/>
      <c r="U455" s="254"/>
      <c r="V455" s="254"/>
      <c r="W455" s="254"/>
      <c r="X455" s="254"/>
      <c r="Y455" s="254"/>
      <c r="Z455" s="254"/>
    </row>
    <row r="456">
      <c r="A456" s="254"/>
      <c r="B456" s="254"/>
      <c r="C456" s="254"/>
      <c r="D456" s="254"/>
      <c r="E456" s="254"/>
      <c r="F456" s="254"/>
      <c r="G456" s="254"/>
      <c r="H456" s="254"/>
      <c r="I456" s="254"/>
      <c r="J456" s="254"/>
      <c r="K456" s="254"/>
      <c r="L456" s="254"/>
      <c r="M456" s="254"/>
      <c r="N456" s="254"/>
      <c r="O456" s="254"/>
      <c r="P456" s="254"/>
      <c r="Q456" s="254"/>
      <c r="R456" s="254"/>
      <c r="S456" s="254"/>
      <c r="T456" s="254"/>
      <c r="U456" s="254"/>
      <c r="V456" s="254"/>
      <c r="W456" s="254"/>
      <c r="X456" s="254"/>
      <c r="Y456" s="254"/>
      <c r="Z456" s="254"/>
    </row>
    <row r="457">
      <c r="A457" s="254"/>
      <c r="B457" s="254"/>
      <c r="C457" s="254"/>
      <c r="D457" s="254"/>
      <c r="E457" s="254"/>
      <c r="F457" s="254"/>
      <c r="G457" s="254"/>
      <c r="H457" s="254"/>
      <c r="I457" s="254"/>
      <c r="J457" s="254"/>
      <c r="K457" s="254"/>
      <c r="L457" s="254"/>
      <c r="M457" s="254"/>
      <c r="N457" s="254"/>
      <c r="O457" s="254"/>
      <c r="P457" s="254"/>
      <c r="Q457" s="254"/>
      <c r="R457" s="254"/>
      <c r="S457" s="254"/>
      <c r="T457" s="254"/>
      <c r="U457" s="254"/>
      <c r="V457" s="254"/>
      <c r="W457" s="254"/>
      <c r="X457" s="254"/>
      <c r="Y457" s="254"/>
      <c r="Z457" s="254"/>
    </row>
    <row r="458">
      <c r="A458" s="254"/>
      <c r="B458" s="254"/>
      <c r="C458" s="254"/>
      <c r="D458" s="254"/>
      <c r="E458" s="254"/>
      <c r="F458" s="254"/>
      <c r="G458" s="254"/>
      <c r="H458" s="254"/>
      <c r="I458" s="254"/>
      <c r="J458" s="254"/>
      <c r="K458" s="254"/>
      <c r="L458" s="254"/>
      <c r="M458" s="254"/>
      <c r="N458" s="254"/>
      <c r="O458" s="254"/>
      <c r="P458" s="254"/>
      <c r="Q458" s="254"/>
      <c r="R458" s="254"/>
      <c r="S458" s="254"/>
      <c r="T458" s="254"/>
      <c r="U458" s="254"/>
      <c r="V458" s="254"/>
      <c r="W458" s="254"/>
      <c r="X458" s="254"/>
      <c r="Y458" s="254"/>
      <c r="Z458" s="254"/>
    </row>
    <row r="459">
      <c r="A459" s="254"/>
      <c r="B459" s="254"/>
      <c r="C459" s="254"/>
      <c r="D459" s="254"/>
      <c r="E459" s="254"/>
      <c r="F459" s="254"/>
      <c r="G459" s="254"/>
      <c r="H459" s="254"/>
      <c r="I459" s="254"/>
      <c r="J459" s="254"/>
      <c r="K459" s="254"/>
      <c r="L459" s="254"/>
      <c r="M459" s="254"/>
      <c r="N459" s="254"/>
      <c r="O459" s="254"/>
      <c r="P459" s="254"/>
      <c r="Q459" s="254"/>
      <c r="R459" s="254"/>
      <c r="S459" s="254"/>
      <c r="T459" s="254"/>
      <c r="U459" s="254"/>
      <c r="V459" s="254"/>
      <c r="W459" s="254"/>
      <c r="X459" s="254"/>
      <c r="Y459" s="254"/>
      <c r="Z459" s="254"/>
    </row>
    <row r="460">
      <c r="A460" s="254"/>
      <c r="B460" s="254"/>
      <c r="C460" s="254"/>
      <c r="D460" s="254"/>
      <c r="E460" s="254"/>
      <c r="F460" s="254"/>
      <c r="G460" s="254"/>
      <c r="H460" s="254"/>
      <c r="I460" s="254"/>
      <c r="J460" s="254"/>
      <c r="K460" s="254"/>
      <c r="L460" s="254"/>
      <c r="M460" s="254"/>
      <c r="N460" s="254"/>
      <c r="O460" s="254"/>
      <c r="P460" s="254"/>
      <c r="Q460" s="254"/>
      <c r="R460" s="254"/>
      <c r="S460" s="254"/>
      <c r="T460" s="254"/>
      <c r="U460" s="254"/>
      <c r="V460" s="254"/>
      <c r="W460" s="254"/>
      <c r="X460" s="254"/>
      <c r="Y460" s="254"/>
      <c r="Z460" s="254"/>
    </row>
    <row r="461">
      <c r="A461" s="254"/>
      <c r="B461" s="254"/>
      <c r="C461" s="254"/>
      <c r="D461" s="254"/>
      <c r="E461" s="254"/>
      <c r="F461" s="254"/>
      <c r="G461" s="254"/>
      <c r="H461" s="254"/>
      <c r="I461" s="254"/>
      <c r="J461" s="254"/>
      <c r="K461" s="254"/>
      <c r="L461" s="254"/>
      <c r="M461" s="254"/>
      <c r="N461" s="254"/>
      <c r="O461" s="254"/>
      <c r="P461" s="254"/>
      <c r="Q461" s="254"/>
      <c r="R461" s="254"/>
      <c r="S461" s="254"/>
      <c r="T461" s="254"/>
      <c r="U461" s="254"/>
      <c r="V461" s="254"/>
      <c r="W461" s="254"/>
      <c r="X461" s="254"/>
      <c r="Y461" s="254"/>
      <c r="Z461" s="254"/>
    </row>
    <row r="462">
      <c r="A462" s="254"/>
      <c r="B462" s="254"/>
      <c r="C462" s="254"/>
      <c r="D462" s="254"/>
      <c r="E462" s="254"/>
      <c r="F462" s="254"/>
      <c r="G462" s="254"/>
      <c r="H462" s="254"/>
      <c r="I462" s="254"/>
      <c r="J462" s="254"/>
      <c r="K462" s="254"/>
      <c r="L462" s="254"/>
      <c r="M462" s="254"/>
      <c r="N462" s="254"/>
      <c r="O462" s="254"/>
      <c r="P462" s="254"/>
      <c r="Q462" s="254"/>
      <c r="R462" s="254"/>
      <c r="S462" s="254"/>
      <c r="T462" s="254"/>
      <c r="U462" s="254"/>
      <c r="V462" s="254"/>
      <c r="W462" s="254"/>
      <c r="X462" s="254"/>
      <c r="Y462" s="254"/>
      <c r="Z462" s="254"/>
    </row>
    <row r="463">
      <c r="A463" s="254"/>
      <c r="B463" s="254"/>
      <c r="C463" s="254"/>
      <c r="D463" s="254"/>
      <c r="E463" s="254"/>
      <c r="F463" s="254"/>
      <c r="G463" s="254"/>
      <c r="H463" s="254"/>
      <c r="I463" s="254"/>
      <c r="J463" s="254"/>
      <c r="K463" s="254"/>
      <c r="L463" s="254"/>
      <c r="M463" s="254"/>
      <c r="N463" s="254"/>
      <c r="O463" s="254"/>
      <c r="P463" s="254"/>
      <c r="Q463" s="254"/>
      <c r="R463" s="254"/>
      <c r="S463" s="254"/>
      <c r="T463" s="254"/>
      <c r="U463" s="254"/>
      <c r="V463" s="254"/>
      <c r="W463" s="254"/>
      <c r="X463" s="254"/>
      <c r="Y463" s="254"/>
      <c r="Z463" s="254"/>
    </row>
    <row r="464">
      <c r="A464" s="254"/>
      <c r="B464" s="254"/>
      <c r="C464" s="254"/>
      <c r="D464" s="254"/>
      <c r="E464" s="254"/>
      <c r="F464" s="254"/>
      <c r="G464" s="254"/>
      <c r="H464" s="254"/>
      <c r="I464" s="254"/>
      <c r="J464" s="254"/>
      <c r="K464" s="254"/>
      <c r="L464" s="254"/>
      <c r="M464" s="254"/>
      <c r="N464" s="254"/>
      <c r="O464" s="254"/>
      <c r="P464" s="254"/>
      <c r="Q464" s="254"/>
      <c r="R464" s="254"/>
      <c r="S464" s="254"/>
      <c r="T464" s="254"/>
      <c r="U464" s="254"/>
      <c r="V464" s="254"/>
      <c r="W464" s="254"/>
      <c r="X464" s="254"/>
      <c r="Y464" s="254"/>
      <c r="Z464" s="254"/>
    </row>
    <row r="465">
      <c r="A465" s="254"/>
      <c r="B465" s="254"/>
      <c r="C465" s="254"/>
      <c r="D465" s="254"/>
      <c r="E465" s="254"/>
      <c r="F465" s="254"/>
      <c r="G465" s="254"/>
      <c r="H465" s="254"/>
      <c r="I465" s="254"/>
      <c r="J465" s="254"/>
      <c r="K465" s="254"/>
      <c r="L465" s="254"/>
      <c r="M465" s="254"/>
      <c r="N465" s="254"/>
      <c r="O465" s="254"/>
      <c r="P465" s="254"/>
      <c r="Q465" s="254"/>
      <c r="R465" s="254"/>
      <c r="S465" s="254"/>
      <c r="T465" s="254"/>
      <c r="U465" s="254"/>
      <c r="V465" s="254"/>
      <c r="W465" s="254"/>
      <c r="X465" s="254"/>
      <c r="Y465" s="254"/>
      <c r="Z465" s="254"/>
    </row>
    <row r="466">
      <c r="A466" s="254"/>
      <c r="B466" s="254"/>
      <c r="C466" s="254"/>
      <c r="D466" s="254"/>
      <c r="E466" s="254"/>
      <c r="F466" s="254"/>
      <c r="G466" s="254"/>
      <c r="H466" s="254"/>
      <c r="I466" s="254"/>
      <c r="J466" s="254"/>
      <c r="K466" s="254"/>
      <c r="L466" s="254"/>
      <c r="M466" s="254"/>
      <c r="N466" s="254"/>
      <c r="O466" s="254"/>
      <c r="P466" s="254"/>
      <c r="Q466" s="254"/>
      <c r="R466" s="254"/>
      <c r="S466" s="254"/>
      <c r="T466" s="254"/>
      <c r="U466" s="254"/>
      <c r="V466" s="254"/>
      <c r="W466" s="254"/>
      <c r="X466" s="254"/>
      <c r="Y466" s="254"/>
      <c r="Z466" s="254"/>
    </row>
    <row r="467">
      <c r="A467" s="254"/>
      <c r="B467" s="254"/>
      <c r="C467" s="254"/>
      <c r="D467" s="254"/>
      <c r="E467" s="254"/>
      <c r="F467" s="254"/>
      <c r="G467" s="254"/>
      <c r="H467" s="254"/>
      <c r="I467" s="254"/>
      <c r="J467" s="254"/>
      <c r="K467" s="254"/>
      <c r="L467" s="254"/>
      <c r="M467" s="254"/>
      <c r="N467" s="254"/>
      <c r="O467" s="254"/>
      <c r="P467" s="254"/>
      <c r="Q467" s="254"/>
      <c r="R467" s="254"/>
      <c r="S467" s="254"/>
      <c r="T467" s="254"/>
      <c r="U467" s="254"/>
      <c r="V467" s="254"/>
      <c r="W467" s="254"/>
      <c r="X467" s="254"/>
      <c r="Y467" s="254"/>
      <c r="Z467" s="254"/>
    </row>
    <row r="468">
      <c r="A468" s="254"/>
      <c r="B468" s="254"/>
      <c r="C468" s="254"/>
      <c r="D468" s="254"/>
      <c r="E468" s="254"/>
      <c r="F468" s="254"/>
      <c r="G468" s="254"/>
      <c r="H468" s="254"/>
      <c r="I468" s="254"/>
      <c r="J468" s="254"/>
      <c r="K468" s="254"/>
      <c r="L468" s="254"/>
      <c r="M468" s="254"/>
      <c r="N468" s="254"/>
      <c r="O468" s="254"/>
      <c r="P468" s="254"/>
      <c r="Q468" s="254"/>
      <c r="R468" s="254"/>
      <c r="S468" s="254"/>
      <c r="T468" s="254"/>
      <c r="U468" s="254"/>
      <c r="V468" s="254"/>
      <c r="W468" s="254"/>
      <c r="X468" s="254"/>
      <c r="Y468" s="254"/>
      <c r="Z468" s="254"/>
    </row>
    <row r="469">
      <c r="A469" s="254"/>
      <c r="B469" s="254"/>
      <c r="C469" s="254"/>
      <c r="D469" s="254"/>
      <c r="E469" s="254"/>
      <c r="F469" s="254"/>
      <c r="G469" s="254"/>
      <c r="H469" s="254"/>
      <c r="I469" s="254"/>
      <c r="J469" s="254"/>
      <c r="K469" s="254"/>
      <c r="L469" s="254"/>
      <c r="M469" s="254"/>
      <c r="N469" s="254"/>
      <c r="O469" s="254"/>
      <c r="P469" s="254"/>
      <c r="Q469" s="254"/>
      <c r="R469" s="254"/>
      <c r="S469" s="254"/>
      <c r="T469" s="254"/>
      <c r="U469" s="254"/>
      <c r="V469" s="254"/>
      <c r="W469" s="254"/>
      <c r="X469" s="254"/>
      <c r="Y469" s="254"/>
      <c r="Z469" s="254"/>
    </row>
    <row r="470">
      <c r="A470" s="254"/>
      <c r="B470" s="254"/>
      <c r="C470" s="254"/>
      <c r="D470" s="254"/>
      <c r="E470" s="254"/>
      <c r="F470" s="254"/>
      <c r="G470" s="254"/>
      <c r="H470" s="254"/>
      <c r="I470" s="254"/>
      <c r="J470" s="254"/>
      <c r="K470" s="254"/>
      <c r="L470" s="254"/>
      <c r="M470" s="254"/>
      <c r="N470" s="254"/>
      <c r="O470" s="254"/>
      <c r="P470" s="254"/>
      <c r="Q470" s="254"/>
      <c r="R470" s="254"/>
      <c r="S470" s="254"/>
      <c r="T470" s="254"/>
      <c r="U470" s="254"/>
      <c r="V470" s="254"/>
      <c r="W470" s="254"/>
      <c r="X470" s="254"/>
      <c r="Y470" s="254"/>
      <c r="Z470" s="254"/>
    </row>
    <row r="471">
      <c r="A471" s="254"/>
      <c r="B471" s="254"/>
      <c r="C471" s="254"/>
      <c r="D471" s="254"/>
      <c r="E471" s="254"/>
      <c r="F471" s="254"/>
      <c r="G471" s="254"/>
      <c r="H471" s="254"/>
      <c r="I471" s="254"/>
      <c r="J471" s="254"/>
      <c r="K471" s="254"/>
      <c r="L471" s="254"/>
      <c r="M471" s="254"/>
      <c r="N471" s="254"/>
      <c r="O471" s="254"/>
      <c r="P471" s="254"/>
      <c r="Q471" s="254"/>
      <c r="R471" s="254"/>
      <c r="S471" s="254"/>
      <c r="T471" s="254"/>
      <c r="U471" s="254"/>
      <c r="V471" s="254"/>
      <c r="W471" s="254"/>
      <c r="X471" s="254"/>
      <c r="Y471" s="254"/>
      <c r="Z471" s="254"/>
    </row>
    <row r="472">
      <c r="A472" s="254"/>
      <c r="B472" s="254"/>
      <c r="C472" s="254"/>
      <c r="D472" s="254"/>
      <c r="E472" s="254"/>
      <c r="F472" s="254"/>
      <c r="G472" s="254"/>
      <c r="H472" s="254"/>
      <c r="I472" s="254"/>
      <c r="J472" s="254"/>
      <c r="K472" s="254"/>
      <c r="L472" s="254"/>
      <c r="M472" s="254"/>
      <c r="N472" s="254"/>
      <c r="O472" s="254"/>
      <c r="P472" s="254"/>
      <c r="Q472" s="254"/>
      <c r="R472" s="254"/>
      <c r="S472" s="254"/>
      <c r="T472" s="254"/>
      <c r="U472" s="254"/>
      <c r="V472" s="254"/>
      <c r="W472" s="254"/>
      <c r="X472" s="254"/>
      <c r="Y472" s="254"/>
      <c r="Z472" s="254"/>
    </row>
    <row r="473">
      <c r="A473" s="254"/>
      <c r="B473" s="254"/>
      <c r="C473" s="254"/>
      <c r="D473" s="254"/>
      <c r="E473" s="254"/>
      <c r="F473" s="254"/>
      <c r="G473" s="254"/>
      <c r="H473" s="254"/>
      <c r="I473" s="254"/>
      <c r="J473" s="254"/>
      <c r="K473" s="254"/>
      <c r="L473" s="254"/>
      <c r="M473" s="254"/>
      <c r="N473" s="254"/>
      <c r="O473" s="254"/>
      <c r="P473" s="254"/>
      <c r="Q473" s="254"/>
      <c r="R473" s="254"/>
      <c r="S473" s="254"/>
      <c r="T473" s="254"/>
      <c r="U473" s="254"/>
      <c r="V473" s="254"/>
      <c r="W473" s="254"/>
      <c r="X473" s="254"/>
      <c r="Y473" s="254"/>
      <c r="Z473" s="254"/>
    </row>
    <row r="474">
      <c r="A474" s="254"/>
      <c r="B474" s="254"/>
      <c r="C474" s="254"/>
      <c r="D474" s="254"/>
      <c r="E474" s="254"/>
      <c r="F474" s="254"/>
      <c r="G474" s="254"/>
      <c r="H474" s="254"/>
      <c r="I474" s="254"/>
      <c r="J474" s="254"/>
      <c r="K474" s="254"/>
      <c r="L474" s="254"/>
      <c r="M474" s="254"/>
      <c r="N474" s="254"/>
      <c r="O474" s="254"/>
      <c r="P474" s="254"/>
      <c r="Q474" s="254"/>
      <c r="R474" s="254"/>
      <c r="S474" s="254"/>
      <c r="T474" s="254"/>
      <c r="U474" s="254"/>
      <c r="V474" s="254"/>
      <c r="W474" s="254"/>
      <c r="X474" s="254"/>
      <c r="Y474" s="254"/>
      <c r="Z474" s="254"/>
    </row>
    <row r="475">
      <c r="A475" s="254"/>
      <c r="B475" s="254"/>
      <c r="C475" s="254"/>
      <c r="D475" s="254"/>
      <c r="E475" s="254"/>
      <c r="F475" s="254"/>
      <c r="G475" s="254"/>
      <c r="H475" s="254"/>
      <c r="I475" s="254"/>
      <c r="J475" s="254"/>
      <c r="K475" s="254"/>
      <c r="L475" s="254"/>
      <c r="M475" s="254"/>
      <c r="N475" s="254"/>
      <c r="O475" s="254"/>
      <c r="P475" s="254"/>
      <c r="Q475" s="254"/>
      <c r="R475" s="254"/>
      <c r="S475" s="254"/>
      <c r="T475" s="254"/>
      <c r="U475" s="254"/>
      <c r="V475" s="254"/>
      <c r="W475" s="254"/>
      <c r="X475" s="254"/>
      <c r="Y475" s="254"/>
      <c r="Z475" s="254"/>
    </row>
    <row r="476">
      <c r="A476" s="254"/>
      <c r="B476" s="254"/>
      <c r="C476" s="254"/>
      <c r="D476" s="254"/>
      <c r="E476" s="254"/>
      <c r="F476" s="254"/>
      <c r="G476" s="254"/>
      <c r="H476" s="254"/>
      <c r="I476" s="254"/>
      <c r="J476" s="254"/>
      <c r="K476" s="254"/>
      <c r="L476" s="254"/>
      <c r="M476" s="254"/>
      <c r="N476" s="254"/>
      <c r="O476" s="254"/>
      <c r="P476" s="254"/>
      <c r="Q476" s="254"/>
      <c r="R476" s="254"/>
      <c r="S476" s="254"/>
      <c r="T476" s="254"/>
      <c r="U476" s="254"/>
      <c r="V476" s="254"/>
      <c r="W476" s="254"/>
      <c r="X476" s="254"/>
      <c r="Y476" s="254"/>
      <c r="Z476" s="254"/>
    </row>
    <row r="477">
      <c r="A477" s="254"/>
      <c r="B477" s="254"/>
      <c r="C477" s="254"/>
      <c r="D477" s="254"/>
      <c r="E477" s="254"/>
      <c r="F477" s="254"/>
      <c r="G477" s="254"/>
      <c r="H477" s="254"/>
      <c r="I477" s="254"/>
      <c r="J477" s="254"/>
      <c r="K477" s="254"/>
      <c r="L477" s="254"/>
      <c r="M477" s="254"/>
      <c r="N477" s="254"/>
      <c r="O477" s="254"/>
      <c r="P477" s="254"/>
      <c r="Q477" s="254"/>
      <c r="R477" s="254"/>
      <c r="S477" s="254"/>
      <c r="T477" s="254"/>
      <c r="U477" s="254"/>
      <c r="V477" s="254"/>
      <c r="W477" s="254"/>
      <c r="X477" s="254"/>
      <c r="Y477" s="254"/>
      <c r="Z477" s="254"/>
    </row>
    <row r="478">
      <c r="A478" s="254"/>
      <c r="B478" s="254"/>
      <c r="C478" s="254"/>
      <c r="D478" s="254"/>
      <c r="E478" s="254"/>
      <c r="F478" s="254"/>
      <c r="G478" s="254"/>
      <c r="H478" s="254"/>
      <c r="I478" s="254"/>
      <c r="J478" s="254"/>
      <c r="K478" s="254"/>
      <c r="L478" s="254"/>
      <c r="M478" s="254"/>
      <c r="N478" s="254"/>
      <c r="O478" s="254"/>
      <c r="P478" s="254"/>
      <c r="Q478" s="254"/>
      <c r="R478" s="254"/>
      <c r="S478" s="254"/>
      <c r="T478" s="254"/>
      <c r="U478" s="254"/>
      <c r="V478" s="254"/>
      <c r="W478" s="254"/>
      <c r="X478" s="254"/>
      <c r="Y478" s="254"/>
      <c r="Z478" s="254"/>
    </row>
    <row r="479">
      <c r="A479" s="254"/>
      <c r="B479" s="254"/>
      <c r="C479" s="254"/>
      <c r="D479" s="254"/>
      <c r="E479" s="254"/>
      <c r="F479" s="254"/>
      <c r="G479" s="254"/>
      <c r="H479" s="254"/>
      <c r="I479" s="254"/>
      <c r="J479" s="254"/>
      <c r="K479" s="254"/>
      <c r="L479" s="254"/>
      <c r="M479" s="254"/>
      <c r="N479" s="254"/>
      <c r="O479" s="254"/>
      <c r="P479" s="254"/>
      <c r="Q479" s="254"/>
      <c r="R479" s="254"/>
      <c r="S479" s="254"/>
      <c r="T479" s="254"/>
      <c r="U479" s="254"/>
      <c r="V479" s="254"/>
      <c r="W479" s="254"/>
      <c r="X479" s="254"/>
      <c r="Y479" s="254"/>
      <c r="Z479" s="254"/>
    </row>
    <row r="480">
      <c r="A480" s="254"/>
      <c r="B480" s="254"/>
      <c r="C480" s="254"/>
      <c r="D480" s="254"/>
      <c r="E480" s="254"/>
      <c r="F480" s="254"/>
      <c r="G480" s="254"/>
      <c r="H480" s="254"/>
      <c r="I480" s="254"/>
      <c r="J480" s="254"/>
      <c r="K480" s="254"/>
      <c r="L480" s="254"/>
      <c r="M480" s="254"/>
      <c r="N480" s="254"/>
      <c r="O480" s="254"/>
      <c r="P480" s="254"/>
      <c r="Q480" s="254"/>
      <c r="R480" s="254"/>
      <c r="S480" s="254"/>
      <c r="T480" s="254"/>
      <c r="U480" s="254"/>
      <c r="V480" s="254"/>
      <c r="W480" s="254"/>
      <c r="X480" s="254"/>
      <c r="Y480" s="254"/>
      <c r="Z480" s="254"/>
    </row>
    <row r="481">
      <c r="A481" s="254"/>
      <c r="B481" s="254"/>
      <c r="C481" s="254"/>
      <c r="D481" s="254"/>
      <c r="E481" s="254"/>
      <c r="F481" s="254"/>
      <c r="G481" s="254"/>
      <c r="H481" s="254"/>
      <c r="I481" s="254"/>
      <c r="J481" s="254"/>
      <c r="K481" s="254"/>
      <c r="L481" s="254"/>
      <c r="M481" s="254"/>
      <c r="N481" s="254"/>
      <c r="O481" s="254"/>
      <c r="P481" s="254"/>
      <c r="Q481" s="254"/>
      <c r="R481" s="254"/>
      <c r="S481" s="254"/>
      <c r="T481" s="254"/>
      <c r="U481" s="254"/>
      <c r="V481" s="254"/>
      <c r="W481" s="254"/>
      <c r="X481" s="254"/>
      <c r="Y481" s="254"/>
      <c r="Z481" s="254"/>
    </row>
    <row r="482">
      <c r="A482" s="254"/>
      <c r="B482" s="254"/>
      <c r="C482" s="254"/>
      <c r="D482" s="254"/>
      <c r="E482" s="254"/>
      <c r="F482" s="254"/>
      <c r="G482" s="254"/>
      <c r="H482" s="254"/>
      <c r="I482" s="254"/>
      <c r="J482" s="254"/>
      <c r="K482" s="254"/>
      <c r="L482" s="254"/>
      <c r="M482" s="254"/>
      <c r="N482" s="254"/>
      <c r="O482" s="254"/>
      <c r="P482" s="254"/>
      <c r="Q482" s="254"/>
      <c r="R482" s="254"/>
      <c r="S482" s="254"/>
      <c r="T482" s="254"/>
      <c r="U482" s="254"/>
      <c r="V482" s="254"/>
      <c r="W482" s="254"/>
      <c r="X482" s="254"/>
      <c r="Y482" s="254"/>
      <c r="Z482" s="254"/>
    </row>
    <row r="483">
      <c r="A483" s="254"/>
      <c r="B483" s="254"/>
      <c r="C483" s="254"/>
      <c r="D483" s="254"/>
      <c r="E483" s="254"/>
      <c r="F483" s="254"/>
      <c r="G483" s="254"/>
      <c r="H483" s="254"/>
      <c r="I483" s="254"/>
      <c r="J483" s="254"/>
      <c r="K483" s="254"/>
      <c r="L483" s="254"/>
      <c r="M483" s="254"/>
      <c r="N483" s="254"/>
      <c r="O483" s="254"/>
      <c r="P483" s="254"/>
      <c r="Q483" s="254"/>
      <c r="R483" s="254"/>
      <c r="S483" s="254"/>
      <c r="T483" s="254"/>
      <c r="U483" s="254"/>
      <c r="V483" s="254"/>
      <c r="W483" s="254"/>
      <c r="X483" s="254"/>
      <c r="Y483" s="254"/>
      <c r="Z483" s="254"/>
    </row>
    <row r="484">
      <c r="A484" s="254"/>
      <c r="B484" s="254"/>
      <c r="C484" s="254"/>
      <c r="D484" s="254"/>
      <c r="E484" s="254"/>
      <c r="F484" s="254"/>
      <c r="G484" s="254"/>
      <c r="H484" s="254"/>
      <c r="I484" s="254"/>
      <c r="J484" s="254"/>
      <c r="K484" s="254"/>
      <c r="L484" s="254"/>
      <c r="M484" s="254"/>
      <c r="N484" s="254"/>
      <c r="O484" s="254"/>
      <c r="P484" s="254"/>
      <c r="Q484" s="254"/>
      <c r="R484" s="254"/>
      <c r="S484" s="254"/>
      <c r="T484" s="254"/>
      <c r="U484" s="254"/>
      <c r="V484" s="254"/>
      <c r="W484" s="254"/>
      <c r="X484" s="254"/>
      <c r="Y484" s="254"/>
      <c r="Z484" s="254"/>
    </row>
    <row r="485">
      <c r="A485" s="254"/>
      <c r="B485" s="254"/>
      <c r="C485" s="254"/>
      <c r="D485" s="254"/>
      <c r="E485" s="254"/>
      <c r="F485" s="254"/>
      <c r="G485" s="254"/>
      <c r="H485" s="254"/>
      <c r="I485" s="254"/>
      <c r="J485" s="254"/>
      <c r="K485" s="254"/>
      <c r="L485" s="254"/>
      <c r="M485" s="254"/>
      <c r="N485" s="254"/>
      <c r="O485" s="254"/>
      <c r="P485" s="254"/>
      <c r="Q485" s="254"/>
      <c r="R485" s="254"/>
      <c r="S485" s="254"/>
      <c r="T485" s="254"/>
      <c r="U485" s="254"/>
      <c r="V485" s="254"/>
      <c r="W485" s="254"/>
      <c r="X485" s="254"/>
      <c r="Y485" s="254"/>
      <c r="Z485" s="254"/>
    </row>
    <row r="486">
      <c r="A486" s="254"/>
      <c r="B486" s="254"/>
      <c r="C486" s="254"/>
      <c r="D486" s="254"/>
      <c r="E486" s="254"/>
      <c r="F486" s="254"/>
      <c r="G486" s="254"/>
      <c r="H486" s="254"/>
      <c r="I486" s="254"/>
      <c r="J486" s="254"/>
      <c r="K486" s="254"/>
      <c r="L486" s="254"/>
      <c r="M486" s="254"/>
      <c r="N486" s="254"/>
      <c r="O486" s="254"/>
      <c r="P486" s="254"/>
      <c r="Q486" s="254"/>
      <c r="R486" s="254"/>
      <c r="S486" s="254"/>
      <c r="T486" s="254"/>
      <c r="U486" s="254"/>
      <c r="V486" s="254"/>
      <c r="W486" s="254"/>
      <c r="X486" s="254"/>
      <c r="Y486" s="254"/>
      <c r="Z486" s="254"/>
    </row>
    <row r="487">
      <c r="A487" s="254"/>
      <c r="B487" s="254"/>
      <c r="C487" s="254"/>
      <c r="D487" s="254"/>
      <c r="E487" s="254"/>
      <c r="F487" s="254"/>
      <c r="G487" s="254"/>
      <c r="H487" s="254"/>
      <c r="I487" s="254"/>
      <c r="J487" s="254"/>
      <c r="K487" s="254"/>
      <c r="L487" s="254"/>
      <c r="M487" s="254"/>
      <c r="N487" s="254"/>
      <c r="O487" s="254"/>
      <c r="P487" s="254"/>
      <c r="Q487" s="254"/>
      <c r="R487" s="254"/>
      <c r="S487" s="254"/>
      <c r="T487" s="254"/>
      <c r="U487" s="254"/>
      <c r="V487" s="254"/>
      <c r="W487" s="254"/>
      <c r="X487" s="254"/>
      <c r="Y487" s="254"/>
      <c r="Z487" s="254"/>
    </row>
    <row r="488">
      <c r="A488" s="254"/>
      <c r="B488" s="254"/>
      <c r="C488" s="254"/>
      <c r="D488" s="254"/>
      <c r="E488" s="254"/>
      <c r="F488" s="254"/>
      <c r="G488" s="254"/>
      <c r="H488" s="254"/>
      <c r="I488" s="254"/>
      <c r="J488" s="254"/>
      <c r="K488" s="254"/>
      <c r="L488" s="254"/>
      <c r="M488" s="254"/>
      <c r="N488" s="254"/>
      <c r="O488" s="254"/>
      <c r="P488" s="254"/>
      <c r="Q488" s="254"/>
      <c r="R488" s="254"/>
      <c r="S488" s="254"/>
      <c r="T488" s="254"/>
      <c r="U488" s="254"/>
      <c r="V488" s="254"/>
      <c r="W488" s="254"/>
      <c r="X488" s="254"/>
      <c r="Y488" s="254"/>
      <c r="Z488" s="254"/>
    </row>
    <row r="489">
      <c r="A489" s="254"/>
      <c r="B489" s="254"/>
      <c r="C489" s="254"/>
      <c r="D489" s="254"/>
      <c r="E489" s="254"/>
      <c r="F489" s="254"/>
      <c r="G489" s="254"/>
      <c r="H489" s="254"/>
      <c r="I489" s="254"/>
      <c r="J489" s="254"/>
      <c r="K489" s="254"/>
      <c r="L489" s="254"/>
      <c r="M489" s="254"/>
      <c r="N489" s="254"/>
      <c r="O489" s="254"/>
      <c r="P489" s="254"/>
      <c r="Q489" s="254"/>
      <c r="R489" s="254"/>
      <c r="S489" s="254"/>
      <c r="T489" s="254"/>
      <c r="U489" s="254"/>
      <c r="V489" s="254"/>
      <c r="W489" s="254"/>
      <c r="X489" s="254"/>
      <c r="Y489" s="254"/>
      <c r="Z489" s="254"/>
    </row>
    <row r="490">
      <c r="A490" s="254"/>
      <c r="B490" s="254"/>
      <c r="C490" s="254"/>
      <c r="D490" s="254"/>
      <c r="E490" s="254"/>
      <c r="F490" s="254"/>
      <c r="G490" s="254"/>
      <c r="H490" s="254"/>
      <c r="I490" s="254"/>
      <c r="J490" s="254"/>
      <c r="K490" s="254"/>
      <c r="L490" s="254"/>
      <c r="M490" s="254"/>
      <c r="N490" s="254"/>
      <c r="O490" s="254"/>
      <c r="P490" s="254"/>
      <c r="Q490" s="254"/>
      <c r="R490" s="254"/>
      <c r="S490" s="254"/>
      <c r="T490" s="254"/>
      <c r="U490" s="254"/>
      <c r="V490" s="254"/>
      <c r="W490" s="254"/>
      <c r="X490" s="254"/>
      <c r="Y490" s="254"/>
      <c r="Z490" s="254"/>
    </row>
    <row r="491">
      <c r="A491" s="254"/>
      <c r="B491" s="254"/>
      <c r="C491" s="254"/>
      <c r="D491" s="254"/>
      <c r="E491" s="254"/>
      <c r="F491" s="254"/>
      <c r="G491" s="254"/>
      <c r="H491" s="254"/>
      <c r="I491" s="254"/>
      <c r="J491" s="254"/>
      <c r="K491" s="254"/>
      <c r="L491" s="254"/>
      <c r="M491" s="254"/>
      <c r="N491" s="254"/>
      <c r="O491" s="254"/>
      <c r="P491" s="254"/>
      <c r="Q491" s="254"/>
      <c r="R491" s="254"/>
      <c r="S491" s="254"/>
      <c r="T491" s="254"/>
      <c r="U491" s="254"/>
      <c r="V491" s="254"/>
      <c r="W491" s="254"/>
      <c r="X491" s="254"/>
      <c r="Y491" s="254"/>
      <c r="Z491" s="254"/>
    </row>
    <row r="492">
      <c r="A492" s="254"/>
      <c r="B492" s="254"/>
      <c r="C492" s="254"/>
      <c r="D492" s="254"/>
      <c r="E492" s="254"/>
      <c r="F492" s="254"/>
      <c r="G492" s="254"/>
      <c r="H492" s="254"/>
      <c r="I492" s="254"/>
      <c r="J492" s="254"/>
      <c r="K492" s="254"/>
      <c r="L492" s="254"/>
      <c r="M492" s="254"/>
      <c r="N492" s="254"/>
      <c r="O492" s="254"/>
      <c r="P492" s="254"/>
      <c r="Q492" s="254"/>
      <c r="R492" s="254"/>
      <c r="S492" s="254"/>
      <c r="T492" s="254"/>
      <c r="U492" s="254"/>
      <c r="V492" s="254"/>
      <c r="W492" s="254"/>
      <c r="X492" s="254"/>
      <c r="Y492" s="254"/>
      <c r="Z492" s="254"/>
    </row>
    <row r="493">
      <c r="A493" s="254"/>
      <c r="B493" s="254"/>
      <c r="C493" s="254"/>
      <c r="D493" s="254"/>
      <c r="E493" s="254"/>
      <c r="F493" s="254"/>
      <c r="G493" s="254"/>
      <c r="H493" s="254"/>
      <c r="I493" s="254"/>
      <c r="J493" s="254"/>
      <c r="K493" s="254"/>
      <c r="L493" s="254"/>
      <c r="M493" s="254"/>
      <c r="N493" s="254"/>
      <c r="O493" s="254"/>
      <c r="P493" s="254"/>
      <c r="Q493" s="254"/>
      <c r="R493" s="254"/>
      <c r="S493" s="254"/>
      <c r="T493" s="254"/>
      <c r="U493" s="254"/>
      <c r="V493" s="254"/>
      <c r="W493" s="254"/>
      <c r="X493" s="254"/>
      <c r="Y493" s="254"/>
      <c r="Z493" s="254"/>
    </row>
    <row r="494">
      <c r="A494" s="254"/>
      <c r="B494" s="254"/>
      <c r="C494" s="254"/>
      <c r="D494" s="254"/>
      <c r="E494" s="254"/>
      <c r="F494" s="254"/>
      <c r="G494" s="254"/>
      <c r="H494" s="254"/>
      <c r="I494" s="254"/>
      <c r="J494" s="254"/>
      <c r="K494" s="254"/>
      <c r="L494" s="254"/>
      <c r="M494" s="254"/>
      <c r="N494" s="254"/>
      <c r="O494" s="254"/>
      <c r="P494" s="254"/>
      <c r="Q494" s="254"/>
      <c r="R494" s="254"/>
      <c r="S494" s="254"/>
      <c r="T494" s="254"/>
      <c r="U494" s="254"/>
      <c r="V494" s="254"/>
      <c r="W494" s="254"/>
      <c r="X494" s="254"/>
      <c r="Y494" s="254"/>
      <c r="Z494" s="254"/>
    </row>
    <row r="495">
      <c r="A495" s="254"/>
      <c r="B495" s="254"/>
      <c r="C495" s="254"/>
      <c r="D495" s="254"/>
      <c r="E495" s="254"/>
      <c r="F495" s="254"/>
      <c r="G495" s="254"/>
      <c r="H495" s="254"/>
      <c r="I495" s="254"/>
      <c r="J495" s="254"/>
      <c r="K495" s="254"/>
      <c r="L495" s="254"/>
      <c r="M495" s="254"/>
      <c r="N495" s="254"/>
      <c r="O495" s="254"/>
      <c r="P495" s="254"/>
      <c r="Q495" s="254"/>
      <c r="R495" s="254"/>
      <c r="S495" s="254"/>
      <c r="T495" s="254"/>
      <c r="U495" s="254"/>
      <c r="V495" s="254"/>
      <c r="W495" s="254"/>
      <c r="X495" s="254"/>
      <c r="Y495" s="254"/>
      <c r="Z495" s="254"/>
    </row>
    <row r="496">
      <c r="A496" s="254"/>
      <c r="B496" s="254"/>
      <c r="C496" s="254"/>
      <c r="D496" s="254"/>
      <c r="E496" s="254"/>
      <c r="F496" s="254"/>
      <c r="G496" s="254"/>
      <c r="H496" s="254"/>
      <c r="I496" s="254"/>
      <c r="J496" s="254"/>
      <c r="K496" s="254"/>
      <c r="L496" s="254"/>
      <c r="M496" s="254"/>
      <c r="N496" s="254"/>
      <c r="O496" s="254"/>
      <c r="P496" s="254"/>
      <c r="Q496" s="254"/>
      <c r="R496" s="254"/>
      <c r="S496" s="254"/>
      <c r="T496" s="254"/>
      <c r="U496" s="254"/>
      <c r="V496" s="254"/>
      <c r="W496" s="254"/>
      <c r="X496" s="254"/>
      <c r="Y496" s="254"/>
      <c r="Z496" s="254"/>
    </row>
    <row r="497">
      <c r="A497" s="254"/>
      <c r="B497" s="254"/>
      <c r="C497" s="254"/>
      <c r="D497" s="254"/>
      <c r="E497" s="254"/>
      <c r="F497" s="254"/>
      <c r="G497" s="254"/>
      <c r="H497" s="254"/>
      <c r="I497" s="254"/>
      <c r="J497" s="254"/>
      <c r="K497" s="254"/>
      <c r="L497" s="254"/>
      <c r="M497" s="254"/>
      <c r="N497" s="254"/>
      <c r="O497" s="254"/>
      <c r="P497" s="254"/>
      <c r="Q497" s="254"/>
      <c r="R497" s="254"/>
      <c r="S497" s="254"/>
      <c r="T497" s="254"/>
      <c r="U497" s="254"/>
      <c r="V497" s="254"/>
      <c r="W497" s="254"/>
      <c r="X497" s="254"/>
      <c r="Y497" s="254"/>
      <c r="Z497" s="254"/>
    </row>
    <row r="498">
      <c r="A498" s="254"/>
      <c r="B498" s="254"/>
      <c r="C498" s="254"/>
      <c r="D498" s="254"/>
      <c r="E498" s="254"/>
      <c r="F498" s="254"/>
      <c r="G498" s="254"/>
      <c r="H498" s="254"/>
      <c r="I498" s="254"/>
      <c r="J498" s="254"/>
      <c r="K498" s="254"/>
      <c r="L498" s="254"/>
      <c r="M498" s="254"/>
      <c r="N498" s="254"/>
      <c r="O498" s="254"/>
      <c r="P498" s="254"/>
      <c r="Q498" s="254"/>
      <c r="R498" s="254"/>
      <c r="S498" s="254"/>
      <c r="T498" s="254"/>
      <c r="U498" s="254"/>
      <c r="V498" s="254"/>
      <c r="W498" s="254"/>
      <c r="X498" s="254"/>
      <c r="Y498" s="254"/>
      <c r="Z498" s="254"/>
    </row>
    <row r="499">
      <c r="A499" s="254"/>
      <c r="B499" s="254"/>
      <c r="C499" s="254"/>
      <c r="D499" s="254"/>
      <c r="E499" s="254"/>
      <c r="F499" s="254"/>
      <c r="G499" s="254"/>
      <c r="H499" s="254"/>
      <c r="I499" s="254"/>
      <c r="J499" s="254"/>
      <c r="K499" s="254"/>
      <c r="L499" s="254"/>
      <c r="M499" s="254"/>
      <c r="N499" s="254"/>
      <c r="O499" s="254"/>
      <c r="P499" s="254"/>
      <c r="Q499" s="254"/>
      <c r="R499" s="254"/>
      <c r="S499" s="254"/>
      <c r="T499" s="254"/>
      <c r="U499" s="254"/>
      <c r="V499" s="254"/>
      <c r="W499" s="254"/>
      <c r="X499" s="254"/>
      <c r="Y499" s="254"/>
      <c r="Z499" s="254"/>
    </row>
    <row r="500">
      <c r="A500" s="254"/>
      <c r="B500" s="254"/>
      <c r="C500" s="254"/>
      <c r="D500" s="254"/>
      <c r="E500" s="254"/>
      <c r="F500" s="254"/>
      <c r="G500" s="254"/>
      <c r="H500" s="254"/>
      <c r="I500" s="254"/>
      <c r="J500" s="254"/>
      <c r="K500" s="254"/>
      <c r="L500" s="254"/>
      <c r="M500" s="254"/>
      <c r="N500" s="254"/>
      <c r="O500" s="254"/>
      <c r="P500" s="254"/>
      <c r="Q500" s="254"/>
      <c r="R500" s="254"/>
      <c r="S500" s="254"/>
      <c r="T500" s="254"/>
      <c r="U500" s="254"/>
      <c r="V500" s="254"/>
      <c r="W500" s="254"/>
      <c r="X500" s="254"/>
      <c r="Y500" s="254"/>
      <c r="Z500" s="254"/>
    </row>
    <row r="501">
      <c r="A501" s="254"/>
      <c r="B501" s="254"/>
      <c r="C501" s="254"/>
      <c r="D501" s="254"/>
      <c r="E501" s="254"/>
      <c r="F501" s="254"/>
      <c r="G501" s="254"/>
      <c r="H501" s="254"/>
      <c r="I501" s="254"/>
      <c r="J501" s="254"/>
      <c r="K501" s="254"/>
      <c r="L501" s="254"/>
      <c r="M501" s="254"/>
      <c r="N501" s="254"/>
      <c r="O501" s="254"/>
      <c r="P501" s="254"/>
      <c r="Q501" s="254"/>
      <c r="R501" s="254"/>
      <c r="S501" s="254"/>
      <c r="T501" s="254"/>
      <c r="U501" s="254"/>
      <c r="V501" s="254"/>
      <c r="W501" s="254"/>
      <c r="X501" s="254"/>
      <c r="Y501" s="254"/>
      <c r="Z501" s="254"/>
    </row>
    <row r="502">
      <c r="A502" s="254"/>
      <c r="B502" s="254"/>
      <c r="C502" s="254"/>
      <c r="D502" s="254"/>
      <c r="E502" s="254"/>
      <c r="F502" s="254"/>
      <c r="G502" s="254"/>
      <c r="H502" s="254"/>
      <c r="I502" s="254"/>
      <c r="J502" s="254"/>
      <c r="K502" s="254"/>
      <c r="L502" s="254"/>
      <c r="M502" s="254"/>
      <c r="N502" s="254"/>
      <c r="O502" s="254"/>
      <c r="P502" s="254"/>
      <c r="Q502" s="254"/>
      <c r="R502" s="254"/>
      <c r="S502" s="254"/>
      <c r="T502" s="254"/>
      <c r="U502" s="254"/>
      <c r="V502" s="254"/>
      <c r="W502" s="254"/>
      <c r="X502" s="254"/>
      <c r="Y502" s="254"/>
      <c r="Z502" s="254"/>
    </row>
    <row r="503">
      <c r="A503" s="254"/>
      <c r="B503" s="254"/>
      <c r="C503" s="254"/>
      <c r="D503" s="254"/>
      <c r="E503" s="254"/>
      <c r="F503" s="254"/>
      <c r="G503" s="254"/>
      <c r="H503" s="254"/>
      <c r="I503" s="254"/>
      <c r="J503" s="254"/>
      <c r="K503" s="254"/>
      <c r="L503" s="254"/>
      <c r="M503" s="254"/>
      <c r="N503" s="254"/>
      <c r="O503" s="254"/>
      <c r="P503" s="254"/>
      <c r="Q503" s="254"/>
      <c r="R503" s="254"/>
      <c r="S503" s="254"/>
      <c r="T503" s="254"/>
      <c r="U503" s="254"/>
      <c r="V503" s="254"/>
      <c r="W503" s="254"/>
      <c r="X503" s="254"/>
      <c r="Y503" s="254"/>
      <c r="Z503" s="254"/>
    </row>
    <row r="504">
      <c r="A504" s="254"/>
      <c r="B504" s="254"/>
      <c r="C504" s="254"/>
      <c r="D504" s="254"/>
      <c r="E504" s="254"/>
      <c r="F504" s="254"/>
      <c r="G504" s="254"/>
      <c r="H504" s="254"/>
      <c r="I504" s="254"/>
      <c r="J504" s="254"/>
      <c r="K504" s="254"/>
      <c r="L504" s="254"/>
      <c r="M504" s="254"/>
      <c r="N504" s="254"/>
      <c r="O504" s="254"/>
      <c r="P504" s="254"/>
      <c r="Q504" s="254"/>
      <c r="R504" s="254"/>
      <c r="S504" s="254"/>
      <c r="T504" s="254"/>
      <c r="U504" s="254"/>
      <c r="V504" s="254"/>
      <c r="W504" s="254"/>
      <c r="X504" s="254"/>
      <c r="Y504" s="254"/>
      <c r="Z504" s="254"/>
    </row>
    <row r="505">
      <c r="A505" s="254"/>
      <c r="B505" s="254"/>
      <c r="C505" s="254"/>
      <c r="D505" s="254"/>
      <c r="E505" s="254"/>
      <c r="F505" s="254"/>
      <c r="G505" s="254"/>
      <c r="H505" s="254"/>
      <c r="I505" s="254"/>
      <c r="J505" s="254"/>
      <c r="K505" s="254"/>
      <c r="L505" s="254"/>
      <c r="M505" s="254"/>
      <c r="N505" s="254"/>
      <c r="O505" s="254"/>
      <c r="P505" s="254"/>
      <c r="Q505" s="254"/>
      <c r="R505" s="254"/>
      <c r="S505" s="254"/>
      <c r="T505" s="254"/>
      <c r="U505" s="254"/>
      <c r="V505" s="254"/>
      <c r="W505" s="254"/>
      <c r="X505" s="254"/>
      <c r="Y505" s="254"/>
      <c r="Z505" s="254"/>
    </row>
    <row r="506">
      <c r="A506" s="254"/>
      <c r="B506" s="254"/>
      <c r="C506" s="254"/>
      <c r="D506" s="254"/>
      <c r="E506" s="254"/>
      <c r="F506" s="254"/>
      <c r="G506" s="254"/>
      <c r="H506" s="254"/>
      <c r="I506" s="254"/>
      <c r="J506" s="254"/>
      <c r="K506" s="254"/>
      <c r="L506" s="254"/>
      <c r="M506" s="254"/>
      <c r="N506" s="254"/>
      <c r="O506" s="254"/>
      <c r="P506" s="254"/>
      <c r="Q506" s="254"/>
      <c r="R506" s="254"/>
      <c r="S506" s="254"/>
      <c r="T506" s="254"/>
      <c r="U506" s="254"/>
      <c r="V506" s="254"/>
      <c r="W506" s="254"/>
      <c r="X506" s="254"/>
      <c r="Y506" s="254"/>
      <c r="Z506" s="254"/>
    </row>
    <row r="507">
      <c r="A507" s="254"/>
      <c r="B507" s="254"/>
      <c r="C507" s="254"/>
      <c r="D507" s="254"/>
      <c r="E507" s="254"/>
      <c r="F507" s="254"/>
      <c r="G507" s="254"/>
      <c r="H507" s="254"/>
      <c r="I507" s="254"/>
      <c r="J507" s="254"/>
      <c r="K507" s="254"/>
      <c r="L507" s="254"/>
      <c r="M507" s="254"/>
      <c r="N507" s="254"/>
      <c r="O507" s="254"/>
      <c r="P507" s="254"/>
      <c r="Q507" s="254"/>
      <c r="R507" s="254"/>
      <c r="S507" s="254"/>
      <c r="T507" s="254"/>
      <c r="U507" s="254"/>
      <c r="V507" s="254"/>
      <c r="W507" s="254"/>
      <c r="X507" s="254"/>
      <c r="Y507" s="254"/>
      <c r="Z507" s="254"/>
    </row>
    <row r="508">
      <c r="A508" s="254"/>
      <c r="B508" s="254"/>
      <c r="C508" s="254"/>
      <c r="D508" s="254"/>
      <c r="E508" s="254"/>
      <c r="F508" s="254"/>
      <c r="G508" s="254"/>
      <c r="H508" s="254"/>
      <c r="I508" s="254"/>
      <c r="J508" s="254"/>
      <c r="K508" s="254"/>
      <c r="L508" s="254"/>
      <c r="M508" s="254"/>
      <c r="N508" s="254"/>
      <c r="O508" s="254"/>
      <c r="P508" s="254"/>
      <c r="Q508" s="254"/>
      <c r="R508" s="254"/>
      <c r="S508" s="254"/>
      <c r="T508" s="254"/>
      <c r="U508" s="254"/>
      <c r="V508" s="254"/>
      <c r="W508" s="254"/>
      <c r="X508" s="254"/>
      <c r="Y508" s="254"/>
      <c r="Z508" s="254"/>
    </row>
    <row r="509">
      <c r="A509" s="254"/>
      <c r="B509" s="254"/>
      <c r="C509" s="254"/>
      <c r="D509" s="254"/>
      <c r="E509" s="254"/>
      <c r="F509" s="254"/>
      <c r="G509" s="254"/>
      <c r="H509" s="254"/>
      <c r="I509" s="254"/>
      <c r="J509" s="254"/>
      <c r="K509" s="254"/>
      <c r="L509" s="254"/>
      <c r="M509" s="254"/>
      <c r="N509" s="254"/>
      <c r="O509" s="254"/>
      <c r="P509" s="254"/>
      <c r="Q509" s="254"/>
      <c r="R509" s="254"/>
      <c r="S509" s="254"/>
      <c r="T509" s="254"/>
      <c r="U509" s="254"/>
      <c r="V509" s="254"/>
      <c r="W509" s="254"/>
      <c r="X509" s="254"/>
      <c r="Y509" s="254"/>
      <c r="Z509" s="254"/>
    </row>
    <row r="510">
      <c r="A510" s="254"/>
      <c r="B510" s="254"/>
      <c r="C510" s="254"/>
      <c r="D510" s="254"/>
      <c r="E510" s="254"/>
      <c r="F510" s="254"/>
      <c r="G510" s="254"/>
      <c r="H510" s="254"/>
      <c r="I510" s="254"/>
      <c r="J510" s="254"/>
      <c r="K510" s="254"/>
      <c r="L510" s="254"/>
      <c r="M510" s="254"/>
      <c r="N510" s="254"/>
      <c r="O510" s="254"/>
      <c r="P510" s="254"/>
      <c r="Q510" s="254"/>
      <c r="R510" s="254"/>
      <c r="S510" s="254"/>
      <c r="T510" s="254"/>
      <c r="U510" s="254"/>
      <c r="V510" s="254"/>
      <c r="W510" s="254"/>
      <c r="X510" s="254"/>
      <c r="Y510" s="254"/>
      <c r="Z510" s="254"/>
    </row>
    <row r="511">
      <c r="A511" s="254"/>
      <c r="B511" s="254"/>
      <c r="C511" s="254"/>
      <c r="D511" s="254"/>
      <c r="E511" s="254"/>
      <c r="F511" s="254"/>
      <c r="G511" s="254"/>
      <c r="H511" s="254"/>
      <c r="I511" s="254"/>
      <c r="J511" s="254"/>
      <c r="K511" s="254"/>
      <c r="L511" s="254"/>
      <c r="M511" s="254"/>
      <c r="N511" s="254"/>
      <c r="O511" s="254"/>
      <c r="P511" s="254"/>
      <c r="Q511" s="254"/>
      <c r="R511" s="254"/>
      <c r="S511" s="254"/>
      <c r="T511" s="254"/>
      <c r="U511" s="254"/>
      <c r="V511" s="254"/>
      <c r="W511" s="254"/>
      <c r="X511" s="254"/>
      <c r="Y511" s="254"/>
      <c r="Z511" s="254"/>
    </row>
    <row r="512">
      <c r="A512" s="254"/>
      <c r="B512" s="254"/>
      <c r="C512" s="254"/>
      <c r="D512" s="254"/>
      <c r="E512" s="254"/>
      <c r="F512" s="254"/>
      <c r="G512" s="254"/>
      <c r="H512" s="254"/>
      <c r="I512" s="254"/>
      <c r="J512" s="254"/>
      <c r="K512" s="254"/>
      <c r="L512" s="254"/>
      <c r="M512" s="254"/>
      <c r="N512" s="254"/>
      <c r="O512" s="254"/>
      <c r="P512" s="254"/>
      <c r="Q512" s="254"/>
      <c r="R512" s="254"/>
      <c r="S512" s="254"/>
      <c r="T512" s="254"/>
      <c r="U512" s="254"/>
      <c r="V512" s="254"/>
      <c r="W512" s="254"/>
      <c r="X512" s="254"/>
      <c r="Y512" s="254"/>
      <c r="Z512" s="254"/>
    </row>
    <row r="513">
      <c r="A513" s="254"/>
      <c r="B513" s="254"/>
      <c r="C513" s="254"/>
      <c r="D513" s="254"/>
      <c r="E513" s="254"/>
      <c r="F513" s="254"/>
      <c r="G513" s="254"/>
      <c r="H513" s="254"/>
      <c r="I513" s="254"/>
      <c r="J513" s="254"/>
      <c r="K513" s="254"/>
      <c r="L513" s="254"/>
      <c r="M513" s="254"/>
      <c r="N513" s="254"/>
      <c r="O513" s="254"/>
      <c r="P513" s="254"/>
      <c r="Q513" s="254"/>
      <c r="R513" s="254"/>
      <c r="S513" s="254"/>
      <c r="T513" s="254"/>
      <c r="U513" s="254"/>
      <c r="V513" s="254"/>
      <c r="W513" s="254"/>
      <c r="X513" s="254"/>
      <c r="Y513" s="254"/>
      <c r="Z513" s="254"/>
    </row>
    <row r="514">
      <c r="A514" s="254"/>
      <c r="B514" s="254"/>
      <c r="C514" s="254"/>
      <c r="D514" s="254"/>
      <c r="E514" s="254"/>
      <c r="F514" s="254"/>
      <c r="G514" s="254"/>
      <c r="H514" s="254"/>
      <c r="I514" s="254"/>
      <c r="J514" s="254"/>
      <c r="K514" s="254"/>
      <c r="L514" s="254"/>
      <c r="M514" s="254"/>
      <c r="N514" s="254"/>
      <c r="O514" s="254"/>
      <c r="P514" s="254"/>
      <c r="Q514" s="254"/>
      <c r="R514" s="254"/>
      <c r="S514" s="254"/>
      <c r="T514" s="254"/>
      <c r="U514" s="254"/>
      <c r="V514" s="254"/>
      <c r="W514" s="254"/>
      <c r="X514" s="254"/>
      <c r="Y514" s="254"/>
      <c r="Z514" s="254"/>
    </row>
    <row r="515">
      <c r="A515" s="254"/>
      <c r="B515" s="254"/>
      <c r="C515" s="254"/>
      <c r="D515" s="254"/>
      <c r="E515" s="254"/>
      <c r="F515" s="254"/>
      <c r="G515" s="254"/>
      <c r="H515" s="254"/>
      <c r="I515" s="254"/>
      <c r="J515" s="254"/>
      <c r="K515" s="254"/>
      <c r="L515" s="254"/>
      <c r="M515" s="254"/>
      <c r="N515" s="254"/>
      <c r="O515" s="254"/>
      <c r="P515" s="254"/>
      <c r="Q515" s="254"/>
      <c r="R515" s="254"/>
      <c r="S515" s="254"/>
      <c r="T515" s="254"/>
      <c r="U515" s="254"/>
      <c r="V515" s="254"/>
      <c r="W515" s="254"/>
      <c r="X515" s="254"/>
      <c r="Y515" s="254"/>
      <c r="Z515" s="254"/>
    </row>
    <row r="516">
      <c r="A516" s="254"/>
      <c r="B516" s="254"/>
      <c r="C516" s="254"/>
      <c r="D516" s="254"/>
      <c r="E516" s="254"/>
      <c r="F516" s="254"/>
      <c r="G516" s="254"/>
      <c r="H516" s="254"/>
      <c r="I516" s="254"/>
      <c r="J516" s="254"/>
      <c r="K516" s="254"/>
      <c r="L516" s="254"/>
      <c r="M516" s="254"/>
      <c r="N516" s="254"/>
      <c r="O516" s="254"/>
      <c r="P516" s="254"/>
      <c r="Q516" s="254"/>
      <c r="R516" s="254"/>
      <c r="S516" s="254"/>
      <c r="T516" s="254"/>
      <c r="U516" s="254"/>
      <c r="V516" s="254"/>
      <c r="W516" s="254"/>
      <c r="X516" s="254"/>
      <c r="Y516" s="254"/>
      <c r="Z516" s="254"/>
    </row>
    <row r="517">
      <c r="A517" s="254"/>
      <c r="B517" s="254"/>
      <c r="C517" s="254"/>
      <c r="D517" s="254"/>
      <c r="E517" s="254"/>
      <c r="F517" s="254"/>
      <c r="G517" s="254"/>
      <c r="H517" s="254"/>
      <c r="I517" s="254"/>
      <c r="J517" s="254"/>
      <c r="K517" s="254"/>
      <c r="L517" s="254"/>
      <c r="M517" s="254"/>
      <c r="N517" s="254"/>
      <c r="O517" s="254"/>
      <c r="P517" s="254"/>
      <c r="Q517" s="254"/>
      <c r="R517" s="254"/>
      <c r="S517" s="254"/>
      <c r="T517" s="254"/>
      <c r="U517" s="254"/>
      <c r="V517" s="254"/>
      <c r="W517" s="254"/>
      <c r="X517" s="254"/>
      <c r="Y517" s="254"/>
      <c r="Z517" s="254"/>
    </row>
    <row r="518">
      <c r="A518" s="254"/>
      <c r="B518" s="254"/>
      <c r="C518" s="254"/>
      <c r="D518" s="254"/>
      <c r="E518" s="254"/>
      <c r="F518" s="254"/>
      <c r="G518" s="254"/>
      <c r="H518" s="254"/>
      <c r="I518" s="254"/>
      <c r="J518" s="254"/>
      <c r="K518" s="254"/>
      <c r="L518" s="254"/>
      <c r="M518" s="254"/>
      <c r="N518" s="254"/>
      <c r="O518" s="254"/>
      <c r="P518" s="254"/>
      <c r="Q518" s="254"/>
      <c r="R518" s="254"/>
      <c r="S518" s="254"/>
      <c r="T518" s="254"/>
      <c r="U518" s="254"/>
      <c r="V518" s="254"/>
      <c r="W518" s="254"/>
      <c r="X518" s="254"/>
      <c r="Y518" s="254"/>
      <c r="Z518" s="254"/>
    </row>
    <row r="519">
      <c r="A519" s="254"/>
      <c r="B519" s="254"/>
      <c r="C519" s="254"/>
      <c r="D519" s="254"/>
      <c r="E519" s="254"/>
      <c r="F519" s="254"/>
      <c r="G519" s="254"/>
      <c r="H519" s="254"/>
      <c r="I519" s="254"/>
      <c r="J519" s="254"/>
      <c r="K519" s="254"/>
      <c r="L519" s="254"/>
      <c r="M519" s="254"/>
      <c r="N519" s="254"/>
      <c r="O519" s="254"/>
      <c r="P519" s="254"/>
      <c r="Q519" s="254"/>
      <c r="R519" s="254"/>
      <c r="S519" s="254"/>
      <c r="T519" s="254"/>
      <c r="U519" s="254"/>
      <c r="V519" s="254"/>
      <c r="W519" s="254"/>
      <c r="X519" s="254"/>
      <c r="Y519" s="254"/>
      <c r="Z519" s="254"/>
    </row>
    <row r="520">
      <c r="A520" s="254"/>
      <c r="B520" s="254"/>
      <c r="C520" s="254"/>
      <c r="D520" s="254"/>
      <c r="E520" s="254"/>
      <c r="F520" s="254"/>
      <c r="G520" s="254"/>
      <c r="H520" s="254"/>
      <c r="I520" s="254"/>
      <c r="J520" s="254"/>
      <c r="K520" s="254"/>
      <c r="L520" s="254"/>
      <c r="M520" s="254"/>
      <c r="N520" s="254"/>
      <c r="O520" s="254"/>
      <c r="P520" s="254"/>
      <c r="Q520" s="254"/>
      <c r="R520" s="254"/>
      <c r="S520" s="254"/>
      <c r="T520" s="254"/>
      <c r="U520" s="254"/>
      <c r="V520" s="254"/>
      <c r="W520" s="254"/>
      <c r="X520" s="254"/>
      <c r="Y520" s="254"/>
      <c r="Z520" s="254"/>
    </row>
    <row r="521">
      <c r="A521" s="254"/>
      <c r="B521" s="254"/>
      <c r="C521" s="254"/>
      <c r="D521" s="254"/>
      <c r="E521" s="254"/>
      <c r="F521" s="254"/>
      <c r="G521" s="254"/>
      <c r="H521" s="254"/>
      <c r="I521" s="254"/>
      <c r="J521" s="254"/>
      <c r="K521" s="254"/>
      <c r="L521" s="254"/>
      <c r="M521" s="254"/>
      <c r="N521" s="254"/>
      <c r="O521" s="254"/>
      <c r="P521" s="254"/>
      <c r="Q521" s="254"/>
      <c r="R521" s="254"/>
      <c r="S521" s="254"/>
      <c r="T521" s="254"/>
      <c r="U521" s="254"/>
      <c r="V521" s="254"/>
      <c r="W521" s="254"/>
      <c r="X521" s="254"/>
      <c r="Y521" s="254"/>
      <c r="Z521" s="254"/>
    </row>
    <row r="522">
      <c r="A522" s="254"/>
      <c r="B522" s="254"/>
      <c r="C522" s="254"/>
      <c r="D522" s="254"/>
      <c r="E522" s="254"/>
      <c r="F522" s="254"/>
      <c r="G522" s="254"/>
      <c r="H522" s="254"/>
      <c r="I522" s="254"/>
      <c r="J522" s="254"/>
      <c r="K522" s="254"/>
      <c r="L522" s="254"/>
      <c r="M522" s="254"/>
      <c r="N522" s="254"/>
      <c r="O522" s="254"/>
      <c r="P522" s="254"/>
      <c r="Q522" s="254"/>
      <c r="R522" s="254"/>
      <c r="S522" s="254"/>
      <c r="T522" s="254"/>
      <c r="U522" s="254"/>
      <c r="V522" s="254"/>
      <c r="W522" s="254"/>
      <c r="X522" s="254"/>
      <c r="Y522" s="254"/>
      <c r="Z522" s="254"/>
    </row>
    <row r="523">
      <c r="A523" s="254"/>
      <c r="B523" s="254"/>
      <c r="C523" s="254"/>
      <c r="D523" s="254"/>
      <c r="E523" s="254"/>
      <c r="F523" s="254"/>
      <c r="G523" s="254"/>
      <c r="H523" s="254"/>
      <c r="I523" s="254"/>
      <c r="J523" s="254"/>
      <c r="K523" s="254"/>
      <c r="L523" s="254"/>
      <c r="M523" s="254"/>
      <c r="N523" s="254"/>
      <c r="O523" s="254"/>
      <c r="P523" s="254"/>
      <c r="Q523" s="254"/>
      <c r="R523" s="254"/>
      <c r="S523" s="254"/>
      <c r="T523" s="254"/>
      <c r="U523" s="254"/>
      <c r="V523" s="254"/>
      <c r="W523" s="254"/>
      <c r="X523" s="254"/>
      <c r="Y523" s="254"/>
      <c r="Z523" s="254"/>
    </row>
    <row r="524">
      <c r="A524" s="254"/>
      <c r="B524" s="254"/>
      <c r="C524" s="254"/>
      <c r="D524" s="254"/>
      <c r="E524" s="254"/>
      <c r="F524" s="254"/>
      <c r="G524" s="254"/>
      <c r="H524" s="254"/>
      <c r="I524" s="254"/>
      <c r="J524" s="254"/>
      <c r="K524" s="254"/>
      <c r="L524" s="254"/>
      <c r="M524" s="254"/>
      <c r="N524" s="254"/>
      <c r="O524" s="254"/>
      <c r="P524" s="254"/>
      <c r="Q524" s="254"/>
      <c r="R524" s="254"/>
      <c r="S524" s="254"/>
      <c r="T524" s="254"/>
      <c r="U524" s="254"/>
      <c r="V524" s="254"/>
      <c r="W524" s="254"/>
      <c r="X524" s="254"/>
      <c r="Y524" s="254"/>
      <c r="Z524" s="254"/>
    </row>
    <row r="525">
      <c r="A525" s="254"/>
      <c r="B525" s="254"/>
      <c r="C525" s="254"/>
      <c r="D525" s="254"/>
      <c r="E525" s="254"/>
      <c r="F525" s="254"/>
      <c r="G525" s="254"/>
      <c r="H525" s="254"/>
      <c r="I525" s="254"/>
      <c r="J525" s="254"/>
      <c r="K525" s="254"/>
      <c r="L525" s="254"/>
      <c r="M525" s="254"/>
      <c r="N525" s="254"/>
      <c r="O525" s="254"/>
      <c r="P525" s="254"/>
      <c r="Q525" s="254"/>
      <c r="R525" s="254"/>
      <c r="S525" s="254"/>
      <c r="T525" s="254"/>
      <c r="U525" s="254"/>
      <c r="V525" s="254"/>
      <c r="W525" s="254"/>
      <c r="X525" s="254"/>
      <c r="Y525" s="254"/>
      <c r="Z525" s="254"/>
    </row>
    <row r="526">
      <c r="A526" s="254"/>
      <c r="B526" s="254"/>
      <c r="C526" s="254"/>
      <c r="D526" s="254"/>
      <c r="E526" s="254"/>
      <c r="F526" s="254"/>
      <c r="G526" s="254"/>
      <c r="H526" s="254"/>
      <c r="I526" s="254"/>
      <c r="J526" s="254"/>
      <c r="K526" s="254"/>
      <c r="L526" s="254"/>
      <c r="M526" s="254"/>
      <c r="N526" s="254"/>
      <c r="O526" s="254"/>
      <c r="P526" s="254"/>
      <c r="Q526" s="254"/>
      <c r="R526" s="254"/>
      <c r="S526" s="254"/>
      <c r="T526" s="254"/>
      <c r="U526" s="254"/>
      <c r="V526" s="254"/>
      <c r="W526" s="254"/>
      <c r="X526" s="254"/>
      <c r="Y526" s="254"/>
      <c r="Z526" s="254"/>
    </row>
    <row r="527">
      <c r="A527" s="254"/>
      <c r="B527" s="254"/>
      <c r="C527" s="254"/>
      <c r="D527" s="254"/>
      <c r="E527" s="254"/>
      <c r="F527" s="254"/>
      <c r="G527" s="254"/>
      <c r="H527" s="254"/>
      <c r="I527" s="254"/>
      <c r="J527" s="254"/>
      <c r="K527" s="254"/>
      <c r="L527" s="254"/>
      <c r="M527" s="254"/>
      <c r="N527" s="254"/>
      <c r="O527" s="254"/>
      <c r="P527" s="254"/>
      <c r="Q527" s="254"/>
      <c r="R527" s="254"/>
      <c r="S527" s="254"/>
      <c r="T527" s="254"/>
      <c r="U527" s="254"/>
      <c r="V527" s="254"/>
      <c r="W527" s="254"/>
      <c r="X527" s="254"/>
      <c r="Y527" s="254"/>
      <c r="Z527" s="254"/>
    </row>
    <row r="528">
      <c r="A528" s="254"/>
      <c r="B528" s="254"/>
      <c r="C528" s="254"/>
      <c r="D528" s="254"/>
      <c r="E528" s="254"/>
      <c r="F528" s="254"/>
      <c r="G528" s="254"/>
      <c r="H528" s="254"/>
      <c r="I528" s="254"/>
      <c r="J528" s="254"/>
      <c r="K528" s="254"/>
      <c r="L528" s="254"/>
      <c r="M528" s="254"/>
      <c r="N528" s="254"/>
      <c r="O528" s="254"/>
      <c r="P528" s="254"/>
      <c r="Q528" s="254"/>
      <c r="R528" s="254"/>
      <c r="S528" s="254"/>
      <c r="T528" s="254"/>
      <c r="U528" s="254"/>
      <c r="V528" s="254"/>
      <c r="W528" s="254"/>
      <c r="X528" s="254"/>
      <c r="Y528" s="254"/>
      <c r="Z528" s="254"/>
    </row>
    <row r="529">
      <c r="A529" s="254"/>
      <c r="B529" s="254"/>
      <c r="C529" s="254"/>
      <c r="D529" s="254"/>
      <c r="E529" s="254"/>
      <c r="F529" s="254"/>
      <c r="G529" s="254"/>
      <c r="H529" s="254"/>
      <c r="I529" s="254"/>
      <c r="J529" s="254"/>
      <c r="K529" s="254"/>
      <c r="L529" s="254"/>
      <c r="M529" s="254"/>
      <c r="N529" s="254"/>
      <c r="O529" s="254"/>
      <c r="P529" s="254"/>
      <c r="Q529" s="254"/>
      <c r="R529" s="254"/>
      <c r="S529" s="254"/>
      <c r="T529" s="254"/>
      <c r="U529" s="254"/>
      <c r="V529" s="254"/>
      <c r="W529" s="254"/>
      <c r="X529" s="254"/>
      <c r="Y529" s="254"/>
      <c r="Z529" s="254"/>
    </row>
    <row r="530">
      <c r="A530" s="254"/>
      <c r="B530" s="254"/>
      <c r="C530" s="254"/>
      <c r="D530" s="254"/>
      <c r="E530" s="254"/>
      <c r="F530" s="254"/>
      <c r="G530" s="254"/>
      <c r="H530" s="254"/>
      <c r="I530" s="254"/>
      <c r="J530" s="254"/>
      <c r="K530" s="254"/>
      <c r="L530" s="254"/>
      <c r="M530" s="254"/>
      <c r="N530" s="254"/>
      <c r="O530" s="254"/>
      <c r="P530" s="254"/>
      <c r="Q530" s="254"/>
      <c r="R530" s="254"/>
      <c r="S530" s="254"/>
      <c r="T530" s="254"/>
      <c r="U530" s="254"/>
      <c r="V530" s="254"/>
      <c r="W530" s="254"/>
      <c r="X530" s="254"/>
      <c r="Y530" s="254"/>
      <c r="Z530" s="254"/>
    </row>
    <row r="531">
      <c r="A531" s="254"/>
      <c r="B531" s="254"/>
      <c r="C531" s="254"/>
      <c r="D531" s="254"/>
      <c r="E531" s="254"/>
      <c r="F531" s="254"/>
      <c r="G531" s="254"/>
      <c r="H531" s="254"/>
      <c r="I531" s="254"/>
      <c r="J531" s="254"/>
      <c r="K531" s="254"/>
      <c r="L531" s="254"/>
      <c r="M531" s="254"/>
      <c r="N531" s="254"/>
      <c r="O531" s="254"/>
      <c r="P531" s="254"/>
      <c r="Q531" s="254"/>
      <c r="R531" s="254"/>
      <c r="S531" s="254"/>
      <c r="T531" s="254"/>
      <c r="U531" s="254"/>
      <c r="V531" s="254"/>
      <c r="W531" s="254"/>
      <c r="X531" s="254"/>
      <c r="Y531" s="254"/>
      <c r="Z531" s="254"/>
    </row>
    <row r="532">
      <c r="A532" s="254"/>
      <c r="B532" s="254"/>
      <c r="C532" s="254"/>
      <c r="D532" s="254"/>
      <c r="E532" s="254"/>
      <c r="F532" s="254"/>
      <c r="G532" s="254"/>
      <c r="H532" s="254"/>
      <c r="I532" s="254"/>
      <c r="J532" s="254"/>
      <c r="K532" s="254"/>
      <c r="L532" s="254"/>
      <c r="M532" s="254"/>
      <c r="N532" s="254"/>
      <c r="O532" s="254"/>
      <c r="P532" s="254"/>
      <c r="Q532" s="254"/>
      <c r="R532" s="254"/>
      <c r="S532" s="254"/>
      <c r="T532" s="254"/>
      <c r="U532" s="254"/>
      <c r="V532" s="254"/>
      <c r="W532" s="254"/>
      <c r="X532" s="254"/>
      <c r="Y532" s="254"/>
      <c r="Z532" s="254"/>
    </row>
    <row r="533">
      <c r="A533" s="254"/>
      <c r="B533" s="254"/>
      <c r="C533" s="254"/>
      <c r="D533" s="254"/>
      <c r="E533" s="254"/>
      <c r="F533" s="254"/>
      <c r="G533" s="254"/>
      <c r="H533" s="254"/>
      <c r="I533" s="254"/>
      <c r="J533" s="254"/>
      <c r="K533" s="254"/>
      <c r="L533" s="254"/>
      <c r="M533" s="254"/>
      <c r="N533" s="254"/>
      <c r="O533" s="254"/>
      <c r="P533" s="254"/>
      <c r="Q533" s="254"/>
      <c r="R533" s="254"/>
      <c r="S533" s="254"/>
      <c r="T533" s="254"/>
      <c r="U533" s="254"/>
      <c r="V533" s="254"/>
      <c r="W533" s="254"/>
      <c r="X533" s="254"/>
      <c r="Y533" s="254"/>
      <c r="Z533" s="254"/>
    </row>
    <row r="534">
      <c r="A534" s="254"/>
      <c r="B534" s="254"/>
      <c r="C534" s="254"/>
      <c r="D534" s="254"/>
      <c r="E534" s="254"/>
      <c r="F534" s="254"/>
      <c r="G534" s="254"/>
      <c r="H534" s="254"/>
      <c r="I534" s="254"/>
      <c r="J534" s="254"/>
      <c r="K534" s="254"/>
      <c r="L534" s="254"/>
      <c r="M534" s="254"/>
      <c r="N534" s="254"/>
      <c r="O534" s="254"/>
      <c r="P534" s="254"/>
      <c r="Q534" s="254"/>
      <c r="R534" s="254"/>
      <c r="S534" s="254"/>
      <c r="T534" s="254"/>
      <c r="U534" s="254"/>
      <c r="V534" s="254"/>
      <c r="W534" s="254"/>
      <c r="X534" s="254"/>
      <c r="Y534" s="254"/>
      <c r="Z534" s="254"/>
    </row>
    <row r="535">
      <c r="A535" s="254"/>
      <c r="B535" s="254"/>
      <c r="C535" s="254"/>
      <c r="D535" s="254"/>
      <c r="E535" s="254"/>
      <c r="F535" s="254"/>
      <c r="G535" s="254"/>
      <c r="H535" s="254"/>
      <c r="I535" s="254"/>
      <c r="J535" s="254"/>
      <c r="K535" s="254"/>
      <c r="L535" s="254"/>
      <c r="M535" s="254"/>
      <c r="N535" s="254"/>
      <c r="O535" s="254"/>
      <c r="P535" s="254"/>
      <c r="Q535" s="254"/>
      <c r="R535" s="254"/>
      <c r="S535" s="254"/>
      <c r="T535" s="254"/>
      <c r="U535" s="254"/>
      <c r="V535" s="254"/>
      <c r="W535" s="254"/>
      <c r="X535" s="254"/>
      <c r="Y535" s="254"/>
      <c r="Z535" s="254"/>
    </row>
    <row r="536">
      <c r="A536" s="254"/>
      <c r="B536" s="254"/>
      <c r="C536" s="254"/>
      <c r="D536" s="254"/>
      <c r="E536" s="254"/>
      <c r="F536" s="254"/>
      <c r="G536" s="254"/>
      <c r="H536" s="254"/>
      <c r="I536" s="254"/>
      <c r="J536" s="254"/>
      <c r="K536" s="254"/>
      <c r="L536" s="254"/>
      <c r="M536" s="254"/>
      <c r="N536" s="254"/>
      <c r="O536" s="254"/>
      <c r="P536" s="254"/>
      <c r="Q536" s="254"/>
      <c r="R536" s="254"/>
      <c r="S536" s="254"/>
      <c r="T536" s="254"/>
      <c r="U536" s="254"/>
      <c r="V536" s="254"/>
      <c r="W536" s="254"/>
      <c r="X536" s="254"/>
      <c r="Y536" s="254"/>
      <c r="Z536" s="254"/>
    </row>
    <row r="537">
      <c r="A537" s="254"/>
      <c r="B537" s="254"/>
      <c r="C537" s="254"/>
      <c r="D537" s="254"/>
      <c r="E537" s="254"/>
      <c r="F537" s="254"/>
      <c r="G537" s="254"/>
      <c r="H537" s="254"/>
      <c r="I537" s="254"/>
      <c r="J537" s="254"/>
      <c r="K537" s="254"/>
      <c r="L537" s="254"/>
      <c r="M537" s="254"/>
      <c r="N537" s="254"/>
      <c r="O537" s="254"/>
      <c r="P537" s="254"/>
      <c r="Q537" s="254"/>
      <c r="R537" s="254"/>
      <c r="S537" s="254"/>
      <c r="T537" s="254"/>
      <c r="U537" s="254"/>
      <c r="V537" s="254"/>
      <c r="W537" s="254"/>
      <c r="X537" s="254"/>
      <c r="Y537" s="254"/>
      <c r="Z537" s="254"/>
    </row>
    <row r="538">
      <c r="A538" s="254"/>
      <c r="B538" s="254"/>
      <c r="C538" s="254"/>
      <c r="D538" s="254"/>
      <c r="E538" s="254"/>
      <c r="F538" s="254"/>
      <c r="G538" s="254"/>
      <c r="H538" s="254"/>
      <c r="I538" s="254"/>
      <c r="J538" s="254"/>
      <c r="K538" s="254"/>
      <c r="L538" s="254"/>
      <c r="M538" s="254"/>
      <c r="N538" s="254"/>
      <c r="O538" s="254"/>
      <c r="P538" s="254"/>
      <c r="Q538" s="254"/>
      <c r="R538" s="254"/>
      <c r="S538" s="254"/>
      <c r="T538" s="254"/>
      <c r="U538" s="254"/>
      <c r="V538" s="254"/>
      <c r="W538" s="254"/>
      <c r="X538" s="254"/>
      <c r="Y538" s="254"/>
      <c r="Z538" s="254"/>
    </row>
    <row r="539">
      <c r="A539" s="254"/>
      <c r="B539" s="254"/>
      <c r="C539" s="254"/>
      <c r="D539" s="254"/>
      <c r="E539" s="254"/>
      <c r="F539" s="254"/>
      <c r="G539" s="254"/>
      <c r="H539" s="254"/>
      <c r="I539" s="254"/>
      <c r="J539" s="254"/>
      <c r="K539" s="254"/>
      <c r="L539" s="254"/>
      <c r="M539" s="254"/>
      <c r="N539" s="254"/>
      <c r="O539" s="254"/>
      <c r="P539" s="254"/>
      <c r="Q539" s="254"/>
      <c r="R539" s="254"/>
      <c r="S539" s="254"/>
      <c r="T539" s="254"/>
      <c r="U539" s="254"/>
      <c r="V539" s="254"/>
      <c r="W539" s="254"/>
      <c r="X539" s="254"/>
      <c r="Y539" s="254"/>
      <c r="Z539" s="254"/>
    </row>
    <row r="540">
      <c r="A540" s="254"/>
      <c r="B540" s="254"/>
      <c r="C540" s="254"/>
      <c r="D540" s="254"/>
      <c r="E540" s="254"/>
      <c r="F540" s="254"/>
      <c r="G540" s="254"/>
      <c r="H540" s="254"/>
      <c r="I540" s="254"/>
      <c r="J540" s="254"/>
      <c r="K540" s="254"/>
      <c r="L540" s="254"/>
      <c r="M540" s="254"/>
      <c r="N540" s="254"/>
      <c r="O540" s="254"/>
      <c r="P540" s="254"/>
      <c r="Q540" s="254"/>
      <c r="R540" s="254"/>
      <c r="S540" s="254"/>
      <c r="T540" s="254"/>
      <c r="U540" s="254"/>
      <c r="V540" s="254"/>
      <c r="W540" s="254"/>
      <c r="X540" s="254"/>
      <c r="Y540" s="254"/>
      <c r="Z540" s="254"/>
    </row>
    <row r="541">
      <c r="A541" s="254"/>
      <c r="B541" s="254"/>
      <c r="C541" s="254"/>
      <c r="D541" s="254"/>
      <c r="E541" s="254"/>
      <c r="F541" s="254"/>
      <c r="G541" s="254"/>
      <c r="H541" s="254"/>
      <c r="I541" s="254"/>
      <c r="J541" s="254"/>
      <c r="K541" s="254"/>
      <c r="L541" s="254"/>
      <c r="M541" s="254"/>
      <c r="N541" s="254"/>
      <c r="O541" s="254"/>
      <c r="P541" s="254"/>
      <c r="Q541" s="254"/>
      <c r="R541" s="254"/>
      <c r="S541" s="254"/>
      <c r="T541" s="254"/>
      <c r="U541" s="254"/>
      <c r="V541" s="254"/>
      <c r="W541" s="254"/>
      <c r="X541" s="254"/>
      <c r="Y541" s="254"/>
      <c r="Z541" s="254"/>
    </row>
    <row r="542">
      <c r="A542" s="254"/>
      <c r="B542" s="254"/>
      <c r="C542" s="254"/>
      <c r="D542" s="254"/>
      <c r="E542" s="254"/>
      <c r="F542" s="254"/>
      <c r="G542" s="254"/>
      <c r="H542" s="254"/>
      <c r="I542" s="254"/>
      <c r="J542" s="254"/>
      <c r="K542" s="254"/>
      <c r="L542" s="254"/>
      <c r="M542" s="254"/>
      <c r="N542" s="254"/>
      <c r="O542" s="254"/>
      <c r="P542" s="254"/>
      <c r="Q542" s="254"/>
      <c r="R542" s="254"/>
      <c r="S542" s="254"/>
      <c r="T542" s="254"/>
      <c r="U542" s="254"/>
      <c r="V542" s="254"/>
      <c r="W542" s="254"/>
      <c r="X542" s="254"/>
      <c r="Y542" s="254"/>
      <c r="Z542" s="254"/>
    </row>
    <row r="543">
      <c r="A543" s="254"/>
      <c r="B543" s="254"/>
      <c r="C543" s="254"/>
      <c r="D543" s="254"/>
      <c r="E543" s="254"/>
      <c r="F543" s="254"/>
      <c r="G543" s="254"/>
      <c r="H543" s="254"/>
      <c r="I543" s="254"/>
      <c r="J543" s="254"/>
      <c r="K543" s="254"/>
      <c r="L543" s="254"/>
      <c r="M543" s="254"/>
      <c r="N543" s="254"/>
      <c r="O543" s="254"/>
      <c r="P543" s="254"/>
      <c r="Q543" s="254"/>
      <c r="R543" s="254"/>
      <c r="S543" s="254"/>
      <c r="T543" s="254"/>
      <c r="U543" s="254"/>
      <c r="V543" s="254"/>
      <c r="W543" s="254"/>
      <c r="X543" s="254"/>
      <c r="Y543" s="254"/>
      <c r="Z543" s="254"/>
    </row>
    <row r="544">
      <c r="A544" s="254"/>
      <c r="B544" s="254"/>
      <c r="C544" s="254"/>
      <c r="D544" s="254"/>
      <c r="E544" s="254"/>
      <c r="F544" s="254"/>
      <c r="G544" s="254"/>
      <c r="H544" s="254"/>
      <c r="I544" s="254"/>
      <c r="J544" s="254"/>
      <c r="K544" s="254"/>
      <c r="L544" s="254"/>
      <c r="M544" s="254"/>
      <c r="N544" s="254"/>
      <c r="O544" s="254"/>
      <c r="P544" s="254"/>
      <c r="Q544" s="254"/>
      <c r="R544" s="254"/>
      <c r="S544" s="254"/>
      <c r="T544" s="254"/>
      <c r="U544" s="254"/>
      <c r="V544" s="254"/>
      <c r="W544" s="254"/>
      <c r="X544" s="254"/>
      <c r="Y544" s="254"/>
      <c r="Z544" s="254"/>
    </row>
    <row r="545">
      <c r="A545" s="254"/>
      <c r="B545" s="254"/>
      <c r="C545" s="254"/>
      <c r="D545" s="254"/>
      <c r="E545" s="254"/>
      <c r="F545" s="254"/>
      <c r="G545" s="254"/>
      <c r="H545" s="254"/>
      <c r="I545" s="254"/>
      <c r="J545" s="254"/>
      <c r="K545" s="254"/>
      <c r="L545" s="254"/>
      <c r="M545" s="254"/>
      <c r="N545" s="254"/>
      <c r="O545" s="254"/>
      <c r="P545" s="254"/>
      <c r="Q545" s="254"/>
      <c r="R545" s="254"/>
      <c r="S545" s="254"/>
      <c r="T545" s="254"/>
      <c r="U545" s="254"/>
      <c r="V545" s="254"/>
      <c r="W545" s="254"/>
      <c r="X545" s="254"/>
      <c r="Y545" s="254"/>
      <c r="Z545" s="254"/>
    </row>
    <row r="546">
      <c r="A546" s="254"/>
      <c r="B546" s="254"/>
      <c r="C546" s="254"/>
      <c r="D546" s="254"/>
      <c r="E546" s="254"/>
      <c r="F546" s="254"/>
      <c r="G546" s="254"/>
      <c r="H546" s="254"/>
      <c r="I546" s="254"/>
      <c r="J546" s="254"/>
      <c r="K546" s="254"/>
      <c r="L546" s="254"/>
      <c r="M546" s="254"/>
      <c r="N546" s="254"/>
      <c r="O546" s="254"/>
      <c r="P546" s="254"/>
      <c r="Q546" s="254"/>
      <c r="R546" s="254"/>
      <c r="S546" s="254"/>
      <c r="T546" s="254"/>
      <c r="U546" s="254"/>
      <c r="V546" s="254"/>
      <c r="W546" s="254"/>
      <c r="X546" s="254"/>
      <c r="Y546" s="254"/>
      <c r="Z546" s="254"/>
    </row>
    <row r="547">
      <c r="A547" s="254"/>
      <c r="B547" s="254"/>
      <c r="C547" s="254"/>
      <c r="D547" s="254"/>
      <c r="E547" s="254"/>
      <c r="F547" s="254"/>
      <c r="G547" s="254"/>
      <c r="H547" s="254"/>
      <c r="I547" s="254"/>
      <c r="J547" s="254"/>
      <c r="K547" s="254"/>
      <c r="L547" s="254"/>
      <c r="M547" s="254"/>
      <c r="N547" s="254"/>
      <c r="O547" s="254"/>
      <c r="P547" s="254"/>
      <c r="Q547" s="254"/>
      <c r="R547" s="254"/>
      <c r="S547" s="254"/>
      <c r="T547" s="254"/>
      <c r="U547" s="254"/>
      <c r="V547" s="254"/>
      <c r="W547" s="254"/>
      <c r="X547" s="254"/>
      <c r="Y547" s="254"/>
      <c r="Z547" s="254"/>
    </row>
    <row r="548">
      <c r="A548" s="254"/>
      <c r="B548" s="254"/>
      <c r="C548" s="254"/>
      <c r="D548" s="254"/>
      <c r="E548" s="254"/>
      <c r="F548" s="254"/>
      <c r="G548" s="254"/>
      <c r="H548" s="254"/>
      <c r="I548" s="254"/>
      <c r="J548" s="254"/>
      <c r="K548" s="254"/>
      <c r="L548" s="254"/>
      <c r="M548" s="254"/>
      <c r="N548" s="254"/>
      <c r="O548" s="254"/>
      <c r="P548" s="254"/>
      <c r="Q548" s="254"/>
      <c r="R548" s="254"/>
      <c r="S548" s="254"/>
      <c r="T548" s="254"/>
      <c r="U548" s="254"/>
      <c r="V548" s="254"/>
      <c r="W548" s="254"/>
      <c r="X548" s="254"/>
      <c r="Y548" s="254"/>
      <c r="Z548" s="254"/>
    </row>
    <row r="549">
      <c r="A549" s="254"/>
      <c r="B549" s="254"/>
      <c r="C549" s="254"/>
      <c r="D549" s="254"/>
      <c r="E549" s="254"/>
      <c r="F549" s="254"/>
      <c r="G549" s="254"/>
      <c r="H549" s="254"/>
      <c r="I549" s="254"/>
      <c r="J549" s="254"/>
      <c r="K549" s="254"/>
      <c r="L549" s="254"/>
      <c r="M549" s="254"/>
      <c r="N549" s="254"/>
      <c r="O549" s="254"/>
      <c r="P549" s="254"/>
      <c r="Q549" s="254"/>
      <c r="R549" s="254"/>
      <c r="S549" s="254"/>
      <c r="T549" s="254"/>
      <c r="U549" s="254"/>
      <c r="V549" s="254"/>
      <c r="W549" s="254"/>
      <c r="X549" s="254"/>
      <c r="Y549" s="254"/>
      <c r="Z549" s="254"/>
    </row>
    <row r="550">
      <c r="A550" s="254"/>
      <c r="B550" s="254"/>
      <c r="C550" s="254"/>
      <c r="D550" s="254"/>
      <c r="E550" s="254"/>
      <c r="F550" s="254"/>
      <c r="G550" s="254"/>
      <c r="H550" s="254"/>
      <c r="I550" s="254"/>
      <c r="J550" s="254"/>
      <c r="K550" s="254"/>
      <c r="L550" s="254"/>
      <c r="M550" s="254"/>
      <c r="N550" s="254"/>
      <c r="O550" s="254"/>
      <c r="P550" s="254"/>
      <c r="Q550" s="254"/>
      <c r="R550" s="254"/>
      <c r="S550" s="254"/>
      <c r="T550" s="254"/>
      <c r="U550" s="254"/>
      <c r="V550" s="254"/>
      <c r="W550" s="254"/>
      <c r="X550" s="254"/>
      <c r="Y550" s="254"/>
      <c r="Z550" s="254"/>
    </row>
    <row r="551">
      <c r="A551" s="254"/>
      <c r="B551" s="254"/>
      <c r="C551" s="254"/>
      <c r="D551" s="254"/>
      <c r="E551" s="254"/>
      <c r="F551" s="254"/>
      <c r="G551" s="254"/>
      <c r="H551" s="254"/>
      <c r="I551" s="254"/>
      <c r="J551" s="254"/>
      <c r="K551" s="254"/>
      <c r="L551" s="254"/>
      <c r="M551" s="254"/>
      <c r="N551" s="254"/>
      <c r="O551" s="254"/>
      <c r="P551" s="254"/>
      <c r="Q551" s="254"/>
      <c r="R551" s="254"/>
      <c r="S551" s="254"/>
      <c r="T551" s="254"/>
      <c r="U551" s="254"/>
      <c r="V551" s="254"/>
      <c r="W551" s="254"/>
      <c r="X551" s="254"/>
      <c r="Y551" s="254"/>
      <c r="Z551" s="254"/>
    </row>
    <row r="552">
      <c r="A552" s="254"/>
      <c r="B552" s="254"/>
      <c r="C552" s="254"/>
      <c r="D552" s="254"/>
      <c r="E552" s="254"/>
      <c r="F552" s="254"/>
      <c r="G552" s="254"/>
      <c r="H552" s="254"/>
      <c r="I552" s="254"/>
      <c r="J552" s="254"/>
      <c r="K552" s="254"/>
      <c r="L552" s="254"/>
      <c r="M552" s="254"/>
      <c r="N552" s="254"/>
      <c r="O552" s="254"/>
      <c r="P552" s="254"/>
      <c r="Q552" s="254"/>
      <c r="R552" s="254"/>
      <c r="S552" s="254"/>
      <c r="T552" s="254"/>
      <c r="U552" s="254"/>
      <c r="V552" s="254"/>
      <c r="W552" s="254"/>
      <c r="X552" s="254"/>
      <c r="Y552" s="254"/>
      <c r="Z552" s="254"/>
    </row>
    <row r="553">
      <c r="A553" s="254"/>
      <c r="B553" s="254"/>
      <c r="C553" s="254"/>
      <c r="D553" s="254"/>
      <c r="E553" s="254"/>
      <c r="F553" s="254"/>
      <c r="G553" s="254"/>
      <c r="H553" s="254"/>
      <c r="I553" s="254"/>
      <c r="J553" s="254"/>
      <c r="K553" s="254"/>
      <c r="L553" s="254"/>
      <c r="M553" s="254"/>
      <c r="N553" s="254"/>
      <c r="O553" s="254"/>
      <c r="P553" s="254"/>
      <c r="Q553" s="254"/>
      <c r="R553" s="254"/>
      <c r="S553" s="254"/>
      <c r="T553" s="254"/>
      <c r="U553" s="254"/>
      <c r="V553" s="254"/>
      <c r="W553" s="254"/>
      <c r="X553" s="254"/>
      <c r="Y553" s="254"/>
      <c r="Z553" s="254"/>
    </row>
    <row r="554">
      <c r="A554" s="254"/>
      <c r="B554" s="254"/>
      <c r="C554" s="254"/>
      <c r="D554" s="254"/>
      <c r="E554" s="254"/>
      <c r="F554" s="254"/>
      <c r="G554" s="254"/>
      <c r="H554" s="254"/>
      <c r="I554" s="254"/>
      <c r="J554" s="254"/>
      <c r="K554" s="254"/>
      <c r="L554" s="254"/>
      <c r="M554" s="254"/>
      <c r="N554" s="254"/>
      <c r="O554" s="254"/>
      <c r="P554" s="254"/>
      <c r="Q554" s="254"/>
      <c r="R554" s="254"/>
      <c r="S554" s="254"/>
      <c r="T554" s="254"/>
      <c r="U554" s="254"/>
      <c r="V554" s="254"/>
      <c r="W554" s="254"/>
      <c r="X554" s="254"/>
      <c r="Y554" s="254"/>
      <c r="Z554" s="254"/>
    </row>
    <row r="555">
      <c r="A555" s="254"/>
      <c r="B555" s="254"/>
      <c r="C555" s="254"/>
      <c r="D555" s="254"/>
      <c r="E555" s="254"/>
      <c r="F555" s="254"/>
      <c r="G555" s="254"/>
      <c r="H555" s="254"/>
      <c r="I555" s="254"/>
      <c r="J555" s="254"/>
      <c r="K555" s="254"/>
      <c r="L555" s="254"/>
      <c r="M555" s="254"/>
      <c r="N555" s="254"/>
      <c r="O555" s="254"/>
      <c r="P555" s="254"/>
      <c r="Q555" s="254"/>
      <c r="R555" s="254"/>
      <c r="S555" s="254"/>
      <c r="T555" s="254"/>
      <c r="U555" s="254"/>
      <c r="V555" s="254"/>
      <c r="W555" s="254"/>
      <c r="X555" s="254"/>
      <c r="Y555" s="254"/>
      <c r="Z555" s="254"/>
    </row>
    <row r="556">
      <c r="A556" s="254"/>
      <c r="B556" s="254"/>
      <c r="C556" s="254"/>
      <c r="D556" s="254"/>
      <c r="E556" s="254"/>
      <c r="F556" s="254"/>
      <c r="G556" s="254"/>
      <c r="H556" s="254"/>
      <c r="I556" s="254"/>
      <c r="J556" s="254"/>
      <c r="K556" s="254"/>
      <c r="L556" s="254"/>
      <c r="M556" s="254"/>
      <c r="N556" s="254"/>
      <c r="O556" s="254"/>
      <c r="P556" s="254"/>
      <c r="Q556" s="254"/>
      <c r="R556" s="254"/>
      <c r="S556" s="254"/>
      <c r="T556" s="254"/>
      <c r="U556" s="254"/>
      <c r="V556" s="254"/>
      <c r="W556" s="254"/>
      <c r="X556" s="254"/>
      <c r="Y556" s="254"/>
      <c r="Z556" s="254"/>
    </row>
    <row r="557">
      <c r="A557" s="254"/>
      <c r="B557" s="254"/>
      <c r="C557" s="254"/>
      <c r="D557" s="254"/>
      <c r="E557" s="254"/>
      <c r="F557" s="254"/>
      <c r="G557" s="254"/>
      <c r="H557" s="254"/>
      <c r="I557" s="254"/>
      <c r="J557" s="254"/>
      <c r="K557" s="254"/>
      <c r="L557" s="254"/>
      <c r="M557" s="254"/>
      <c r="N557" s="254"/>
      <c r="O557" s="254"/>
      <c r="P557" s="254"/>
      <c r="Q557" s="254"/>
      <c r="R557" s="254"/>
      <c r="S557" s="254"/>
      <c r="T557" s="254"/>
      <c r="U557" s="254"/>
      <c r="V557" s="254"/>
      <c r="W557" s="254"/>
      <c r="X557" s="254"/>
      <c r="Y557" s="254"/>
      <c r="Z557" s="254"/>
    </row>
    <row r="558">
      <c r="A558" s="254"/>
      <c r="B558" s="254"/>
      <c r="C558" s="254"/>
      <c r="D558" s="254"/>
      <c r="E558" s="254"/>
      <c r="F558" s="254"/>
      <c r="G558" s="254"/>
      <c r="H558" s="254"/>
      <c r="I558" s="254"/>
      <c r="J558" s="254"/>
      <c r="K558" s="254"/>
      <c r="L558" s="254"/>
      <c r="M558" s="254"/>
      <c r="N558" s="254"/>
      <c r="O558" s="254"/>
      <c r="P558" s="254"/>
      <c r="Q558" s="254"/>
      <c r="R558" s="254"/>
      <c r="S558" s="254"/>
      <c r="T558" s="254"/>
      <c r="U558" s="254"/>
      <c r="V558" s="254"/>
      <c r="W558" s="254"/>
      <c r="X558" s="254"/>
      <c r="Y558" s="254"/>
      <c r="Z558" s="254"/>
    </row>
    <row r="559">
      <c r="A559" s="254"/>
      <c r="B559" s="254"/>
      <c r="C559" s="254"/>
      <c r="D559" s="254"/>
      <c r="E559" s="254"/>
      <c r="F559" s="254"/>
      <c r="G559" s="254"/>
      <c r="H559" s="254"/>
      <c r="I559" s="254"/>
      <c r="J559" s="254"/>
      <c r="K559" s="254"/>
      <c r="L559" s="254"/>
      <c r="M559" s="254"/>
      <c r="N559" s="254"/>
      <c r="O559" s="254"/>
      <c r="P559" s="254"/>
      <c r="Q559" s="254"/>
      <c r="R559" s="254"/>
      <c r="S559" s="254"/>
      <c r="T559" s="254"/>
      <c r="U559" s="254"/>
      <c r="V559" s="254"/>
      <c r="W559" s="254"/>
      <c r="X559" s="254"/>
      <c r="Y559" s="254"/>
      <c r="Z559" s="254"/>
    </row>
    <row r="560">
      <c r="A560" s="254"/>
      <c r="B560" s="254"/>
      <c r="C560" s="254"/>
      <c r="D560" s="254"/>
      <c r="E560" s="254"/>
      <c r="F560" s="254"/>
      <c r="G560" s="254"/>
      <c r="H560" s="254"/>
      <c r="I560" s="254"/>
      <c r="J560" s="254"/>
      <c r="K560" s="254"/>
      <c r="L560" s="254"/>
      <c r="M560" s="254"/>
      <c r="N560" s="254"/>
      <c r="O560" s="254"/>
      <c r="P560" s="254"/>
      <c r="Q560" s="254"/>
      <c r="R560" s="254"/>
      <c r="S560" s="254"/>
      <c r="T560" s="254"/>
      <c r="U560" s="254"/>
      <c r="V560" s="254"/>
      <c r="W560" s="254"/>
      <c r="X560" s="254"/>
      <c r="Y560" s="254"/>
      <c r="Z560" s="254"/>
    </row>
    <row r="561">
      <c r="A561" s="254"/>
      <c r="B561" s="254"/>
      <c r="C561" s="254"/>
      <c r="D561" s="254"/>
      <c r="E561" s="254"/>
      <c r="F561" s="254"/>
      <c r="G561" s="254"/>
      <c r="H561" s="254"/>
      <c r="I561" s="254"/>
      <c r="J561" s="254"/>
      <c r="K561" s="254"/>
      <c r="L561" s="254"/>
      <c r="M561" s="254"/>
      <c r="N561" s="254"/>
      <c r="O561" s="254"/>
      <c r="P561" s="254"/>
      <c r="Q561" s="254"/>
      <c r="R561" s="254"/>
      <c r="S561" s="254"/>
      <c r="T561" s="254"/>
      <c r="U561" s="254"/>
      <c r="V561" s="254"/>
      <c r="W561" s="254"/>
      <c r="X561" s="254"/>
      <c r="Y561" s="254"/>
      <c r="Z561" s="254"/>
    </row>
    <row r="562">
      <c r="A562" s="254"/>
      <c r="B562" s="254"/>
      <c r="C562" s="254"/>
      <c r="D562" s="254"/>
      <c r="E562" s="254"/>
      <c r="F562" s="254"/>
      <c r="G562" s="254"/>
      <c r="H562" s="254"/>
      <c r="I562" s="254"/>
      <c r="J562" s="254"/>
      <c r="K562" s="254"/>
      <c r="L562" s="254"/>
      <c r="M562" s="254"/>
      <c r="N562" s="254"/>
      <c r="O562" s="254"/>
      <c r="P562" s="254"/>
      <c r="Q562" s="254"/>
      <c r="R562" s="254"/>
      <c r="S562" s="254"/>
      <c r="T562" s="254"/>
      <c r="U562" s="254"/>
      <c r="V562" s="254"/>
      <c r="W562" s="254"/>
      <c r="X562" s="254"/>
      <c r="Y562" s="254"/>
      <c r="Z562" s="254"/>
    </row>
    <row r="563">
      <c r="A563" s="254"/>
      <c r="B563" s="254"/>
      <c r="C563" s="254"/>
      <c r="D563" s="254"/>
      <c r="E563" s="254"/>
      <c r="F563" s="254"/>
      <c r="G563" s="254"/>
      <c r="H563" s="254"/>
      <c r="I563" s="254"/>
      <c r="J563" s="254"/>
      <c r="K563" s="254"/>
      <c r="L563" s="254"/>
      <c r="M563" s="254"/>
      <c r="N563" s="254"/>
      <c r="O563" s="254"/>
      <c r="P563" s="254"/>
      <c r="Q563" s="254"/>
      <c r="R563" s="254"/>
      <c r="S563" s="254"/>
      <c r="T563" s="254"/>
      <c r="U563" s="254"/>
      <c r="V563" s="254"/>
      <c r="W563" s="254"/>
      <c r="X563" s="254"/>
      <c r="Y563" s="254"/>
      <c r="Z563" s="254"/>
    </row>
    <row r="564">
      <c r="A564" s="254"/>
      <c r="B564" s="254"/>
      <c r="C564" s="254"/>
      <c r="D564" s="254"/>
      <c r="E564" s="254"/>
      <c r="F564" s="254"/>
      <c r="G564" s="254"/>
      <c r="H564" s="254"/>
      <c r="I564" s="254"/>
      <c r="J564" s="254"/>
      <c r="K564" s="254"/>
      <c r="L564" s="254"/>
      <c r="M564" s="254"/>
      <c r="N564" s="254"/>
      <c r="O564" s="254"/>
      <c r="P564" s="254"/>
      <c r="Q564" s="254"/>
      <c r="R564" s="254"/>
      <c r="S564" s="254"/>
      <c r="T564" s="254"/>
      <c r="U564" s="254"/>
      <c r="V564" s="254"/>
      <c r="W564" s="254"/>
      <c r="X564" s="254"/>
      <c r="Y564" s="254"/>
      <c r="Z564" s="254"/>
    </row>
    <row r="565">
      <c r="A565" s="254"/>
      <c r="B565" s="254"/>
      <c r="C565" s="254"/>
      <c r="D565" s="254"/>
      <c r="E565" s="254"/>
      <c r="F565" s="254"/>
      <c r="G565" s="254"/>
      <c r="H565" s="254"/>
      <c r="I565" s="254"/>
      <c r="J565" s="254"/>
      <c r="K565" s="254"/>
      <c r="L565" s="254"/>
      <c r="M565" s="254"/>
      <c r="N565" s="254"/>
      <c r="O565" s="254"/>
      <c r="P565" s="254"/>
      <c r="Q565" s="254"/>
      <c r="R565" s="254"/>
      <c r="S565" s="254"/>
      <c r="T565" s="254"/>
      <c r="U565" s="254"/>
      <c r="V565" s="254"/>
      <c r="W565" s="254"/>
      <c r="X565" s="254"/>
      <c r="Y565" s="254"/>
      <c r="Z565" s="254"/>
    </row>
    <row r="566">
      <c r="A566" s="254"/>
      <c r="B566" s="254"/>
      <c r="C566" s="254"/>
      <c r="D566" s="254"/>
      <c r="E566" s="254"/>
      <c r="F566" s="254"/>
      <c r="G566" s="254"/>
      <c r="H566" s="254"/>
      <c r="I566" s="254"/>
      <c r="J566" s="254"/>
      <c r="K566" s="254"/>
      <c r="L566" s="254"/>
      <c r="M566" s="254"/>
      <c r="N566" s="254"/>
      <c r="O566" s="254"/>
      <c r="P566" s="254"/>
      <c r="Q566" s="254"/>
      <c r="R566" s="254"/>
      <c r="S566" s="254"/>
      <c r="T566" s="254"/>
      <c r="U566" s="254"/>
      <c r="V566" s="254"/>
      <c r="W566" s="254"/>
      <c r="X566" s="254"/>
      <c r="Y566" s="254"/>
      <c r="Z566" s="254"/>
    </row>
    <row r="567">
      <c r="A567" s="254"/>
      <c r="B567" s="254"/>
      <c r="C567" s="254"/>
      <c r="D567" s="254"/>
      <c r="E567" s="254"/>
      <c r="F567" s="254"/>
      <c r="G567" s="254"/>
      <c r="H567" s="254"/>
      <c r="I567" s="254"/>
      <c r="J567" s="254"/>
      <c r="K567" s="254"/>
      <c r="L567" s="254"/>
      <c r="M567" s="254"/>
      <c r="N567" s="254"/>
      <c r="O567" s="254"/>
      <c r="P567" s="254"/>
      <c r="Q567" s="254"/>
      <c r="R567" s="254"/>
      <c r="S567" s="254"/>
      <c r="T567" s="254"/>
      <c r="U567" s="254"/>
      <c r="V567" s="254"/>
      <c r="W567" s="254"/>
      <c r="X567" s="254"/>
      <c r="Y567" s="254"/>
      <c r="Z567" s="254"/>
    </row>
    <row r="568">
      <c r="A568" s="254"/>
      <c r="B568" s="254"/>
      <c r="C568" s="254"/>
      <c r="D568" s="254"/>
      <c r="E568" s="254"/>
      <c r="F568" s="254"/>
      <c r="G568" s="254"/>
      <c r="H568" s="254"/>
      <c r="I568" s="254"/>
      <c r="J568" s="254"/>
      <c r="K568" s="254"/>
      <c r="L568" s="254"/>
      <c r="M568" s="254"/>
      <c r="N568" s="254"/>
      <c r="O568" s="254"/>
      <c r="P568" s="254"/>
      <c r="Q568" s="254"/>
      <c r="R568" s="254"/>
      <c r="S568" s="254"/>
      <c r="T568" s="254"/>
      <c r="U568" s="254"/>
      <c r="V568" s="254"/>
      <c r="W568" s="254"/>
      <c r="X568" s="254"/>
      <c r="Y568" s="254"/>
      <c r="Z568" s="254"/>
    </row>
    <row r="569">
      <c r="A569" s="254"/>
      <c r="B569" s="254"/>
      <c r="C569" s="254"/>
      <c r="D569" s="254"/>
      <c r="E569" s="254"/>
      <c r="F569" s="254"/>
      <c r="G569" s="254"/>
      <c r="H569" s="254"/>
      <c r="I569" s="254"/>
      <c r="J569" s="254"/>
      <c r="K569" s="254"/>
      <c r="L569" s="254"/>
      <c r="M569" s="254"/>
      <c r="N569" s="254"/>
      <c r="O569" s="254"/>
      <c r="P569" s="254"/>
      <c r="Q569" s="254"/>
      <c r="R569" s="254"/>
      <c r="S569" s="254"/>
      <c r="T569" s="254"/>
      <c r="U569" s="254"/>
      <c r="V569" s="254"/>
      <c r="W569" s="254"/>
      <c r="X569" s="254"/>
      <c r="Y569" s="254"/>
      <c r="Z569" s="254"/>
    </row>
    <row r="570">
      <c r="A570" s="254"/>
      <c r="B570" s="254"/>
      <c r="C570" s="254"/>
      <c r="D570" s="254"/>
      <c r="E570" s="254"/>
      <c r="F570" s="254"/>
      <c r="G570" s="254"/>
      <c r="H570" s="254"/>
      <c r="I570" s="254"/>
      <c r="J570" s="254"/>
      <c r="K570" s="254"/>
      <c r="L570" s="254"/>
      <c r="M570" s="254"/>
      <c r="N570" s="254"/>
      <c r="O570" s="254"/>
      <c r="P570" s="254"/>
      <c r="Q570" s="254"/>
      <c r="R570" s="254"/>
      <c r="S570" s="254"/>
      <c r="T570" s="254"/>
      <c r="U570" s="254"/>
      <c r="V570" s="254"/>
      <c r="W570" s="254"/>
      <c r="X570" s="254"/>
      <c r="Y570" s="254"/>
      <c r="Z570" s="254"/>
    </row>
    <row r="571">
      <c r="A571" s="254"/>
      <c r="B571" s="254"/>
      <c r="C571" s="254"/>
      <c r="D571" s="254"/>
      <c r="E571" s="254"/>
      <c r="F571" s="254"/>
      <c r="G571" s="254"/>
      <c r="H571" s="254"/>
      <c r="I571" s="254"/>
      <c r="J571" s="254"/>
      <c r="K571" s="254"/>
      <c r="L571" s="254"/>
      <c r="M571" s="254"/>
      <c r="N571" s="254"/>
      <c r="O571" s="254"/>
      <c r="P571" s="254"/>
      <c r="Q571" s="254"/>
      <c r="R571" s="254"/>
      <c r="S571" s="254"/>
      <c r="T571" s="254"/>
      <c r="U571" s="254"/>
      <c r="V571" s="254"/>
      <c r="W571" s="254"/>
      <c r="X571" s="254"/>
      <c r="Y571" s="254"/>
      <c r="Z571" s="254"/>
    </row>
    <row r="572">
      <c r="A572" s="254"/>
      <c r="B572" s="254"/>
      <c r="C572" s="254"/>
      <c r="D572" s="254"/>
      <c r="E572" s="254"/>
      <c r="F572" s="254"/>
      <c r="G572" s="254"/>
      <c r="H572" s="254"/>
      <c r="I572" s="254"/>
      <c r="J572" s="254"/>
      <c r="K572" s="254"/>
      <c r="L572" s="254"/>
      <c r="M572" s="254"/>
      <c r="N572" s="254"/>
      <c r="O572" s="254"/>
      <c r="P572" s="254"/>
      <c r="Q572" s="254"/>
      <c r="R572" s="254"/>
      <c r="S572" s="254"/>
      <c r="T572" s="254"/>
      <c r="U572" s="254"/>
      <c r="V572" s="254"/>
      <c r="W572" s="254"/>
      <c r="X572" s="254"/>
      <c r="Y572" s="254"/>
      <c r="Z572" s="254"/>
    </row>
    <row r="573">
      <c r="A573" s="254"/>
      <c r="B573" s="254"/>
      <c r="C573" s="254"/>
      <c r="D573" s="254"/>
      <c r="E573" s="254"/>
      <c r="F573" s="254"/>
      <c r="G573" s="254"/>
      <c r="H573" s="254"/>
      <c r="I573" s="254"/>
      <c r="J573" s="254"/>
      <c r="K573" s="254"/>
      <c r="L573" s="254"/>
      <c r="M573" s="254"/>
      <c r="N573" s="254"/>
      <c r="O573" s="254"/>
      <c r="P573" s="254"/>
      <c r="Q573" s="254"/>
      <c r="R573" s="254"/>
      <c r="S573" s="254"/>
      <c r="T573" s="254"/>
      <c r="U573" s="254"/>
      <c r="V573" s="254"/>
      <c r="W573" s="254"/>
      <c r="X573" s="254"/>
      <c r="Y573" s="254"/>
      <c r="Z573" s="254"/>
    </row>
    <row r="574">
      <c r="A574" s="254"/>
      <c r="B574" s="254"/>
      <c r="C574" s="254"/>
      <c r="D574" s="254"/>
      <c r="E574" s="254"/>
      <c r="F574" s="254"/>
      <c r="G574" s="254"/>
      <c r="H574" s="254"/>
      <c r="I574" s="254"/>
      <c r="J574" s="254"/>
      <c r="K574" s="254"/>
      <c r="L574" s="254"/>
      <c r="M574" s="254"/>
      <c r="N574" s="254"/>
      <c r="O574" s="254"/>
      <c r="P574" s="254"/>
      <c r="Q574" s="254"/>
      <c r="R574" s="254"/>
      <c r="S574" s="254"/>
      <c r="T574" s="254"/>
      <c r="U574" s="254"/>
      <c r="V574" s="254"/>
      <c r="W574" s="254"/>
      <c r="X574" s="254"/>
      <c r="Y574" s="254"/>
      <c r="Z574" s="254"/>
    </row>
    <row r="575">
      <c r="A575" s="254"/>
      <c r="B575" s="254"/>
      <c r="C575" s="254"/>
      <c r="D575" s="254"/>
      <c r="E575" s="254"/>
      <c r="F575" s="254"/>
      <c r="G575" s="254"/>
      <c r="H575" s="254"/>
      <c r="I575" s="254"/>
      <c r="J575" s="254"/>
      <c r="K575" s="254"/>
      <c r="L575" s="254"/>
      <c r="M575" s="254"/>
      <c r="N575" s="254"/>
      <c r="O575" s="254"/>
      <c r="P575" s="254"/>
      <c r="Q575" s="254"/>
      <c r="R575" s="254"/>
      <c r="S575" s="254"/>
      <c r="T575" s="254"/>
      <c r="U575" s="254"/>
      <c r="V575" s="254"/>
      <c r="W575" s="254"/>
      <c r="X575" s="254"/>
      <c r="Y575" s="254"/>
      <c r="Z575" s="254"/>
    </row>
    <row r="576">
      <c r="A576" s="254"/>
      <c r="B576" s="254"/>
      <c r="C576" s="254"/>
      <c r="D576" s="254"/>
      <c r="E576" s="254"/>
      <c r="F576" s="254"/>
      <c r="G576" s="254"/>
      <c r="H576" s="254"/>
      <c r="I576" s="254"/>
      <c r="J576" s="254"/>
      <c r="K576" s="254"/>
      <c r="L576" s="254"/>
      <c r="M576" s="254"/>
      <c r="N576" s="254"/>
      <c r="O576" s="254"/>
      <c r="P576" s="254"/>
      <c r="Q576" s="254"/>
      <c r="R576" s="254"/>
      <c r="S576" s="254"/>
      <c r="T576" s="254"/>
      <c r="U576" s="254"/>
      <c r="V576" s="254"/>
      <c r="W576" s="254"/>
      <c r="X576" s="254"/>
      <c r="Y576" s="254"/>
      <c r="Z576" s="254"/>
    </row>
    <row r="577">
      <c r="A577" s="254"/>
      <c r="B577" s="254"/>
      <c r="C577" s="254"/>
      <c r="D577" s="254"/>
      <c r="E577" s="254"/>
      <c r="F577" s="254"/>
      <c r="G577" s="254"/>
      <c r="H577" s="254"/>
      <c r="I577" s="254"/>
      <c r="J577" s="254"/>
      <c r="K577" s="254"/>
      <c r="L577" s="254"/>
      <c r="M577" s="254"/>
      <c r="N577" s="254"/>
      <c r="O577" s="254"/>
      <c r="P577" s="254"/>
      <c r="Q577" s="254"/>
      <c r="R577" s="254"/>
      <c r="S577" s="254"/>
      <c r="T577" s="254"/>
      <c r="U577" s="254"/>
      <c r="V577" s="254"/>
      <c r="W577" s="254"/>
      <c r="X577" s="254"/>
      <c r="Y577" s="254"/>
      <c r="Z577" s="254"/>
    </row>
    <row r="578">
      <c r="A578" s="254"/>
      <c r="B578" s="254"/>
      <c r="C578" s="254"/>
      <c r="D578" s="254"/>
      <c r="E578" s="254"/>
      <c r="F578" s="254"/>
      <c r="G578" s="254"/>
      <c r="H578" s="254"/>
      <c r="I578" s="254"/>
      <c r="J578" s="254"/>
      <c r="K578" s="254"/>
      <c r="L578" s="254"/>
      <c r="M578" s="254"/>
      <c r="N578" s="254"/>
      <c r="O578" s="254"/>
      <c r="P578" s="254"/>
      <c r="Q578" s="254"/>
      <c r="R578" s="254"/>
      <c r="S578" s="254"/>
      <c r="T578" s="254"/>
      <c r="U578" s="254"/>
      <c r="V578" s="254"/>
      <c r="W578" s="254"/>
      <c r="X578" s="254"/>
      <c r="Y578" s="254"/>
      <c r="Z578" s="254"/>
    </row>
    <row r="579">
      <c r="A579" s="254"/>
      <c r="B579" s="254"/>
      <c r="C579" s="254"/>
      <c r="D579" s="254"/>
      <c r="E579" s="254"/>
      <c r="F579" s="254"/>
      <c r="G579" s="254"/>
      <c r="H579" s="254"/>
      <c r="I579" s="254"/>
      <c r="J579" s="254"/>
      <c r="K579" s="254"/>
      <c r="L579" s="254"/>
      <c r="M579" s="254"/>
      <c r="N579" s="254"/>
      <c r="O579" s="254"/>
      <c r="P579" s="254"/>
      <c r="Q579" s="254"/>
      <c r="R579" s="254"/>
      <c r="S579" s="254"/>
      <c r="T579" s="254"/>
      <c r="U579" s="254"/>
      <c r="V579" s="254"/>
      <c r="W579" s="254"/>
      <c r="X579" s="254"/>
      <c r="Y579" s="254"/>
      <c r="Z579" s="254"/>
    </row>
    <row r="580">
      <c r="A580" s="254"/>
      <c r="B580" s="254"/>
      <c r="C580" s="254"/>
      <c r="D580" s="254"/>
      <c r="E580" s="254"/>
      <c r="F580" s="254"/>
      <c r="G580" s="254"/>
      <c r="H580" s="254"/>
      <c r="I580" s="254"/>
      <c r="J580" s="254"/>
      <c r="K580" s="254"/>
      <c r="L580" s="254"/>
      <c r="M580" s="254"/>
      <c r="N580" s="254"/>
      <c r="O580" s="254"/>
      <c r="P580" s="254"/>
      <c r="Q580" s="254"/>
      <c r="R580" s="254"/>
      <c r="S580" s="254"/>
      <c r="T580" s="254"/>
      <c r="U580" s="254"/>
      <c r="V580" s="254"/>
      <c r="W580" s="254"/>
      <c r="X580" s="254"/>
      <c r="Y580" s="254"/>
      <c r="Z580" s="254"/>
    </row>
    <row r="581">
      <c r="A581" s="254"/>
      <c r="B581" s="254"/>
      <c r="C581" s="254"/>
      <c r="D581" s="254"/>
      <c r="E581" s="254"/>
      <c r="F581" s="254"/>
      <c r="G581" s="254"/>
      <c r="H581" s="254"/>
      <c r="I581" s="254"/>
      <c r="J581" s="254"/>
      <c r="K581" s="254"/>
      <c r="L581" s="254"/>
      <c r="M581" s="254"/>
      <c r="N581" s="254"/>
      <c r="O581" s="254"/>
      <c r="P581" s="254"/>
      <c r="Q581" s="254"/>
      <c r="R581" s="254"/>
      <c r="S581" s="254"/>
      <c r="T581" s="254"/>
      <c r="U581" s="254"/>
      <c r="V581" s="254"/>
      <c r="W581" s="254"/>
      <c r="X581" s="254"/>
      <c r="Y581" s="254"/>
      <c r="Z581" s="254"/>
    </row>
    <row r="582">
      <c r="A582" s="254"/>
      <c r="B582" s="254"/>
      <c r="C582" s="254"/>
      <c r="D582" s="254"/>
      <c r="E582" s="254"/>
      <c r="F582" s="254"/>
      <c r="G582" s="254"/>
      <c r="H582" s="254"/>
      <c r="I582" s="254"/>
      <c r="J582" s="254"/>
      <c r="K582" s="254"/>
      <c r="L582" s="254"/>
      <c r="M582" s="254"/>
      <c r="N582" s="254"/>
      <c r="O582" s="254"/>
      <c r="P582" s="254"/>
      <c r="Q582" s="254"/>
      <c r="R582" s="254"/>
      <c r="S582" s="254"/>
      <c r="T582" s="254"/>
      <c r="U582" s="254"/>
      <c r="V582" s="254"/>
      <c r="W582" s="254"/>
      <c r="X582" s="254"/>
      <c r="Y582" s="254"/>
      <c r="Z582" s="254"/>
    </row>
    <row r="583">
      <c r="A583" s="254"/>
      <c r="B583" s="254"/>
      <c r="C583" s="254"/>
      <c r="D583" s="254"/>
      <c r="E583" s="254"/>
      <c r="F583" s="254"/>
      <c r="G583" s="254"/>
      <c r="H583" s="254"/>
      <c r="I583" s="254"/>
      <c r="J583" s="254"/>
      <c r="K583" s="254"/>
      <c r="L583" s="254"/>
      <c r="M583" s="254"/>
      <c r="N583" s="254"/>
      <c r="O583" s="254"/>
      <c r="P583" s="254"/>
      <c r="Q583" s="254"/>
      <c r="R583" s="254"/>
      <c r="S583" s="254"/>
      <c r="T583" s="254"/>
      <c r="U583" s="254"/>
      <c r="V583" s="254"/>
      <c r="W583" s="254"/>
      <c r="X583" s="254"/>
      <c r="Y583" s="254"/>
      <c r="Z583" s="254"/>
    </row>
    <row r="584">
      <c r="A584" s="254"/>
      <c r="B584" s="254"/>
      <c r="C584" s="254"/>
      <c r="D584" s="254"/>
      <c r="E584" s="254"/>
      <c r="F584" s="254"/>
      <c r="G584" s="254"/>
      <c r="H584" s="254"/>
      <c r="I584" s="254"/>
      <c r="J584" s="254"/>
      <c r="K584" s="254"/>
      <c r="L584" s="254"/>
      <c r="M584" s="254"/>
      <c r="N584" s="254"/>
      <c r="O584" s="254"/>
      <c r="P584" s="254"/>
      <c r="Q584" s="254"/>
      <c r="R584" s="254"/>
      <c r="S584" s="254"/>
      <c r="T584" s="254"/>
      <c r="U584" s="254"/>
      <c r="V584" s="254"/>
      <c r="W584" s="254"/>
      <c r="X584" s="254"/>
      <c r="Y584" s="254"/>
      <c r="Z584" s="254"/>
    </row>
    <row r="585">
      <c r="A585" s="254"/>
      <c r="B585" s="254"/>
      <c r="C585" s="254"/>
      <c r="D585" s="254"/>
      <c r="E585" s="254"/>
      <c r="F585" s="254"/>
      <c r="G585" s="254"/>
      <c r="H585" s="254"/>
      <c r="I585" s="254"/>
      <c r="J585" s="254"/>
      <c r="K585" s="254"/>
      <c r="L585" s="254"/>
      <c r="M585" s="254"/>
      <c r="N585" s="254"/>
      <c r="O585" s="254"/>
      <c r="P585" s="254"/>
      <c r="Q585" s="254"/>
      <c r="R585" s="254"/>
      <c r="S585" s="254"/>
      <c r="T585" s="254"/>
      <c r="U585" s="254"/>
      <c r="V585" s="254"/>
      <c r="W585" s="254"/>
      <c r="X585" s="254"/>
      <c r="Y585" s="254"/>
      <c r="Z585" s="254"/>
    </row>
    <row r="586">
      <c r="A586" s="254"/>
      <c r="B586" s="254"/>
      <c r="C586" s="254"/>
      <c r="D586" s="254"/>
      <c r="E586" s="254"/>
      <c r="F586" s="254"/>
      <c r="G586" s="254"/>
      <c r="H586" s="254"/>
      <c r="I586" s="254"/>
      <c r="J586" s="254"/>
      <c r="K586" s="254"/>
      <c r="L586" s="254"/>
      <c r="M586" s="254"/>
      <c r="N586" s="254"/>
      <c r="O586" s="254"/>
      <c r="P586" s="254"/>
      <c r="Q586" s="254"/>
      <c r="R586" s="254"/>
      <c r="S586" s="254"/>
      <c r="T586" s="254"/>
      <c r="U586" s="254"/>
      <c r="V586" s="254"/>
      <c r="W586" s="254"/>
      <c r="X586" s="254"/>
      <c r="Y586" s="254"/>
      <c r="Z586" s="254"/>
    </row>
    <row r="587">
      <c r="A587" s="254"/>
      <c r="B587" s="254"/>
      <c r="C587" s="254"/>
      <c r="D587" s="254"/>
      <c r="E587" s="254"/>
      <c r="F587" s="254"/>
      <c r="G587" s="254"/>
      <c r="H587" s="254"/>
      <c r="I587" s="254"/>
      <c r="J587" s="254"/>
      <c r="K587" s="254"/>
      <c r="L587" s="254"/>
      <c r="M587" s="254"/>
      <c r="N587" s="254"/>
      <c r="O587" s="254"/>
      <c r="P587" s="254"/>
      <c r="Q587" s="254"/>
      <c r="R587" s="254"/>
      <c r="S587" s="254"/>
      <c r="T587" s="254"/>
      <c r="U587" s="254"/>
      <c r="V587" s="254"/>
      <c r="W587" s="254"/>
      <c r="X587" s="254"/>
      <c r="Y587" s="254"/>
      <c r="Z587" s="254"/>
    </row>
    <row r="588">
      <c r="A588" s="254"/>
      <c r="B588" s="254"/>
      <c r="C588" s="254"/>
      <c r="D588" s="254"/>
      <c r="E588" s="254"/>
      <c r="F588" s="254"/>
      <c r="G588" s="254"/>
      <c r="H588" s="254"/>
      <c r="I588" s="254"/>
      <c r="J588" s="254"/>
      <c r="K588" s="254"/>
      <c r="L588" s="254"/>
      <c r="M588" s="254"/>
      <c r="N588" s="254"/>
      <c r="O588" s="254"/>
      <c r="P588" s="254"/>
      <c r="Q588" s="254"/>
      <c r="R588" s="254"/>
      <c r="S588" s="254"/>
      <c r="T588" s="254"/>
      <c r="U588" s="254"/>
      <c r="V588" s="254"/>
      <c r="W588" s="254"/>
      <c r="X588" s="254"/>
      <c r="Y588" s="254"/>
      <c r="Z588" s="254"/>
    </row>
    <row r="589">
      <c r="A589" s="254"/>
      <c r="B589" s="254"/>
      <c r="C589" s="254"/>
      <c r="D589" s="254"/>
      <c r="E589" s="254"/>
      <c r="F589" s="254"/>
      <c r="G589" s="254"/>
      <c r="H589" s="254"/>
      <c r="I589" s="254"/>
      <c r="J589" s="254"/>
      <c r="K589" s="254"/>
      <c r="L589" s="254"/>
      <c r="M589" s="254"/>
      <c r="N589" s="254"/>
      <c r="O589" s="254"/>
      <c r="P589" s="254"/>
      <c r="Q589" s="254"/>
      <c r="R589" s="254"/>
      <c r="S589" s="254"/>
      <c r="T589" s="254"/>
      <c r="U589" s="254"/>
      <c r="V589" s="254"/>
      <c r="W589" s="254"/>
      <c r="X589" s="254"/>
      <c r="Y589" s="254"/>
      <c r="Z589" s="254"/>
    </row>
    <row r="590">
      <c r="A590" s="254"/>
      <c r="B590" s="254"/>
      <c r="C590" s="254"/>
      <c r="D590" s="254"/>
      <c r="E590" s="254"/>
      <c r="F590" s="254"/>
      <c r="G590" s="254"/>
      <c r="H590" s="254"/>
      <c r="I590" s="254"/>
      <c r="J590" s="254"/>
      <c r="K590" s="254"/>
      <c r="L590" s="254"/>
      <c r="M590" s="254"/>
      <c r="N590" s="254"/>
      <c r="O590" s="254"/>
      <c r="P590" s="254"/>
      <c r="Q590" s="254"/>
      <c r="R590" s="254"/>
      <c r="S590" s="254"/>
      <c r="T590" s="254"/>
      <c r="U590" s="254"/>
      <c r="V590" s="254"/>
      <c r="W590" s="254"/>
      <c r="X590" s="254"/>
      <c r="Y590" s="254"/>
      <c r="Z590" s="254"/>
    </row>
    <row r="591">
      <c r="A591" s="254"/>
      <c r="B591" s="254"/>
      <c r="C591" s="254"/>
      <c r="D591" s="254"/>
      <c r="E591" s="254"/>
      <c r="F591" s="254"/>
      <c r="G591" s="254"/>
      <c r="H591" s="254"/>
      <c r="I591" s="254"/>
      <c r="J591" s="254"/>
      <c r="K591" s="254"/>
      <c r="L591" s="254"/>
      <c r="M591" s="254"/>
      <c r="N591" s="254"/>
      <c r="O591" s="254"/>
      <c r="P591" s="254"/>
      <c r="Q591" s="254"/>
      <c r="R591" s="254"/>
      <c r="S591" s="254"/>
      <c r="T591" s="254"/>
      <c r="U591" s="254"/>
      <c r="V591" s="254"/>
      <c r="W591" s="254"/>
      <c r="X591" s="254"/>
      <c r="Y591" s="254"/>
      <c r="Z591" s="254"/>
    </row>
    <row r="592">
      <c r="A592" s="254"/>
      <c r="B592" s="254"/>
      <c r="C592" s="254"/>
      <c r="D592" s="254"/>
      <c r="E592" s="254"/>
      <c r="F592" s="254"/>
      <c r="G592" s="254"/>
      <c r="H592" s="254"/>
      <c r="I592" s="254"/>
      <c r="J592" s="254"/>
      <c r="K592" s="254"/>
      <c r="L592" s="254"/>
      <c r="M592" s="254"/>
      <c r="N592" s="254"/>
      <c r="O592" s="254"/>
      <c r="P592" s="254"/>
      <c r="Q592" s="254"/>
      <c r="R592" s="254"/>
      <c r="S592" s="254"/>
      <c r="T592" s="254"/>
      <c r="U592" s="254"/>
      <c r="V592" s="254"/>
      <c r="W592" s="254"/>
      <c r="X592" s="254"/>
      <c r="Y592" s="254"/>
      <c r="Z592" s="254"/>
    </row>
    <row r="593">
      <c r="A593" s="254"/>
      <c r="B593" s="254"/>
      <c r="C593" s="254"/>
      <c r="D593" s="254"/>
      <c r="E593" s="254"/>
      <c r="F593" s="254"/>
      <c r="G593" s="254"/>
      <c r="H593" s="254"/>
      <c r="I593" s="254"/>
      <c r="J593" s="254"/>
      <c r="K593" s="254"/>
      <c r="L593" s="254"/>
      <c r="M593" s="254"/>
      <c r="N593" s="254"/>
      <c r="O593" s="254"/>
      <c r="P593" s="254"/>
      <c r="Q593" s="254"/>
      <c r="R593" s="254"/>
      <c r="S593" s="254"/>
      <c r="T593" s="254"/>
      <c r="U593" s="254"/>
      <c r="V593" s="254"/>
      <c r="W593" s="254"/>
      <c r="X593" s="254"/>
      <c r="Y593" s="254"/>
      <c r="Z593" s="254"/>
    </row>
    <row r="594">
      <c r="A594" s="254"/>
      <c r="B594" s="254"/>
      <c r="C594" s="254"/>
      <c r="D594" s="254"/>
      <c r="E594" s="254"/>
      <c r="F594" s="254"/>
      <c r="G594" s="254"/>
      <c r="H594" s="254"/>
      <c r="I594" s="254"/>
      <c r="J594" s="254"/>
      <c r="K594" s="254"/>
      <c r="L594" s="254"/>
      <c r="M594" s="254"/>
      <c r="N594" s="254"/>
      <c r="O594" s="254"/>
      <c r="P594" s="254"/>
      <c r="Q594" s="254"/>
      <c r="R594" s="254"/>
      <c r="S594" s="254"/>
      <c r="T594" s="254"/>
      <c r="U594" s="254"/>
      <c r="V594" s="254"/>
      <c r="W594" s="254"/>
      <c r="X594" s="254"/>
      <c r="Y594" s="254"/>
      <c r="Z594" s="254"/>
    </row>
    <row r="595">
      <c r="A595" s="254"/>
      <c r="B595" s="254"/>
      <c r="C595" s="254"/>
      <c r="D595" s="254"/>
      <c r="E595" s="254"/>
      <c r="F595" s="254"/>
      <c r="G595" s="254"/>
      <c r="H595" s="254"/>
      <c r="I595" s="254"/>
      <c r="J595" s="254"/>
      <c r="K595" s="254"/>
      <c r="L595" s="254"/>
      <c r="M595" s="254"/>
      <c r="N595" s="254"/>
      <c r="O595" s="254"/>
      <c r="P595" s="254"/>
      <c r="Q595" s="254"/>
      <c r="R595" s="254"/>
      <c r="S595" s="254"/>
      <c r="T595" s="254"/>
      <c r="U595" s="254"/>
      <c r="V595" s="254"/>
      <c r="W595" s="254"/>
      <c r="X595" s="254"/>
      <c r="Y595" s="254"/>
      <c r="Z595" s="254"/>
    </row>
    <row r="596">
      <c r="A596" s="254"/>
      <c r="B596" s="254"/>
      <c r="C596" s="254"/>
      <c r="D596" s="254"/>
      <c r="E596" s="254"/>
      <c r="F596" s="254"/>
      <c r="G596" s="254"/>
      <c r="H596" s="254"/>
      <c r="I596" s="254"/>
      <c r="J596" s="254"/>
      <c r="K596" s="254"/>
      <c r="L596" s="254"/>
      <c r="M596" s="254"/>
      <c r="N596" s="254"/>
      <c r="O596" s="254"/>
      <c r="P596" s="254"/>
      <c r="Q596" s="254"/>
      <c r="R596" s="254"/>
      <c r="S596" s="254"/>
      <c r="T596" s="254"/>
      <c r="U596" s="254"/>
      <c r="V596" s="254"/>
      <c r="W596" s="254"/>
      <c r="X596" s="254"/>
      <c r="Y596" s="254"/>
      <c r="Z596" s="254"/>
    </row>
    <row r="597">
      <c r="A597" s="254"/>
      <c r="B597" s="254"/>
      <c r="C597" s="254"/>
      <c r="D597" s="254"/>
      <c r="E597" s="254"/>
      <c r="F597" s="254"/>
      <c r="G597" s="254"/>
      <c r="H597" s="254"/>
      <c r="I597" s="254"/>
      <c r="J597" s="254"/>
      <c r="K597" s="254"/>
      <c r="L597" s="254"/>
      <c r="M597" s="254"/>
      <c r="N597" s="254"/>
      <c r="O597" s="254"/>
      <c r="P597" s="254"/>
      <c r="Q597" s="254"/>
      <c r="R597" s="254"/>
      <c r="S597" s="254"/>
      <c r="T597" s="254"/>
      <c r="U597" s="254"/>
      <c r="V597" s="254"/>
      <c r="W597" s="254"/>
      <c r="X597" s="254"/>
      <c r="Y597" s="254"/>
      <c r="Z597" s="254"/>
    </row>
    <row r="598">
      <c r="A598" s="254"/>
      <c r="B598" s="254"/>
      <c r="C598" s="254"/>
      <c r="D598" s="254"/>
      <c r="E598" s="254"/>
      <c r="F598" s="254"/>
      <c r="G598" s="254"/>
      <c r="H598" s="254"/>
      <c r="I598" s="254"/>
      <c r="J598" s="254"/>
      <c r="K598" s="254"/>
      <c r="L598" s="254"/>
      <c r="M598" s="254"/>
      <c r="N598" s="254"/>
      <c r="O598" s="254"/>
      <c r="P598" s="254"/>
      <c r="Q598" s="254"/>
      <c r="R598" s="254"/>
      <c r="S598" s="254"/>
      <c r="T598" s="254"/>
      <c r="U598" s="254"/>
      <c r="V598" s="254"/>
      <c r="W598" s="254"/>
      <c r="X598" s="254"/>
      <c r="Y598" s="254"/>
      <c r="Z598" s="254"/>
    </row>
    <row r="599">
      <c r="A599" s="254"/>
      <c r="B599" s="254"/>
      <c r="C599" s="254"/>
      <c r="D599" s="254"/>
      <c r="E599" s="254"/>
      <c r="F599" s="254"/>
      <c r="G599" s="254"/>
      <c r="H599" s="254"/>
      <c r="I599" s="254"/>
      <c r="J599" s="254"/>
      <c r="K599" s="254"/>
      <c r="L599" s="254"/>
      <c r="M599" s="254"/>
      <c r="N599" s="254"/>
      <c r="O599" s="254"/>
      <c r="P599" s="254"/>
      <c r="Q599" s="254"/>
      <c r="R599" s="254"/>
      <c r="S599" s="254"/>
      <c r="T599" s="254"/>
      <c r="U599" s="254"/>
      <c r="V599" s="254"/>
      <c r="W599" s="254"/>
      <c r="X599" s="254"/>
      <c r="Y599" s="254"/>
      <c r="Z599" s="254"/>
    </row>
    <row r="600">
      <c r="A600" s="254"/>
      <c r="B600" s="254"/>
      <c r="C600" s="254"/>
      <c r="D600" s="254"/>
      <c r="E600" s="254"/>
      <c r="F600" s="254"/>
      <c r="G600" s="254"/>
      <c r="H600" s="254"/>
      <c r="I600" s="254"/>
      <c r="J600" s="254"/>
      <c r="K600" s="254"/>
      <c r="L600" s="254"/>
      <c r="M600" s="254"/>
      <c r="N600" s="254"/>
      <c r="O600" s="254"/>
      <c r="P600" s="254"/>
      <c r="Q600" s="254"/>
      <c r="R600" s="254"/>
      <c r="S600" s="254"/>
      <c r="T600" s="254"/>
      <c r="U600" s="254"/>
      <c r="V600" s="254"/>
      <c r="W600" s="254"/>
      <c r="X600" s="254"/>
      <c r="Y600" s="254"/>
      <c r="Z600" s="254"/>
    </row>
    <row r="601">
      <c r="A601" s="254"/>
      <c r="B601" s="254"/>
      <c r="C601" s="254"/>
      <c r="D601" s="254"/>
      <c r="E601" s="254"/>
      <c r="F601" s="254"/>
      <c r="G601" s="254"/>
      <c r="H601" s="254"/>
      <c r="I601" s="254"/>
      <c r="J601" s="254"/>
      <c r="K601" s="254"/>
      <c r="L601" s="254"/>
      <c r="M601" s="254"/>
      <c r="N601" s="254"/>
      <c r="O601" s="254"/>
      <c r="P601" s="254"/>
      <c r="Q601" s="254"/>
      <c r="R601" s="254"/>
      <c r="S601" s="254"/>
      <c r="T601" s="254"/>
      <c r="U601" s="254"/>
      <c r="V601" s="254"/>
      <c r="W601" s="254"/>
      <c r="X601" s="254"/>
      <c r="Y601" s="254"/>
      <c r="Z601" s="254"/>
    </row>
    <row r="602">
      <c r="A602" s="254"/>
      <c r="B602" s="254"/>
      <c r="C602" s="254"/>
      <c r="D602" s="254"/>
      <c r="E602" s="254"/>
      <c r="F602" s="254"/>
      <c r="G602" s="254"/>
      <c r="H602" s="254"/>
      <c r="I602" s="254"/>
      <c r="J602" s="254"/>
      <c r="K602" s="254"/>
      <c r="L602" s="254"/>
      <c r="M602" s="254"/>
      <c r="N602" s="254"/>
      <c r="O602" s="254"/>
      <c r="P602" s="254"/>
      <c r="Q602" s="254"/>
      <c r="R602" s="254"/>
      <c r="S602" s="254"/>
      <c r="T602" s="254"/>
      <c r="U602" s="254"/>
      <c r="V602" s="254"/>
      <c r="W602" s="254"/>
      <c r="X602" s="254"/>
      <c r="Y602" s="254"/>
      <c r="Z602" s="254"/>
    </row>
    <row r="603">
      <c r="A603" s="254"/>
      <c r="B603" s="254"/>
      <c r="C603" s="254"/>
      <c r="D603" s="254"/>
      <c r="E603" s="254"/>
      <c r="F603" s="254"/>
      <c r="G603" s="254"/>
      <c r="H603" s="254"/>
      <c r="I603" s="254"/>
      <c r="J603" s="254"/>
      <c r="K603" s="254"/>
      <c r="L603" s="254"/>
      <c r="M603" s="254"/>
      <c r="N603" s="254"/>
      <c r="O603" s="254"/>
      <c r="P603" s="254"/>
      <c r="Q603" s="254"/>
      <c r="R603" s="254"/>
      <c r="S603" s="254"/>
      <c r="T603" s="254"/>
      <c r="U603" s="254"/>
      <c r="V603" s="254"/>
      <c r="W603" s="254"/>
      <c r="X603" s="254"/>
      <c r="Y603" s="254"/>
      <c r="Z603" s="254"/>
    </row>
    <row r="604">
      <c r="A604" s="254"/>
      <c r="B604" s="254"/>
      <c r="C604" s="254"/>
      <c r="D604" s="254"/>
      <c r="E604" s="254"/>
      <c r="F604" s="254"/>
      <c r="G604" s="254"/>
      <c r="H604" s="254"/>
      <c r="I604" s="254"/>
      <c r="J604" s="254"/>
      <c r="K604" s="254"/>
      <c r="L604" s="254"/>
      <c r="M604" s="254"/>
      <c r="N604" s="254"/>
      <c r="O604" s="254"/>
      <c r="P604" s="254"/>
      <c r="Q604" s="254"/>
      <c r="R604" s="254"/>
      <c r="S604" s="254"/>
      <c r="T604" s="254"/>
      <c r="U604" s="254"/>
      <c r="V604" s="254"/>
      <c r="W604" s="254"/>
      <c r="X604" s="254"/>
      <c r="Y604" s="254"/>
      <c r="Z604" s="254"/>
    </row>
    <row r="605">
      <c r="A605" s="254"/>
      <c r="B605" s="254"/>
      <c r="C605" s="254"/>
      <c r="D605" s="254"/>
      <c r="E605" s="254"/>
      <c r="F605" s="254"/>
      <c r="G605" s="254"/>
      <c r="H605" s="254"/>
      <c r="I605" s="254"/>
      <c r="J605" s="254"/>
      <c r="K605" s="254"/>
      <c r="L605" s="254"/>
      <c r="M605" s="254"/>
      <c r="N605" s="254"/>
      <c r="O605" s="254"/>
      <c r="P605" s="254"/>
      <c r="Q605" s="254"/>
      <c r="R605" s="254"/>
      <c r="S605" s="254"/>
      <c r="T605" s="254"/>
      <c r="U605" s="254"/>
      <c r="V605" s="254"/>
      <c r="W605" s="254"/>
      <c r="X605" s="254"/>
      <c r="Y605" s="254"/>
      <c r="Z605" s="254"/>
    </row>
    <row r="606">
      <c r="A606" s="254"/>
      <c r="B606" s="254"/>
      <c r="C606" s="254"/>
      <c r="D606" s="254"/>
      <c r="E606" s="254"/>
      <c r="F606" s="254"/>
      <c r="G606" s="254"/>
      <c r="H606" s="254"/>
      <c r="I606" s="254"/>
      <c r="J606" s="254"/>
      <c r="K606" s="254"/>
      <c r="L606" s="254"/>
      <c r="M606" s="254"/>
      <c r="N606" s="254"/>
      <c r="O606" s="254"/>
      <c r="P606" s="254"/>
      <c r="Q606" s="254"/>
      <c r="R606" s="254"/>
      <c r="S606" s="254"/>
      <c r="T606" s="254"/>
      <c r="U606" s="254"/>
      <c r="V606" s="254"/>
      <c r="W606" s="254"/>
      <c r="X606" s="254"/>
      <c r="Y606" s="254"/>
      <c r="Z606" s="254"/>
    </row>
    <row r="607">
      <c r="A607" s="254"/>
      <c r="B607" s="254"/>
      <c r="C607" s="254"/>
      <c r="D607" s="254"/>
      <c r="E607" s="254"/>
      <c r="F607" s="254"/>
      <c r="G607" s="254"/>
      <c r="H607" s="254"/>
      <c r="I607" s="254"/>
      <c r="J607" s="254"/>
      <c r="K607" s="254"/>
      <c r="L607" s="254"/>
      <c r="M607" s="254"/>
      <c r="N607" s="254"/>
      <c r="O607" s="254"/>
      <c r="P607" s="254"/>
      <c r="Q607" s="254"/>
      <c r="R607" s="254"/>
      <c r="S607" s="254"/>
      <c r="T607" s="254"/>
      <c r="U607" s="254"/>
      <c r="V607" s="254"/>
      <c r="W607" s="254"/>
      <c r="X607" s="254"/>
      <c r="Y607" s="254"/>
      <c r="Z607" s="254"/>
    </row>
    <row r="608">
      <c r="A608" s="254"/>
      <c r="B608" s="254"/>
      <c r="C608" s="254"/>
      <c r="D608" s="254"/>
      <c r="E608" s="254"/>
      <c r="F608" s="254"/>
      <c r="G608" s="254"/>
      <c r="H608" s="254"/>
      <c r="I608" s="254"/>
      <c r="J608" s="254"/>
      <c r="K608" s="254"/>
      <c r="L608" s="254"/>
      <c r="M608" s="254"/>
      <c r="N608" s="254"/>
      <c r="O608" s="254"/>
      <c r="P608" s="254"/>
      <c r="Q608" s="254"/>
      <c r="R608" s="254"/>
      <c r="S608" s="254"/>
      <c r="T608" s="254"/>
      <c r="U608" s="254"/>
      <c r="V608" s="254"/>
      <c r="W608" s="254"/>
      <c r="X608" s="254"/>
      <c r="Y608" s="254"/>
      <c r="Z608" s="254"/>
    </row>
    <row r="609">
      <c r="A609" s="254"/>
      <c r="B609" s="254"/>
      <c r="C609" s="254"/>
      <c r="D609" s="254"/>
      <c r="E609" s="254"/>
      <c r="F609" s="254"/>
      <c r="G609" s="254"/>
      <c r="H609" s="254"/>
      <c r="I609" s="254"/>
      <c r="J609" s="254"/>
      <c r="K609" s="254"/>
      <c r="L609" s="254"/>
      <c r="M609" s="254"/>
      <c r="N609" s="254"/>
      <c r="O609" s="254"/>
      <c r="P609" s="254"/>
      <c r="Q609" s="254"/>
      <c r="R609" s="254"/>
      <c r="S609" s="254"/>
      <c r="T609" s="254"/>
      <c r="U609" s="254"/>
      <c r="V609" s="254"/>
      <c r="W609" s="254"/>
      <c r="X609" s="254"/>
      <c r="Y609" s="254"/>
      <c r="Z609" s="254"/>
    </row>
    <row r="610">
      <c r="A610" s="254"/>
      <c r="B610" s="254"/>
      <c r="C610" s="254"/>
      <c r="D610" s="254"/>
      <c r="E610" s="254"/>
      <c r="F610" s="254"/>
      <c r="G610" s="254"/>
      <c r="H610" s="254"/>
      <c r="I610" s="254"/>
      <c r="J610" s="254"/>
      <c r="K610" s="254"/>
      <c r="L610" s="254"/>
      <c r="M610" s="254"/>
      <c r="N610" s="254"/>
      <c r="O610" s="254"/>
      <c r="P610" s="254"/>
      <c r="Q610" s="254"/>
      <c r="R610" s="254"/>
      <c r="S610" s="254"/>
      <c r="T610" s="254"/>
      <c r="U610" s="254"/>
      <c r="V610" s="254"/>
      <c r="W610" s="254"/>
      <c r="X610" s="254"/>
      <c r="Y610" s="254"/>
      <c r="Z610" s="254"/>
    </row>
    <row r="611">
      <c r="A611" s="254"/>
      <c r="B611" s="254"/>
      <c r="C611" s="254"/>
      <c r="D611" s="254"/>
      <c r="E611" s="254"/>
      <c r="F611" s="254"/>
      <c r="G611" s="254"/>
      <c r="H611" s="254"/>
      <c r="I611" s="254"/>
      <c r="J611" s="254"/>
      <c r="K611" s="254"/>
      <c r="L611" s="254"/>
      <c r="M611" s="254"/>
      <c r="N611" s="254"/>
      <c r="O611" s="254"/>
      <c r="P611" s="254"/>
      <c r="Q611" s="254"/>
      <c r="R611" s="254"/>
      <c r="S611" s="254"/>
      <c r="T611" s="254"/>
      <c r="U611" s="254"/>
      <c r="V611" s="254"/>
      <c r="W611" s="254"/>
      <c r="X611" s="254"/>
      <c r="Y611" s="254"/>
      <c r="Z611" s="254"/>
    </row>
    <row r="612">
      <c r="A612" s="254"/>
      <c r="B612" s="254"/>
      <c r="C612" s="254"/>
      <c r="D612" s="254"/>
      <c r="E612" s="254"/>
      <c r="F612" s="254"/>
      <c r="G612" s="254"/>
      <c r="H612" s="254"/>
      <c r="I612" s="254"/>
      <c r="J612" s="254"/>
      <c r="K612" s="254"/>
      <c r="L612" s="254"/>
      <c r="M612" s="254"/>
      <c r="N612" s="254"/>
      <c r="O612" s="254"/>
      <c r="P612" s="254"/>
      <c r="Q612" s="254"/>
      <c r="R612" s="254"/>
      <c r="S612" s="254"/>
      <c r="T612" s="254"/>
      <c r="U612" s="254"/>
      <c r="V612" s="254"/>
      <c r="W612" s="254"/>
      <c r="X612" s="254"/>
      <c r="Y612" s="254"/>
      <c r="Z612" s="254"/>
    </row>
    <row r="613">
      <c r="A613" s="254"/>
      <c r="B613" s="254"/>
      <c r="C613" s="254"/>
      <c r="D613" s="254"/>
      <c r="E613" s="254"/>
      <c r="F613" s="254"/>
      <c r="G613" s="254"/>
      <c r="H613" s="254"/>
      <c r="I613" s="254"/>
      <c r="J613" s="254"/>
      <c r="K613" s="254"/>
      <c r="L613" s="254"/>
      <c r="M613" s="254"/>
      <c r="N613" s="254"/>
      <c r="O613" s="254"/>
      <c r="P613" s="254"/>
      <c r="Q613" s="254"/>
      <c r="R613" s="254"/>
      <c r="S613" s="254"/>
      <c r="T613" s="254"/>
      <c r="U613" s="254"/>
      <c r="V613" s="254"/>
      <c r="W613" s="254"/>
      <c r="X613" s="254"/>
      <c r="Y613" s="254"/>
      <c r="Z613" s="254"/>
    </row>
    <row r="614">
      <c r="A614" s="254"/>
      <c r="B614" s="254"/>
      <c r="C614" s="254"/>
      <c r="D614" s="254"/>
      <c r="E614" s="254"/>
      <c r="F614" s="254"/>
      <c r="G614" s="254"/>
      <c r="H614" s="254"/>
      <c r="I614" s="254"/>
      <c r="J614" s="254"/>
      <c r="K614" s="254"/>
      <c r="L614" s="254"/>
      <c r="M614" s="254"/>
      <c r="N614" s="254"/>
      <c r="O614" s="254"/>
      <c r="P614" s="254"/>
      <c r="Q614" s="254"/>
      <c r="R614" s="254"/>
      <c r="S614" s="254"/>
      <c r="T614" s="254"/>
      <c r="U614" s="254"/>
      <c r="V614" s="254"/>
      <c r="W614" s="254"/>
      <c r="X614" s="254"/>
      <c r="Y614" s="254"/>
      <c r="Z614" s="254"/>
    </row>
    <row r="615">
      <c r="A615" s="254"/>
      <c r="B615" s="254"/>
      <c r="C615" s="254"/>
      <c r="D615" s="254"/>
      <c r="E615" s="254"/>
      <c r="F615" s="254"/>
      <c r="G615" s="254"/>
      <c r="H615" s="254"/>
      <c r="I615" s="254"/>
      <c r="J615" s="254"/>
      <c r="K615" s="254"/>
      <c r="L615" s="254"/>
      <c r="M615" s="254"/>
      <c r="N615" s="254"/>
      <c r="O615" s="254"/>
      <c r="P615" s="254"/>
      <c r="Q615" s="254"/>
      <c r="R615" s="254"/>
      <c r="S615" s="254"/>
      <c r="T615" s="254"/>
      <c r="U615" s="254"/>
      <c r="V615" s="254"/>
      <c r="W615" s="254"/>
      <c r="X615" s="254"/>
      <c r="Y615" s="254"/>
      <c r="Z615" s="254"/>
    </row>
    <row r="616">
      <c r="A616" s="254"/>
      <c r="B616" s="254"/>
      <c r="C616" s="254"/>
      <c r="D616" s="254"/>
      <c r="E616" s="254"/>
      <c r="F616" s="254"/>
      <c r="G616" s="254"/>
      <c r="H616" s="254"/>
      <c r="I616" s="254"/>
      <c r="J616" s="254"/>
      <c r="K616" s="254"/>
      <c r="L616" s="254"/>
      <c r="M616" s="254"/>
      <c r="N616" s="254"/>
      <c r="O616" s="254"/>
      <c r="P616" s="254"/>
      <c r="Q616" s="254"/>
      <c r="R616" s="254"/>
      <c r="S616" s="254"/>
      <c r="T616" s="254"/>
      <c r="U616" s="254"/>
      <c r="V616" s="254"/>
      <c r="W616" s="254"/>
      <c r="X616" s="254"/>
      <c r="Y616" s="254"/>
      <c r="Z616" s="254"/>
    </row>
    <row r="617">
      <c r="A617" s="254"/>
      <c r="B617" s="254"/>
      <c r="C617" s="254"/>
      <c r="D617" s="254"/>
      <c r="E617" s="254"/>
      <c r="F617" s="254"/>
      <c r="G617" s="254"/>
      <c r="H617" s="254"/>
      <c r="I617" s="254"/>
      <c r="J617" s="254"/>
      <c r="K617" s="254"/>
      <c r="L617" s="254"/>
      <c r="M617" s="254"/>
      <c r="N617" s="254"/>
      <c r="O617" s="254"/>
      <c r="P617" s="254"/>
      <c r="Q617" s="254"/>
      <c r="R617" s="254"/>
      <c r="S617" s="254"/>
      <c r="T617" s="254"/>
      <c r="U617" s="254"/>
      <c r="V617" s="254"/>
      <c r="W617" s="254"/>
      <c r="X617" s="254"/>
      <c r="Y617" s="254"/>
      <c r="Z617" s="254"/>
    </row>
    <row r="618">
      <c r="A618" s="254"/>
      <c r="B618" s="254"/>
      <c r="C618" s="254"/>
      <c r="D618" s="254"/>
      <c r="E618" s="254"/>
      <c r="F618" s="254"/>
      <c r="G618" s="254"/>
      <c r="H618" s="254"/>
      <c r="I618" s="254"/>
      <c r="J618" s="254"/>
      <c r="K618" s="254"/>
      <c r="L618" s="254"/>
      <c r="M618" s="254"/>
      <c r="N618" s="254"/>
      <c r="O618" s="254"/>
      <c r="P618" s="254"/>
      <c r="Q618" s="254"/>
      <c r="R618" s="254"/>
      <c r="S618" s="254"/>
      <c r="T618" s="254"/>
      <c r="U618" s="254"/>
      <c r="V618" s="254"/>
      <c r="W618" s="254"/>
      <c r="X618" s="254"/>
      <c r="Y618" s="254"/>
      <c r="Z618" s="254"/>
    </row>
    <row r="619">
      <c r="A619" s="254"/>
      <c r="B619" s="254"/>
      <c r="C619" s="254"/>
      <c r="D619" s="254"/>
      <c r="E619" s="254"/>
      <c r="F619" s="254"/>
      <c r="G619" s="254"/>
      <c r="H619" s="254"/>
      <c r="I619" s="254"/>
      <c r="J619" s="254"/>
      <c r="K619" s="254"/>
      <c r="L619" s="254"/>
      <c r="M619" s="254"/>
      <c r="N619" s="254"/>
      <c r="O619" s="254"/>
      <c r="P619" s="254"/>
      <c r="Q619" s="254"/>
      <c r="R619" s="254"/>
      <c r="S619" s="254"/>
      <c r="T619" s="254"/>
      <c r="U619" s="254"/>
      <c r="V619" s="254"/>
      <c r="W619" s="254"/>
      <c r="X619" s="254"/>
      <c r="Y619" s="254"/>
      <c r="Z619" s="254"/>
    </row>
    <row r="620">
      <c r="A620" s="254"/>
      <c r="B620" s="254"/>
      <c r="C620" s="254"/>
      <c r="D620" s="254"/>
      <c r="E620" s="254"/>
      <c r="F620" s="254"/>
      <c r="G620" s="254"/>
      <c r="H620" s="254"/>
      <c r="I620" s="254"/>
      <c r="J620" s="254"/>
      <c r="K620" s="254"/>
      <c r="L620" s="254"/>
      <c r="M620" s="254"/>
      <c r="N620" s="254"/>
      <c r="O620" s="254"/>
      <c r="P620" s="254"/>
      <c r="Q620" s="254"/>
      <c r="R620" s="254"/>
      <c r="S620" s="254"/>
      <c r="T620" s="254"/>
      <c r="U620" s="254"/>
      <c r="V620" s="254"/>
      <c r="W620" s="254"/>
      <c r="X620" s="254"/>
      <c r="Y620" s="254"/>
      <c r="Z620" s="254"/>
    </row>
    <row r="621">
      <c r="A621" s="254"/>
      <c r="B621" s="254"/>
      <c r="C621" s="254"/>
      <c r="D621" s="254"/>
      <c r="E621" s="254"/>
      <c r="F621" s="254"/>
      <c r="G621" s="254"/>
      <c r="H621" s="254"/>
      <c r="I621" s="254"/>
      <c r="J621" s="254"/>
      <c r="K621" s="254"/>
      <c r="L621" s="254"/>
      <c r="M621" s="254"/>
      <c r="N621" s="254"/>
      <c r="O621" s="254"/>
      <c r="P621" s="254"/>
      <c r="Q621" s="254"/>
      <c r="R621" s="254"/>
      <c r="S621" s="254"/>
      <c r="T621" s="254"/>
      <c r="U621" s="254"/>
      <c r="V621" s="254"/>
      <c r="W621" s="254"/>
      <c r="X621" s="254"/>
      <c r="Y621" s="254"/>
      <c r="Z621" s="254"/>
    </row>
    <row r="622">
      <c r="A622" s="254"/>
      <c r="B622" s="254"/>
      <c r="C622" s="254"/>
      <c r="D622" s="254"/>
      <c r="E622" s="254"/>
      <c r="F622" s="254"/>
      <c r="G622" s="254"/>
      <c r="H622" s="254"/>
      <c r="I622" s="254"/>
      <c r="J622" s="254"/>
      <c r="K622" s="254"/>
      <c r="L622" s="254"/>
      <c r="M622" s="254"/>
      <c r="N622" s="254"/>
      <c r="O622" s="254"/>
      <c r="P622" s="254"/>
      <c r="Q622" s="254"/>
      <c r="R622" s="254"/>
      <c r="S622" s="254"/>
      <c r="T622" s="254"/>
      <c r="U622" s="254"/>
      <c r="V622" s="254"/>
      <c r="W622" s="254"/>
      <c r="X622" s="254"/>
      <c r="Y622" s="254"/>
      <c r="Z622" s="254"/>
    </row>
    <row r="623">
      <c r="A623" s="254"/>
      <c r="B623" s="254"/>
      <c r="C623" s="254"/>
      <c r="D623" s="254"/>
      <c r="E623" s="254"/>
      <c r="F623" s="254"/>
      <c r="G623" s="254"/>
      <c r="H623" s="254"/>
      <c r="I623" s="254"/>
      <c r="J623" s="254"/>
      <c r="K623" s="254"/>
      <c r="L623" s="254"/>
      <c r="M623" s="254"/>
      <c r="N623" s="254"/>
      <c r="O623" s="254"/>
      <c r="P623" s="254"/>
      <c r="Q623" s="254"/>
      <c r="R623" s="254"/>
      <c r="S623" s="254"/>
      <c r="T623" s="254"/>
      <c r="U623" s="254"/>
      <c r="V623" s="254"/>
      <c r="W623" s="254"/>
      <c r="X623" s="254"/>
      <c r="Y623" s="254"/>
      <c r="Z623" s="254"/>
    </row>
    <row r="624">
      <c r="A624" s="254"/>
      <c r="B624" s="254"/>
      <c r="C624" s="254"/>
      <c r="D624" s="254"/>
      <c r="E624" s="254"/>
      <c r="F624" s="254"/>
      <c r="G624" s="254"/>
      <c r="H624" s="254"/>
      <c r="I624" s="254"/>
      <c r="J624" s="254"/>
      <c r="K624" s="254"/>
      <c r="L624" s="254"/>
      <c r="M624" s="254"/>
      <c r="N624" s="254"/>
      <c r="O624" s="254"/>
      <c r="P624" s="254"/>
      <c r="Q624" s="254"/>
      <c r="R624" s="254"/>
      <c r="S624" s="254"/>
      <c r="T624" s="254"/>
      <c r="U624" s="254"/>
      <c r="V624" s="254"/>
      <c r="W624" s="254"/>
      <c r="X624" s="254"/>
      <c r="Y624" s="254"/>
      <c r="Z624" s="254"/>
    </row>
    <row r="625">
      <c r="A625" s="254"/>
      <c r="B625" s="254"/>
      <c r="C625" s="254"/>
      <c r="D625" s="254"/>
      <c r="E625" s="254"/>
      <c r="F625" s="254"/>
      <c r="G625" s="254"/>
      <c r="H625" s="254"/>
      <c r="I625" s="254"/>
      <c r="J625" s="254"/>
      <c r="K625" s="254"/>
      <c r="L625" s="254"/>
      <c r="M625" s="254"/>
      <c r="N625" s="254"/>
      <c r="O625" s="254"/>
      <c r="P625" s="254"/>
      <c r="Q625" s="254"/>
      <c r="R625" s="254"/>
      <c r="S625" s="254"/>
      <c r="T625" s="254"/>
      <c r="U625" s="254"/>
      <c r="V625" s="254"/>
      <c r="W625" s="254"/>
      <c r="X625" s="254"/>
      <c r="Y625" s="254"/>
      <c r="Z625" s="254"/>
    </row>
    <row r="626">
      <c r="A626" s="254"/>
      <c r="B626" s="254"/>
      <c r="C626" s="254"/>
      <c r="D626" s="254"/>
      <c r="E626" s="254"/>
      <c r="F626" s="254"/>
      <c r="G626" s="254"/>
      <c r="H626" s="254"/>
      <c r="I626" s="254"/>
      <c r="J626" s="254"/>
      <c r="K626" s="254"/>
      <c r="L626" s="254"/>
      <c r="M626" s="254"/>
      <c r="N626" s="254"/>
      <c r="O626" s="254"/>
      <c r="P626" s="254"/>
      <c r="Q626" s="254"/>
      <c r="R626" s="254"/>
      <c r="S626" s="254"/>
      <c r="T626" s="254"/>
      <c r="U626" s="254"/>
      <c r="V626" s="254"/>
      <c r="W626" s="254"/>
      <c r="X626" s="254"/>
      <c r="Y626" s="254"/>
      <c r="Z626" s="254"/>
    </row>
    <row r="627">
      <c r="A627" s="254"/>
      <c r="B627" s="254"/>
      <c r="C627" s="254"/>
      <c r="D627" s="254"/>
      <c r="E627" s="254"/>
      <c r="F627" s="254"/>
      <c r="G627" s="254"/>
      <c r="H627" s="254"/>
      <c r="I627" s="254"/>
      <c r="J627" s="254"/>
      <c r="K627" s="254"/>
      <c r="L627" s="254"/>
      <c r="M627" s="254"/>
      <c r="N627" s="254"/>
      <c r="O627" s="254"/>
      <c r="P627" s="254"/>
      <c r="Q627" s="254"/>
      <c r="R627" s="254"/>
      <c r="S627" s="254"/>
      <c r="T627" s="254"/>
      <c r="U627" s="254"/>
      <c r="V627" s="254"/>
      <c r="W627" s="254"/>
      <c r="X627" s="254"/>
      <c r="Y627" s="254"/>
      <c r="Z627" s="254"/>
    </row>
    <row r="628">
      <c r="A628" s="254"/>
      <c r="B628" s="254"/>
      <c r="C628" s="254"/>
      <c r="D628" s="254"/>
      <c r="E628" s="254"/>
      <c r="F628" s="254"/>
      <c r="G628" s="254"/>
      <c r="H628" s="254"/>
      <c r="I628" s="254"/>
      <c r="J628" s="254"/>
      <c r="K628" s="254"/>
      <c r="L628" s="254"/>
      <c r="M628" s="254"/>
      <c r="N628" s="254"/>
      <c r="O628" s="254"/>
      <c r="P628" s="254"/>
      <c r="Q628" s="254"/>
      <c r="R628" s="254"/>
      <c r="S628" s="254"/>
      <c r="T628" s="254"/>
      <c r="U628" s="254"/>
      <c r="V628" s="254"/>
      <c r="W628" s="254"/>
      <c r="X628" s="254"/>
      <c r="Y628" s="254"/>
      <c r="Z628" s="254"/>
    </row>
    <row r="629">
      <c r="A629" s="254"/>
      <c r="B629" s="254"/>
      <c r="C629" s="254"/>
      <c r="D629" s="254"/>
      <c r="E629" s="254"/>
      <c r="F629" s="254"/>
      <c r="G629" s="254"/>
      <c r="H629" s="254"/>
      <c r="I629" s="254"/>
      <c r="J629" s="254"/>
      <c r="K629" s="254"/>
      <c r="L629" s="254"/>
      <c r="M629" s="254"/>
      <c r="N629" s="254"/>
      <c r="O629" s="254"/>
      <c r="P629" s="254"/>
      <c r="Q629" s="254"/>
      <c r="R629" s="254"/>
      <c r="S629" s="254"/>
      <c r="T629" s="254"/>
      <c r="U629" s="254"/>
      <c r="V629" s="254"/>
      <c r="W629" s="254"/>
      <c r="X629" s="254"/>
      <c r="Y629" s="254"/>
      <c r="Z629" s="254"/>
    </row>
    <row r="630">
      <c r="A630" s="254"/>
      <c r="B630" s="254"/>
      <c r="C630" s="254"/>
      <c r="D630" s="254"/>
      <c r="E630" s="254"/>
      <c r="F630" s="254"/>
      <c r="G630" s="254"/>
      <c r="H630" s="254"/>
      <c r="I630" s="254"/>
      <c r="J630" s="254"/>
      <c r="K630" s="254"/>
      <c r="L630" s="254"/>
      <c r="M630" s="254"/>
      <c r="N630" s="254"/>
      <c r="O630" s="254"/>
      <c r="P630" s="254"/>
      <c r="Q630" s="254"/>
      <c r="R630" s="254"/>
      <c r="S630" s="254"/>
      <c r="T630" s="254"/>
      <c r="U630" s="254"/>
      <c r="V630" s="254"/>
      <c r="W630" s="254"/>
      <c r="X630" s="254"/>
      <c r="Y630" s="254"/>
      <c r="Z630" s="254"/>
    </row>
    <row r="631">
      <c r="A631" s="254"/>
      <c r="B631" s="254"/>
      <c r="C631" s="254"/>
      <c r="D631" s="254"/>
      <c r="E631" s="254"/>
      <c r="F631" s="254"/>
      <c r="G631" s="254"/>
      <c r="H631" s="254"/>
      <c r="I631" s="254"/>
      <c r="J631" s="254"/>
      <c r="K631" s="254"/>
      <c r="L631" s="254"/>
      <c r="M631" s="254"/>
      <c r="N631" s="254"/>
      <c r="O631" s="254"/>
      <c r="P631" s="254"/>
      <c r="Q631" s="254"/>
      <c r="R631" s="254"/>
      <c r="S631" s="254"/>
      <c r="T631" s="254"/>
      <c r="U631" s="254"/>
      <c r="V631" s="254"/>
      <c r="W631" s="254"/>
      <c r="X631" s="254"/>
      <c r="Y631" s="254"/>
      <c r="Z631" s="254"/>
    </row>
    <row r="632">
      <c r="A632" s="254"/>
      <c r="B632" s="254"/>
      <c r="C632" s="254"/>
      <c r="D632" s="254"/>
      <c r="E632" s="254"/>
      <c r="F632" s="254"/>
      <c r="G632" s="254"/>
      <c r="H632" s="254"/>
      <c r="I632" s="254"/>
      <c r="J632" s="254"/>
      <c r="K632" s="254"/>
      <c r="L632" s="254"/>
      <c r="M632" s="254"/>
      <c r="N632" s="254"/>
      <c r="O632" s="254"/>
      <c r="P632" s="254"/>
      <c r="Q632" s="254"/>
      <c r="R632" s="254"/>
      <c r="S632" s="254"/>
      <c r="T632" s="254"/>
      <c r="U632" s="254"/>
      <c r="V632" s="254"/>
      <c r="W632" s="254"/>
      <c r="X632" s="254"/>
      <c r="Y632" s="254"/>
      <c r="Z632" s="254"/>
    </row>
    <row r="633">
      <c r="A633" s="254"/>
      <c r="B633" s="254"/>
      <c r="C633" s="254"/>
      <c r="D633" s="254"/>
      <c r="E633" s="254"/>
      <c r="F633" s="254"/>
      <c r="G633" s="254"/>
      <c r="H633" s="254"/>
      <c r="I633" s="254"/>
      <c r="J633" s="254"/>
      <c r="K633" s="254"/>
      <c r="L633" s="254"/>
      <c r="M633" s="254"/>
      <c r="N633" s="254"/>
      <c r="O633" s="254"/>
      <c r="P633" s="254"/>
      <c r="Q633" s="254"/>
      <c r="R633" s="254"/>
      <c r="S633" s="254"/>
      <c r="T633" s="254"/>
      <c r="U633" s="254"/>
      <c r="V633" s="254"/>
      <c r="W633" s="254"/>
      <c r="X633" s="254"/>
      <c r="Y633" s="254"/>
      <c r="Z633" s="254"/>
    </row>
    <row r="634">
      <c r="A634" s="254"/>
      <c r="B634" s="254"/>
      <c r="C634" s="254"/>
      <c r="D634" s="254"/>
      <c r="E634" s="254"/>
      <c r="F634" s="254"/>
      <c r="G634" s="254"/>
      <c r="H634" s="254"/>
      <c r="I634" s="254"/>
      <c r="J634" s="254"/>
      <c r="K634" s="254"/>
      <c r="L634" s="254"/>
      <c r="M634" s="254"/>
      <c r="N634" s="254"/>
      <c r="O634" s="254"/>
      <c r="P634" s="254"/>
      <c r="Q634" s="254"/>
      <c r="R634" s="254"/>
      <c r="S634" s="254"/>
      <c r="T634" s="254"/>
      <c r="U634" s="254"/>
      <c r="V634" s="254"/>
      <c r="W634" s="254"/>
      <c r="X634" s="254"/>
      <c r="Y634" s="254"/>
      <c r="Z634" s="254"/>
    </row>
    <row r="635">
      <c r="A635" s="254"/>
      <c r="B635" s="254"/>
      <c r="C635" s="254"/>
      <c r="D635" s="254"/>
      <c r="E635" s="254"/>
      <c r="F635" s="254"/>
      <c r="G635" s="254"/>
      <c r="H635" s="254"/>
      <c r="I635" s="254"/>
      <c r="J635" s="254"/>
      <c r="K635" s="254"/>
      <c r="L635" s="254"/>
      <c r="M635" s="254"/>
      <c r="N635" s="254"/>
      <c r="O635" s="254"/>
      <c r="P635" s="254"/>
      <c r="Q635" s="254"/>
      <c r="R635" s="254"/>
      <c r="S635" s="254"/>
      <c r="T635" s="254"/>
      <c r="U635" s="254"/>
      <c r="V635" s="254"/>
      <c r="W635" s="254"/>
      <c r="X635" s="254"/>
      <c r="Y635" s="254"/>
      <c r="Z635" s="254"/>
    </row>
    <row r="636">
      <c r="A636" s="254"/>
      <c r="B636" s="254"/>
      <c r="C636" s="254"/>
      <c r="D636" s="254"/>
      <c r="E636" s="254"/>
      <c r="F636" s="254"/>
      <c r="G636" s="254"/>
      <c r="H636" s="254"/>
      <c r="I636" s="254"/>
      <c r="J636" s="254"/>
      <c r="K636" s="254"/>
      <c r="L636" s="254"/>
      <c r="M636" s="254"/>
      <c r="N636" s="254"/>
      <c r="O636" s="254"/>
      <c r="P636" s="254"/>
      <c r="Q636" s="254"/>
      <c r="R636" s="254"/>
      <c r="S636" s="254"/>
      <c r="T636" s="254"/>
      <c r="U636" s="254"/>
      <c r="V636" s="254"/>
      <c r="W636" s="254"/>
      <c r="X636" s="254"/>
      <c r="Y636" s="254"/>
      <c r="Z636" s="254"/>
    </row>
    <row r="637">
      <c r="A637" s="254"/>
      <c r="B637" s="254"/>
      <c r="C637" s="254"/>
      <c r="D637" s="254"/>
      <c r="E637" s="254"/>
      <c r="F637" s="254"/>
      <c r="G637" s="254"/>
      <c r="H637" s="254"/>
      <c r="I637" s="254"/>
      <c r="J637" s="254"/>
      <c r="K637" s="254"/>
      <c r="L637" s="254"/>
      <c r="M637" s="254"/>
      <c r="N637" s="254"/>
      <c r="O637" s="254"/>
      <c r="P637" s="254"/>
      <c r="Q637" s="254"/>
      <c r="R637" s="254"/>
      <c r="S637" s="254"/>
      <c r="T637" s="254"/>
      <c r="U637" s="254"/>
      <c r="V637" s="254"/>
      <c r="W637" s="254"/>
      <c r="X637" s="254"/>
      <c r="Y637" s="254"/>
      <c r="Z637" s="254"/>
    </row>
    <row r="638">
      <c r="A638" s="254"/>
      <c r="B638" s="254"/>
      <c r="C638" s="254"/>
      <c r="D638" s="254"/>
      <c r="E638" s="254"/>
      <c r="F638" s="254"/>
      <c r="G638" s="254"/>
      <c r="H638" s="254"/>
      <c r="I638" s="254"/>
      <c r="J638" s="254"/>
      <c r="K638" s="254"/>
      <c r="L638" s="254"/>
      <c r="M638" s="254"/>
      <c r="N638" s="254"/>
      <c r="O638" s="254"/>
      <c r="P638" s="254"/>
      <c r="Q638" s="254"/>
      <c r="R638" s="254"/>
      <c r="S638" s="254"/>
      <c r="T638" s="254"/>
      <c r="U638" s="254"/>
      <c r="V638" s="254"/>
      <c r="W638" s="254"/>
      <c r="X638" s="254"/>
      <c r="Y638" s="254"/>
      <c r="Z638" s="254"/>
    </row>
    <row r="639">
      <c r="A639" s="254"/>
      <c r="B639" s="254"/>
      <c r="C639" s="254"/>
      <c r="D639" s="254"/>
      <c r="E639" s="254"/>
      <c r="F639" s="254"/>
      <c r="G639" s="254"/>
      <c r="H639" s="254"/>
      <c r="I639" s="254"/>
      <c r="J639" s="254"/>
      <c r="K639" s="254"/>
      <c r="L639" s="254"/>
      <c r="M639" s="254"/>
      <c r="N639" s="254"/>
      <c r="O639" s="254"/>
      <c r="P639" s="254"/>
      <c r="Q639" s="254"/>
      <c r="R639" s="254"/>
      <c r="S639" s="254"/>
      <c r="T639" s="254"/>
      <c r="U639" s="254"/>
      <c r="V639" s="254"/>
      <c r="W639" s="254"/>
      <c r="X639" s="254"/>
      <c r="Y639" s="254"/>
      <c r="Z639" s="254"/>
    </row>
    <row r="640">
      <c r="A640" s="254"/>
      <c r="B640" s="254"/>
      <c r="C640" s="254"/>
      <c r="D640" s="254"/>
      <c r="E640" s="254"/>
      <c r="F640" s="254"/>
      <c r="G640" s="254"/>
      <c r="H640" s="254"/>
      <c r="I640" s="254"/>
      <c r="J640" s="254"/>
      <c r="K640" s="254"/>
      <c r="L640" s="254"/>
      <c r="M640" s="254"/>
      <c r="N640" s="254"/>
      <c r="O640" s="254"/>
      <c r="P640" s="254"/>
      <c r="Q640" s="254"/>
      <c r="R640" s="254"/>
      <c r="S640" s="254"/>
      <c r="T640" s="254"/>
      <c r="U640" s="254"/>
      <c r="V640" s="254"/>
      <c r="W640" s="254"/>
      <c r="X640" s="254"/>
      <c r="Y640" s="254"/>
      <c r="Z640" s="254"/>
    </row>
    <row r="641">
      <c r="A641" s="254"/>
      <c r="B641" s="254"/>
      <c r="C641" s="254"/>
      <c r="D641" s="254"/>
      <c r="E641" s="254"/>
      <c r="F641" s="254"/>
      <c r="G641" s="254"/>
      <c r="H641" s="254"/>
      <c r="I641" s="254"/>
      <c r="J641" s="254"/>
      <c r="K641" s="254"/>
      <c r="L641" s="254"/>
      <c r="M641" s="254"/>
      <c r="N641" s="254"/>
      <c r="O641" s="254"/>
      <c r="P641" s="254"/>
      <c r="Q641" s="254"/>
      <c r="R641" s="254"/>
      <c r="S641" s="254"/>
      <c r="T641" s="254"/>
      <c r="U641" s="254"/>
      <c r="V641" s="254"/>
      <c r="W641" s="254"/>
      <c r="X641" s="254"/>
      <c r="Y641" s="254"/>
      <c r="Z641" s="254"/>
    </row>
    <row r="642">
      <c r="A642" s="254"/>
      <c r="B642" s="254"/>
      <c r="C642" s="254"/>
      <c r="D642" s="254"/>
      <c r="E642" s="254"/>
      <c r="F642" s="254"/>
      <c r="G642" s="254"/>
      <c r="H642" s="254"/>
      <c r="I642" s="254"/>
      <c r="J642" s="254"/>
      <c r="K642" s="254"/>
      <c r="L642" s="254"/>
      <c r="M642" s="254"/>
      <c r="N642" s="254"/>
      <c r="O642" s="254"/>
      <c r="P642" s="254"/>
      <c r="Q642" s="254"/>
      <c r="R642" s="254"/>
      <c r="S642" s="254"/>
      <c r="T642" s="254"/>
      <c r="U642" s="254"/>
      <c r="V642" s="254"/>
      <c r="W642" s="254"/>
      <c r="X642" s="254"/>
      <c r="Y642" s="254"/>
      <c r="Z642" s="254"/>
    </row>
    <row r="643">
      <c r="A643" s="254"/>
      <c r="B643" s="254"/>
      <c r="C643" s="254"/>
      <c r="D643" s="254"/>
      <c r="E643" s="254"/>
      <c r="F643" s="254"/>
      <c r="G643" s="254"/>
      <c r="H643" s="254"/>
      <c r="I643" s="254"/>
      <c r="J643" s="254"/>
      <c r="K643" s="254"/>
      <c r="L643" s="254"/>
      <c r="M643" s="254"/>
      <c r="N643" s="254"/>
      <c r="O643" s="254"/>
      <c r="P643" s="254"/>
      <c r="Q643" s="254"/>
      <c r="R643" s="254"/>
      <c r="S643" s="254"/>
      <c r="T643" s="254"/>
      <c r="U643" s="254"/>
      <c r="V643" s="254"/>
      <c r="W643" s="254"/>
      <c r="X643" s="254"/>
      <c r="Y643" s="254"/>
      <c r="Z643" s="254"/>
    </row>
    <row r="644">
      <c r="A644" s="254"/>
      <c r="B644" s="254"/>
      <c r="C644" s="254"/>
      <c r="D644" s="254"/>
      <c r="E644" s="254"/>
      <c r="F644" s="254"/>
      <c r="G644" s="254"/>
      <c r="H644" s="254"/>
      <c r="I644" s="254"/>
      <c r="J644" s="254"/>
      <c r="K644" s="254"/>
      <c r="L644" s="254"/>
      <c r="M644" s="254"/>
      <c r="N644" s="254"/>
      <c r="O644" s="254"/>
      <c r="P644" s="254"/>
      <c r="Q644" s="254"/>
      <c r="R644" s="254"/>
      <c r="S644" s="254"/>
      <c r="T644" s="254"/>
      <c r="U644" s="254"/>
      <c r="V644" s="254"/>
      <c r="W644" s="254"/>
      <c r="X644" s="254"/>
      <c r="Y644" s="254"/>
      <c r="Z644" s="254"/>
    </row>
    <row r="645">
      <c r="A645" s="254"/>
      <c r="B645" s="254"/>
      <c r="C645" s="254"/>
      <c r="D645" s="254"/>
      <c r="E645" s="254"/>
      <c r="F645" s="254"/>
      <c r="G645" s="254"/>
      <c r="H645" s="254"/>
      <c r="I645" s="254"/>
      <c r="J645" s="254"/>
      <c r="K645" s="254"/>
      <c r="L645" s="254"/>
      <c r="M645" s="254"/>
      <c r="N645" s="254"/>
      <c r="O645" s="254"/>
      <c r="P645" s="254"/>
      <c r="Q645" s="254"/>
      <c r="R645" s="254"/>
      <c r="S645" s="254"/>
      <c r="T645" s="254"/>
      <c r="U645" s="254"/>
      <c r="V645" s="254"/>
      <c r="W645" s="254"/>
      <c r="X645" s="254"/>
      <c r="Y645" s="254"/>
      <c r="Z645" s="254"/>
    </row>
    <row r="646">
      <c r="A646" s="254"/>
      <c r="B646" s="254"/>
      <c r="C646" s="254"/>
      <c r="D646" s="254"/>
      <c r="E646" s="254"/>
      <c r="F646" s="254"/>
      <c r="G646" s="254"/>
      <c r="H646" s="254"/>
      <c r="I646" s="254"/>
      <c r="J646" s="254"/>
      <c r="K646" s="254"/>
      <c r="L646" s="254"/>
      <c r="M646" s="254"/>
      <c r="N646" s="254"/>
      <c r="O646" s="254"/>
      <c r="P646" s="254"/>
      <c r="Q646" s="254"/>
      <c r="R646" s="254"/>
      <c r="S646" s="254"/>
      <c r="T646" s="254"/>
      <c r="U646" s="254"/>
      <c r="V646" s="254"/>
      <c r="W646" s="254"/>
      <c r="X646" s="254"/>
      <c r="Y646" s="254"/>
      <c r="Z646" s="254"/>
    </row>
    <row r="647">
      <c r="A647" s="254"/>
      <c r="B647" s="254"/>
      <c r="C647" s="254"/>
      <c r="D647" s="254"/>
      <c r="E647" s="254"/>
      <c r="F647" s="254"/>
      <c r="G647" s="254"/>
      <c r="H647" s="254"/>
      <c r="I647" s="254"/>
      <c r="J647" s="254"/>
      <c r="K647" s="254"/>
      <c r="L647" s="254"/>
      <c r="M647" s="254"/>
      <c r="N647" s="254"/>
      <c r="O647" s="254"/>
      <c r="P647" s="254"/>
      <c r="Q647" s="254"/>
      <c r="R647" s="254"/>
      <c r="S647" s="254"/>
      <c r="T647" s="254"/>
      <c r="U647" s="254"/>
      <c r="V647" s="254"/>
      <c r="W647" s="254"/>
      <c r="X647" s="254"/>
      <c r="Y647" s="254"/>
      <c r="Z647" s="254"/>
    </row>
    <row r="648">
      <c r="A648" s="254"/>
      <c r="B648" s="254"/>
      <c r="C648" s="254"/>
      <c r="D648" s="254"/>
      <c r="E648" s="254"/>
      <c r="F648" s="254"/>
      <c r="G648" s="254"/>
      <c r="H648" s="254"/>
      <c r="I648" s="254"/>
      <c r="J648" s="254"/>
      <c r="K648" s="254"/>
      <c r="L648" s="254"/>
      <c r="M648" s="254"/>
      <c r="N648" s="254"/>
      <c r="O648" s="254"/>
      <c r="P648" s="254"/>
      <c r="Q648" s="254"/>
      <c r="R648" s="254"/>
      <c r="S648" s="254"/>
      <c r="T648" s="254"/>
      <c r="U648" s="254"/>
      <c r="V648" s="254"/>
      <c r="W648" s="254"/>
      <c r="X648" s="254"/>
      <c r="Y648" s="254"/>
      <c r="Z648" s="254"/>
    </row>
    <row r="649">
      <c r="A649" s="254"/>
      <c r="B649" s="254"/>
      <c r="C649" s="254"/>
      <c r="D649" s="254"/>
      <c r="E649" s="254"/>
      <c r="F649" s="254"/>
      <c r="G649" s="254"/>
      <c r="H649" s="254"/>
      <c r="I649" s="254"/>
      <c r="J649" s="254"/>
      <c r="K649" s="254"/>
      <c r="L649" s="254"/>
      <c r="M649" s="254"/>
      <c r="N649" s="254"/>
      <c r="O649" s="254"/>
      <c r="P649" s="254"/>
      <c r="Q649" s="254"/>
      <c r="R649" s="254"/>
      <c r="S649" s="254"/>
      <c r="T649" s="254"/>
      <c r="U649" s="254"/>
      <c r="V649" s="254"/>
      <c r="W649" s="254"/>
      <c r="X649" s="254"/>
      <c r="Y649" s="254"/>
      <c r="Z649" s="254"/>
    </row>
    <row r="650">
      <c r="A650" s="254"/>
      <c r="B650" s="254"/>
      <c r="C650" s="254"/>
      <c r="D650" s="254"/>
      <c r="E650" s="254"/>
      <c r="F650" s="254"/>
      <c r="G650" s="254"/>
      <c r="H650" s="254"/>
      <c r="I650" s="254"/>
      <c r="J650" s="254"/>
      <c r="K650" s="254"/>
      <c r="L650" s="254"/>
      <c r="M650" s="254"/>
      <c r="N650" s="254"/>
      <c r="O650" s="254"/>
      <c r="P650" s="254"/>
      <c r="Q650" s="254"/>
      <c r="R650" s="254"/>
      <c r="S650" s="254"/>
      <c r="T650" s="254"/>
      <c r="U650" s="254"/>
      <c r="V650" s="254"/>
      <c r="W650" s="254"/>
      <c r="X650" s="254"/>
      <c r="Y650" s="254"/>
      <c r="Z650" s="254"/>
    </row>
    <row r="651">
      <c r="A651" s="254"/>
      <c r="B651" s="254"/>
      <c r="C651" s="254"/>
      <c r="D651" s="254"/>
      <c r="E651" s="254"/>
      <c r="F651" s="254"/>
      <c r="G651" s="254"/>
      <c r="H651" s="254"/>
      <c r="I651" s="254"/>
      <c r="J651" s="254"/>
      <c r="K651" s="254"/>
      <c r="L651" s="254"/>
      <c r="M651" s="254"/>
      <c r="N651" s="254"/>
      <c r="O651" s="254"/>
      <c r="P651" s="254"/>
      <c r="Q651" s="254"/>
      <c r="R651" s="254"/>
      <c r="S651" s="254"/>
      <c r="T651" s="254"/>
      <c r="U651" s="254"/>
      <c r="V651" s="254"/>
      <c r="W651" s="254"/>
      <c r="X651" s="254"/>
      <c r="Y651" s="254"/>
      <c r="Z651" s="254"/>
    </row>
    <row r="652">
      <c r="A652" s="254"/>
      <c r="B652" s="254"/>
      <c r="C652" s="254"/>
      <c r="D652" s="254"/>
      <c r="E652" s="254"/>
      <c r="F652" s="254"/>
      <c r="G652" s="254"/>
      <c r="H652" s="254"/>
      <c r="I652" s="254"/>
      <c r="J652" s="254"/>
      <c r="K652" s="254"/>
      <c r="L652" s="254"/>
      <c r="M652" s="254"/>
      <c r="N652" s="254"/>
      <c r="O652" s="254"/>
      <c r="P652" s="254"/>
      <c r="Q652" s="254"/>
      <c r="R652" s="254"/>
      <c r="S652" s="254"/>
      <c r="T652" s="254"/>
      <c r="U652" s="254"/>
      <c r="V652" s="254"/>
      <c r="W652" s="254"/>
      <c r="X652" s="254"/>
      <c r="Y652" s="254"/>
      <c r="Z652" s="254"/>
    </row>
    <row r="653">
      <c r="A653" s="254"/>
      <c r="B653" s="254"/>
      <c r="C653" s="254"/>
      <c r="D653" s="254"/>
      <c r="E653" s="254"/>
      <c r="F653" s="254"/>
      <c r="G653" s="254"/>
      <c r="H653" s="254"/>
      <c r="I653" s="254"/>
      <c r="J653" s="254"/>
      <c r="K653" s="254"/>
      <c r="L653" s="254"/>
      <c r="M653" s="254"/>
      <c r="N653" s="254"/>
      <c r="O653" s="254"/>
      <c r="P653" s="254"/>
      <c r="Q653" s="254"/>
      <c r="R653" s="254"/>
      <c r="S653" s="254"/>
      <c r="T653" s="254"/>
      <c r="U653" s="254"/>
      <c r="V653" s="254"/>
      <c r="W653" s="254"/>
      <c r="X653" s="254"/>
      <c r="Y653" s="254"/>
      <c r="Z653" s="254"/>
    </row>
    <row r="654">
      <c r="A654" s="254"/>
      <c r="B654" s="254"/>
      <c r="C654" s="254"/>
      <c r="D654" s="254"/>
      <c r="E654" s="254"/>
      <c r="F654" s="254"/>
      <c r="G654" s="254"/>
      <c r="H654" s="254"/>
      <c r="I654" s="254"/>
      <c r="J654" s="254"/>
      <c r="K654" s="254"/>
      <c r="L654" s="254"/>
      <c r="M654" s="254"/>
      <c r="N654" s="254"/>
      <c r="O654" s="254"/>
      <c r="P654" s="254"/>
      <c r="Q654" s="254"/>
      <c r="R654" s="254"/>
      <c r="S654" s="254"/>
      <c r="T654" s="254"/>
      <c r="U654" s="254"/>
      <c r="V654" s="254"/>
      <c r="W654" s="254"/>
      <c r="X654" s="254"/>
      <c r="Y654" s="254"/>
      <c r="Z654" s="254"/>
    </row>
    <row r="655">
      <c r="A655" s="254"/>
      <c r="B655" s="254"/>
      <c r="C655" s="254"/>
      <c r="D655" s="254"/>
      <c r="E655" s="254"/>
      <c r="F655" s="254"/>
      <c r="G655" s="254"/>
      <c r="H655" s="254"/>
      <c r="I655" s="254"/>
      <c r="J655" s="254"/>
      <c r="K655" s="254"/>
      <c r="L655" s="254"/>
      <c r="M655" s="254"/>
      <c r="N655" s="254"/>
      <c r="O655" s="254"/>
      <c r="P655" s="254"/>
      <c r="Q655" s="254"/>
      <c r="R655" s="254"/>
      <c r="S655" s="254"/>
      <c r="T655" s="254"/>
      <c r="U655" s="254"/>
      <c r="V655" s="254"/>
      <c r="W655" s="254"/>
      <c r="X655" s="254"/>
      <c r="Y655" s="254"/>
      <c r="Z655" s="254"/>
    </row>
    <row r="656">
      <c r="A656" s="254"/>
      <c r="B656" s="254"/>
      <c r="C656" s="254"/>
      <c r="D656" s="254"/>
      <c r="E656" s="254"/>
      <c r="F656" s="254"/>
      <c r="G656" s="254"/>
      <c r="H656" s="254"/>
      <c r="I656" s="254"/>
      <c r="J656" s="254"/>
      <c r="K656" s="254"/>
      <c r="L656" s="254"/>
      <c r="M656" s="254"/>
      <c r="N656" s="254"/>
      <c r="O656" s="254"/>
      <c r="P656" s="254"/>
      <c r="Q656" s="254"/>
      <c r="R656" s="254"/>
      <c r="S656" s="254"/>
      <c r="T656" s="254"/>
      <c r="U656" s="254"/>
      <c r="V656" s="254"/>
      <c r="W656" s="254"/>
      <c r="X656" s="254"/>
      <c r="Y656" s="254"/>
      <c r="Z656" s="254"/>
    </row>
    <row r="657">
      <c r="A657" s="254"/>
      <c r="B657" s="254"/>
      <c r="C657" s="254"/>
      <c r="D657" s="254"/>
      <c r="E657" s="254"/>
      <c r="F657" s="254"/>
      <c r="G657" s="254"/>
      <c r="H657" s="254"/>
      <c r="I657" s="254"/>
      <c r="J657" s="254"/>
      <c r="K657" s="254"/>
      <c r="L657" s="254"/>
      <c r="M657" s="254"/>
      <c r="N657" s="254"/>
      <c r="O657" s="254"/>
      <c r="P657" s="254"/>
      <c r="Q657" s="254"/>
      <c r="R657" s="254"/>
      <c r="S657" s="254"/>
      <c r="T657" s="254"/>
      <c r="U657" s="254"/>
      <c r="V657" s="254"/>
      <c r="W657" s="254"/>
      <c r="X657" s="254"/>
      <c r="Y657" s="254"/>
      <c r="Z657" s="254"/>
    </row>
    <row r="658">
      <c r="A658" s="254"/>
      <c r="B658" s="254"/>
      <c r="C658" s="254"/>
      <c r="D658" s="254"/>
      <c r="E658" s="254"/>
      <c r="F658" s="254"/>
      <c r="G658" s="254"/>
      <c r="H658" s="254"/>
      <c r="I658" s="254"/>
      <c r="J658" s="254"/>
      <c r="K658" s="254"/>
      <c r="L658" s="254"/>
      <c r="M658" s="254"/>
      <c r="N658" s="254"/>
      <c r="O658" s="254"/>
      <c r="P658" s="254"/>
      <c r="Q658" s="254"/>
      <c r="R658" s="254"/>
      <c r="S658" s="254"/>
      <c r="T658" s="254"/>
      <c r="U658" s="254"/>
      <c r="V658" s="254"/>
      <c r="W658" s="254"/>
      <c r="X658" s="254"/>
      <c r="Y658" s="254"/>
      <c r="Z658" s="254"/>
    </row>
    <row r="659">
      <c r="A659" s="254"/>
      <c r="B659" s="254"/>
      <c r="C659" s="254"/>
      <c r="D659" s="254"/>
      <c r="E659" s="254"/>
      <c r="F659" s="254"/>
      <c r="G659" s="254"/>
      <c r="H659" s="254"/>
      <c r="I659" s="254"/>
      <c r="J659" s="254"/>
      <c r="K659" s="254"/>
      <c r="L659" s="254"/>
      <c r="M659" s="254"/>
      <c r="N659" s="254"/>
      <c r="O659" s="254"/>
      <c r="P659" s="254"/>
      <c r="Q659" s="254"/>
      <c r="R659" s="254"/>
      <c r="S659" s="254"/>
      <c r="T659" s="254"/>
      <c r="U659" s="254"/>
      <c r="V659" s="254"/>
      <c r="W659" s="254"/>
      <c r="X659" s="254"/>
      <c r="Y659" s="254"/>
      <c r="Z659" s="254"/>
    </row>
    <row r="660">
      <c r="A660" s="254"/>
      <c r="B660" s="254"/>
      <c r="C660" s="254"/>
      <c r="D660" s="254"/>
      <c r="E660" s="254"/>
      <c r="F660" s="254"/>
      <c r="G660" s="254"/>
      <c r="H660" s="254"/>
      <c r="I660" s="254"/>
      <c r="J660" s="254"/>
      <c r="K660" s="254"/>
      <c r="L660" s="254"/>
      <c r="M660" s="254"/>
      <c r="N660" s="254"/>
      <c r="O660" s="254"/>
      <c r="P660" s="254"/>
      <c r="Q660" s="254"/>
      <c r="R660" s="254"/>
      <c r="S660" s="254"/>
      <c r="T660" s="254"/>
      <c r="U660" s="254"/>
      <c r="V660" s="254"/>
      <c r="W660" s="254"/>
      <c r="X660" s="254"/>
      <c r="Y660" s="254"/>
      <c r="Z660" s="254"/>
    </row>
    <row r="661">
      <c r="A661" s="254"/>
      <c r="B661" s="254"/>
      <c r="C661" s="254"/>
      <c r="D661" s="254"/>
      <c r="E661" s="254"/>
      <c r="F661" s="254"/>
      <c r="G661" s="254"/>
      <c r="H661" s="254"/>
      <c r="I661" s="254"/>
      <c r="J661" s="254"/>
      <c r="K661" s="254"/>
      <c r="L661" s="254"/>
      <c r="M661" s="254"/>
      <c r="N661" s="254"/>
      <c r="O661" s="254"/>
      <c r="P661" s="254"/>
      <c r="Q661" s="254"/>
      <c r="R661" s="254"/>
      <c r="S661" s="254"/>
      <c r="T661" s="254"/>
      <c r="U661" s="254"/>
      <c r="V661" s="254"/>
      <c r="W661" s="254"/>
      <c r="X661" s="254"/>
      <c r="Y661" s="254"/>
      <c r="Z661" s="254"/>
    </row>
    <row r="662">
      <c r="A662" s="254"/>
      <c r="B662" s="254"/>
      <c r="C662" s="254"/>
      <c r="D662" s="254"/>
      <c r="E662" s="254"/>
      <c r="F662" s="254"/>
      <c r="G662" s="254"/>
      <c r="H662" s="254"/>
      <c r="I662" s="254"/>
      <c r="J662" s="254"/>
      <c r="K662" s="254"/>
      <c r="L662" s="254"/>
      <c r="M662" s="254"/>
      <c r="N662" s="254"/>
      <c r="O662" s="254"/>
      <c r="P662" s="254"/>
      <c r="Q662" s="254"/>
      <c r="R662" s="254"/>
      <c r="S662" s="254"/>
      <c r="T662" s="254"/>
      <c r="U662" s="254"/>
      <c r="V662" s="254"/>
      <c r="W662" s="254"/>
      <c r="X662" s="254"/>
      <c r="Y662" s="254"/>
      <c r="Z662" s="254"/>
    </row>
    <row r="663">
      <c r="A663" s="254"/>
      <c r="B663" s="254"/>
      <c r="C663" s="254"/>
      <c r="D663" s="254"/>
      <c r="E663" s="254"/>
      <c r="F663" s="254"/>
      <c r="G663" s="254"/>
      <c r="H663" s="254"/>
      <c r="I663" s="254"/>
      <c r="J663" s="254"/>
      <c r="K663" s="254"/>
      <c r="L663" s="254"/>
      <c r="M663" s="254"/>
      <c r="N663" s="254"/>
      <c r="O663" s="254"/>
      <c r="P663" s="254"/>
      <c r="Q663" s="254"/>
      <c r="R663" s="254"/>
      <c r="S663" s="254"/>
      <c r="T663" s="254"/>
      <c r="U663" s="254"/>
      <c r="V663" s="254"/>
      <c r="W663" s="254"/>
      <c r="X663" s="254"/>
      <c r="Y663" s="254"/>
      <c r="Z663" s="254"/>
    </row>
    <row r="664">
      <c r="A664" s="254"/>
      <c r="B664" s="254"/>
      <c r="C664" s="254"/>
      <c r="D664" s="254"/>
      <c r="E664" s="254"/>
      <c r="F664" s="254"/>
      <c r="G664" s="254"/>
      <c r="H664" s="254"/>
      <c r="I664" s="254"/>
      <c r="J664" s="254"/>
      <c r="K664" s="254"/>
      <c r="L664" s="254"/>
      <c r="M664" s="254"/>
      <c r="N664" s="254"/>
      <c r="O664" s="254"/>
      <c r="P664" s="254"/>
      <c r="Q664" s="254"/>
      <c r="R664" s="254"/>
      <c r="S664" s="254"/>
      <c r="T664" s="254"/>
      <c r="U664" s="254"/>
      <c r="V664" s="254"/>
      <c r="W664" s="254"/>
      <c r="X664" s="254"/>
      <c r="Y664" s="254"/>
      <c r="Z664" s="254"/>
    </row>
    <row r="665">
      <c r="A665" s="254"/>
      <c r="B665" s="254"/>
      <c r="C665" s="254"/>
      <c r="D665" s="254"/>
      <c r="E665" s="254"/>
      <c r="F665" s="254"/>
      <c r="G665" s="254"/>
      <c r="H665" s="254"/>
      <c r="I665" s="254"/>
      <c r="J665" s="254"/>
      <c r="K665" s="254"/>
      <c r="L665" s="254"/>
      <c r="M665" s="254"/>
      <c r="N665" s="254"/>
      <c r="O665" s="254"/>
      <c r="P665" s="254"/>
      <c r="Q665" s="254"/>
      <c r="R665" s="254"/>
      <c r="S665" s="254"/>
      <c r="T665" s="254"/>
      <c r="U665" s="254"/>
      <c r="V665" s="254"/>
      <c r="W665" s="254"/>
      <c r="X665" s="254"/>
      <c r="Y665" s="254"/>
      <c r="Z665" s="254"/>
    </row>
    <row r="666">
      <c r="A666" s="254"/>
      <c r="B666" s="254"/>
      <c r="C666" s="254"/>
      <c r="D666" s="254"/>
      <c r="E666" s="254"/>
      <c r="F666" s="254"/>
      <c r="G666" s="254"/>
      <c r="H666" s="254"/>
      <c r="I666" s="254"/>
      <c r="J666" s="254"/>
      <c r="K666" s="254"/>
      <c r="L666" s="254"/>
      <c r="M666" s="254"/>
      <c r="N666" s="254"/>
      <c r="O666" s="254"/>
      <c r="P666" s="254"/>
      <c r="Q666" s="254"/>
      <c r="R666" s="254"/>
      <c r="S666" s="254"/>
      <c r="T666" s="254"/>
      <c r="U666" s="254"/>
      <c r="V666" s="254"/>
      <c r="W666" s="254"/>
      <c r="X666" s="254"/>
      <c r="Y666" s="254"/>
      <c r="Z666" s="254"/>
    </row>
    <row r="667">
      <c r="A667" s="254"/>
      <c r="B667" s="254"/>
      <c r="C667" s="254"/>
      <c r="D667" s="254"/>
      <c r="E667" s="254"/>
      <c r="F667" s="254"/>
      <c r="G667" s="254"/>
      <c r="H667" s="254"/>
      <c r="I667" s="254"/>
      <c r="J667" s="254"/>
      <c r="K667" s="254"/>
      <c r="L667" s="254"/>
      <c r="M667" s="254"/>
      <c r="N667" s="254"/>
      <c r="O667" s="254"/>
      <c r="P667" s="254"/>
      <c r="Q667" s="254"/>
      <c r="R667" s="254"/>
      <c r="S667" s="254"/>
      <c r="T667" s="254"/>
      <c r="U667" s="254"/>
      <c r="V667" s="254"/>
      <c r="W667" s="254"/>
      <c r="X667" s="254"/>
      <c r="Y667" s="254"/>
      <c r="Z667" s="254"/>
    </row>
    <row r="668">
      <c r="A668" s="254"/>
      <c r="B668" s="254"/>
      <c r="C668" s="254"/>
      <c r="D668" s="254"/>
      <c r="E668" s="254"/>
      <c r="F668" s="254"/>
      <c r="G668" s="254"/>
      <c r="H668" s="254"/>
      <c r="I668" s="254"/>
      <c r="J668" s="254"/>
      <c r="K668" s="254"/>
      <c r="L668" s="254"/>
      <c r="M668" s="254"/>
      <c r="N668" s="254"/>
      <c r="O668" s="254"/>
      <c r="P668" s="254"/>
      <c r="Q668" s="254"/>
      <c r="R668" s="254"/>
      <c r="S668" s="254"/>
      <c r="T668" s="254"/>
      <c r="U668" s="254"/>
      <c r="V668" s="254"/>
      <c r="W668" s="254"/>
      <c r="X668" s="254"/>
      <c r="Y668" s="254"/>
      <c r="Z668" s="254"/>
    </row>
    <row r="669">
      <c r="A669" s="254"/>
      <c r="B669" s="254"/>
      <c r="C669" s="254"/>
      <c r="D669" s="254"/>
      <c r="E669" s="254"/>
      <c r="F669" s="254"/>
      <c r="G669" s="254"/>
      <c r="H669" s="254"/>
      <c r="I669" s="254"/>
      <c r="J669" s="254"/>
      <c r="K669" s="254"/>
      <c r="L669" s="254"/>
      <c r="M669" s="254"/>
      <c r="N669" s="254"/>
      <c r="O669" s="254"/>
      <c r="P669" s="254"/>
      <c r="Q669" s="254"/>
      <c r="R669" s="254"/>
      <c r="S669" s="254"/>
      <c r="T669" s="254"/>
      <c r="U669" s="254"/>
      <c r="V669" s="254"/>
      <c r="W669" s="254"/>
      <c r="X669" s="254"/>
      <c r="Y669" s="254"/>
      <c r="Z669" s="254"/>
    </row>
    <row r="670">
      <c r="A670" s="254"/>
      <c r="B670" s="254"/>
      <c r="C670" s="254"/>
      <c r="D670" s="254"/>
      <c r="E670" s="254"/>
      <c r="F670" s="254"/>
      <c r="G670" s="254"/>
      <c r="H670" s="254"/>
      <c r="I670" s="254"/>
      <c r="J670" s="254"/>
      <c r="K670" s="254"/>
      <c r="L670" s="254"/>
      <c r="M670" s="254"/>
      <c r="N670" s="254"/>
      <c r="O670" s="254"/>
      <c r="P670" s="254"/>
      <c r="Q670" s="254"/>
      <c r="R670" s="254"/>
      <c r="S670" s="254"/>
      <c r="T670" s="254"/>
      <c r="U670" s="254"/>
      <c r="V670" s="254"/>
      <c r="W670" s="254"/>
      <c r="X670" s="254"/>
      <c r="Y670" s="254"/>
      <c r="Z670" s="254"/>
    </row>
    <row r="671">
      <c r="A671" s="254"/>
      <c r="B671" s="254"/>
      <c r="C671" s="254"/>
      <c r="D671" s="254"/>
      <c r="E671" s="254"/>
      <c r="F671" s="254"/>
      <c r="G671" s="254"/>
      <c r="H671" s="254"/>
      <c r="I671" s="254"/>
      <c r="J671" s="254"/>
      <c r="K671" s="254"/>
      <c r="L671" s="254"/>
      <c r="M671" s="254"/>
      <c r="N671" s="254"/>
      <c r="O671" s="254"/>
      <c r="P671" s="254"/>
      <c r="Q671" s="254"/>
      <c r="R671" s="254"/>
      <c r="S671" s="254"/>
      <c r="T671" s="254"/>
      <c r="U671" s="254"/>
      <c r="V671" s="254"/>
      <c r="W671" s="254"/>
      <c r="X671" s="254"/>
      <c r="Y671" s="254"/>
      <c r="Z671" s="254"/>
    </row>
    <row r="672">
      <c r="A672" s="254"/>
      <c r="B672" s="254"/>
      <c r="C672" s="254"/>
      <c r="D672" s="254"/>
      <c r="E672" s="254"/>
      <c r="F672" s="254"/>
      <c r="G672" s="254"/>
      <c r="H672" s="254"/>
      <c r="I672" s="254"/>
      <c r="J672" s="254"/>
      <c r="K672" s="254"/>
      <c r="L672" s="254"/>
      <c r="M672" s="254"/>
      <c r="N672" s="254"/>
      <c r="O672" s="254"/>
      <c r="P672" s="254"/>
      <c r="Q672" s="254"/>
      <c r="R672" s="254"/>
      <c r="S672" s="254"/>
      <c r="T672" s="254"/>
      <c r="U672" s="254"/>
      <c r="V672" s="254"/>
      <c r="W672" s="254"/>
      <c r="X672" s="254"/>
      <c r="Y672" s="254"/>
      <c r="Z672" s="254"/>
    </row>
    <row r="673">
      <c r="A673" s="254"/>
      <c r="B673" s="254"/>
      <c r="C673" s="254"/>
      <c r="D673" s="254"/>
      <c r="E673" s="254"/>
      <c r="F673" s="254"/>
      <c r="G673" s="254"/>
      <c r="H673" s="254"/>
      <c r="I673" s="254"/>
      <c r="J673" s="254"/>
      <c r="K673" s="254"/>
      <c r="L673" s="254"/>
      <c r="M673" s="254"/>
      <c r="N673" s="254"/>
      <c r="O673" s="254"/>
      <c r="P673" s="254"/>
      <c r="Q673" s="254"/>
      <c r="R673" s="254"/>
      <c r="S673" s="254"/>
      <c r="T673" s="254"/>
      <c r="U673" s="254"/>
      <c r="V673" s="254"/>
      <c r="W673" s="254"/>
      <c r="X673" s="254"/>
      <c r="Y673" s="254"/>
      <c r="Z673" s="254"/>
    </row>
    <row r="674">
      <c r="A674" s="254"/>
      <c r="B674" s="254"/>
      <c r="C674" s="254"/>
      <c r="D674" s="254"/>
      <c r="E674" s="254"/>
      <c r="F674" s="254"/>
      <c r="G674" s="254"/>
      <c r="H674" s="254"/>
      <c r="I674" s="254"/>
      <c r="J674" s="254"/>
      <c r="K674" s="254"/>
      <c r="L674" s="254"/>
      <c r="M674" s="254"/>
      <c r="N674" s="254"/>
      <c r="O674" s="254"/>
      <c r="P674" s="254"/>
      <c r="Q674" s="254"/>
      <c r="R674" s="254"/>
      <c r="S674" s="254"/>
      <c r="T674" s="254"/>
      <c r="U674" s="254"/>
      <c r="V674" s="254"/>
      <c r="W674" s="254"/>
      <c r="X674" s="254"/>
      <c r="Y674" s="254"/>
      <c r="Z674" s="254"/>
    </row>
    <row r="675">
      <c r="A675" s="254"/>
      <c r="B675" s="254"/>
      <c r="C675" s="254"/>
      <c r="D675" s="254"/>
      <c r="E675" s="254"/>
      <c r="F675" s="254"/>
      <c r="G675" s="254"/>
      <c r="H675" s="254"/>
      <c r="I675" s="254"/>
      <c r="J675" s="254"/>
      <c r="K675" s="254"/>
      <c r="L675" s="254"/>
      <c r="M675" s="254"/>
      <c r="N675" s="254"/>
      <c r="O675" s="254"/>
      <c r="P675" s="254"/>
      <c r="Q675" s="254"/>
      <c r="R675" s="254"/>
      <c r="S675" s="254"/>
      <c r="T675" s="254"/>
      <c r="U675" s="254"/>
      <c r="V675" s="254"/>
      <c r="W675" s="254"/>
      <c r="X675" s="254"/>
      <c r="Y675" s="254"/>
      <c r="Z675" s="254"/>
    </row>
    <row r="676">
      <c r="A676" s="254"/>
      <c r="B676" s="254"/>
      <c r="C676" s="254"/>
      <c r="D676" s="254"/>
      <c r="E676" s="254"/>
      <c r="F676" s="254"/>
      <c r="G676" s="254"/>
      <c r="H676" s="254"/>
      <c r="I676" s="254"/>
      <c r="J676" s="254"/>
      <c r="K676" s="254"/>
      <c r="L676" s="254"/>
      <c r="M676" s="254"/>
      <c r="N676" s="254"/>
      <c r="O676" s="254"/>
      <c r="P676" s="254"/>
      <c r="Q676" s="254"/>
      <c r="R676" s="254"/>
      <c r="S676" s="254"/>
      <c r="T676" s="254"/>
      <c r="U676" s="254"/>
      <c r="V676" s="254"/>
      <c r="W676" s="254"/>
      <c r="X676" s="254"/>
      <c r="Y676" s="254"/>
      <c r="Z676" s="254"/>
    </row>
    <row r="677">
      <c r="A677" s="254"/>
      <c r="B677" s="254"/>
      <c r="C677" s="254"/>
      <c r="D677" s="254"/>
      <c r="E677" s="254"/>
      <c r="F677" s="254"/>
      <c r="G677" s="254"/>
      <c r="H677" s="254"/>
      <c r="I677" s="254"/>
      <c r="J677" s="254"/>
      <c r="K677" s="254"/>
      <c r="L677" s="254"/>
      <c r="M677" s="254"/>
      <c r="N677" s="254"/>
      <c r="O677" s="254"/>
      <c r="P677" s="254"/>
      <c r="Q677" s="254"/>
      <c r="R677" s="254"/>
      <c r="S677" s="254"/>
      <c r="T677" s="254"/>
      <c r="U677" s="254"/>
      <c r="V677" s="254"/>
      <c r="W677" s="254"/>
      <c r="X677" s="254"/>
      <c r="Y677" s="254"/>
      <c r="Z677" s="254"/>
    </row>
    <row r="678">
      <c r="A678" s="254"/>
      <c r="B678" s="254"/>
      <c r="C678" s="254"/>
      <c r="D678" s="254"/>
      <c r="E678" s="254"/>
      <c r="F678" s="254"/>
      <c r="G678" s="254"/>
      <c r="H678" s="254"/>
      <c r="I678" s="254"/>
      <c r="J678" s="254"/>
      <c r="K678" s="254"/>
      <c r="L678" s="254"/>
      <c r="M678" s="254"/>
      <c r="N678" s="254"/>
      <c r="O678" s="254"/>
      <c r="P678" s="254"/>
      <c r="Q678" s="254"/>
      <c r="R678" s="254"/>
      <c r="S678" s="254"/>
      <c r="T678" s="254"/>
      <c r="U678" s="254"/>
      <c r="V678" s="254"/>
      <c r="W678" s="254"/>
      <c r="X678" s="254"/>
      <c r="Y678" s="254"/>
      <c r="Z678" s="254"/>
    </row>
    <row r="679">
      <c r="A679" s="254"/>
      <c r="B679" s="254"/>
      <c r="C679" s="254"/>
      <c r="D679" s="254"/>
      <c r="E679" s="254"/>
      <c r="F679" s="254"/>
      <c r="G679" s="254"/>
      <c r="H679" s="254"/>
      <c r="I679" s="254"/>
      <c r="J679" s="254"/>
      <c r="K679" s="254"/>
      <c r="L679" s="254"/>
      <c r="M679" s="254"/>
      <c r="N679" s="254"/>
      <c r="O679" s="254"/>
      <c r="P679" s="254"/>
      <c r="Q679" s="254"/>
      <c r="R679" s="254"/>
      <c r="S679" s="254"/>
      <c r="T679" s="254"/>
      <c r="U679" s="254"/>
      <c r="V679" s="254"/>
      <c r="W679" s="254"/>
      <c r="X679" s="254"/>
      <c r="Y679" s="254"/>
      <c r="Z679" s="254"/>
    </row>
    <row r="680">
      <c r="A680" s="254"/>
      <c r="B680" s="254"/>
      <c r="C680" s="254"/>
      <c r="D680" s="254"/>
      <c r="E680" s="254"/>
      <c r="F680" s="254"/>
      <c r="G680" s="254"/>
      <c r="H680" s="254"/>
      <c r="I680" s="254"/>
      <c r="J680" s="254"/>
      <c r="K680" s="254"/>
      <c r="L680" s="254"/>
      <c r="M680" s="254"/>
      <c r="N680" s="254"/>
      <c r="O680" s="254"/>
      <c r="P680" s="254"/>
      <c r="Q680" s="254"/>
      <c r="R680" s="254"/>
      <c r="S680" s="254"/>
      <c r="T680" s="254"/>
      <c r="U680" s="254"/>
      <c r="V680" s="254"/>
      <c r="W680" s="254"/>
      <c r="X680" s="254"/>
      <c r="Y680" s="254"/>
      <c r="Z680" s="254"/>
    </row>
    <row r="681">
      <c r="A681" s="254"/>
      <c r="B681" s="254"/>
      <c r="C681" s="254"/>
      <c r="D681" s="254"/>
      <c r="E681" s="254"/>
      <c r="F681" s="254"/>
      <c r="G681" s="254"/>
      <c r="H681" s="254"/>
      <c r="I681" s="254"/>
      <c r="J681" s="254"/>
      <c r="K681" s="254"/>
      <c r="L681" s="254"/>
      <c r="M681" s="254"/>
      <c r="N681" s="254"/>
      <c r="O681" s="254"/>
      <c r="P681" s="254"/>
      <c r="Q681" s="254"/>
      <c r="R681" s="254"/>
      <c r="S681" s="254"/>
      <c r="T681" s="254"/>
      <c r="U681" s="254"/>
      <c r="V681" s="254"/>
      <c r="W681" s="254"/>
      <c r="X681" s="254"/>
      <c r="Y681" s="254"/>
      <c r="Z681" s="254"/>
    </row>
    <row r="682">
      <c r="A682" s="254"/>
      <c r="B682" s="254"/>
      <c r="C682" s="254"/>
      <c r="D682" s="254"/>
      <c r="E682" s="254"/>
      <c r="F682" s="254"/>
      <c r="G682" s="254"/>
      <c r="H682" s="254"/>
      <c r="I682" s="254"/>
      <c r="J682" s="254"/>
      <c r="K682" s="254"/>
      <c r="L682" s="254"/>
      <c r="M682" s="254"/>
      <c r="N682" s="254"/>
      <c r="O682" s="254"/>
      <c r="P682" s="254"/>
      <c r="Q682" s="254"/>
      <c r="R682" s="254"/>
      <c r="S682" s="254"/>
      <c r="T682" s="254"/>
      <c r="U682" s="254"/>
      <c r="V682" s="254"/>
      <c r="W682" s="254"/>
      <c r="X682" s="254"/>
      <c r="Y682" s="254"/>
      <c r="Z682" s="254"/>
    </row>
    <row r="683">
      <c r="A683" s="254"/>
      <c r="B683" s="254"/>
      <c r="C683" s="254"/>
      <c r="D683" s="254"/>
      <c r="E683" s="254"/>
      <c r="F683" s="254"/>
      <c r="G683" s="254"/>
      <c r="H683" s="254"/>
      <c r="I683" s="254"/>
      <c r="J683" s="254"/>
      <c r="K683" s="254"/>
      <c r="L683" s="254"/>
      <c r="M683" s="254"/>
      <c r="N683" s="254"/>
      <c r="O683" s="254"/>
      <c r="P683" s="254"/>
      <c r="Q683" s="254"/>
      <c r="R683" s="254"/>
      <c r="S683" s="254"/>
      <c r="T683" s="254"/>
      <c r="U683" s="254"/>
      <c r="V683" s="254"/>
      <c r="W683" s="254"/>
      <c r="X683" s="254"/>
      <c r="Y683" s="254"/>
      <c r="Z683" s="254"/>
    </row>
    <row r="684">
      <c r="A684" s="254"/>
      <c r="B684" s="254"/>
      <c r="C684" s="254"/>
      <c r="D684" s="254"/>
      <c r="E684" s="254"/>
      <c r="F684" s="254"/>
      <c r="G684" s="254"/>
      <c r="H684" s="254"/>
      <c r="I684" s="254"/>
      <c r="J684" s="254"/>
      <c r="K684" s="254"/>
      <c r="L684" s="254"/>
      <c r="M684" s="254"/>
      <c r="N684" s="254"/>
      <c r="O684" s="254"/>
      <c r="P684" s="254"/>
      <c r="Q684" s="254"/>
      <c r="R684" s="254"/>
      <c r="S684" s="254"/>
      <c r="T684" s="254"/>
      <c r="U684" s="254"/>
      <c r="V684" s="254"/>
      <c r="W684" s="254"/>
      <c r="X684" s="254"/>
      <c r="Y684" s="254"/>
      <c r="Z684" s="254"/>
    </row>
    <row r="685">
      <c r="A685" s="254"/>
      <c r="B685" s="254"/>
      <c r="C685" s="254"/>
      <c r="D685" s="254"/>
      <c r="E685" s="254"/>
      <c r="F685" s="254"/>
      <c r="G685" s="254"/>
      <c r="H685" s="254"/>
      <c r="I685" s="254"/>
      <c r="J685" s="254"/>
      <c r="K685" s="254"/>
      <c r="L685" s="254"/>
      <c r="M685" s="254"/>
      <c r="N685" s="254"/>
      <c r="O685" s="254"/>
      <c r="P685" s="254"/>
      <c r="Q685" s="254"/>
      <c r="R685" s="254"/>
      <c r="S685" s="254"/>
      <c r="T685" s="254"/>
      <c r="U685" s="254"/>
      <c r="V685" s="254"/>
      <c r="W685" s="254"/>
      <c r="X685" s="254"/>
      <c r="Y685" s="254"/>
      <c r="Z685" s="254"/>
    </row>
    <row r="686">
      <c r="A686" s="254"/>
      <c r="B686" s="254"/>
      <c r="C686" s="254"/>
      <c r="D686" s="254"/>
      <c r="E686" s="254"/>
      <c r="F686" s="254"/>
      <c r="G686" s="254"/>
      <c r="H686" s="254"/>
      <c r="I686" s="254"/>
      <c r="J686" s="254"/>
      <c r="K686" s="254"/>
      <c r="L686" s="254"/>
      <c r="M686" s="254"/>
      <c r="N686" s="254"/>
      <c r="O686" s="254"/>
      <c r="P686" s="254"/>
      <c r="Q686" s="254"/>
      <c r="R686" s="254"/>
      <c r="S686" s="254"/>
      <c r="T686" s="254"/>
      <c r="U686" s="254"/>
      <c r="V686" s="254"/>
      <c r="W686" s="254"/>
      <c r="X686" s="254"/>
      <c r="Y686" s="254"/>
      <c r="Z686" s="254"/>
    </row>
    <row r="687">
      <c r="A687" s="254"/>
      <c r="B687" s="254"/>
      <c r="C687" s="254"/>
      <c r="D687" s="254"/>
      <c r="E687" s="254"/>
      <c r="F687" s="254"/>
      <c r="G687" s="254"/>
      <c r="H687" s="254"/>
      <c r="I687" s="254"/>
      <c r="J687" s="254"/>
      <c r="K687" s="254"/>
      <c r="L687" s="254"/>
      <c r="M687" s="254"/>
      <c r="N687" s="254"/>
      <c r="O687" s="254"/>
      <c r="P687" s="254"/>
      <c r="Q687" s="254"/>
      <c r="R687" s="254"/>
      <c r="S687" s="254"/>
      <c r="T687" s="254"/>
      <c r="U687" s="254"/>
      <c r="V687" s="254"/>
      <c r="W687" s="254"/>
      <c r="X687" s="254"/>
      <c r="Y687" s="254"/>
      <c r="Z687" s="254"/>
    </row>
    <row r="688">
      <c r="A688" s="254"/>
      <c r="B688" s="254"/>
      <c r="C688" s="254"/>
      <c r="D688" s="254"/>
      <c r="E688" s="254"/>
      <c r="F688" s="254"/>
      <c r="G688" s="254"/>
      <c r="H688" s="254"/>
      <c r="I688" s="254"/>
      <c r="J688" s="254"/>
      <c r="K688" s="254"/>
      <c r="L688" s="254"/>
      <c r="M688" s="254"/>
      <c r="N688" s="254"/>
      <c r="O688" s="254"/>
      <c r="P688" s="254"/>
      <c r="Q688" s="254"/>
      <c r="R688" s="254"/>
      <c r="S688" s="254"/>
      <c r="T688" s="254"/>
      <c r="U688" s="254"/>
      <c r="V688" s="254"/>
      <c r="W688" s="254"/>
      <c r="X688" s="254"/>
      <c r="Y688" s="254"/>
      <c r="Z688" s="254"/>
    </row>
    <row r="689">
      <c r="A689" s="254"/>
      <c r="B689" s="254"/>
      <c r="C689" s="254"/>
      <c r="D689" s="254"/>
      <c r="E689" s="254"/>
      <c r="F689" s="254"/>
      <c r="G689" s="254"/>
      <c r="H689" s="254"/>
      <c r="I689" s="254"/>
      <c r="J689" s="254"/>
      <c r="K689" s="254"/>
      <c r="L689" s="254"/>
      <c r="M689" s="254"/>
      <c r="N689" s="254"/>
      <c r="O689" s="254"/>
      <c r="P689" s="254"/>
      <c r="Q689" s="254"/>
      <c r="R689" s="254"/>
      <c r="S689" s="254"/>
      <c r="T689" s="254"/>
      <c r="U689" s="254"/>
      <c r="V689" s="254"/>
      <c r="W689" s="254"/>
      <c r="X689" s="254"/>
      <c r="Y689" s="254"/>
      <c r="Z689" s="254"/>
    </row>
    <row r="690">
      <c r="A690" s="254"/>
      <c r="B690" s="254"/>
      <c r="C690" s="254"/>
      <c r="D690" s="254"/>
      <c r="E690" s="254"/>
      <c r="F690" s="254"/>
      <c r="G690" s="254"/>
      <c r="H690" s="254"/>
      <c r="I690" s="254"/>
      <c r="J690" s="254"/>
      <c r="K690" s="254"/>
      <c r="L690" s="254"/>
      <c r="M690" s="254"/>
      <c r="N690" s="254"/>
      <c r="O690" s="254"/>
      <c r="P690" s="254"/>
      <c r="Q690" s="254"/>
      <c r="R690" s="254"/>
      <c r="S690" s="254"/>
      <c r="T690" s="254"/>
      <c r="U690" s="254"/>
      <c r="V690" s="254"/>
      <c r="W690" s="254"/>
      <c r="X690" s="254"/>
      <c r="Y690" s="254"/>
      <c r="Z690" s="254"/>
    </row>
    <row r="691">
      <c r="A691" s="254"/>
      <c r="B691" s="254"/>
      <c r="C691" s="254"/>
      <c r="D691" s="254"/>
      <c r="E691" s="254"/>
      <c r="F691" s="254"/>
      <c r="G691" s="254"/>
      <c r="H691" s="254"/>
      <c r="I691" s="254"/>
      <c r="J691" s="254"/>
      <c r="K691" s="254"/>
      <c r="L691" s="254"/>
      <c r="M691" s="254"/>
      <c r="N691" s="254"/>
      <c r="O691" s="254"/>
      <c r="P691" s="254"/>
      <c r="Q691" s="254"/>
      <c r="R691" s="254"/>
      <c r="S691" s="254"/>
      <c r="T691" s="254"/>
      <c r="U691" s="254"/>
      <c r="V691" s="254"/>
      <c r="W691" s="254"/>
      <c r="X691" s="254"/>
      <c r="Y691" s="254"/>
      <c r="Z691" s="254"/>
    </row>
    <row r="692">
      <c r="A692" s="254"/>
      <c r="B692" s="254"/>
      <c r="C692" s="254"/>
      <c r="D692" s="254"/>
      <c r="E692" s="254"/>
      <c r="F692" s="254"/>
      <c r="G692" s="254"/>
      <c r="H692" s="254"/>
      <c r="I692" s="254"/>
      <c r="J692" s="254"/>
      <c r="K692" s="254"/>
      <c r="L692" s="254"/>
      <c r="M692" s="254"/>
      <c r="N692" s="254"/>
      <c r="O692" s="254"/>
      <c r="P692" s="254"/>
      <c r="Q692" s="254"/>
      <c r="R692" s="254"/>
      <c r="S692" s="254"/>
      <c r="T692" s="254"/>
      <c r="U692" s="254"/>
      <c r="V692" s="254"/>
      <c r="W692" s="254"/>
      <c r="X692" s="254"/>
      <c r="Y692" s="254"/>
      <c r="Z692" s="254"/>
    </row>
    <row r="693">
      <c r="A693" s="254"/>
      <c r="B693" s="254"/>
      <c r="C693" s="254"/>
      <c r="D693" s="254"/>
      <c r="E693" s="254"/>
      <c r="F693" s="254"/>
      <c r="G693" s="254"/>
      <c r="H693" s="254"/>
      <c r="I693" s="254"/>
      <c r="J693" s="254"/>
      <c r="K693" s="254"/>
      <c r="L693" s="254"/>
      <c r="M693" s="254"/>
      <c r="N693" s="254"/>
      <c r="O693" s="254"/>
      <c r="P693" s="254"/>
      <c r="Q693" s="254"/>
      <c r="R693" s="254"/>
      <c r="S693" s="254"/>
      <c r="T693" s="254"/>
      <c r="U693" s="254"/>
      <c r="V693" s="254"/>
      <c r="W693" s="254"/>
      <c r="X693" s="254"/>
      <c r="Y693" s="254"/>
      <c r="Z693" s="254"/>
    </row>
    <row r="694">
      <c r="A694" s="254"/>
      <c r="B694" s="254"/>
      <c r="C694" s="254"/>
      <c r="D694" s="254"/>
      <c r="E694" s="254"/>
      <c r="F694" s="254"/>
      <c r="G694" s="254"/>
      <c r="H694" s="254"/>
      <c r="I694" s="254"/>
      <c r="J694" s="254"/>
      <c r="K694" s="254"/>
      <c r="L694" s="254"/>
      <c r="M694" s="254"/>
      <c r="N694" s="254"/>
      <c r="O694" s="254"/>
      <c r="P694" s="254"/>
      <c r="Q694" s="254"/>
      <c r="R694" s="254"/>
      <c r="S694" s="254"/>
      <c r="T694" s="254"/>
      <c r="U694" s="254"/>
      <c r="V694" s="254"/>
      <c r="W694" s="254"/>
      <c r="X694" s="254"/>
      <c r="Y694" s="254"/>
      <c r="Z694" s="254"/>
    </row>
    <row r="695">
      <c r="A695" s="254"/>
      <c r="B695" s="254"/>
      <c r="C695" s="254"/>
      <c r="D695" s="254"/>
      <c r="E695" s="254"/>
      <c r="F695" s="254"/>
      <c r="G695" s="254"/>
      <c r="H695" s="254"/>
      <c r="I695" s="254"/>
      <c r="J695" s="254"/>
      <c r="K695" s="254"/>
      <c r="L695" s="254"/>
      <c r="M695" s="254"/>
      <c r="N695" s="254"/>
      <c r="O695" s="254"/>
      <c r="P695" s="254"/>
      <c r="Q695" s="254"/>
      <c r="R695" s="254"/>
      <c r="S695" s="254"/>
      <c r="T695" s="254"/>
      <c r="U695" s="254"/>
      <c r="V695" s="254"/>
      <c r="W695" s="254"/>
      <c r="X695" s="254"/>
      <c r="Y695" s="254"/>
      <c r="Z695" s="254"/>
    </row>
    <row r="696">
      <c r="A696" s="254"/>
      <c r="B696" s="254"/>
      <c r="C696" s="254"/>
      <c r="D696" s="254"/>
      <c r="E696" s="254"/>
      <c r="F696" s="254"/>
      <c r="G696" s="254"/>
      <c r="H696" s="254"/>
      <c r="I696" s="254"/>
      <c r="J696" s="254"/>
      <c r="K696" s="254"/>
      <c r="L696" s="254"/>
      <c r="M696" s="254"/>
      <c r="N696" s="254"/>
      <c r="O696" s="254"/>
      <c r="P696" s="254"/>
      <c r="Q696" s="254"/>
      <c r="R696" s="254"/>
      <c r="S696" s="254"/>
      <c r="T696" s="254"/>
      <c r="U696" s="254"/>
      <c r="V696" s="254"/>
      <c r="W696" s="254"/>
      <c r="X696" s="254"/>
      <c r="Y696" s="254"/>
      <c r="Z696" s="254"/>
    </row>
    <row r="697">
      <c r="A697" s="254"/>
      <c r="B697" s="254"/>
      <c r="C697" s="254"/>
      <c r="D697" s="254"/>
      <c r="E697" s="254"/>
      <c r="F697" s="254"/>
      <c r="G697" s="254"/>
      <c r="H697" s="254"/>
      <c r="I697" s="254"/>
      <c r="J697" s="254"/>
      <c r="K697" s="254"/>
      <c r="L697" s="254"/>
      <c r="M697" s="254"/>
      <c r="N697" s="254"/>
      <c r="O697" s="254"/>
      <c r="P697" s="254"/>
      <c r="Q697" s="254"/>
      <c r="R697" s="254"/>
      <c r="S697" s="254"/>
      <c r="T697" s="254"/>
      <c r="U697" s="254"/>
      <c r="V697" s="254"/>
      <c r="W697" s="254"/>
      <c r="X697" s="254"/>
      <c r="Y697" s="254"/>
      <c r="Z697" s="254"/>
    </row>
    <row r="698">
      <c r="A698" s="254"/>
      <c r="B698" s="254"/>
      <c r="C698" s="254"/>
      <c r="D698" s="254"/>
      <c r="E698" s="254"/>
      <c r="F698" s="254"/>
      <c r="G698" s="254"/>
      <c r="H698" s="254"/>
      <c r="I698" s="254"/>
      <c r="J698" s="254"/>
      <c r="K698" s="254"/>
      <c r="L698" s="254"/>
      <c r="M698" s="254"/>
      <c r="N698" s="254"/>
      <c r="O698" s="254"/>
      <c r="P698" s="254"/>
      <c r="Q698" s="254"/>
      <c r="R698" s="254"/>
      <c r="S698" s="254"/>
      <c r="T698" s="254"/>
      <c r="U698" s="254"/>
      <c r="V698" s="254"/>
      <c r="W698" s="254"/>
      <c r="X698" s="254"/>
      <c r="Y698" s="254"/>
      <c r="Z698" s="254"/>
    </row>
    <row r="699">
      <c r="A699" s="254"/>
      <c r="B699" s="254"/>
      <c r="C699" s="254"/>
      <c r="D699" s="254"/>
      <c r="E699" s="254"/>
      <c r="F699" s="254"/>
      <c r="G699" s="254"/>
      <c r="H699" s="254"/>
      <c r="I699" s="254"/>
      <c r="J699" s="254"/>
      <c r="K699" s="254"/>
      <c r="L699" s="254"/>
      <c r="M699" s="254"/>
      <c r="N699" s="254"/>
      <c r="O699" s="254"/>
      <c r="P699" s="254"/>
      <c r="Q699" s="254"/>
      <c r="R699" s="254"/>
      <c r="S699" s="254"/>
      <c r="T699" s="254"/>
      <c r="U699" s="254"/>
      <c r="V699" s="254"/>
      <c r="W699" s="254"/>
      <c r="X699" s="254"/>
      <c r="Y699" s="254"/>
      <c r="Z699" s="254"/>
    </row>
    <row r="700">
      <c r="A700" s="254"/>
      <c r="B700" s="254"/>
      <c r="C700" s="254"/>
      <c r="D700" s="254"/>
      <c r="E700" s="254"/>
      <c r="F700" s="254"/>
      <c r="G700" s="254"/>
      <c r="H700" s="254"/>
      <c r="I700" s="254"/>
      <c r="J700" s="254"/>
      <c r="K700" s="254"/>
      <c r="L700" s="254"/>
      <c r="M700" s="254"/>
      <c r="N700" s="254"/>
      <c r="O700" s="254"/>
      <c r="P700" s="254"/>
      <c r="Q700" s="254"/>
      <c r="R700" s="254"/>
      <c r="S700" s="254"/>
      <c r="T700" s="254"/>
      <c r="U700" s="254"/>
      <c r="V700" s="254"/>
      <c r="W700" s="254"/>
      <c r="X700" s="254"/>
      <c r="Y700" s="254"/>
      <c r="Z700" s="254"/>
    </row>
    <row r="701">
      <c r="A701" s="254"/>
      <c r="B701" s="254"/>
      <c r="C701" s="254"/>
      <c r="D701" s="254"/>
      <c r="E701" s="254"/>
      <c r="F701" s="254"/>
      <c r="G701" s="254"/>
      <c r="H701" s="254"/>
      <c r="I701" s="254"/>
      <c r="J701" s="254"/>
      <c r="K701" s="254"/>
      <c r="L701" s="254"/>
      <c r="M701" s="254"/>
      <c r="N701" s="254"/>
      <c r="O701" s="254"/>
      <c r="P701" s="254"/>
      <c r="Q701" s="254"/>
      <c r="R701" s="254"/>
      <c r="S701" s="254"/>
      <c r="T701" s="254"/>
      <c r="U701" s="254"/>
      <c r="V701" s="254"/>
      <c r="W701" s="254"/>
      <c r="X701" s="254"/>
      <c r="Y701" s="254"/>
      <c r="Z701" s="254"/>
    </row>
    <row r="702">
      <c r="A702" s="254"/>
      <c r="B702" s="254"/>
      <c r="C702" s="254"/>
      <c r="D702" s="254"/>
      <c r="E702" s="254"/>
      <c r="F702" s="254"/>
      <c r="G702" s="254"/>
      <c r="H702" s="254"/>
      <c r="I702" s="254"/>
      <c r="J702" s="254"/>
      <c r="K702" s="254"/>
      <c r="L702" s="254"/>
      <c r="M702" s="254"/>
      <c r="N702" s="254"/>
      <c r="O702" s="254"/>
      <c r="P702" s="254"/>
      <c r="Q702" s="254"/>
      <c r="R702" s="254"/>
      <c r="S702" s="254"/>
      <c r="T702" s="254"/>
      <c r="U702" s="254"/>
      <c r="V702" s="254"/>
      <c r="W702" s="254"/>
      <c r="X702" s="254"/>
      <c r="Y702" s="254"/>
      <c r="Z702" s="254"/>
    </row>
    <row r="703">
      <c r="A703" s="254"/>
      <c r="B703" s="254"/>
      <c r="C703" s="254"/>
      <c r="D703" s="254"/>
      <c r="E703" s="254"/>
      <c r="F703" s="254"/>
      <c r="G703" s="254"/>
      <c r="H703" s="254"/>
      <c r="I703" s="254"/>
      <c r="J703" s="254"/>
      <c r="K703" s="254"/>
      <c r="L703" s="254"/>
      <c r="M703" s="254"/>
      <c r="N703" s="254"/>
      <c r="O703" s="254"/>
      <c r="P703" s="254"/>
      <c r="Q703" s="254"/>
      <c r="R703" s="254"/>
      <c r="S703" s="254"/>
      <c r="T703" s="254"/>
      <c r="U703" s="254"/>
      <c r="V703" s="254"/>
      <c r="W703" s="254"/>
      <c r="X703" s="254"/>
      <c r="Y703" s="254"/>
      <c r="Z703" s="254"/>
    </row>
    <row r="704">
      <c r="A704" s="254"/>
      <c r="B704" s="254"/>
      <c r="C704" s="254"/>
      <c r="D704" s="254"/>
      <c r="E704" s="254"/>
      <c r="F704" s="254"/>
      <c r="G704" s="254"/>
      <c r="H704" s="254"/>
      <c r="I704" s="254"/>
      <c r="J704" s="254"/>
      <c r="K704" s="254"/>
      <c r="L704" s="254"/>
      <c r="M704" s="254"/>
      <c r="N704" s="254"/>
      <c r="O704" s="254"/>
      <c r="P704" s="254"/>
      <c r="Q704" s="254"/>
      <c r="R704" s="254"/>
      <c r="S704" s="254"/>
      <c r="T704" s="254"/>
      <c r="U704" s="254"/>
      <c r="V704" s="254"/>
      <c r="W704" s="254"/>
      <c r="X704" s="254"/>
      <c r="Y704" s="254"/>
      <c r="Z704" s="254"/>
    </row>
    <row r="705">
      <c r="A705" s="254"/>
      <c r="B705" s="254"/>
      <c r="C705" s="254"/>
      <c r="D705" s="254"/>
      <c r="E705" s="254"/>
      <c r="F705" s="254"/>
      <c r="G705" s="254"/>
      <c r="H705" s="254"/>
      <c r="I705" s="254"/>
      <c r="J705" s="254"/>
      <c r="K705" s="254"/>
      <c r="L705" s="254"/>
      <c r="M705" s="254"/>
      <c r="N705" s="254"/>
      <c r="O705" s="254"/>
      <c r="P705" s="254"/>
      <c r="Q705" s="254"/>
      <c r="R705" s="254"/>
      <c r="S705" s="254"/>
      <c r="T705" s="254"/>
      <c r="U705" s="254"/>
      <c r="V705" s="254"/>
      <c r="W705" s="254"/>
      <c r="X705" s="254"/>
      <c r="Y705" s="254"/>
      <c r="Z705" s="254"/>
    </row>
    <row r="706">
      <c r="A706" s="254"/>
      <c r="B706" s="254"/>
      <c r="C706" s="254"/>
      <c r="D706" s="254"/>
      <c r="E706" s="254"/>
      <c r="F706" s="254"/>
      <c r="G706" s="254"/>
      <c r="H706" s="254"/>
      <c r="I706" s="254"/>
      <c r="J706" s="254"/>
      <c r="K706" s="254"/>
      <c r="L706" s="254"/>
      <c r="M706" s="254"/>
      <c r="N706" s="254"/>
      <c r="O706" s="254"/>
      <c r="P706" s="254"/>
      <c r="Q706" s="254"/>
      <c r="R706" s="254"/>
      <c r="S706" s="254"/>
      <c r="T706" s="254"/>
      <c r="U706" s="254"/>
      <c r="V706" s="254"/>
      <c r="W706" s="254"/>
      <c r="X706" s="254"/>
      <c r="Y706" s="254"/>
      <c r="Z706" s="254"/>
    </row>
    <row r="707">
      <c r="A707" s="254"/>
      <c r="B707" s="254"/>
      <c r="C707" s="254"/>
      <c r="D707" s="254"/>
      <c r="E707" s="254"/>
      <c r="F707" s="254"/>
      <c r="G707" s="254"/>
      <c r="H707" s="254"/>
      <c r="I707" s="254"/>
      <c r="J707" s="254"/>
      <c r="K707" s="254"/>
      <c r="L707" s="254"/>
      <c r="M707" s="254"/>
      <c r="N707" s="254"/>
      <c r="O707" s="254"/>
      <c r="P707" s="254"/>
      <c r="Q707" s="254"/>
      <c r="R707" s="254"/>
      <c r="S707" s="254"/>
      <c r="T707" s="254"/>
      <c r="U707" s="254"/>
      <c r="V707" s="254"/>
      <c r="W707" s="254"/>
      <c r="X707" s="254"/>
      <c r="Y707" s="254"/>
      <c r="Z707" s="254"/>
    </row>
    <row r="708">
      <c r="A708" s="254"/>
      <c r="B708" s="254"/>
      <c r="C708" s="254"/>
      <c r="D708" s="254"/>
      <c r="E708" s="254"/>
      <c r="F708" s="254"/>
      <c r="G708" s="254"/>
      <c r="H708" s="254"/>
      <c r="I708" s="254"/>
      <c r="J708" s="254"/>
      <c r="K708" s="254"/>
      <c r="L708" s="254"/>
      <c r="M708" s="254"/>
      <c r="N708" s="254"/>
      <c r="O708" s="254"/>
      <c r="P708" s="254"/>
      <c r="Q708" s="254"/>
      <c r="R708" s="254"/>
      <c r="S708" s="254"/>
      <c r="T708" s="254"/>
      <c r="U708" s="254"/>
      <c r="V708" s="254"/>
      <c r="W708" s="254"/>
      <c r="X708" s="254"/>
      <c r="Y708" s="254"/>
      <c r="Z708" s="254"/>
    </row>
    <row r="709">
      <c r="A709" s="254"/>
      <c r="B709" s="254"/>
      <c r="C709" s="254"/>
      <c r="D709" s="254"/>
      <c r="E709" s="254"/>
      <c r="F709" s="254"/>
      <c r="G709" s="254"/>
      <c r="H709" s="254"/>
      <c r="I709" s="254"/>
      <c r="J709" s="254"/>
      <c r="K709" s="254"/>
      <c r="L709" s="254"/>
      <c r="M709" s="254"/>
      <c r="N709" s="254"/>
      <c r="O709" s="254"/>
      <c r="P709" s="254"/>
      <c r="Q709" s="254"/>
      <c r="R709" s="254"/>
      <c r="S709" s="254"/>
      <c r="T709" s="254"/>
      <c r="U709" s="254"/>
      <c r="V709" s="254"/>
      <c r="W709" s="254"/>
      <c r="X709" s="254"/>
      <c r="Y709" s="254"/>
      <c r="Z709" s="254"/>
    </row>
    <row r="710">
      <c r="A710" s="254"/>
      <c r="B710" s="254"/>
      <c r="C710" s="254"/>
      <c r="D710" s="254"/>
      <c r="E710" s="254"/>
      <c r="F710" s="254"/>
      <c r="G710" s="254"/>
      <c r="H710" s="254"/>
      <c r="I710" s="254"/>
      <c r="J710" s="254"/>
      <c r="K710" s="254"/>
      <c r="L710" s="254"/>
      <c r="M710" s="254"/>
      <c r="N710" s="254"/>
      <c r="O710" s="254"/>
      <c r="P710" s="254"/>
      <c r="Q710" s="254"/>
      <c r="R710" s="254"/>
      <c r="S710" s="254"/>
      <c r="T710" s="254"/>
      <c r="U710" s="254"/>
      <c r="V710" s="254"/>
      <c r="W710" s="254"/>
      <c r="X710" s="254"/>
      <c r="Y710" s="254"/>
      <c r="Z710" s="254"/>
    </row>
    <row r="711">
      <c r="A711" s="254"/>
      <c r="B711" s="254"/>
      <c r="C711" s="254"/>
      <c r="D711" s="254"/>
      <c r="E711" s="254"/>
      <c r="F711" s="254"/>
      <c r="G711" s="254"/>
      <c r="H711" s="254"/>
      <c r="I711" s="254"/>
      <c r="J711" s="254"/>
      <c r="K711" s="254"/>
      <c r="L711" s="254"/>
      <c r="M711" s="254"/>
      <c r="N711" s="254"/>
      <c r="O711" s="254"/>
      <c r="P711" s="254"/>
      <c r="Q711" s="254"/>
      <c r="R711" s="254"/>
      <c r="S711" s="254"/>
      <c r="T711" s="254"/>
      <c r="U711" s="254"/>
      <c r="V711" s="254"/>
      <c r="W711" s="254"/>
      <c r="X711" s="254"/>
      <c r="Y711" s="254"/>
      <c r="Z711" s="254"/>
    </row>
    <row r="712">
      <c r="A712" s="254"/>
      <c r="B712" s="254"/>
      <c r="C712" s="254"/>
      <c r="D712" s="254"/>
      <c r="E712" s="254"/>
      <c r="F712" s="254"/>
      <c r="G712" s="254"/>
      <c r="H712" s="254"/>
      <c r="I712" s="254"/>
      <c r="J712" s="254"/>
      <c r="K712" s="254"/>
      <c r="L712" s="254"/>
      <c r="M712" s="254"/>
      <c r="N712" s="254"/>
      <c r="O712" s="254"/>
      <c r="P712" s="254"/>
      <c r="Q712" s="254"/>
      <c r="R712" s="254"/>
      <c r="S712" s="254"/>
      <c r="T712" s="254"/>
      <c r="U712" s="254"/>
      <c r="V712" s="254"/>
      <c r="W712" s="254"/>
      <c r="X712" s="254"/>
      <c r="Y712" s="254"/>
      <c r="Z712" s="254"/>
    </row>
    <row r="713">
      <c r="A713" s="254"/>
      <c r="B713" s="254"/>
      <c r="C713" s="254"/>
      <c r="D713" s="254"/>
      <c r="E713" s="254"/>
      <c r="F713" s="254"/>
      <c r="G713" s="254"/>
      <c r="H713" s="254"/>
      <c r="I713" s="254"/>
      <c r="J713" s="254"/>
      <c r="K713" s="254"/>
      <c r="L713" s="254"/>
      <c r="M713" s="254"/>
      <c r="N713" s="254"/>
      <c r="O713" s="254"/>
      <c r="P713" s="254"/>
      <c r="Q713" s="254"/>
      <c r="R713" s="254"/>
      <c r="S713" s="254"/>
      <c r="T713" s="254"/>
      <c r="U713" s="254"/>
      <c r="V713" s="254"/>
      <c r="W713" s="254"/>
      <c r="X713" s="254"/>
      <c r="Y713" s="254"/>
      <c r="Z713" s="254"/>
    </row>
    <row r="714">
      <c r="A714" s="254"/>
      <c r="B714" s="254"/>
      <c r="C714" s="254"/>
      <c r="D714" s="254"/>
      <c r="E714" s="254"/>
      <c r="F714" s="254"/>
      <c r="G714" s="254"/>
      <c r="H714" s="254"/>
      <c r="I714" s="254"/>
      <c r="J714" s="254"/>
      <c r="K714" s="254"/>
      <c r="L714" s="254"/>
      <c r="M714" s="254"/>
      <c r="N714" s="254"/>
      <c r="O714" s="254"/>
      <c r="P714" s="254"/>
      <c r="Q714" s="254"/>
      <c r="R714" s="254"/>
      <c r="S714" s="254"/>
      <c r="T714" s="254"/>
      <c r="U714" s="254"/>
      <c r="V714" s="254"/>
      <c r="W714" s="254"/>
      <c r="X714" s="254"/>
      <c r="Y714" s="254"/>
      <c r="Z714" s="254"/>
    </row>
    <row r="715">
      <c r="A715" s="254"/>
      <c r="B715" s="254"/>
      <c r="C715" s="254"/>
      <c r="D715" s="254"/>
      <c r="E715" s="254"/>
      <c r="F715" s="254"/>
      <c r="G715" s="254"/>
      <c r="H715" s="254"/>
      <c r="I715" s="254"/>
      <c r="J715" s="254"/>
      <c r="K715" s="254"/>
      <c r="L715" s="254"/>
      <c r="M715" s="254"/>
      <c r="N715" s="254"/>
      <c r="O715" s="254"/>
      <c r="P715" s="254"/>
      <c r="Q715" s="254"/>
      <c r="R715" s="254"/>
      <c r="S715" s="254"/>
      <c r="T715" s="254"/>
      <c r="U715" s="254"/>
      <c r="V715" s="254"/>
      <c r="W715" s="254"/>
      <c r="X715" s="254"/>
      <c r="Y715" s="254"/>
      <c r="Z715" s="254"/>
    </row>
    <row r="716">
      <c r="A716" s="254"/>
      <c r="B716" s="254"/>
      <c r="C716" s="254"/>
      <c r="D716" s="254"/>
      <c r="E716" s="254"/>
      <c r="F716" s="254"/>
      <c r="G716" s="254"/>
      <c r="H716" s="254"/>
      <c r="I716" s="254"/>
      <c r="J716" s="254"/>
      <c r="K716" s="254"/>
      <c r="L716" s="254"/>
      <c r="M716" s="254"/>
      <c r="N716" s="254"/>
      <c r="O716" s="254"/>
      <c r="P716" s="254"/>
      <c r="Q716" s="254"/>
      <c r="R716" s="254"/>
      <c r="S716" s="254"/>
      <c r="T716" s="254"/>
      <c r="U716" s="254"/>
      <c r="V716" s="254"/>
      <c r="W716" s="254"/>
      <c r="X716" s="254"/>
      <c r="Y716" s="254"/>
      <c r="Z716" s="254"/>
    </row>
    <row r="717">
      <c r="A717" s="254"/>
      <c r="B717" s="254"/>
      <c r="C717" s="254"/>
      <c r="D717" s="254"/>
      <c r="E717" s="254"/>
      <c r="F717" s="254"/>
      <c r="G717" s="254"/>
      <c r="H717" s="254"/>
      <c r="I717" s="254"/>
      <c r="J717" s="254"/>
      <c r="K717" s="254"/>
      <c r="L717" s="254"/>
      <c r="M717" s="254"/>
      <c r="N717" s="254"/>
      <c r="O717" s="254"/>
      <c r="P717" s="254"/>
      <c r="Q717" s="254"/>
      <c r="R717" s="254"/>
      <c r="S717" s="254"/>
      <c r="T717" s="254"/>
      <c r="U717" s="254"/>
      <c r="V717" s="254"/>
      <c r="W717" s="254"/>
      <c r="X717" s="254"/>
      <c r="Y717" s="254"/>
      <c r="Z717" s="254"/>
    </row>
    <row r="718">
      <c r="A718" s="254"/>
      <c r="B718" s="254"/>
      <c r="C718" s="254"/>
      <c r="D718" s="254"/>
      <c r="E718" s="254"/>
      <c r="F718" s="254"/>
      <c r="G718" s="254"/>
      <c r="H718" s="254"/>
      <c r="I718" s="254"/>
      <c r="J718" s="254"/>
      <c r="K718" s="254"/>
      <c r="L718" s="254"/>
      <c r="M718" s="254"/>
      <c r="N718" s="254"/>
      <c r="O718" s="254"/>
      <c r="P718" s="254"/>
      <c r="Q718" s="254"/>
      <c r="R718" s="254"/>
      <c r="S718" s="254"/>
      <c r="T718" s="254"/>
      <c r="U718" s="254"/>
      <c r="V718" s="254"/>
      <c r="W718" s="254"/>
      <c r="X718" s="254"/>
      <c r="Y718" s="254"/>
      <c r="Z718" s="254"/>
    </row>
    <row r="719">
      <c r="A719" s="254"/>
      <c r="B719" s="254"/>
      <c r="C719" s="254"/>
      <c r="D719" s="254"/>
      <c r="E719" s="254"/>
      <c r="F719" s="254"/>
      <c r="G719" s="254"/>
      <c r="H719" s="254"/>
      <c r="I719" s="254"/>
      <c r="J719" s="254"/>
      <c r="K719" s="254"/>
      <c r="L719" s="254"/>
      <c r="M719" s="254"/>
      <c r="N719" s="254"/>
      <c r="O719" s="254"/>
      <c r="P719" s="254"/>
      <c r="Q719" s="254"/>
      <c r="R719" s="254"/>
      <c r="S719" s="254"/>
      <c r="T719" s="254"/>
      <c r="U719" s="254"/>
      <c r="V719" s="254"/>
      <c r="W719" s="254"/>
      <c r="X719" s="254"/>
      <c r="Y719" s="254"/>
      <c r="Z719" s="254"/>
    </row>
    <row r="720">
      <c r="A720" s="254"/>
      <c r="B720" s="254"/>
      <c r="C720" s="254"/>
      <c r="D720" s="254"/>
      <c r="E720" s="254"/>
      <c r="F720" s="254"/>
      <c r="G720" s="254"/>
      <c r="H720" s="254"/>
      <c r="I720" s="254"/>
      <c r="J720" s="254"/>
      <c r="K720" s="254"/>
      <c r="L720" s="254"/>
      <c r="M720" s="254"/>
      <c r="N720" s="254"/>
      <c r="O720" s="254"/>
      <c r="P720" s="254"/>
      <c r="Q720" s="254"/>
      <c r="R720" s="254"/>
      <c r="S720" s="254"/>
      <c r="T720" s="254"/>
      <c r="U720" s="254"/>
      <c r="V720" s="254"/>
      <c r="W720" s="254"/>
      <c r="X720" s="254"/>
      <c r="Y720" s="254"/>
      <c r="Z720" s="254"/>
    </row>
    <row r="721">
      <c r="A721" s="254"/>
      <c r="B721" s="254"/>
      <c r="C721" s="254"/>
      <c r="D721" s="254"/>
      <c r="E721" s="254"/>
      <c r="F721" s="254"/>
      <c r="G721" s="254"/>
      <c r="H721" s="254"/>
      <c r="I721" s="254"/>
      <c r="J721" s="254"/>
      <c r="K721" s="254"/>
      <c r="L721" s="254"/>
      <c r="M721" s="254"/>
      <c r="N721" s="254"/>
      <c r="O721" s="254"/>
      <c r="P721" s="254"/>
      <c r="Q721" s="254"/>
      <c r="R721" s="254"/>
      <c r="S721" s="254"/>
      <c r="T721" s="254"/>
      <c r="U721" s="254"/>
      <c r="V721" s="254"/>
      <c r="W721" s="254"/>
      <c r="X721" s="254"/>
      <c r="Y721" s="254"/>
      <c r="Z721" s="254"/>
    </row>
    <row r="722">
      <c r="A722" s="254"/>
      <c r="B722" s="254"/>
      <c r="C722" s="254"/>
      <c r="D722" s="254"/>
      <c r="E722" s="254"/>
      <c r="F722" s="254"/>
      <c r="G722" s="254"/>
      <c r="H722" s="254"/>
      <c r="I722" s="254"/>
      <c r="J722" s="254"/>
      <c r="K722" s="254"/>
      <c r="L722" s="254"/>
      <c r="M722" s="254"/>
      <c r="N722" s="254"/>
      <c r="O722" s="254"/>
      <c r="P722" s="254"/>
      <c r="Q722" s="254"/>
      <c r="R722" s="254"/>
      <c r="S722" s="254"/>
      <c r="T722" s="254"/>
      <c r="U722" s="254"/>
      <c r="V722" s="254"/>
      <c r="W722" s="254"/>
      <c r="X722" s="254"/>
      <c r="Y722" s="254"/>
      <c r="Z722" s="254"/>
    </row>
    <row r="723">
      <c r="A723" s="254"/>
      <c r="B723" s="254"/>
      <c r="C723" s="254"/>
      <c r="D723" s="254"/>
      <c r="E723" s="254"/>
      <c r="F723" s="254"/>
      <c r="G723" s="254"/>
      <c r="H723" s="254"/>
      <c r="I723" s="254"/>
      <c r="J723" s="254"/>
      <c r="K723" s="254"/>
      <c r="L723" s="254"/>
      <c r="M723" s="254"/>
      <c r="N723" s="254"/>
      <c r="O723" s="254"/>
      <c r="P723" s="254"/>
      <c r="Q723" s="254"/>
      <c r="R723" s="254"/>
      <c r="S723" s="254"/>
      <c r="T723" s="254"/>
      <c r="U723" s="254"/>
      <c r="V723" s="254"/>
      <c r="W723" s="254"/>
      <c r="X723" s="254"/>
      <c r="Y723" s="254"/>
      <c r="Z723" s="254"/>
    </row>
    <row r="724">
      <c r="A724" s="254"/>
      <c r="B724" s="254"/>
      <c r="C724" s="254"/>
      <c r="D724" s="254"/>
      <c r="E724" s="254"/>
      <c r="F724" s="254"/>
      <c r="G724" s="254"/>
      <c r="H724" s="254"/>
      <c r="I724" s="254"/>
      <c r="J724" s="254"/>
      <c r="K724" s="254"/>
      <c r="L724" s="254"/>
      <c r="M724" s="254"/>
      <c r="N724" s="254"/>
      <c r="O724" s="254"/>
      <c r="P724" s="254"/>
      <c r="Q724" s="254"/>
      <c r="R724" s="254"/>
      <c r="S724" s="254"/>
      <c r="T724" s="254"/>
      <c r="U724" s="254"/>
      <c r="V724" s="254"/>
      <c r="W724" s="254"/>
      <c r="X724" s="254"/>
      <c r="Y724" s="254"/>
      <c r="Z724" s="254"/>
    </row>
    <row r="725">
      <c r="A725" s="254"/>
      <c r="B725" s="254"/>
      <c r="C725" s="254"/>
      <c r="D725" s="254"/>
      <c r="E725" s="254"/>
      <c r="F725" s="254"/>
      <c r="G725" s="254"/>
      <c r="H725" s="254"/>
      <c r="I725" s="254"/>
      <c r="J725" s="254"/>
      <c r="K725" s="254"/>
      <c r="L725" s="254"/>
      <c r="M725" s="254"/>
      <c r="N725" s="254"/>
      <c r="O725" s="254"/>
      <c r="P725" s="254"/>
      <c r="Q725" s="254"/>
      <c r="R725" s="254"/>
      <c r="S725" s="254"/>
      <c r="T725" s="254"/>
      <c r="U725" s="254"/>
      <c r="V725" s="254"/>
      <c r="W725" s="254"/>
      <c r="X725" s="254"/>
      <c r="Y725" s="254"/>
      <c r="Z725" s="254"/>
    </row>
    <row r="726">
      <c r="A726" s="254"/>
      <c r="B726" s="254"/>
      <c r="C726" s="254"/>
      <c r="D726" s="254"/>
      <c r="E726" s="254"/>
      <c r="F726" s="254"/>
      <c r="G726" s="254"/>
      <c r="H726" s="254"/>
      <c r="I726" s="254"/>
      <c r="J726" s="254"/>
      <c r="K726" s="254"/>
      <c r="L726" s="254"/>
      <c r="M726" s="254"/>
      <c r="N726" s="254"/>
      <c r="O726" s="254"/>
      <c r="P726" s="254"/>
      <c r="Q726" s="254"/>
      <c r="R726" s="254"/>
      <c r="S726" s="254"/>
      <c r="T726" s="254"/>
      <c r="U726" s="254"/>
      <c r="V726" s="254"/>
      <c r="W726" s="254"/>
      <c r="X726" s="254"/>
      <c r="Y726" s="254"/>
      <c r="Z726" s="254"/>
    </row>
    <row r="727">
      <c r="A727" s="254"/>
      <c r="B727" s="254"/>
      <c r="C727" s="254"/>
      <c r="D727" s="254"/>
      <c r="E727" s="254"/>
      <c r="F727" s="254"/>
      <c r="G727" s="254"/>
      <c r="H727" s="254"/>
      <c r="I727" s="254"/>
      <c r="J727" s="254"/>
      <c r="K727" s="254"/>
      <c r="L727" s="254"/>
      <c r="M727" s="254"/>
      <c r="N727" s="254"/>
      <c r="O727" s="254"/>
      <c r="P727" s="254"/>
      <c r="Q727" s="254"/>
      <c r="R727" s="254"/>
      <c r="S727" s="254"/>
      <c r="T727" s="254"/>
      <c r="U727" s="254"/>
      <c r="V727" s="254"/>
      <c r="W727" s="254"/>
      <c r="X727" s="254"/>
      <c r="Y727" s="254"/>
      <c r="Z727" s="254"/>
    </row>
    <row r="728">
      <c r="A728" s="254"/>
      <c r="B728" s="254"/>
      <c r="C728" s="254"/>
      <c r="D728" s="254"/>
      <c r="E728" s="254"/>
      <c r="F728" s="254"/>
      <c r="G728" s="254"/>
      <c r="H728" s="254"/>
      <c r="I728" s="254"/>
      <c r="J728" s="254"/>
      <c r="K728" s="254"/>
      <c r="L728" s="254"/>
      <c r="M728" s="254"/>
      <c r="N728" s="254"/>
      <c r="O728" s="254"/>
      <c r="P728" s="254"/>
      <c r="Q728" s="254"/>
      <c r="R728" s="254"/>
      <c r="S728" s="254"/>
      <c r="T728" s="254"/>
      <c r="U728" s="254"/>
      <c r="V728" s="254"/>
      <c r="W728" s="254"/>
      <c r="X728" s="254"/>
      <c r="Y728" s="254"/>
      <c r="Z728" s="254"/>
    </row>
    <row r="729">
      <c r="A729" s="254"/>
      <c r="B729" s="254"/>
      <c r="C729" s="254"/>
      <c r="D729" s="254"/>
      <c r="E729" s="254"/>
      <c r="F729" s="254"/>
      <c r="G729" s="254"/>
      <c r="H729" s="254"/>
      <c r="I729" s="254"/>
      <c r="J729" s="254"/>
      <c r="K729" s="254"/>
      <c r="L729" s="254"/>
      <c r="M729" s="254"/>
      <c r="N729" s="254"/>
      <c r="O729" s="254"/>
      <c r="P729" s="254"/>
      <c r="Q729" s="254"/>
      <c r="R729" s="254"/>
      <c r="S729" s="254"/>
      <c r="T729" s="254"/>
      <c r="U729" s="254"/>
      <c r="V729" s="254"/>
      <c r="W729" s="254"/>
      <c r="X729" s="254"/>
      <c r="Y729" s="254"/>
      <c r="Z729" s="254"/>
    </row>
    <row r="730">
      <c r="A730" s="254"/>
      <c r="B730" s="254"/>
      <c r="C730" s="254"/>
      <c r="D730" s="254"/>
      <c r="E730" s="254"/>
      <c r="F730" s="254"/>
      <c r="G730" s="254"/>
      <c r="H730" s="254"/>
      <c r="I730" s="254"/>
      <c r="J730" s="254"/>
      <c r="K730" s="254"/>
      <c r="L730" s="254"/>
      <c r="M730" s="254"/>
      <c r="N730" s="254"/>
      <c r="O730" s="254"/>
      <c r="P730" s="254"/>
      <c r="Q730" s="254"/>
      <c r="R730" s="254"/>
      <c r="S730" s="254"/>
      <c r="T730" s="254"/>
      <c r="U730" s="254"/>
      <c r="V730" s="254"/>
      <c r="W730" s="254"/>
      <c r="X730" s="254"/>
      <c r="Y730" s="254"/>
      <c r="Z730" s="254"/>
    </row>
    <row r="731">
      <c r="A731" s="254"/>
      <c r="B731" s="254"/>
      <c r="C731" s="254"/>
      <c r="D731" s="254"/>
      <c r="E731" s="254"/>
      <c r="F731" s="254"/>
      <c r="G731" s="254"/>
      <c r="H731" s="254"/>
      <c r="I731" s="254"/>
      <c r="J731" s="254"/>
      <c r="K731" s="254"/>
      <c r="L731" s="254"/>
      <c r="M731" s="254"/>
      <c r="N731" s="254"/>
      <c r="O731" s="254"/>
      <c r="P731" s="254"/>
      <c r="Q731" s="254"/>
      <c r="R731" s="254"/>
      <c r="S731" s="254"/>
      <c r="T731" s="254"/>
      <c r="U731" s="254"/>
      <c r="V731" s="254"/>
      <c r="W731" s="254"/>
      <c r="X731" s="254"/>
      <c r="Y731" s="254"/>
      <c r="Z731" s="254"/>
    </row>
    <row r="732">
      <c r="A732" s="254"/>
      <c r="B732" s="254"/>
      <c r="C732" s="254"/>
      <c r="D732" s="254"/>
      <c r="E732" s="254"/>
      <c r="F732" s="254"/>
      <c r="G732" s="254"/>
      <c r="H732" s="254"/>
      <c r="I732" s="254"/>
      <c r="J732" s="254"/>
      <c r="K732" s="254"/>
      <c r="L732" s="254"/>
      <c r="M732" s="254"/>
      <c r="N732" s="254"/>
      <c r="O732" s="254"/>
      <c r="P732" s="254"/>
      <c r="Q732" s="254"/>
      <c r="R732" s="254"/>
      <c r="S732" s="254"/>
      <c r="T732" s="254"/>
      <c r="U732" s="254"/>
      <c r="V732" s="254"/>
      <c r="W732" s="254"/>
      <c r="X732" s="254"/>
      <c r="Y732" s="254"/>
      <c r="Z732" s="254"/>
    </row>
    <row r="733">
      <c r="A733" s="254"/>
      <c r="B733" s="254"/>
      <c r="C733" s="254"/>
      <c r="D733" s="254"/>
      <c r="E733" s="254"/>
      <c r="F733" s="254"/>
      <c r="G733" s="254"/>
      <c r="H733" s="254"/>
      <c r="I733" s="254"/>
      <c r="J733" s="254"/>
      <c r="K733" s="254"/>
      <c r="L733" s="254"/>
      <c r="M733" s="254"/>
      <c r="N733" s="254"/>
      <c r="O733" s="254"/>
      <c r="P733" s="254"/>
      <c r="Q733" s="254"/>
      <c r="R733" s="254"/>
      <c r="S733" s="254"/>
      <c r="T733" s="254"/>
      <c r="U733" s="254"/>
      <c r="V733" s="254"/>
      <c r="W733" s="254"/>
      <c r="X733" s="254"/>
      <c r="Y733" s="254"/>
      <c r="Z733" s="254"/>
    </row>
    <row r="734">
      <c r="A734" s="254"/>
      <c r="B734" s="254"/>
      <c r="C734" s="254"/>
      <c r="D734" s="254"/>
      <c r="E734" s="254"/>
      <c r="F734" s="254"/>
      <c r="G734" s="254"/>
      <c r="H734" s="254"/>
      <c r="I734" s="254"/>
      <c r="J734" s="254"/>
      <c r="K734" s="254"/>
      <c r="L734" s="254"/>
      <c r="M734" s="254"/>
      <c r="N734" s="254"/>
      <c r="O734" s="254"/>
      <c r="P734" s="254"/>
      <c r="Q734" s="254"/>
      <c r="R734" s="254"/>
      <c r="S734" s="254"/>
      <c r="T734" s="254"/>
      <c r="U734" s="254"/>
      <c r="V734" s="254"/>
      <c r="W734" s="254"/>
      <c r="X734" s="254"/>
      <c r="Y734" s="254"/>
      <c r="Z734" s="254"/>
    </row>
    <row r="735">
      <c r="A735" s="254"/>
      <c r="B735" s="254"/>
      <c r="C735" s="254"/>
      <c r="D735" s="254"/>
      <c r="E735" s="254"/>
      <c r="F735" s="254"/>
      <c r="G735" s="254"/>
      <c r="H735" s="254"/>
      <c r="I735" s="254"/>
      <c r="J735" s="254"/>
      <c r="K735" s="254"/>
      <c r="L735" s="254"/>
      <c r="M735" s="254"/>
      <c r="N735" s="254"/>
      <c r="O735" s="254"/>
      <c r="P735" s="254"/>
      <c r="Q735" s="254"/>
      <c r="R735" s="254"/>
      <c r="S735" s="254"/>
      <c r="T735" s="254"/>
      <c r="U735" s="254"/>
      <c r="V735" s="254"/>
      <c r="W735" s="254"/>
      <c r="X735" s="254"/>
      <c r="Y735" s="254"/>
      <c r="Z735" s="254"/>
    </row>
    <row r="736">
      <c r="A736" s="254"/>
      <c r="B736" s="254"/>
      <c r="C736" s="254"/>
      <c r="D736" s="254"/>
      <c r="E736" s="254"/>
      <c r="F736" s="254"/>
      <c r="G736" s="254"/>
      <c r="H736" s="254"/>
      <c r="I736" s="254"/>
      <c r="J736" s="254"/>
      <c r="K736" s="254"/>
      <c r="L736" s="254"/>
      <c r="M736" s="254"/>
      <c r="N736" s="254"/>
      <c r="O736" s="254"/>
      <c r="P736" s="254"/>
      <c r="Q736" s="254"/>
      <c r="R736" s="254"/>
      <c r="S736" s="254"/>
      <c r="T736" s="254"/>
      <c r="U736" s="254"/>
      <c r="V736" s="254"/>
      <c r="W736" s="254"/>
      <c r="X736" s="254"/>
      <c r="Y736" s="254"/>
      <c r="Z736" s="254"/>
    </row>
    <row r="737">
      <c r="A737" s="254"/>
      <c r="B737" s="254"/>
      <c r="C737" s="254"/>
      <c r="D737" s="254"/>
      <c r="E737" s="254"/>
      <c r="F737" s="254"/>
      <c r="G737" s="254"/>
      <c r="H737" s="254"/>
      <c r="I737" s="254"/>
      <c r="J737" s="254"/>
      <c r="K737" s="254"/>
      <c r="L737" s="254"/>
      <c r="M737" s="254"/>
      <c r="N737" s="254"/>
      <c r="O737" s="254"/>
      <c r="P737" s="254"/>
      <c r="Q737" s="254"/>
      <c r="R737" s="254"/>
      <c r="S737" s="254"/>
      <c r="T737" s="254"/>
      <c r="U737" s="254"/>
      <c r="V737" s="254"/>
      <c r="W737" s="254"/>
      <c r="X737" s="254"/>
      <c r="Y737" s="254"/>
      <c r="Z737" s="254"/>
    </row>
    <row r="738">
      <c r="A738" s="254"/>
      <c r="B738" s="254"/>
      <c r="C738" s="254"/>
      <c r="D738" s="254"/>
      <c r="E738" s="254"/>
      <c r="F738" s="254"/>
      <c r="G738" s="254"/>
      <c r="H738" s="254"/>
      <c r="I738" s="254"/>
      <c r="J738" s="254"/>
      <c r="K738" s="254"/>
      <c r="L738" s="254"/>
      <c r="M738" s="254"/>
      <c r="N738" s="254"/>
      <c r="O738" s="254"/>
      <c r="P738" s="254"/>
      <c r="Q738" s="254"/>
      <c r="R738" s="254"/>
      <c r="S738" s="254"/>
      <c r="T738" s="254"/>
      <c r="U738" s="254"/>
      <c r="V738" s="254"/>
      <c r="W738" s="254"/>
      <c r="X738" s="254"/>
      <c r="Y738" s="254"/>
      <c r="Z738" s="254"/>
    </row>
    <row r="739">
      <c r="A739" s="254"/>
      <c r="B739" s="254"/>
      <c r="C739" s="254"/>
      <c r="D739" s="254"/>
      <c r="E739" s="254"/>
      <c r="F739" s="254"/>
      <c r="G739" s="254"/>
      <c r="H739" s="254"/>
      <c r="I739" s="254"/>
      <c r="J739" s="254"/>
      <c r="K739" s="254"/>
      <c r="L739" s="254"/>
      <c r="M739" s="254"/>
      <c r="N739" s="254"/>
      <c r="O739" s="254"/>
      <c r="P739" s="254"/>
      <c r="Q739" s="254"/>
      <c r="R739" s="254"/>
      <c r="S739" s="254"/>
      <c r="T739" s="254"/>
      <c r="U739" s="254"/>
      <c r="V739" s="254"/>
      <c r="W739" s="254"/>
      <c r="X739" s="254"/>
      <c r="Y739" s="254"/>
      <c r="Z739" s="254"/>
    </row>
    <row r="740">
      <c r="A740" s="254"/>
      <c r="B740" s="254"/>
      <c r="C740" s="254"/>
      <c r="D740" s="254"/>
      <c r="E740" s="254"/>
      <c r="F740" s="254"/>
      <c r="G740" s="254"/>
      <c r="H740" s="254"/>
      <c r="I740" s="254"/>
      <c r="J740" s="254"/>
      <c r="K740" s="254"/>
      <c r="L740" s="254"/>
      <c r="M740" s="254"/>
      <c r="N740" s="254"/>
      <c r="O740" s="254"/>
      <c r="P740" s="254"/>
      <c r="Q740" s="254"/>
      <c r="R740" s="254"/>
      <c r="S740" s="254"/>
      <c r="T740" s="254"/>
      <c r="U740" s="254"/>
      <c r="V740" s="254"/>
      <c r="W740" s="254"/>
      <c r="X740" s="254"/>
      <c r="Y740" s="254"/>
      <c r="Z740" s="254"/>
    </row>
    <row r="741">
      <c r="A741" s="254"/>
      <c r="B741" s="254"/>
      <c r="C741" s="254"/>
      <c r="D741" s="254"/>
      <c r="E741" s="254"/>
      <c r="F741" s="254"/>
      <c r="G741" s="254"/>
      <c r="H741" s="254"/>
      <c r="I741" s="254"/>
      <c r="J741" s="254"/>
      <c r="K741" s="254"/>
      <c r="L741" s="254"/>
      <c r="M741" s="254"/>
      <c r="N741" s="254"/>
      <c r="O741" s="254"/>
      <c r="P741" s="254"/>
      <c r="Q741" s="254"/>
      <c r="R741" s="254"/>
      <c r="S741" s="254"/>
      <c r="T741" s="254"/>
      <c r="U741" s="254"/>
      <c r="V741" s="254"/>
      <c r="W741" s="254"/>
      <c r="X741" s="254"/>
      <c r="Y741" s="254"/>
      <c r="Z741" s="254"/>
    </row>
    <row r="742">
      <c r="A742" s="254"/>
      <c r="B742" s="254"/>
      <c r="C742" s="254"/>
      <c r="D742" s="254"/>
      <c r="E742" s="254"/>
      <c r="F742" s="254"/>
      <c r="G742" s="254"/>
      <c r="H742" s="254"/>
      <c r="I742" s="254"/>
      <c r="J742" s="254"/>
      <c r="K742" s="254"/>
      <c r="L742" s="254"/>
      <c r="M742" s="254"/>
      <c r="N742" s="254"/>
      <c r="O742" s="254"/>
      <c r="P742" s="254"/>
      <c r="Q742" s="254"/>
      <c r="R742" s="254"/>
      <c r="S742" s="254"/>
      <c r="T742" s="254"/>
      <c r="U742" s="254"/>
      <c r="V742" s="254"/>
      <c r="W742" s="254"/>
      <c r="X742" s="254"/>
      <c r="Y742" s="254"/>
      <c r="Z742" s="254"/>
    </row>
    <row r="743">
      <c r="A743" s="254"/>
      <c r="B743" s="254"/>
      <c r="C743" s="254"/>
      <c r="D743" s="254"/>
      <c r="E743" s="254"/>
      <c r="F743" s="254"/>
      <c r="G743" s="254"/>
      <c r="H743" s="254"/>
      <c r="I743" s="254"/>
      <c r="J743" s="254"/>
      <c r="K743" s="254"/>
      <c r="L743" s="254"/>
      <c r="M743" s="254"/>
      <c r="N743" s="254"/>
      <c r="O743" s="254"/>
      <c r="P743" s="254"/>
      <c r="Q743" s="254"/>
      <c r="R743" s="254"/>
      <c r="S743" s="254"/>
      <c r="T743" s="254"/>
      <c r="U743" s="254"/>
      <c r="V743" s="254"/>
      <c r="W743" s="254"/>
      <c r="X743" s="254"/>
      <c r="Y743" s="254"/>
      <c r="Z743" s="254"/>
    </row>
    <row r="744">
      <c r="A744" s="254"/>
      <c r="B744" s="254"/>
      <c r="C744" s="254"/>
      <c r="D744" s="254"/>
      <c r="E744" s="254"/>
      <c r="F744" s="254"/>
      <c r="G744" s="254"/>
      <c r="H744" s="254"/>
      <c r="I744" s="254"/>
      <c r="J744" s="254"/>
      <c r="K744" s="254"/>
      <c r="L744" s="254"/>
      <c r="M744" s="254"/>
      <c r="N744" s="254"/>
      <c r="O744" s="254"/>
      <c r="P744" s="254"/>
      <c r="Q744" s="254"/>
      <c r="R744" s="254"/>
      <c r="S744" s="254"/>
      <c r="T744" s="254"/>
      <c r="U744" s="254"/>
      <c r="V744" s="254"/>
      <c r="W744" s="254"/>
      <c r="X744" s="254"/>
      <c r="Y744" s="254"/>
      <c r="Z744" s="254"/>
    </row>
    <row r="745">
      <c r="A745" s="254"/>
      <c r="B745" s="254"/>
      <c r="C745" s="254"/>
      <c r="D745" s="254"/>
      <c r="E745" s="254"/>
      <c r="F745" s="254"/>
      <c r="G745" s="254"/>
      <c r="H745" s="254"/>
      <c r="I745" s="254"/>
      <c r="J745" s="254"/>
      <c r="K745" s="254"/>
      <c r="L745" s="254"/>
      <c r="M745" s="254"/>
      <c r="N745" s="254"/>
      <c r="O745" s="254"/>
      <c r="P745" s="254"/>
      <c r="Q745" s="254"/>
      <c r="R745" s="254"/>
      <c r="S745" s="254"/>
      <c r="T745" s="254"/>
      <c r="U745" s="254"/>
      <c r="V745" s="254"/>
      <c r="W745" s="254"/>
      <c r="X745" s="254"/>
      <c r="Y745" s="254"/>
      <c r="Z745" s="254"/>
    </row>
    <row r="746">
      <c r="A746" s="254"/>
      <c r="B746" s="254"/>
      <c r="C746" s="254"/>
      <c r="D746" s="254"/>
      <c r="E746" s="254"/>
      <c r="F746" s="254"/>
      <c r="G746" s="254"/>
      <c r="H746" s="254"/>
      <c r="I746" s="254"/>
      <c r="J746" s="254"/>
      <c r="K746" s="254"/>
      <c r="L746" s="254"/>
      <c r="M746" s="254"/>
      <c r="N746" s="254"/>
      <c r="O746" s="254"/>
      <c r="P746" s="254"/>
      <c r="Q746" s="254"/>
      <c r="R746" s="254"/>
      <c r="S746" s="254"/>
      <c r="T746" s="254"/>
      <c r="U746" s="254"/>
      <c r="V746" s="254"/>
      <c r="W746" s="254"/>
      <c r="X746" s="254"/>
      <c r="Y746" s="254"/>
      <c r="Z746" s="254"/>
    </row>
    <row r="747">
      <c r="A747" s="254"/>
      <c r="B747" s="254"/>
      <c r="C747" s="254"/>
      <c r="D747" s="254"/>
      <c r="E747" s="254"/>
      <c r="F747" s="254"/>
      <c r="G747" s="254"/>
      <c r="H747" s="254"/>
      <c r="I747" s="254"/>
      <c r="J747" s="254"/>
      <c r="K747" s="254"/>
      <c r="L747" s="254"/>
      <c r="M747" s="254"/>
      <c r="N747" s="254"/>
      <c r="O747" s="254"/>
      <c r="P747" s="254"/>
      <c r="Q747" s="254"/>
      <c r="R747" s="254"/>
      <c r="S747" s="254"/>
      <c r="T747" s="254"/>
      <c r="U747" s="254"/>
      <c r="V747" s="254"/>
      <c r="W747" s="254"/>
      <c r="X747" s="254"/>
      <c r="Y747" s="254"/>
      <c r="Z747" s="254"/>
    </row>
    <row r="748">
      <c r="A748" s="254"/>
      <c r="B748" s="254"/>
      <c r="C748" s="254"/>
      <c r="D748" s="254"/>
      <c r="E748" s="254"/>
      <c r="F748" s="254"/>
      <c r="G748" s="254"/>
      <c r="H748" s="254"/>
      <c r="I748" s="254"/>
      <c r="J748" s="254"/>
      <c r="K748" s="254"/>
      <c r="L748" s="254"/>
      <c r="M748" s="254"/>
      <c r="N748" s="254"/>
      <c r="O748" s="254"/>
      <c r="P748" s="254"/>
      <c r="Q748" s="254"/>
      <c r="R748" s="254"/>
      <c r="S748" s="254"/>
      <c r="T748" s="254"/>
      <c r="U748" s="254"/>
      <c r="V748" s="254"/>
      <c r="W748" s="254"/>
      <c r="X748" s="254"/>
      <c r="Y748" s="254"/>
      <c r="Z748" s="254"/>
    </row>
    <row r="749">
      <c r="A749" s="254"/>
      <c r="B749" s="254"/>
      <c r="C749" s="254"/>
      <c r="D749" s="254"/>
      <c r="E749" s="254"/>
      <c r="F749" s="254"/>
      <c r="G749" s="254"/>
      <c r="H749" s="254"/>
      <c r="I749" s="254"/>
      <c r="J749" s="254"/>
      <c r="K749" s="254"/>
      <c r="L749" s="254"/>
      <c r="M749" s="254"/>
      <c r="N749" s="254"/>
      <c r="O749" s="254"/>
      <c r="P749" s="254"/>
      <c r="Q749" s="254"/>
      <c r="R749" s="254"/>
      <c r="S749" s="254"/>
      <c r="T749" s="254"/>
      <c r="U749" s="254"/>
      <c r="V749" s="254"/>
      <c r="W749" s="254"/>
      <c r="X749" s="254"/>
      <c r="Y749" s="254"/>
      <c r="Z749" s="254"/>
    </row>
    <row r="750">
      <c r="A750" s="254"/>
      <c r="B750" s="254"/>
      <c r="C750" s="254"/>
      <c r="D750" s="254"/>
      <c r="E750" s="254"/>
      <c r="F750" s="254"/>
      <c r="G750" s="254"/>
      <c r="H750" s="254"/>
      <c r="I750" s="254"/>
      <c r="J750" s="254"/>
      <c r="K750" s="254"/>
      <c r="L750" s="254"/>
      <c r="M750" s="254"/>
      <c r="N750" s="254"/>
      <c r="O750" s="254"/>
      <c r="P750" s="254"/>
      <c r="Q750" s="254"/>
      <c r="R750" s="254"/>
      <c r="S750" s="254"/>
      <c r="T750" s="254"/>
      <c r="U750" s="254"/>
      <c r="V750" s="254"/>
      <c r="W750" s="254"/>
      <c r="X750" s="254"/>
      <c r="Y750" s="254"/>
      <c r="Z750" s="254"/>
    </row>
    <row r="751">
      <c r="A751" s="254"/>
      <c r="B751" s="254"/>
      <c r="C751" s="254"/>
      <c r="D751" s="254"/>
      <c r="E751" s="254"/>
      <c r="F751" s="254"/>
      <c r="G751" s="254"/>
      <c r="H751" s="254"/>
      <c r="I751" s="254"/>
      <c r="J751" s="254"/>
      <c r="K751" s="254"/>
      <c r="L751" s="254"/>
      <c r="M751" s="254"/>
      <c r="N751" s="254"/>
      <c r="O751" s="254"/>
      <c r="P751" s="254"/>
      <c r="Q751" s="254"/>
      <c r="R751" s="254"/>
      <c r="S751" s="254"/>
      <c r="T751" s="254"/>
      <c r="U751" s="254"/>
      <c r="V751" s="254"/>
      <c r="W751" s="254"/>
      <c r="X751" s="254"/>
      <c r="Y751" s="254"/>
      <c r="Z751" s="254"/>
    </row>
    <row r="752">
      <c r="A752" s="254"/>
      <c r="B752" s="254"/>
      <c r="C752" s="254"/>
      <c r="D752" s="254"/>
      <c r="E752" s="254"/>
      <c r="F752" s="254"/>
      <c r="G752" s="254"/>
      <c r="H752" s="254"/>
      <c r="I752" s="254"/>
      <c r="J752" s="254"/>
      <c r="K752" s="254"/>
      <c r="L752" s="254"/>
      <c r="M752" s="254"/>
      <c r="N752" s="254"/>
      <c r="O752" s="254"/>
      <c r="P752" s="254"/>
      <c r="Q752" s="254"/>
      <c r="R752" s="254"/>
      <c r="S752" s="254"/>
      <c r="T752" s="254"/>
      <c r="U752" s="254"/>
      <c r="V752" s="254"/>
      <c r="W752" s="254"/>
      <c r="X752" s="254"/>
      <c r="Y752" s="254"/>
      <c r="Z752" s="254"/>
    </row>
    <row r="753">
      <c r="A753" s="254"/>
      <c r="B753" s="254"/>
      <c r="C753" s="254"/>
      <c r="D753" s="254"/>
      <c r="E753" s="254"/>
      <c r="F753" s="254"/>
      <c r="G753" s="254"/>
      <c r="H753" s="254"/>
      <c r="I753" s="254"/>
      <c r="J753" s="254"/>
      <c r="K753" s="254"/>
      <c r="L753" s="254"/>
      <c r="M753" s="254"/>
      <c r="N753" s="254"/>
      <c r="O753" s="254"/>
      <c r="P753" s="254"/>
      <c r="Q753" s="254"/>
      <c r="R753" s="254"/>
      <c r="S753" s="254"/>
      <c r="T753" s="254"/>
      <c r="U753" s="254"/>
      <c r="V753" s="254"/>
      <c r="W753" s="254"/>
      <c r="X753" s="254"/>
      <c r="Y753" s="254"/>
      <c r="Z753" s="254"/>
    </row>
    <row r="754">
      <c r="A754" s="254"/>
      <c r="B754" s="254"/>
      <c r="C754" s="254"/>
      <c r="D754" s="254"/>
      <c r="E754" s="254"/>
      <c r="F754" s="254"/>
      <c r="G754" s="254"/>
      <c r="H754" s="254"/>
      <c r="I754" s="254"/>
      <c r="J754" s="254"/>
      <c r="K754" s="254"/>
      <c r="L754" s="254"/>
      <c r="M754" s="254"/>
      <c r="N754" s="254"/>
      <c r="O754" s="254"/>
      <c r="P754" s="254"/>
      <c r="Q754" s="254"/>
      <c r="R754" s="254"/>
      <c r="S754" s="254"/>
      <c r="T754" s="254"/>
      <c r="U754" s="254"/>
      <c r="V754" s="254"/>
      <c r="W754" s="254"/>
      <c r="X754" s="254"/>
      <c r="Y754" s="254"/>
      <c r="Z754" s="254"/>
    </row>
    <row r="755">
      <c r="A755" s="254"/>
      <c r="B755" s="254"/>
      <c r="C755" s="254"/>
      <c r="D755" s="254"/>
      <c r="E755" s="254"/>
      <c r="F755" s="254"/>
      <c r="G755" s="254"/>
      <c r="H755" s="254"/>
      <c r="I755" s="254"/>
      <c r="J755" s="254"/>
      <c r="K755" s="254"/>
      <c r="L755" s="254"/>
      <c r="M755" s="254"/>
      <c r="N755" s="254"/>
      <c r="O755" s="254"/>
      <c r="P755" s="254"/>
      <c r="Q755" s="254"/>
      <c r="R755" s="254"/>
      <c r="S755" s="254"/>
      <c r="T755" s="254"/>
      <c r="U755" s="254"/>
      <c r="V755" s="254"/>
      <c r="W755" s="254"/>
      <c r="X755" s="254"/>
      <c r="Y755" s="254"/>
      <c r="Z755" s="254"/>
    </row>
    <row r="756">
      <c r="A756" s="254"/>
      <c r="B756" s="254"/>
      <c r="C756" s="254"/>
      <c r="D756" s="254"/>
      <c r="E756" s="254"/>
      <c r="F756" s="254"/>
      <c r="G756" s="254"/>
      <c r="H756" s="254"/>
      <c r="I756" s="254"/>
      <c r="J756" s="254"/>
      <c r="K756" s="254"/>
      <c r="L756" s="254"/>
      <c r="M756" s="254"/>
      <c r="N756" s="254"/>
      <c r="O756" s="254"/>
      <c r="P756" s="254"/>
      <c r="Q756" s="254"/>
      <c r="R756" s="254"/>
      <c r="S756" s="254"/>
      <c r="T756" s="254"/>
      <c r="U756" s="254"/>
      <c r="V756" s="254"/>
      <c r="W756" s="254"/>
      <c r="X756" s="254"/>
      <c r="Y756" s="254"/>
      <c r="Z756" s="254"/>
    </row>
    <row r="757">
      <c r="A757" s="254"/>
      <c r="B757" s="254"/>
      <c r="C757" s="254"/>
      <c r="D757" s="254"/>
      <c r="E757" s="254"/>
      <c r="F757" s="254"/>
      <c r="G757" s="254"/>
      <c r="H757" s="254"/>
      <c r="I757" s="254"/>
      <c r="J757" s="254"/>
      <c r="K757" s="254"/>
      <c r="L757" s="254"/>
      <c r="M757" s="254"/>
      <c r="N757" s="254"/>
      <c r="O757" s="254"/>
      <c r="P757" s="254"/>
      <c r="Q757" s="254"/>
      <c r="R757" s="254"/>
      <c r="S757" s="254"/>
      <c r="T757" s="254"/>
      <c r="U757" s="254"/>
      <c r="V757" s="254"/>
      <c r="W757" s="254"/>
      <c r="X757" s="254"/>
      <c r="Y757" s="254"/>
      <c r="Z757" s="254"/>
    </row>
    <row r="758">
      <c r="A758" s="254"/>
      <c r="B758" s="254"/>
      <c r="C758" s="254"/>
      <c r="D758" s="254"/>
      <c r="E758" s="254"/>
      <c r="F758" s="254"/>
      <c r="G758" s="254"/>
      <c r="H758" s="254"/>
      <c r="I758" s="254"/>
      <c r="J758" s="254"/>
      <c r="K758" s="254"/>
      <c r="L758" s="254"/>
      <c r="M758" s="254"/>
      <c r="N758" s="254"/>
      <c r="O758" s="254"/>
      <c r="P758" s="254"/>
      <c r="Q758" s="254"/>
      <c r="R758" s="254"/>
      <c r="S758" s="254"/>
      <c r="T758" s="254"/>
      <c r="U758" s="254"/>
      <c r="V758" s="254"/>
      <c r="W758" s="254"/>
      <c r="X758" s="254"/>
      <c r="Y758" s="254"/>
      <c r="Z758" s="254"/>
    </row>
    <row r="759">
      <c r="A759" s="254"/>
      <c r="B759" s="254"/>
      <c r="C759" s="254"/>
      <c r="D759" s="254"/>
      <c r="E759" s="254"/>
      <c r="F759" s="254"/>
      <c r="G759" s="254"/>
      <c r="H759" s="254"/>
      <c r="I759" s="254"/>
      <c r="J759" s="254"/>
      <c r="K759" s="254"/>
      <c r="L759" s="254"/>
      <c r="M759" s="254"/>
      <c r="N759" s="254"/>
      <c r="O759" s="254"/>
      <c r="P759" s="254"/>
      <c r="Q759" s="254"/>
      <c r="R759" s="254"/>
      <c r="S759" s="254"/>
      <c r="T759" s="254"/>
      <c r="U759" s="254"/>
      <c r="V759" s="254"/>
      <c r="W759" s="254"/>
      <c r="X759" s="254"/>
      <c r="Y759" s="254"/>
      <c r="Z759" s="254"/>
    </row>
    <row r="760">
      <c r="A760" s="254"/>
      <c r="B760" s="254"/>
      <c r="C760" s="254"/>
      <c r="D760" s="254"/>
      <c r="E760" s="254"/>
      <c r="F760" s="254"/>
      <c r="G760" s="254"/>
      <c r="H760" s="254"/>
      <c r="I760" s="254"/>
      <c r="J760" s="254"/>
      <c r="K760" s="254"/>
      <c r="L760" s="254"/>
      <c r="M760" s="254"/>
      <c r="N760" s="254"/>
      <c r="O760" s="254"/>
      <c r="P760" s="254"/>
      <c r="Q760" s="254"/>
      <c r="R760" s="254"/>
      <c r="S760" s="254"/>
      <c r="T760" s="254"/>
      <c r="U760" s="254"/>
      <c r="V760" s="254"/>
      <c r="W760" s="254"/>
      <c r="X760" s="254"/>
      <c r="Y760" s="254"/>
      <c r="Z760" s="254"/>
    </row>
    <row r="761">
      <c r="A761" s="254"/>
      <c r="B761" s="254"/>
      <c r="C761" s="254"/>
      <c r="D761" s="254"/>
      <c r="E761" s="254"/>
      <c r="F761" s="254"/>
      <c r="G761" s="254"/>
      <c r="H761" s="254"/>
      <c r="I761" s="254"/>
      <c r="J761" s="254"/>
      <c r="K761" s="254"/>
      <c r="L761" s="254"/>
      <c r="M761" s="254"/>
      <c r="N761" s="254"/>
      <c r="O761" s="254"/>
      <c r="P761" s="254"/>
      <c r="Q761" s="254"/>
      <c r="R761" s="254"/>
      <c r="S761" s="254"/>
      <c r="T761" s="254"/>
      <c r="U761" s="254"/>
      <c r="V761" s="254"/>
      <c r="W761" s="254"/>
      <c r="X761" s="254"/>
      <c r="Y761" s="254"/>
      <c r="Z761" s="254"/>
    </row>
    <row r="762">
      <c r="A762" s="254"/>
      <c r="B762" s="254"/>
      <c r="C762" s="254"/>
      <c r="D762" s="254"/>
      <c r="E762" s="254"/>
      <c r="F762" s="254"/>
      <c r="G762" s="254"/>
      <c r="H762" s="254"/>
      <c r="I762" s="254"/>
      <c r="J762" s="254"/>
      <c r="K762" s="254"/>
      <c r="L762" s="254"/>
      <c r="M762" s="254"/>
      <c r="N762" s="254"/>
      <c r="O762" s="254"/>
      <c r="P762" s="254"/>
      <c r="Q762" s="254"/>
      <c r="R762" s="254"/>
      <c r="S762" s="254"/>
      <c r="T762" s="254"/>
      <c r="U762" s="254"/>
      <c r="V762" s="254"/>
      <c r="W762" s="254"/>
      <c r="X762" s="254"/>
      <c r="Y762" s="254"/>
      <c r="Z762" s="254"/>
    </row>
    <row r="763">
      <c r="A763" s="254"/>
      <c r="B763" s="254"/>
      <c r="C763" s="254"/>
      <c r="D763" s="254"/>
      <c r="E763" s="254"/>
      <c r="F763" s="254"/>
      <c r="G763" s="254"/>
      <c r="H763" s="254"/>
      <c r="I763" s="254"/>
      <c r="J763" s="254"/>
      <c r="K763" s="254"/>
      <c r="L763" s="254"/>
      <c r="M763" s="254"/>
      <c r="N763" s="254"/>
      <c r="O763" s="254"/>
      <c r="P763" s="254"/>
      <c r="Q763" s="254"/>
      <c r="R763" s="254"/>
      <c r="S763" s="254"/>
      <c r="T763" s="254"/>
      <c r="U763" s="254"/>
      <c r="V763" s="254"/>
      <c r="W763" s="254"/>
      <c r="X763" s="254"/>
      <c r="Y763" s="254"/>
      <c r="Z763" s="254"/>
    </row>
    <row r="764">
      <c r="A764" s="254"/>
      <c r="B764" s="254"/>
      <c r="C764" s="254"/>
      <c r="D764" s="254"/>
      <c r="E764" s="254"/>
      <c r="F764" s="254"/>
      <c r="G764" s="254"/>
      <c r="H764" s="254"/>
      <c r="I764" s="254"/>
      <c r="J764" s="254"/>
      <c r="K764" s="254"/>
      <c r="L764" s="254"/>
      <c r="M764" s="254"/>
      <c r="N764" s="254"/>
      <c r="O764" s="254"/>
      <c r="P764" s="254"/>
      <c r="Q764" s="254"/>
      <c r="R764" s="254"/>
      <c r="S764" s="254"/>
      <c r="T764" s="254"/>
      <c r="U764" s="254"/>
      <c r="V764" s="254"/>
      <c r="W764" s="254"/>
      <c r="X764" s="254"/>
      <c r="Y764" s="254"/>
      <c r="Z764" s="254"/>
    </row>
    <row r="765">
      <c r="A765" s="254"/>
      <c r="B765" s="254"/>
      <c r="C765" s="254"/>
      <c r="D765" s="254"/>
      <c r="E765" s="254"/>
      <c r="F765" s="254"/>
      <c r="G765" s="254"/>
      <c r="H765" s="254"/>
      <c r="I765" s="254"/>
      <c r="J765" s="254"/>
      <c r="K765" s="254"/>
      <c r="L765" s="254"/>
      <c r="M765" s="254"/>
      <c r="N765" s="254"/>
      <c r="O765" s="254"/>
      <c r="P765" s="254"/>
      <c r="Q765" s="254"/>
      <c r="R765" s="254"/>
      <c r="S765" s="254"/>
      <c r="T765" s="254"/>
      <c r="U765" s="254"/>
      <c r="V765" s="254"/>
      <c r="W765" s="254"/>
      <c r="X765" s="254"/>
      <c r="Y765" s="254"/>
      <c r="Z765" s="254"/>
    </row>
    <row r="766">
      <c r="A766" s="254"/>
      <c r="B766" s="254"/>
      <c r="C766" s="254"/>
      <c r="D766" s="254"/>
      <c r="E766" s="254"/>
      <c r="F766" s="254"/>
      <c r="G766" s="254"/>
      <c r="H766" s="254"/>
      <c r="I766" s="254"/>
      <c r="J766" s="254"/>
      <c r="K766" s="254"/>
      <c r="L766" s="254"/>
      <c r="M766" s="254"/>
      <c r="N766" s="254"/>
      <c r="O766" s="254"/>
      <c r="P766" s="254"/>
      <c r="Q766" s="254"/>
      <c r="R766" s="254"/>
      <c r="S766" s="254"/>
      <c r="T766" s="254"/>
      <c r="U766" s="254"/>
      <c r="V766" s="254"/>
      <c r="W766" s="254"/>
      <c r="X766" s="254"/>
      <c r="Y766" s="254"/>
      <c r="Z766" s="254"/>
    </row>
    <row r="767">
      <c r="A767" s="254"/>
      <c r="B767" s="254"/>
      <c r="C767" s="254"/>
      <c r="D767" s="254"/>
      <c r="E767" s="254"/>
      <c r="F767" s="254"/>
      <c r="G767" s="254"/>
      <c r="H767" s="254"/>
      <c r="I767" s="254"/>
      <c r="J767" s="254"/>
      <c r="K767" s="254"/>
      <c r="L767" s="254"/>
      <c r="M767" s="254"/>
      <c r="N767" s="254"/>
      <c r="O767" s="254"/>
      <c r="P767" s="254"/>
      <c r="Q767" s="254"/>
      <c r="R767" s="254"/>
      <c r="S767" s="254"/>
      <c r="T767" s="254"/>
      <c r="U767" s="254"/>
      <c r="V767" s="254"/>
      <c r="W767" s="254"/>
      <c r="X767" s="254"/>
      <c r="Y767" s="254"/>
      <c r="Z767" s="254"/>
    </row>
    <row r="768">
      <c r="A768" s="254"/>
      <c r="B768" s="254"/>
      <c r="C768" s="254"/>
      <c r="D768" s="254"/>
      <c r="E768" s="254"/>
      <c r="F768" s="254"/>
      <c r="G768" s="254"/>
      <c r="H768" s="254"/>
      <c r="I768" s="254"/>
      <c r="J768" s="254"/>
      <c r="K768" s="254"/>
      <c r="L768" s="254"/>
      <c r="M768" s="254"/>
      <c r="N768" s="254"/>
      <c r="O768" s="254"/>
      <c r="P768" s="254"/>
      <c r="Q768" s="254"/>
      <c r="R768" s="254"/>
      <c r="S768" s="254"/>
      <c r="T768" s="254"/>
      <c r="U768" s="254"/>
      <c r="V768" s="254"/>
      <c r="W768" s="254"/>
      <c r="X768" s="254"/>
      <c r="Y768" s="254"/>
      <c r="Z768" s="254"/>
    </row>
    <row r="769">
      <c r="A769" s="254"/>
      <c r="B769" s="254"/>
      <c r="C769" s="254"/>
      <c r="D769" s="254"/>
      <c r="E769" s="254"/>
      <c r="F769" s="254"/>
      <c r="G769" s="254"/>
      <c r="H769" s="254"/>
      <c r="I769" s="254"/>
      <c r="J769" s="254"/>
      <c r="K769" s="254"/>
      <c r="L769" s="254"/>
      <c r="M769" s="254"/>
      <c r="N769" s="254"/>
      <c r="O769" s="254"/>
      <c r="P769" s="254"/>
      <c r="Q769" s="254"/>
      <c r="R769" s="254"/>
      <c r="S769" s="254"/>
      <c r="T769" s="254"/>
      <c r="U769" s="254"/>
      <c r="V769" s="254"/>
      <c r="W769" s="254"/>
      <c r="X769" s="254"/>
      <c r="Y769" s="254"/>
      <c r="Z769" s="254"/>
    </row>
    <row r="770">
      <c r="A770" s="254"/>
      <c r="B770" s="254"/>
      <c r="C770" s="254"/>
      <c r="D770" s="254"/>
      <c r="E770" s="254"/>
      <c r="F770" s="254"/>
      <c r="G770" s="254"/>
      <c r="H770" s="254"/>
      <c r="I770" s="254"/>
      <c r="J770" s="254"/>
      <c r="K770" s="254"/>
      <c r="L770" s="254"/>
      <c r="M770" s="254"/>
      <c r="N770" s="254"/>
      <c r="O770" s="254"/>
      <c r="P770" s="254"/>
      <c r="Q770" s="254"/>
      <c r="R770" s="254"/>
      <c r="S770" s="254"/>
      <c r="T770" s="254"/>
      <c r="U770" s="254"/>
      <c r="V770" s="254"/>
      <c r="W770" s="254"/>
      <c r="X770" s="254"/>
      <c r="Y770" s="254"/>
      <c r="Z770" s="254"/>
    </row>
    <row r="771">
      <c r="A771" s="254"/>
      <c r="B771" s="254"/>
      <c r="C771" s="254"/>
      <c r="D771" s="254"/>
      <c r="E771" s="254"/>
      <c r="F771" s="254"/>
      <c r="G771" s="254"/>
      <c r="H771" s="254"/>
      <c r="I771" s="254"/>
      <c r="J771" s="254"/>
      <c r="K771" s="254"/>
      <c r="L771" s="254"/>
      <c r="M771" s="254"/>
      <c r="N771" s="254"/>
      <c r="O771" s="254"/>
      <c r="P771" s="254"/>
      <c r="Q771" s="254"/>
      <c r="R771" s="254"/>
      <c r="S771" s="254"/>
      <c r="T771" s="254"/>
      <c r="U771" s="254"/>
      <c r="V771" s="254"/>
      <c r="W771" s="254"/>
      <c r="X771" s="254"/>
      <c r="Y771" s="254"/>
      <c r="Z771" s="254"/>
    </row>
    <row r="772">
      <c r="A772" s="254"/>
      <c r="B772" s="254"/>
      <c r="C772" s="254"/>
      <c r="D772" s="254"/>
      <c r="E772" s="254"/>
      <c r="F772" s="254"/>
      <c r="G772" s="254"/>
      <c r="H772" s="254"/>
      <c r="I772" s="254"/>
      <c r="J772" s="254"/>
      <c r="K772" s="254"/>
      <c r="L772" s="254"/>
      <c r="M772" s="254"/>
      <c r="N772" s="254"/>
      <c r="O772" s="254"/>
      <c r="P772" s="254"/>
      <c r="Q772" s="254"/>
      <c r="R772" s="254"/>
      <c r="S772" s="254"/>
      <c r="T772" s="254"/>
      <c r="U772" s="254"/>
      <c r="V772" s="254"/>
      <c r="W772" s="254"/>
      <c r="X772" s="254"/>
      <c r="Y772" s="254"/>
      <c r="Z772" s="254"/>
    </row>
    <row r="773">
      <c r="A773" s="254"/>
      <c r="B773" s="254"/>
      <c r="C773" s="254"/>
      <c r="D773" s="254"/>
      <c r="E773" s="254"/>
      <c r="F773" s="254"/>
      <c r="G773" s="254"/>
      <c r="H773" s="254"/>
      <c r="I773" s="254"/>
      <c r="J773" s="254"/>
      <c r="K773" s="254"/>
      <c r="L773" s="254"/>
      <c r="M773" s="254"/>
      <c r="N773" s="254"/>
      <c r="O773" s="254"/>
      <c r="P773" s="254"/>
      <c r="Q773" s="254"/>
      <c r="R773" s="254"/>
      <c r="S773" s="254"/>
      <c r="T773" s="254"/>
      <c r="U773" s="254"/>
      <c r="V773" s="254"/>
      <c r="W773" s="254"/>
      <c r="X773" s="254"/>
      <c r="Y773" s="254"/>
      <c r="Z773" s="254"/>
    </row>
    <row r="774">
      <c r="A774" s="254"/>
      <c r="B774" s="254"/>
      <c r="C774" s="254"/>
      <c r="D774" s="254"/>
      <c r="E774" s="254"/>
      <c r="F774" s="254"/>
      <c r="G774" s="254"/>
      <c r="H774" s="254"/>
      <c r="I774" s="254"/>
      <c r="J774" s="254"/>
      <c r="K774" s="254"/>
      <c r="L774" s="254"/>
      <c r="M774" s="254"/>
      <c r="N774" s="254"/>
      <c r="O774" s="254"/>
      <c r="P774" s="254"/>
      <c r="Q774" s="254"/>
      <c r="R774" s="254"/>
      <c r="S774" s="254"/>
      <c r="T774" s="254"/>
      <c r="U774" s="254"/>
      <c r="V774" s="254"/>
      <c r="W774" s="254"/>
      <c r="X774" s="254"/>
      <c r="Y774" s="254"/>
      <c r="Z774" s="254"/>
    </row>
    <row r="775">
      <c r="A775" s="254"/>
      <c r="B775" s="254"/>
      <c r="C775" s="254"/>
      <c r="D775" s="254"/>
      <c r="E775" s="254"/>
      <c r="F775" s="254"/>
      <c r="G775" s="254"/>
      <c r="H775" s="254"/>
      <c r="I775" s="254"/>
      <c r="J775" s="254"/>
      <c r="K775" s="254"/>
      <c r="L775" s="254"/>
      <c r="M775" s="254"/>
      <c r="N775" s="254"/>
      <c r="O775" s="254"/>
      <c r="P775" s="254"/>
      <c r="Q775" s="254"/>
      <c r="R775" s="254"/>
      <c r="S775" s="254"/>
      <c r="T775" s="254"/>
      <c r="U775" s="254"/>
      <c r="V775" s="254"/>
      <c r="W775" s="254"/>
      <c r="X775" s="254"/>
      <c r="Y775" s="254"/>
      <c r="Z775" s="254"/>
    </row>
    <row r="776">
      <c r="A776" s="254"/>
      <c r="B776" s="254"/>
      <c r="C776" s="254"/>
      <c r="D776" s="254"/>
      <c r="E776" s="254"/>
      <c r="F776" s="254"/>
      <c r="G776" s="254"/>
      <c r="H776" s="254"/>
      <c r="I776" s="254"/>
      <c r="J776" s="254"/>
      <c r="K776" s="254"/>
      <c r="L776" s="254"/>
      <c r="M776" s="254"/>
      <c r="N776" s="254"/>
      <c r="O776" s="254"/>
      <c r="P776" s="254"/>
      <c r="Q776" s="254"/>
      <c r="R776" s="254"/>
      <c r="S776" s="254"/>
      <c r="T776" s="254"/>
      <c r="U776" s="254"/>
      <c r="V776" s="254"/>
      <c r="W776" s="254"/>
      <c r="X776" s="254"/>
      <c r="Y776" s="254"/>
      <c r="Z776" s="254"/>
    </row>
    <row r="777">
      <c r="A777" s="254"/>
      <c r="B777" s="254"/>
      <c r="C777" s="254"/>
      <c r="D777" s="254"/>
      <c r="E777" s="254"/>
      <c r="F777" s="254"/>
      <c r="G777" s="254"/>
      <c r="H777" s="254"/>
      <c r="I777" s="254"/>
      <c r="J777" s="254"/>
      <c r="K777" s="254"/>
      <c r="L777" s="254"/>
      <c r="M777" s="254"/>
      <c r="N777" s="254"/>
      <c r="O777" s="254"/>
      <c r="P777" s="254"/>
      <c r="Q777" s="254"/>
      <c r="R777" s="254"/>
      <c r="S777" s="254"/>
      <c r="T777" s="254"/>
      <c r="U777" s="254"/>
      <c r="V777" s="254"/>
      <c r="W777" s="254"/>
      <c r="X777" s="254"/>
      <c r="Y777" s="254"/>
      <c r="Z777" s="254"/>
    </row>
    <row r="778">
      <c r="A778" s="254"/>
      <c r="B778" s="254"/>
      <c r="C778" s="254"/>
      <c r="D778" s="254"/>
      <c r="E778" s="254"/>
      <c r="F778" s="254"/>
      <c r="G778" s="254"/>
      <c r="H778" s="254"/>
      <c r="I778" s="254"/>
      <c r="J778" s="254"/>
      <c r="K778" s="254"/>
      <c r="L778" s="254"/>
      <c r="M778" s="254"/>
      <c r="N778" s="254"/>
      <c r="O778" s="254"/>
      <c r="P778" s="254"/>
      <c r="Q778" s="254"/>
      <c r="R778" s="254"/>
      <c r="S778" s="254"/>
      <c r="T778" s="254"/>
      <c r="U778" s="254"/>
      <c r="V778" s="254"/>
      <c r="W778" s="254"/>
      <c r="X778" s="254"/>
      <c r="Y778" s="254"/>
      <c r="Z778" s="254"/>
    </row>
    <row r="779">
      <c r="A779" s="254"/>
      <c r="B779" s="254"/>
      <c r="C779" s="254"/>
      <c r="D779" s="254"/>
      <c r="E779" s="254"/>
      <c r="F779" s="254"/>
      <c r="G779" s="254"/>
      <c r="H779" s="254"/>
      <c r="I779" s="254"/>
      <c r="J779" s="254"/>
      <c r="K779" s="254"/>
      <c r="L779" s="254"/>
      <c r="M779" s="254"/>
      <c r="N779" s="254"/>
      <c r="O779" s="254"/>
      <c r="P779" s="254"/>
      <c r="Q779" s="254"/>
      <c r="R779" s="254"/>
      <c r="S779" s="254"/>
      <c r="T779" s="254"/>
      <c r="U779" s="254"/>
      <c r="V779" s="254"/>
      <c r="W779" s="254"/>
      <c r="X779" s="254"/>
      <c r="Y779" s="254"/>
      <c r="Z779" s="254"/>
    </row>
    <row r="780">
      <c r="A780" s="254"/>
      <c r="B780" s="254"/>
      <c r="C780" s="254"/>
      <c r="D780" s="254"/>
      <c r="E780" s="254"/>
      <c r="F780" s="254"/>
      <c r="G780" s="254"/>
      <c r="H780" s="254"/>
      <c r="I780" s="254"/>
      <c r="J780" s="254"/>
      <c r="K780" s="254"/>
      <c r="L780" s="254"/>
      <c r="M780" s="254"/>
      <c r="N780" s="254"/>
      <c r="O780" s="254"/>
      <c r="P780" s="254"/>
      <c r="Q780" s="254"/>
      <c r="R780" s="254"/>
      <c r="S780" s="254"/>
      <c r="T780" s="254"/>
      <c r="U780" s="254"/>
      <c r="V780" s="254"/>
      <c r="W780" s="254"/>
      <c r="X780" s="254"/>
      <c r="Y780" s="254"/>
      <c r="Z780" s="254"/>
    </row>
    <row r="781">
      <c r="A781" s="254"/>
      <c r="B781" s="254"/>
      <c r="C781" s="254"/>
      <c r="D781" s="254"/>
      <c r="E781" s="254"/>
      <c r="F781" s="254"/>
      <c r="G781" s="254"/>
      <c r="H781" s="254"/>
      <c r="I781" s="254"/>
      <c r="J781" s="254"/>
      <c r="K781" s="254"/>
      <c r="L781" s="254"/>
      <c r="M781" s="254"/>
      <c r="N781" s="254"/>
      <c r="O781" s="254"/>
      <c r="P781" s="254"/>
      <c r="Q781" s="254"/>
      <c r="R781" s="254"/>
      <c r="S781" s="254"/>
      <c r="T781" s="254"/>
      <c r="U781" s="254"/>
      <c r="V781" s="254"/>
      <c r="W781" s="254"/>
      <c r="X781" s="254"/>
      <c r="Y781" s="254"/>
      <c r="Z781" s="254"/>
    </row>
    <row r="782">
      <c r="A782" s="254"/>
      <c r="B782" s="254"/>
      <c r="C782" s="254"/>
      <c r="D782" s="254"/>
      <c r="E782" s="254"/>
      <c r="F782" s="254"/>
      <c r="G782" s="254"/>
      <c r="H782" s="254"/>
      <c r="I782" s="254"/>
      <c r="J782" s="254"/>
      <c r="K782" s="254"/>
      <c r="L782" s="254"/>
      <c r="M782" s="254"/>
      <c r="N782" s="254"/>
      <c r="O782" s="254"/>
      <c r="P782" s="254"/>
      <c r="Q782" s="254"/>
      <c r="R782" s="254"/>
      <c r="S782" s="254"/>
      <c r="T782" s="254"/>
      <c r="U782" s="254"/>
      <c r="V782" s="254"/>
      <c r="W782" s="254"/>
      <c r="X782" s="254"/>
      <c r="Y782" s="254"/>
      <c r="Z782" s="254"/>
    </row>
    <row r="783">
      <c r="A783" s="254"/>
      <c r="B783" s="254"/>
      <c r="C783" s="254"/>
      <c r="D783" s="254"/>
      <c r="E783" s="254"/>
      <c r="F783" s="254"/>
      <c r="G783" s="254"/>
      <c r="H783" s="254"/>
      <c r="I783" s="254"/>
      <c r="J783" s="254"/>
      <c r="K783" s="254"/>
      <c r="L783" s="254"/>
      <c r="M783" s="254"/>
      <c r="N783" s="254"/>
      <c r="O783" s="254"/>
      <c r="P783" s="254"/>
      <c r="Q783" s="254"/>
      <c r="R783" s="254"/>
      <c r="S783" s="254"/>
      <c r="T783" s="254"/>
      <c r="U783" s="254"/>
      <c r="V783" s="254"/>
      <c r="W783" s="254"/>
      <c r="X783" s="254"/>
      <c r="Y783" s="254"/>
      <c r="Z783" s="254"/>
    </row>
    <row r="784">
      <c r="A784" s="254"/>
      <c r="B784" s="254"/>
      <c r="C784" s="254"/>
      <c r="D784" s="254"/>
      <c r="E784" s="254"/>
      <c r="F784" s="254"/>
      <c r="G784" s="254"/>
      <c r="H784" s="254"/>
      <c r="I784" s="254"/>
      <c r="J784" s="254"/>
      <c r="K784" s="254"/>
      <c r="L784" s="254"/>
      <c r="M784" s="254"/>
      <c r="N784" s="254"/>
      <c r="O784" s="254"/>
      <c r="P784" s="254"/>
      <c r="Q784" s="254"/>
      <c r="R784" s="254"/>
      <c r="S784" s="254"/>
      <c r="T784" s="254"/>
      <c r="U784" s="254"/>
      <c r="V784" s="254"/>
      <c r="W784" s="254"/>
      <c r="X784" s="254"/>
      <c r="Y784" s="254"/>
      <c r="Z784" s="254"/>
    </row>
    <row r="785">
      <c r="A785" s="254"/>
      <c r="B785" s="254"/>
      <c r="C785" s="254"/>
      <c r="D785" s="254"/>
      <c r="E785" s="254"/>
      <c r="F785" s="254"/>
      <c r="G785" s="254"/>
      <c r="H785" s="254"/>
      <c r="I785" s="254"/>
      <c r="J785" s="254"/>
      <c r="K785" s="254"/>
      <c r="L785" s="254"/>
      <c r="M785" s="254"/>
      <c r="N785" s="254"/>
      <c r="O785" s="254"/>
      <c r="P785" s="254"/>
      <c r="Q785" s="254"/>
      <c r="R785" s="254"/>
      <c r="S785" s="254"/>
      <c r="T785" s="254"/>
      <c r="U785" s="254"/>
      <c r="V785" s="254"/>
      <c r="W785" s="254"/>
      <c r="X785" s="254"/>
      <c r="Y785" s="254"/>
      <c r="Z785" s="254"/>
    </row>
    <row r="786">
      <c r="A786" s="254"/>
      <c r="B786" s="254"/>
      <c r="C786" s="254"/>
      <c r="D786" s="254"/>
      <c r="E786" s="254"/>
      <c r="F786" s="254"/>
      <c r="G786" s="254"/>
      <c r="H786" s="254"/>
      <c r="I786" s="254"/>
      <c r="J786" s="254"/>
      <c r="K786" s="254"/>
      <c r="L786" s="254"/>
      <c r="M786" s="254"/>
      <c r="N786" s="254"/>
      <c r="O786" s="254"/>
      <c r="P786" s="254"/>
      <c r="Q786" s="254"/>
      <c r="R786" s="254"/>
      <c r="S786" s="254"/>
      <c r="T786" s="254"/>
      <c r="U786" s="254"/>
      <c r="V786" s="254"/>
      <c r="W786" s="254"/>
      <c r="X786" s="254"/>
      <c r="Y786" s="254"/>
      <c r="Z786" s="254"/>
    </row>
    <row r="787">
      <c r="A787" s="254"/>
      <c r="B787" s="254"/>
      <c r="C787" s="254"/>
      <c r="D787" s="254"/>
      <c r="E787" s="254"/>
      <c r="F787" s="254"/>
      <c r="G787" s="254"/>
      <c r="H787" s="254"/>
      <c r="I787" s="254"/>
      <c r="J787" s="254"/>
      <c r="K787" s="254"/>
      <c r="L787" s="254"/>
      <c r="M787" s="254"/>
      <c r="N787" s="254"/>
      <c r="O787" s="254"/>
      <c r="P787" s="254"/>
      <c r="Q787" s="254"/>
      <c r="R787" s="254"/>
      <c r="S787" s="254"/>
      <c r="T787" s="254"/>
      <c r="U787" s="254"/>
      <c r="V787" s="254"/>
      <c r="W787" s="254"/>
      <c r="X787" s="254"/>
      <c r="Y787" s="254"/>
      <c r="Z787" s="254"/>
    </row>
    <row r="788">
      <c r="A788" s="254"/>
      <c r="B788" s="254"/>
      <c r="C788" s="254"/>
      <c r="D788" s="254"/>
      <c r="E788" s="254"/>
      <c r="F788" s="254"/>
      <c r="G788" s="254"/>
      <c r="H788" s="254"/>
      <c r="I788" s="254"/>
      <c r="J788" s="254"/>
      <c r="K788" s="254"/>
      <c r="L788" s="254"/>
      <c r="M788" s="254"/>
      <c r="N788" s="254"/>
      <c r="O788" s="254"/>
      <c r="P788" s="254"/>
      <c r="Q788" s="254"/>
      <c r="R788" s="254"/>
      <c r="S788" s="254"/>
      <c r="T788" s="254"/>
      <c r="U788" s="254"/>
      <c r="V788" s="254"/>
      <c r="W788" s="254"/>
      <c r="X788" s="254"/>
      <c r="Y788" s="254"/>
      <c r="Z788" s="254"/>
    </row>
    <row r="789">
      <c r="A789" s="254"/>
      <c r="B789" s="254"/>
      <c r="C789" s="254"/>
      <c r="D789" s="254"/>
      <c r="E789" s="254"/>
      <c r="F789" s="254"/>
      <c r="G789" s="254"/>
      <c r="H789" s="254"/>
      <c r="I789" s="254"/>
      <c r="J789" s="254"/>
      <c r="K789" s="254"/>
      <c r="L789" s="254"/>
      <c r="M789" s="254"/>
      <c r="N789" s="254"/>
      <c r="O789" s="254"/>
      <c r="P789" s="254"/>
      <c r="Q789" s="254"/>
      <c r="R789" s="254"/>
      <c r="S789" s="254"/>
      <c r="T789" s="254"/>
      <c r="U789" s="254"/>
      <c r="V789" s="254"/>
      <c r="W789" s="254"/>
      <c r="X789" s="254"/>
      <c r="Y789" s="254"/>
      <c r="Z789" s="254"/>
    </row>
    <row r="790">
      <c r="A790" s="254"/>
      <c r="B790" s="254"/>
      <c r="C790" s="254"/>
      <c r="D790" s="254"/>
      <c r="E790" s="254"/>
      <c r="F790" s="254"/>
      <c r="G790" s="254"/>
      <c r="H790" s="254"/>
      <c r="I790" s="254"/>
      <c r="J790" s="254"/>
      <c r="K790" s="254"/>
      <c r="L790" s="254"/>
      <c r="M790" s="254"/>
      <c r="N790" s="254"/>
      <c r="O790" s="254"/>
      <c r="P790" s="254"/>
      <c r="Q790" s="254"/>
      <c r="R790" s="254"/>
      <c r="S790" s="254"/>
      <c r="T790" s="254"/>
      <c r="U790" s="254"/>
      <c r="V790" s="254"/>
      <c r="W790" s="254"/>
      <c r="X790" s="254"/>
      <c r="Y790" s="254"/>
      <c r="Z790" s="254"/>
    </row>
    <row r="791">
      <c r="A791" s="254"/>
      <c r="B791" s="254"/>
      <c r="C791" s="254"/>
      <c r="D791" s="254"/>
      <c r="E791" s="254"/>
      <c r="F791" s="254"/>
      <c r="G791" s="254"/>
      <c r="H791" s="254"/>
      <c r="I791" s="254"/>
      <c r="J791" s="254"/>
      <c r="K791" s="254"/>
      <c r="L791" s="254"/>
      <c r="M791" s="254"/>
      <c r="N791" s="254"/>
      <c r="O791" s="254"/>
      <c r="P791" s="254"/>
      <c r="Q791" s="254"/>
      <c r="R791" s="254"/>
      <c r="S791" s="254"/>
      <c r="T791" s="254"/>
      <c r="U791" s="254"/>
      <c r="V791" s="254"/>
      <c r="W791" s="254"/>
      <c r="X791" s="254"/>
      <c r="Y791" s="254"/>
      <c r="Z791" s="254"/>
    </row>
    <row r="792">
      <c r="A792" s="254"/>
      <c r="B792" s="254"/>
      <c r="C792" s="254"/>
      <c r="D792" s="254"/>
      <c r="E792" s="254"/>
      <c r="F792" s="254"/>
      <c r="G792" s="254"/>
      <c r="H792" s="254"/>
      <c r="I792" s="254"/>
      <c r="J792" s="254"/>
      <c r="K792" s="254"/>
      <c r="L792" s="254"/>
      <c r="M792" s="254"/>
      <c r="N792" s="254"/>
      <c r="O792" s="254"/>
      <c r="P792" s="254"/>
      <c r="Q792" s="254"/>
      <c r="R792" s="254"/>
      <c r="S792" s="254"/>
      <c r="T792" s="254"/>
      <c r="U792" s="254"/>
      <c r="V792" s="254"/>
      <c r="W792" s="254"/>
      <c r="X792" s="254"/>
      <c r="Y792" s="254"/>
      <c r="Z792" s="254"/>
    </row>
    <row r="793">
      <c r="A793" s="254"/>
      <c r="B793" s="254"/>
      <c r="C793" s="254"/>
      <c r="D793" s="254"/>
      <c r="E793" s="254"/>
      <c r="F793" s="254"/>
      <c r="G793" s="254"/>
      <c r="H793" s="254"/>
      <c r="I793" s="254"/>
      <c r="J793" s="254"/>
      <c r="K793" s="254"/>
      <c r="L793" s="254"/>
      <c r="M793" s="254"/>
      <c r="N793" s="254"/>
      <c r="O793" s="254"/>
      <c r="P793" s="254"/>
      <c r="Q793" s="254"/>
      <c r="R793" s="254"/>
      <c r="S793" s="254"/>
      <c r="T793" s="254"/>
      <c r="U793" s="254"/>
      <c r="V793" s="254"/>
      <c r="W793" s="254"/>
      <c r="X793" s="254"/>
      <c r="Y793" s="254"/>
      <c r="Z793" s="254"/>
    </row>
    <row r="794">
      <c r="A794" s="254"/>
      <c r="B794" s="254"/>
      <c r="C794" s="254"/>
      <c r="D794" s="254"/>
      <c r="E794" s="254"/>
      <c r="F794" s="254"/>
      <c r="G794" s="254"/>
      <c r="H794" s="254"/>
      <c r="I794" s="254"/>
      <c r="J794" s="254"/>
      <c r="K794" s="254"/>
      <c r="L794" s="254"/>
      <c r="M794" s="254"/>
      <c r="N794" s="254"/>
      <c r="O794" s="254"/>
      <c r="P794" s="254"/>
      <c r="Q794" s="254"/>
      <c r="R794" s="254"/>
      <c r="S794" s="254"/>
      <c r="T794" s="254"/>
      <c r="U794" s="254"/>
      <c r="V794" s="254"/>
      <c r="W794" s="254"/>
      <c r="X794" s="254"/>
      <c r="Y794" s="254"/>
      <c r="Z794" s="254"/>
    </row>
    <row r="795">
      <c r="A795" s="254"/>
      <c r="B795" s="254"/>
      <c r="C795" s="254"/>
      <c r="D795" s="254"/>
      <c r="E795" s="254"/>
      <c r="F795" s="254"/>
      <c r="G795" s="254"/>
      <c r="H795" s="254"/>
      <c r="I795" s="254"/>
      <c r="J795" s="254"/>
      <c r="K795" s="254"/>
      <c r="L795" s="254"/>
      <c r="M795" s="254"/>
      <c r="N795" s="254"/>
      <c r="O795" s="254"/>
      <c r="P795" s="254"/>
      <c r="Q795" s="254"/>
      <c r="R795" s="254"/>
      <c r="S795" s="254"/>
      <c r="T795" s="254"/>
      <c r="U795" s="254"/>
      <c r="V795" s="254"/>
      <c r="W795" s="254"/>
      <c r="X795" s="254"/>
      <c r="Y795" s="254"/>
      <c r="Z795" s="254"/>
    </row>
    <row r="796">
      <c r="A796" s="254"/>
      <c r="B796" s="254"/>
      <c r="C796" s="254"/>
      <c r="D796" s="254"/>
      <c r="E796" s="254"/>
      <c r="F796" s="254"/>
      <c r="G796" s="254"/>
      <c r="H796" s="254"/>
      <c r="I796" s="254"/>
      <c r="J796" s="254"/>
      <c r="K796" s="254"/>
      <c r="L796" s="254"/>
      <c r="M796" s="254"/>
      <c r="N796" s="254"/>
      <c r="O796" s="254"/>
      <c r="P796" s="254"/>
      <c r="Q796" s="254"/>
      <c r="R796" s="254"/>
      <c r="S796" s="254"/>
      <c r="T796" s="254"/>
      <c r="U796" s="254"/>
      <c r="V796" s="254"/>
      <c r="W796" s="254"/>
      <c r="X796" s="254"/>
      <c r="Y796" s="254"/>
      <c r="Z796" s="254"/>
    </row>
    <row r="797">
      <c r="A797" s="254"/>
      <c r="B797" s="254"/>
      <c r="C797" s="254"/>
      <c r="D797" s="254"/>
      <c r="E797" s="254"/>
      <c r="F797" s="254"/>
      <c r="G797" s="254"/>
      <c r="H797" s="254"/>
      <c r="I797" s="254"/>
      <c r="J797" s="254"/>
      <c r="K797" s="254"/>
      <c r="L797" s="254"/>
      <c r="M797" s="254"/>
      <c r="N797" s="254"/>
      <c r="O797" s="254"/>
      <c r="P797" s="254"/>
      <c r="Q797" s="254"/>
      <c r="R797" s="254"/>
      <c r="S797" s="254"/>
      <c r="T797" s="254"/>
      <c r="U797" s="254"/>
      <c r="V797" s="254"/>
      <c r="W797" s="254"/>
      <c r="X797" s="254"/>
      <c r="Y797" s="254"/>
      <c r="Z797" s="254"/>
    </row>
    <row r="798">
      <c r="A798" s="254"/>
      <c r="B798" s="254"/>
      <c r="C798" s="254"/>
      <c r="D798" s="254"/>
      <c r="E798" s="254"/>
      <c r="F798" s="254"/>
      <c r="G798" s="254"/>
      <c r="H798" s="254"/>
      <c r="I798" s="254"/>
      <c r="J798" s="254"/>
      <c r="K798" s="254"/>
      <c r="L798" s="254"/>
      <c r="M798" s="254"/>
      <c r="N798" s="254"/>
      <c r="O798" s="254"/>
      <c r="P798" s="254"/>
      <c r="Q798" s="254"/>
      <c r="R798" s="254"/>
      <c r="S798" s="254"/>
      <c r="T798" s="254"/>
      <c r="U798" s="254"/>
      <c r="V798" s="254"/>
      <c r="W798" s="254"/>
      <c r="X798" s="254"/>
      <c r="Y798" s="254"/>
      <c r="Z798" s="254"/>
    </row>
    <row r="799">
      <c r="A799" s="254"/>
      <c r="B799" s="254"/>
      <c r="C799" s="254"/>
      <c r="D799" s="254"/>
      <c r="E799" s="254"/>
      <c r="F799" s="254"/>
      <c r="G799" s="254"/>
      <c r="H799" s="254"/>
      <c r="I799" s="254"/>
      <c r="J799" s="254"/>
      <c r="K799" s="254"/>
      <c r="L799" s="254"/>
      <c r="M799" s="254"/>
      <c r="N799" s="254"/>
      <c r="O799" s="254"/>
      <c r="P799" s="254"/>
      <c r="Q799" s="254"/>
      <c r="R799" s="254"/>
      <c r="S799" s="254"/>
      <c r="T799" s="254"/>
      <c r="U799" s="254"/>
      <c r="V799" s="254"/>
      <c r="W799" s="254"/>
      <c r="X799" s="254"/>
      <c r="Y799" s="254"/>
      <c r="Z799" s="254"/>
    </row>
    <row r="800">
      <c r="A800" s="254"/>
      <c r="B800" s="254"/>
      <c r="C800" s="254"/>
      <c r="D800" s="254"/>
      <c r="E800" s="254"/>
      <c r="F800" s="254"/>
      <c r="G800" s="254"/>
      <c r="H800" s="254"/>
      <c r="I800" s="254"/>
      <c r="J800" s="254"/>
      <c r="K800" s="254"/>
      <c r="L800" s="254"/>
      <c r="M800" s="254"/>
      <c r="N800" s="254"/>
      <c r="O800" s="254"/>
      <c r="P800" s="254"/>
      <c r="Q800" s="254"/>
      <c r="R800" s="254"/>
      <c r="S800" s="254"/>
      <c r="T800" s="254"/>
      <c r="U800" s="254"/>
      <c r="V800" s="254"/>
      <c r="W800" s="254"/>
      <c r="X800" s="254"/>
      <c r="Y800" s="254"/>
      <c r="Z800" s="254"/>
    </row>
    <row r="801">
      <c r="A801" s="254"/>
      <c r="B801" s="254"/>
      <c r="C801" s="254"/>
      <c r="D801" s="254"/>
      <c r="E801" s="254"/>
      <c r="F801" s="254"/>
      <c r="G801" s="254"/>
      <c r="H801" s="254"/>
      <c r="I801" s="254"/>
      <c r="J801" s="254"/>
      <c r="K801" s="254"/>
      <c r="L801" s="254"/>
      <c r="M801" s="254"/>
      <c r="N801" s="254"/>
      <c r="O801" s="254"/>
      <c r="P801" s="254"/>
      <c r="Q801" s="254"/>
      <c r="R801" s="254"/>
      <c r="S801" s="254"/>
      <c r="T801" s="254"/>
      <c r="U801" s="254"/>
      <c r="V801" s="254"/>
      <c r="W801" s="254"/>
      <c r="X801" s="254"/>
      <c r="Y801" s="254"/>
      <c r="Z801" s="254"/>
    </row>
    <row r="802">
      <c r="A802" s="254"/>
      <c r="B802" s="254"/>
      <c r="C802" s="254"/>
      <c r="D802" s="254"/>
      <c r="E802" s="254"/>
      <c r="F802" s="254"/>
      <c r="G802" s="254"/>
      <c r="H802" s="254"/>
      <c r="I802" s="254"/>
      <c r="J802" s="254"/>
      <c r="K802" s="254"/>
      <c r="L802" s="254"/>
      <c r="M802" s="254"/>
      <c r="N802" s="254"/>
      <c r="O802" s="254"/>
      <c r="P802" s="254"/>
      <c r="Q802" s="254"/>
      <c r="R802" s="254"/>
      <c r="S802" s="254"/>
      <c r="T802" s="254"/>
      <c r="U802" s="254"/>
      <c r="V802" s="254"/>
      <c r="W802" s="254"/>
      <c r="X802" s="254"/>
      <c r="Y802" s="254"/>
      <c r="Z802" s="254"/>
    </row>
    <row r="803">
      <c r="A803" s="254"/>
      <c r="B803" s="254"/>
      <c r="C803" s="254"/>
      <c r="D803" s="254"/>
      <c r="E803" s="254"/>
      <c r="F803" s="254"/>
      <c r="G803" s="254"/>
      <c r="H803" s="254"/>
      <c r="I803" s="254"/>
      <c r="J803" s="254"/>
      <c r="K803" s="254"/>
      <c r="L803" s="254"/>
      <c r="M803" s="254"/>
      <c r="N803" s="254"/>
      <c r="O803" s="254"/>
      <c r="P803" s="254"/>
      <c r="Q803" s="254"/>
      <c r="R803" s="254"/>
      <c r="S803" s="254"/>
      <c r="T803" s="254"/>
      <c r="U803" s="254"/>
      <c r="V803" s="254"/>
      <c r="W803" s="254"/>
      <c r="X803" s="254"/>
      <c r="Y803" s="254"/>
      <c r="Z803" s="254"/>
    </row>
    <row r="804">
      <c r="A804" s="254"/>
      <c r="B804" s="254"/>
      <c r="C804" s="254"/>
      <c r="D804" s="254"/>
      <c r="E804" s="254"/>
      <c r="F804" s="254"/>
      <c r="G804" s="254"/>
      <c r="H804" s="254"/>
      <c r="I804" s="254"/>
      <c r="J804" s="254"/>
      <c r="K804" s="254"/>
      <c r="L804" s="254"/>
      <c r="M804" s="254"/>
      <c r="N804" s="254"/>
      <c r="O804" s="254"/>
      <c r="P804" s="254"/>
      <c r="Q804" s="254"/>
      <c r="R804" s="254"/>
      <c r="S804" s="254"/>
      <c r="T804" s="254"/>
      <c r="U804" s="254"/>
      <c r="V804" s="254"/>
      <c r="W804" s="254"/>
      <c r="X804" s="254"/>
      <c r="Y804" s="254"/>
      <c r="Z804" s="254"/>
    </row>
    <row r="805">
      <c r="A805" s="254"/>
      <c r="B805" s="254"/>
      <c r="C805" s="254"/>
      <c r="D805" s="254"/>
      <c r="E805" s="254"/>
      <c r="F805" s="254"/>
      <c r="G805" s="254"/>
      <c r="H805" s="254"/>
      <c r="I805" s="254"/>
      <c r="J805" s="254"/>
      <c r="K805" s="254"/>
      <c r="L805" s="254"/>
      <c r="M805" s="254"/>
      <c r="N805" s="254"/>
      <c r="O805" s="254"/>
      <c r="P805" s="254"/>
      <c r="Q805" s="254"/>
      <c r="R805" s="254"/>
      <c r="S805" s="254"/>
      <c r="T805" s="254"/>
      <c r="U805" s="254"/>
      <c r="V805" s="254"/>
      <c r="W805" s="254"/>
      <c r="X805" s="254"/>
      <c r="Y805" s="254"/>
      <c r="Z805" s="254"/>
    </row>
    <row r="806">
      <c r="A806" s="254"/>
      <c r="B806" s="254"/>
      <c r="C806" s="254"/>
      <c r="D806" s="254"/>
      <c r="E806" s="254"/>
      <c r="F806" s="254"/>
      <c r="G806" s="254"/>
      <c r="H806" s="254"/>
      <c r="I806" s="254"/>
      <c r="J806" s="254"/>
      <c r="K806" s="254"/>
      <c r="L806" s="254"/>
      <c r="M806" s="254"/>
      <c r="N806" s="254"/>
      <c r="O806" s="254"/>
      <c r="P806" s="254"/>
      <c r="Q806" s="254"/>
      <c r="R806" s="254"/>
      <c r="S806" s="254"/>
      <c r="T806" s="254"/>
      <c r="U806" s="254"/>
      <c r="V806" s="254"/>
      <c r="W806" s="254"/>
      <c r="X806" s="254"/>
      <c r="Y806" s="254"/>
      <c r="Z806" s="254"/>
    </row>
    <row r="807">
      <c r="A807" s="254"/>
      <c r="B807" s="254"/>
      <c r="C807" s="254"/>
      <c r="D807" s="254"/>
      <c r="E807" s="254"/>
      <c r="F807" s="254"/>
      <c r="G807" s="254"/>
      <c r="H807" s="254"/>
      <c r="I807" s="254"/>
      <c r="J807" s="254"/>
      <c r="K807" s="254"/>
      <c r="L807" s="254"/>
      <c r="M807" s="254"/>
      <c r="N807" s="254"/>
      <c r="O807" s="254"/>
      <c r="P807" s="254"/>
      <c r="Q807" s="254"/>
      <c r="R807" s="254"/>
      <c r="S807" s="254"/>
      <c r="T807" s="254"/>
      <c r="U807" s="254"/>
      <c r="V807" s="254"/>
      <c r="W807" s="254"/>
      <c r="X807" s="254"/>
      <c r="Y807" s="254"/>
      <c r="Z807" s="254"/>
    </row>
    <row r="808">
      <c r="A808" s="254"/>
      <c r="B808" s="254"/>
      <c r="C808" s="254"/>
      <c r="D808" s="254"/>
      <c r="E808" s="254"/>
      <c r="F808" s="254"/>
      <c r="G808" s="254"/>
      <c r="H808" s="254"/>
      <c r="I808" s="254"/>
      <c r="J808" s="254"/>
      <c r="K808" s="254"/>
      <c r="L808" s="254"/>
      <c r="M808" s="254"/>
      <c r="N808" s="254"/>
      <c r="O808" s="254"/>
      <c r="P808" s="254"/>
      <c r="Q808" s="254"/>
      <c r="R808" s="254"/>
      <c r="S808" s="254"/>
      <c r="T808" s="254"/>
      <c r="U808" s="254"/>
      <c r="V808" s="254"/>
      <c r="W808" s="254"/>
      <c r="X808" s="254"/>
      <c r="Y808" s="254"/>
      <c r="Z808" s="254"/>
    </row>
    <row r="809">
      <c r="A809" s="254"/>
      <c r="B809" s="254"/>
      <c r="C809" s="254"/>
      <c r="D809" s="254"/>
      <c r="E809" s="254"/>
      <c r="F809" s="254"/>
      <c r="G809" s="254"/>
      <c r="H809" s="254"/>
      <c r="I809" s="254"/>
      <c r="J809" s="254"/>
      <c r="K809" s="254"/>
      <c r="L809" s="254"/>
      <c r="M809" s="254"/>
      <c r="N809" s="254"/>
      <c r="O809" s="254"/>
      <c r="P809" s="254"/>
      <c r="Q809" s="254"/>
      <c r="R809" s="254"/>
      <c r="S809" s="254"/>
      <c r="T809" s="254"/>
      <c r="U809" s="254"/>
      <c r="V809" s="254"/>
      <c r="W809" s="254"/>
      <c r="X809" s="254"/>
      <c r="Y809" s="254"/>
      <c r="Z809" s="254"/>
    </row>
    <row r="810">
      <c r="A810" s="254"/>
      <c r="B810" s="254"/>
      <c r="C810" s="254"/>
      <c r="D810" s="254"/>
      <c r="E810" s="254"/>
      <c r="F810" s="254"/>
      <c r="G810" s="254"/>
      <c r="H810" s="254"/>
      <c r="I810" s="254"/>
      <c r="J810" s="254"/>
      <c r="K810" s="254"/>
      <c r="L810" s="254"/>
      <c r="M810" s="254"/>
      <c r="N810" s="254"/>
      <c r="O810" s="254"/>
      <c r="P810" s="254"/>
      <c r="Q810" s="254"/>
      <c r="R810" s="254"/>
      <c r="S810" s="254"/>
      <c r="T810" s="254"/>
      <c r="U810" s="254"/>
      <c r="V810" s="254"/>
      <c r="W810" s="254"/>
      <c r="X810" s="254"/>
      <c r="Y810" s="254"/>
      <c r="Z810" s="254"/>
    </row>
    <row r="811">
      <c r="A811" s="254"/>
      <c r="B811" s="254"/>
      <c r="C811" s="254"/>
      <c r="D811" s="254"/>
      <c r="E811" s="254"/>
      <c r="F811" s="254"/>
      <c r="G811" s="254"/>
      <c r="H811" s="254"/>
      <c r="I811" s="254"/>
      <c r="J811" s="254"/>
      <c r="K811" s="254"/>
      <c r="L811" s="254"/>
      <c r="M811" s="254"/>
      <c r="N811" s="254"/>
      <c r="O811" s="254"/>
      <c r="P811" s="254"/>
      <c r="Q811" s="254"/>
      <c r="R811" s="254"/>
      <c r="S811" s="254"/>
      <c r="T811" s="254"/>
      <c r="U811" s="254"/>
      <c r="V811" s="254"/>
      <c r="W811" s="254"/>
      <c r="X811" s="254"/>
      <c r="Y811" s="254"/>
      <c r="Z811" s="254"/>
    </row>
    <row r="812">
      <c r="A812" s="254"/>
      <c r="B812" s="254"/>
      <c r="C812" s="254"/>
      <c r="D812" s="254"/>
      <c r="E812" s="254"/>
      <c r="F812" s="254"/>
      <c r="G812" s="254"/>
      <c r="H812" s="254"/>
      <c r="I812" s="254"/>
      <c r="J812" s="254"/>
      <c r="K812" s="254"/>
      <c r="L812" s="254"/>
      <c r="M812" s="254"/>
      <c r="N812" s="254"/>
      <c r="O812" s="254"/>
      <c r="P812" s="254"/>
      <c r="Q812" s="254"/>
      <c r="R812" s="254"/>
      <c r="S812" s="254"/>
      <c r="T812" s="254"/>
      <c r="U812" s="254"/>
      <c r="V812" s="254"/>
      <c r="W812" s="254"/>
      <c r="X812" s="254"/>
      <c r="Y812" s="254"/>
      <c r="Z812" s="254"/>
    </row>
    <row r="813">
      <c r="A813" s="254"/>
      <c r="B813" s="254"/>
      <c r="C813" s="254"/>
      <c r="D813" s="254"/>
      <c r="E813" s="254"/>
      <c r="F813" s="254"/>
      <c r="G813" s="254"/>
      <c r="H813" s="254"/>
      <c r="I813" s="254"/>
      <c r="J813" s="254"/>
      <c r="K813" s="254"/>
      <c r="L813" s="254"/>
      <c r="M813" s="254"/>
      <c r="N813" s="254"/>
      <c r="O813" s="254"/>
      <c r="P813" s="254"/>
      <c r="Q813" s="254"/>
      <c r="R813" s="254"/>
      <c r="S813" s="254"/>
      <c r="T813" s="254"/>
      <c r="U813" s="254"/>
      <c r="V813" s="254"/>
      <c r="W813" s="254"/>
      <c r="X813" s="254"/>
      <c r="Y813" s="254"/>
      <c r="Z813" s="254"/>
    </row>
    <row r="814">
      <c r="A814" s="254"/>
      <c r="B814" s="254"/>
      <c r="C814" s="254"/>
      <c r="D814" s="254"/>
      <c r="E814" s="254"/>
      <c r="F814" s="254"/>
      <c r="G814" s="254"/>
      <c r="H814" s="254"/>
      <c r="I814" s="254"/>
      <c r="J814" s="254"/>
      <c r="K814" s="254"/>
      <c r="L814" s="254"/>
      <c r="M814" s="254"/>
      <c r="N814" s="254"/>
      <c r="O814" s="254"/>
      <c r="P814" s="254"/>
      <c r="Q814" s="254"/>
      <c r="R814" s="254"/>
      <c r="S814" s="254"/>
      <c r="T814" s="254"/>
      <c r="U814" s="254"/>
      <c r="V814" s="254"/>
      <c r="W814" s="254"/>
      <c r="X814" s="254"/>
      <c r="Y814" s="254"/>
      <c r="Z814" s="254"/>
    </row>
    <row r="815">
      <c r="A815" s="254"/>
      <c r="B815" s="254"/>
      <c r="C815" s="254"/>
      <c r="D815" s="254"/>
      <c r="E815" s="254"/>
      <c r="F815" s="254"/>
      <c r="G815" s="254"/>
      <c r="H815" s="254"/>
      <c r="I815" s="254"/>
      <c r="J815" s="254"/>
      <c r="K815" s="254"/>
      <c r="L815" s="254"/>
      <c r="M815" s="254"/>
      <c r="N815" s="254"/>
      <c r="O815" s="254"/>
      <c r="P815" s="254"/>
      <c r="Q815" s="254"/>
      <c r="R815" s="254"/>
      <c r="S815" s="254"/>
      <c r="T815" s="254"/>
      <c r="U815" s="254"/>
      <c r="V815" s="254"/>
      <c r="W815" s="254"/>
      <c r="X815" s="254"/>
      <c r="Y815" s="254"/>
      <c r="Z815" s="254"/>
    </row>
    <row r="816">
      <c r="A816" s="254"/>
      <c r="B816" s="254"/>
      <c r="C816" s="254"/>
      <c r="D816" s="254"/>
      <c r="E816" s="254"/>
      <c r="F816" s="254"/>
      <c r="G816" s="254"/>
      <c r="H816" s="254"/>
      <c r="I816" s="254"/>
      <c r="J816" s="254"/>
      <c r="K816" s="254"/>
      <c r="L816" s="254"/>
      <c r="M816" s="254"/>
      <c r="N816" s="254"/>
      <c r="O816" s="254"/>
      <c r="P816" s="254"/>
      <c r="Q816" s="254"/>
      <c r="R816" s="254"/>
      <c r="S816" s="254"/>
      <c r="T816" s="254"/>
      <c r="U816" s="254"/>
      <c r="V816" s="254"/>
      <c r="W816" s="254"/>
      <c r="X816" s="254"/>
      <c r="Y816" s="254"/>
      <c r="Z816" s="254"/>
    </row>
    <row r="817">
      <c r="A817" s="254"/>
      <c r="B817" s="254"/>
      <c r="C817" s="254"/>
      <c r="D817" s="254"/>
      <c r="E817" s="254"/>
      <c r="F817" s="254"/>
      <c r="G817" s="254"/>
      <c r="H817" s="254"/>
      <c r="I817" s="254"/>
      <c r="J817" s="254"/>
      <c r="K817" s="254"/>
      <c r="L817" s="254"/>
      <c r="M817" s="254"/>
      <c r="N817" s="254"/>
      <c r="O817" s="254"/>
      <c r="P817" s="254"/>
      <c r="Q817" s="254"/>
      <c r="R817" s="254"/>
      <c r="S817" s="254"/>
      <c r="T817" s="254"/>
      <c r="U817" s="254"/>
      <c r="V817" s="254"/>
      <c r="W817" s="254"/>
      <c r="X817" s="254"/>
      <c r="Y817" s="254"/>
      <c r="Z817" s="254"/>
    </row>
    <row r="818">
      <c r="A818" s="254"/>
      <c r="B818" s="254"/>
      <c r="C818" s="254"/>
      <c r="D818" s="254"/>
      <c r="E818" s="254"/>
      <c r="F818" s="254"/>
      <c r="G818" s="254"/>
      <c r="H818" s="254"/>
      <c r="I818" s="254"/>
      <c r="J818" s="254"/>
      <c r="K818" s="254"/>
      <c r="L818" s="254"/>
      <c r="M818" s="254"/>
      <c r="N818" s="254"/>
      <c r="O818" s="254"/>
      <c r="P818" s="254"/>
      <c r="Q818" s="254"/>
      <c r="R818" s="254"/>
      <c r="S818" s="254"/>
      <c r="T818" s="254"/>
      <c r="U818" s="254"/>
      <c r="V818" s="254"/>
      <c r="W818" s="254"/>
      <c r="X818" s="254"/>
      <c r="Y818" s="254"/>
      <c r="Z818" s="254"/>
    </row>
    <row r="819">
      <c r="A819" s="254"/>
      <c r="B819" s="254"/>
      <c r="C819" s="254"/>
      <c r="D819" s="254"/>
      <c r="E819" s="254"/>
      <c r="F819" s="254"/>
      <c r="G819" s="254"/>
      <c r="H819" s="254"/>
      <c r="I819" s="254"/>
      <c r="J819" s="254"/>
      <c r="K819" s="254"/>
      <c r="L819" s="254"/>
      <c r="M819" s="254"/>
      <c r="N819" s="254"/>
      <c r="O819" s="254"/>
      <c r="P819" s="254"/>
      <c r="Q819" s="254"/>
      <c r="R819" s="254"/>
      <c r="S819" s="254"/>
      <c r="T819" s="254"/>
      <c r="U819" s="254"/>
      <c r="V819" s="254"/>
      <c r="W819" s="254"/>
      <c r="X819" s="254"/>
      <c r="Y819" s="254"/>
      <c r="Z819" s="254"/>
    </row>
    <row r="820">
      <c r="A820" s="254"/>
      <c r="B820" s="254"/>
      <c r="C820" s="254"/>
      <c r="D820" s="254"/>
      <c r="E820" s="254"/>
      <c r="F820" s="254"/>
      <c r="G820" s="254"/>
      <c r="H820" s="254"/>
      <c r="I820" s="254"/>
      <c r="J820" s="254"/>
      <c r="K820" s="254"/>
      <c r="L820" s="254"/>
      <c r="M820" s="254"/>
      <c r="N820" s="254"/>
      <c r="O820" s="254"/>
      <c r="P820" s="254"/>
      <c r="Q820" s="254"/>
      <c r="R820" s="254"/>
      <c r="S820" s="254"/>
      <c r="T820" s="254"/>
      <c r="U820" s="254"/>
      <c r="V820" s="254"/>
      <c r="W820" s="254"/>
      <c r="X820" s="254"/>
      <c r="Y820" s="254"/>
      <c r="Z820" s="254"/>
    </row>
    <row r="821">
      <c r="A821" s="254"/>
      <c r="B821" s="254"/>
      <c r="C821" s="254"/>
      <c r="D821" s="254"/>
      <c r="E821" s="254"/>
      <c r="F821" s="254"/>
      <c r="G821" s="254"/>
      <c r="H821" s="254"/>
      <c r="I821" s="254"/>
      <c r="J821" s="254"/>
      <c r="K821" s="254"/>
      <c r="L821" s="254"/>
      <c r="M821" s="254"/>
      <c r="N821" s="254"/>
      <c r="O821" s="254"/>
      <c r="P821" s="254"/>
      <c r="Q821" s="254"/>
      <c r="R821" s="254"/>
      <c r="S821" s="254"/>
      <c r="T821" s="254"/>
      <c r="U821" s="254"/>
      <c r="V821" s="254"/>
      <c r="W821" s="254"/>
      <c r="X821" s="254"/>
      <c r="Y821" s="254"/>
      <c r="Z821" s="254"/>
    </row>
    <row r="822">
      <c r="A822" s="254"/>
      <c r="B822" s="254"/>
      <c r="C822" s="254"/>
      <c r="D822" s="254"/>
      <c r="E822" s="254"/>
      <c r="F822" s="254"/>
      <c r="G822" s="254"/>
      <c r="H822" s="254"/>
      <c r="I822" s="254"/>
      <c r="J822" s="254"/>
      <c r="K822" s="254"/>
      <c r="L822" s="254"/>
      <c r="M822" s="254"/>
      <c r="N822" s="254"/>
      <c r="O822" s="254"/>
      <c r="P822" s="254"/>
      <c r="Q822" s="254"/>
      <c r="R822" s="254"/>
      <c r="S822" s="254"/>
      <c r="T822" s="254"/>
      <c r="U822" s="254"/>
      <c r="V822" s="254"/>
      <c r="W822" s="254"/>
      <c r="X822" s="254"/>
      <c r="Y822" s="254"/>
      <c r="Z822" s="254"/>
    </row>
    <row r="823">
      <c r="A823" s="254"/>
      <c r="B823" s="254"/>
      <c r="C823" s="254"/>
      <c r="D823" s="254"/>
      <c r="E823" s="254"/>
      <c r="F823" s="254"/>
      <c r="G823" s="254"/>
      <c r="H823" s="254"/>
      <c r="I823" s="254"/>
      <c r="J823" s="254"/>
      <c r="K823" s="254"/>
      <c r="L823" s="254"/>
      <c r="M823" s="254"/>
      <c r="N823" s="254"/>
      <c r="O823" s="254"/>
      <c r="P823" s="254"/>
      <c r="Q823" s="254"/>
      <c r="R823" s="254"/>
      <c r="S823" s="254"/>
      <c r="T823" s="254"/>
      <c r="U823" s="254"/>
      <c r="V823" s="254"/>
      <c r="W823" s="254"/>
      <c r="X823" s="254"/>
      <c r="Y823" s="254"/>
      <c r="Z823" s="254"/>
    </row>
    <row r="824">
      <c r="A824" s="254"/>
      <c r="B824" s="254"/>
      <c r="C824" s="254"/>
      <c r="D824" s="254"/>
      <c r="E824" s="254"/>
      <c r="F824" s="254"/>
      <c r="G824" s="254"/>
      <c r="H824" s="254"/>
      <c r="I824" s="254"/>
      <c r="J824" s="254"/>
      <c r="K824" s="254"/>
      <c r="L824" s="254"/>
      <c r="M824" s="254"/>
      <c r="N824" s="254"/>
      <c r="O824" s="254"/>
      <c r="P824" s="254"/>
      <c r="Q824" s="254"/>
      <c r="R824" s="254"/>
      <c r="S824" s="254"/>
      <c r="T824" s="254"/>
      <c r="U824" s="254"/>
      <c r="V824" s="254"/>
      <c r="W824" s="254"/>
      <c r="X824" s="254"/>
      <c r="Y824" s="254"/>
      <c r="Z824" s="254"/>
    </row>
    <row r="825">
      <c r="A825" s="254"/>
      <c r="B825" s="254"/>
      <c r="C825" s="254"/>
      <c r="D825" s="254"/>
      <c r="E825" s="254"/>
      <c r="F825" s="254"/>
      <c r="G825" s="254"/>
      <c r="H825" s="254"/>
      <c r="I825" s="254"/>
      <c r="J825" s="254"/>
      <c r="K825" s="254"/>
      <c r="L825" s="254"/>
      <c r="M825" s="254"/>
      <c r="N825" s="254"/>
      <c r="O825" s="254"/>
      <c r="P825" s="254"/>
      <c r="Q825" s="254"/>
      <c r="R825" s="254"/>
      <c r="S825" s="254"/>
      <c r="T825" s="254"/>
      <c r="U825" s="254"/>
      <c r="V825" s="254"/>
      <c r="W825" s="254"/>
      <c r="X825" s="254"/>
      <c r="Y825" s="254"/>
      <c r="Z825" s="254"/>
    </row>
    <row r="826">
      <c r="A826" s="254"/>
      <c r="B826" s="254"/>
      <c r="C826" s="254"/>
      <c r="D826" s="254"/>
      <c r="E826" s="254"/>
      <c r="F826" s="254"/>
      <c r="G826" s="254"/>
      <c r="H826" s="254"/>
      <c r="I826" s="254"/>
      <c r="J826" s="254"/>
      <c r="K826" s="254"/>
      <c r="L826" s="254"/>
      <c r="M826" s="254"/>
      <c r="N826" s="254"/>
      <c r="O826" s="254"/>
      <c r="P826" s="254"/>
      <c r="Q826" s="254"/>
      <c r="R826" s="254"/>
      <c r="S826" s="254"/>
      <c r="T826" s="254"/>
      <c r="U826" s="254"/>
      <c r="V826" s="254"/>
      <c r="W826" s="254"/>
      <c r="X826" s="254"/>
      <c r="Y826" s="254"/>
      <c r="Z826" s="254"/>
    </row>
    <row r="827">
      <c r="A827" s="254"/>
      <c r="B827" s="254"/>
      <c r="C827" s="254"/>
      <c r="D827" s="254"/>
      <c r="E827" s="254"/>
      <c r="F827" s="254"/>
      <c r="G827" s="254"/>
      <c r="H827" s="254"/>
      <c r="I827" s="254"/>
      <c r="J827" s="254"/>
      <c r="K827" s="254"/>
      <c r="L827" s="254"/>
      <c r="M827" s="254"/>
      <c r="N827" s="254"/>
      <c r="O827" s="254"/>
      <c r="P827" s="254"/>
      <c r="Q827" s="254"/>
      <c r="R827" s="254"/>
      <c r="S827" s="254"/>
      <c r="T827" s="254"/>
      <c r="U827" s="254"/>
      <c r="V827" s="254"/>
      <c r="W827" s="254"/>
      <c r="X827" s="254"/>
      <c r="Y827" s="254"/>
      <c r="Z827" s="254"/>
    </row>
    <row r="828">
      <c r="A828" s="254"/>
      <c r="B828" s="254"/>
      <c r="C828" s="254"/>
      <c r="D828" s="254"/>
      <c r="E828" s="254"/>
      <c r="F828" s="254"/>
      <c r="G828" s="254"/>
      <c r="H828" s="254"/>
      <c r="I828" s="254"/>
      <c r="J828" s="254"/>
      <c r="K828" s="254"/>
      <c r="L828" s="254"/>
      <c r="M828" s="254"/>
      <c r="N828" s="254"/>
      <c r="O828" s="254"/>
      <c r="P828" s="254"/>
      <c r="Q828" s="254"/>
      <c r="R828" s="254"/>
      <c r="S828" s="254"/>
      <c r="T828" s="254"/>
      <c r="U828" s="254"/>
      <c r="V828" s="254"/>
      <c r="W828" s="254"/>
      <c r="X828" s="254"/>
      <c r="Y828" s="254"/>
      <c r="Z828" s="254"/>
    </row>
    <row r="829">
      <c r="A829" s="254"/>
      <c r="B829" s="254"/>
      <c r="C829" s="254"/>
      <c r="D829" s="254"/>
      <c r="E829" s="254"/>
      <c r="F829" s="254"/>
      <c r="G829" s="254"/>
      <c r="H829" s="254"/>
      <c r="I829" s="254"/>
      <c r="J829" s="254"/>
      <c r="K829" s="254"/>
      <c r="L829" s="254"/>
      <c r="M829" s="254"/>
      <c r="N829" s="254"/>
      <c r="O829" s="254"/>
      <c r="P829" s="254"/>
      <c r="Q829" s="254"/>
      <c r="R829" s="254"/>
      <c r="S829" s="254"/>
      <c r="T829" s="254"/>
      <c r="U829" s="254"/>
      <c r="V829" s="254"/>
      <c r="W829" s="254"/>
      <c r="X829" s="254"/>
      <c r="Y829" s="254"/>
      <c r="Z829" s="254"/>
    </row>
    <row r="830">
      <c r="A830" s="254"/>
      <c r="B830" s="254"/>
      <c r="C830" s="254"/>
      <c r="D830" s="254"/>
      <c r="E830" s="254"/>
      <c r="F830" s="254"/>
      <c r="G830" s="254"/>
      <c r="H830" s="254"/>
      <c r="I830" s="254"/>
      <c r="J830" s="254"/>
      <c r="K830" s="254"/>
      <c r="L830" s="254"/>
      <c r="M830" s="254"/>
      <c r="N830" s="254"/>
      <c r="O830" s="254"/>
      <c r="P830" s="254"/>
      <c r="Q830" s="254"/>
      <c r="R830" s="254"/>
      <c r="S830" s="254"/>
      <c r="T830" s="254"/>
      <c r="U830" s="254"/>
      <c r="V830" s="254"/>
      <c r="W830" s="254"/>
      <c r="X830" s="254"/>
      <c r="Y830" s="254"/>
      <c r="Z830" s="254"/>
    </row>
    <row r="831">
      <c r="A831" s="254"/>
      <c r="B831" s="254"/>
      <c r="C831" s="254"/>
      <c r="D831" s="254"/>
      <c r="E831" s="254"/>
      <c r="F831" s="254"/>
      <c r="G831" s="254"/>
      <c r="H831" s="254"/>
      <c r="I831" s="254"/>
      <c r="J831" s="254"/>
      <c r="K831" s="254"/>
      <c r="L831" s="254"/>
      <c r="M831" s="254"/>
      <c r="N831" s="254"/>
      <c r="O831" s="254"/>
      <c r="P831" s="254"/>
      <c r="Q831" s="254"/>
      <c r="R831" s="254"/>
      <c r="S831" s="254"/>
      <c r="T831" s="254"/>
      <c r="U831" s="254"/>
      <c r="V831" s="254"/>
      <c r="W831" s="254"/>
      <c r="X831" s="254"/>
      <c r="Y831" s="254"/>
      <c r="Z831" s="254"/>
    </row>
    <row r="832">
      <c r="A832" s="254"/>
      <c r="B832" s="254"/>
      <c r="C832" s="254"/>
      <c r="D832" s="254"/>
      <c r="E832" s="254"/>
      <c r="F832" s="254"/>
      <c r="G832" s="254"/>
      <c r="H832" s="254"/>
      <c r="I832" s="254"/>
      <c r="J832" s="254"/>
      <c r="K832" s="254"/>
      <c r="L832" s="254"/>
      <c r="M832" s="254"/>
      <c r="N832" s="254"/>
      <c r="O832" s="254"/>
      <c r="P832" s="254"/>
      <c r="Q832" s="254"/>
      <c r="R832" s="254"/>
      <c r="S832" s="254"/>
      <c r="T832" s="254"/>
      <c r="U832" s="254"/>
      <c r="V832" s="254"/>
      <c r="W832" s="254"/>
      <c r="X832" s="254"/>
      <c r="Y832" s="254"/>
      <c r="Z832" s="254"/>
    </row>
    <row r="833">
      <c r="A833" s="254"/>
      <c r="B833" s="254"/>
      <c r="C833" s="254"/>
      <c r="D833" s="254"/>
      <c r="E833" s="254"/>
      <c r="F833" s="254"/>
      <c r="G833" s="254"/>
      <c r="H833" s="254"/>
      <c r="I833" s="254"/>
      <c r="J833" s="254"/>
      <c r="K833" s="254"/>
      <c r="L833" s="254"/>
      <c r="M833" s="254"/>
      <c r="N833" s="254"/>
      <c r="O833" s="254"/>
      <c r="P833" s="254"/>
      <c r="Q833" s="254"/>
      <c r="R833" s="254"/>
      <c r="S833" s="254"/>
      <c r="T833" s="254"/>
      <c r="U833" s="254"/>
      <c r="V833" s="254"/>
      <c r="W833" s="254"/>
      <c r="X833" s="254"/>
      <c r="Y833" s="254"/>
      <c r="Z833" s="254"/>
    </row>
    <row r="834">
      <c r="A834" s="254"/>
      <c r="B834" s="254"/>
      <c r="C834" s="254"/>
      <c r="D834" s="254"/>
      <c r="E834" s="254"/>
      <c r="F834" s="254"/>
      <c r="G834" s="254"/>
      <c r="H834" s="254"/>
      <c r="I834" s="254"/>
      <c r="J834" s="254"/>
      <c r="K834" s="254"/>
      <c r="L834" s="254"/>
      <c r="M834" s="254"/>
      <c r="N834" s="254"/>
      <c r="O834" s="254"/>
      <c r="P834" s="254"/>
      <c r="Q834" s="254"/>
      <c r="R834" s="254"/>
      <c r="S834" s="254"/>
      <c r="T834" s="254"/>
      <c r="U834" s="254"/>
      <c r="V834" s="254"/>
      <c r="W834" s="254"/>
      <c r="X834" s="254"/>
      <c r="Y834" s="254"/>
      <c r="Z834" s="254"/>
    </row>
    <row r="835">
      <c r="A835" s="254"/>
      <c r="B835" s="254"/>
      <c r="C835" s="254"/>
      <c r="D835" s="254"/>
      <c r="E835" s="254"/>
      <c r="F835" s="254"/>
      <c r="G835" s="254"/>
      <c r="H835" s="254"/>
      <c r="I835" s="254"/>
      <c r="J835" s="254"/>
      <c r="K835" s="254"/>
      <c r="L835" s="254"/>
      <c r="M835" s="254"/>
      <c r="N835" s="254"/>
      <c r="O835" s="254"/>
      <c r="P835" s="254"/>
      <c r="Q835" s="254"/>
      <c r="R835" s="254"/>
      <c r="S835" s="254"/>
      <c r="T835" s="254"/>
      <c r="U835" s="254"/>
      <c r="V835" s="254"/>
      <c r="W835" s="254"/>
      <c r="X835" s="254"/>
      <c r="Y835" s="254"/>
      <c r="Z835" s="254"/>
    </row>
    <row r="836">
      <c r="A836" s="254"/>
      <c r="B836" s="254"/>
      <c r="C836" s="254"/>
      <c r="D836" s="254"/>
      <c r="E836" s="254"/>
      <c r="F836" s="254"/>
      <c r="G836" s="254"/>
      <c r="H836" s="254"/>
      <c r="I836" s="254"/>
      <c r="J836" s="254"/>
      <c r="K836" s="254"/>
      <c r="L836" s="254"/>
      <c r="M836" s="254"/>
      <c r="N836" s="254"/>
      <c r="O836" s="254"/>
      <c r="P836" s="254"/>
      <c r="Q836" s="254"/>
      <c r="R836" s="254"/>
      <c r="S836" s="254"/>
      <c r="T836" s="254"/>
      <c r="U836" s="254"/>
      <c r="V836" s="254"/>
      <c r="W836" s="254"/>
      <c r="X836" s="254"/>
      <c r="Y836" s="254"/>
      <c r="Z836" s="254"/>
    </row>
    <row r="837">
      <c r="A837" s="254"/>
      <c r="B837" s="254"/>
      <c r="C837" s="254"/>
      <c r="D837" s="254"/>
      <c r="E837" s="254"/>
      <c r="F837" s="254"/>
      <c r="G837" s="254"/>
      <c r="H837" s="254"/>
      <c r="I837" s="254"/>
      <c r="J837" s="254"/>
      <c r="K837" s="254"/>
      <c r="L837" s="254"/>
      <c r="M837" s="254"/>
      <c r="N837" s="254"/>
      <c r="O837" s="254"/>
      <c r="P837" s="254"/>
      <c r="Q837" s="254"/>
      <c r="R837" s="254"/>
      <c r="S837" s="254"/>
      <c r="T837" s="254"/>
      <c r="U837" s="254"/>
      <c r="V837" s="254"/>
      <c r="W837" s="254"/>
      <c r="X837" s="254"/>
      <c r="Y837" s="254"/>
      <c r="Z837" s="254"/>
    </row>
    <row r="838">
      <c r="A838" s="254"/>
      <c r="B838" s="254"/>
      <c r="C838" s="254"/>
      <c r="D838" s="254"/>
      <c r="E838" s="254"/>
      <c r="F838" s="254"/>
      <c r="G838" s="254"/>
      <c r="H838" s="254"/>
      <c r="I838" s="254"/>
      <c r="J838" s="254"/>
      <c r="K838" s="254"/>
      <c r="L838" s="254"/>
      <c r="M838" s="254"/>
      <c r="N838" s="254"/>
      <c r="O838" s="254"/>
      <c r="P838" s="254"/>
      <c r="Q838" s="254"/>
      <c r="R838" s="254"/>
      <c r="S838" s="254"/>
      <c r="T838" s="254"/>
      <c r="U838" s="254"/>
      <c r="V838" s="254"/>
      <c r="W838" s="254"/>
      <c r="X838" s="254"/>
      <c r="Y838" s="254"/>
      <c r="Z838" s="254"/>
    </row>
    <row r="839">
      <c r="A839" s="254"/>
      <c r="B839" s="254"/>
      <c r="C839" s="254"/>
      <c r="D839" s="254"/>
      <c r="E839" s="254"/>
      <c r="F839" s="254"/>
      <c r="G839" s="254"/>
      <c r="H839" s="254"/>
      <c r="I839" s="254"/>
      <c r="J839" s="254"/>
      <c r="K839" s="254"/>
      <c r="L839" s="254"/>
      <c r="M839" s="254"/>
      <c r="N839" s="254"/>
      <c r="O839" s="254"/>
      <c r="P839" s="254"/>
      <c r="Q839" s="254"/>
      <c r="R839" s="254"/>
      <c r="S839" s="254"/>
      <c r="T839" s="254"/>
      <c r="U839" s="254"/>
      <c r="V839" s="254"/>
      <c r="W839" s="254"/>
      <c r="X839" s="254"/>
      <c r="Y839" s="254"/>
      <c r="Z839" s="254"/>
    </row>
    <row r="840">
      <c r="A840" s="254"/>
      <c r="B840" s="254"/>
      <c r="C840" s="254"/>
      <c r="D840" s="254"/>
      <c r="E840" s="254"/>
      <c r="F840" s="254"/>
      <c r="G840" s="254"/>
      <c r="H840" s="254"/>
      <c r="I840" s="254"/>
      <c r="J840" s="254"/>
      <c r="K840" s="254"/>
      <c r="L840" s="254"/>
      <c r="M840" s="254"/>
      <c r="N840" s="254"/>
      <c r="O840" s="254"/>
      <c r="P840" s="254"/>
      <c r="Q840" s="254"/>
      <c r="R840" s="254"/>
      <c r="S840" s="254"/>
      <c r="T840" s="254"/>
      <c r="U840" s="254"/>
      <c r="V840" s="254"/>
      <c r="W840" s="254"/>
      <c r="X840" s="254"/>
      <c r="Y840" s="254"/>
      <c r="Z840" s="254"/>
    </row>
    <row r="841">
      <c r="A841" s="254"/>
      <c r="B841" s="254"/>
      <c r="C841" s="254"/>
      <c r="D841" s="254"/>
      <c r="E841" s="254"/>
      <c r="F841" s="254"/>
      <c r="G841" s="254"/>
      <c r="H841" s="254"/>
      <c r="I841" s="254"/>
      <c r="J841" s="254"/>
      <c r="K841" s="254"/>
      <c r="L841" s="254"/>
      <c r="M841" s="254"/>
      <c r="N841" s="254"/>
      <c r="O841" s="254"/>
      <c r="P841" s="254"/>
      <c r="Q841" s="254"/>
      <c r="R841" s="254"/>
      <c r="S841" s="254"/>
      <c r="T841" s="254"/>
      <c r="U841" s="254"/>
      <c r="V841" s="254"/>
      <c r="W841" s="254"/>
      <c r="X841" s="254"/>
      <c r="Y841" s="254"/>
      <c r="Z841" s="254"/>
    </row>
    <row r="842">
      <c r="A842" s="254"/>
      <c r="B842" s="254"/>
      <c r="C842" s="254"/>
      <c r="D842" s="254"/>
      <c r="E842" s="254"/>
      <c r="F842" s="254"/>
      <c r="G842" s="254"/>
      <c r="H842" s="254"/>
      <c r="I842" s="254"/>
      <c r="J842" s="254"/>
      <c r="K842" s="254"/>
      <c r="L842" s="254"/>
      <c r="M842" s="254"/>
      <c r="N842" s="254"/>
      <c r="O842" s="254"/>
      <c r="P842" s="254"/>
      <c r="Q842" s="254"/>
      <c r="R842" s="254"/>
      <c r="S842" s="254"/>
      <c r="T842" s="254"/>
      <c r="U842" s="254"/>
      <c r="V842" s="254"/>
      <c r="W842" s="254"/>
      <c r="X842" s="254"/>
      <c r="Y842" s="254"/>
      <c r="Z842" s="254"/>
    </row>
    <row r="843">
      <c r="A843" s="254"/>
      <c r="B843" s="254"/>
      <c r="C843" s="254"/>
      <c r="D843" s="254"/>
      <c r="E843" s="254"/>
      <c r="F843" s="254"/>
      <c r="G843" s="254"/>
      <c r="H843" s="254"/>
      <c r="I843" s="254"/>
      <c r="J843" s="254"/>
      <c r="K843" s="254"/>
      <c r="L843" s="254"/>
      <c r="M843" s="254"/>
      <c r="N843" s="254"/>
      <c r="O843" s="254"/>
      <c r="P843" s="254"/>
      <c r="Q843" s="254"/>
      <c r="R843" s="254"/>
      <c r="S843" s="254"/>
      <c r="T843" s="254"/>
      <c r="U843" s="254"/>
      <c r="V843" s="254"/>
      <c r="W843" s="254"/>
      <c r="X843" s="254"/>
      <c r="Y843" s="254"/>
      <c r="Z843" s="254"/>
    </row>
    <row r="844">
      <c r="A844" s="254"/>
      <c r="B844" s="254"/>
      <c r="C844" s="254"/>
      <c r="D844" s="254"/>
      <c r="E844" s="254"/>
      <c r="F844" s="254"/>
      <c r="G844" s="254"/>
      <c r="H844" s="254"/>
      <c r="I844" s="254"/>
      <c r="J844" s="254"/>
      <c r="K844" s="254"/>
      <c r="L844" s="254"/>
      <c r="M844" s="254"/>
      <c r="N844" s="254"/>
      <c r="O844" s="254"/>
      <c r="P844" s="254"/>
      <c r="Q844" s="254"/>
      <c r="R844" s="254"/>
      <c r="S844" s="254"/>
      <c r="T844" s="254"/>
      <c r="U844" s="254"/>
      <c r="V844" s="254"/>
      <c r="W844" s="254"/>
      <c r="X844" s="254"/>
      <c r="Y844" s="254"/>
      <c r="Z844" s="254"/>
    </row>
    <row r="845">
      <c r="A845" s="254"/>
      <c r="B845" s="254"/>
      <c r="C845" s="254"/>
      <c r="D845" s="254"/>
      <c r="E845" s="254"/>
      <c r="F845" s="254"/>
      <c r="G845" s="254"/>
      <c r="H845" s="254"/>
      <c r="I845" s="254"/>
      <c r="J845" s="254"/>
      <c r="K845" s="254"/>
      <c r="L845" s="254"/>
      <c r="M845" s="254"/>
      <c r="N845" s="254"/>
      <c r="O845" s="254"/>
      <c r="P845" s="254"/>
      <c r="Q845" s="254"/>
      <c r="R845" s="254"/>
      <c r="S845" s="254"/>
      <c r="T845" s="254"/>
      <c r="U845" s="254"/>
      <c r="V845" s="254"/>
      <c r="W845" s="254"/>
      <c r="X845" s="254"/>
      <c r="Y845" s="254"/>
      <c r="Z845" s="254"/>
    </row>
    <row r="846">
      <c r="A846" s="254"/>
      <c r="B846" s="254"/>
      <c r="C846" s="254"/>
      <c r="D846" s="254"/>
      <c r="E846" s="254"/>
      <c r="F846" s="254"/>
      <c r="G846" s="254"/>
      <c r="H846" s="254"/>
      <c r="I846" s="254"/>
      <c r="J846" s="254"/>
      <c r="K846" s="254"/>
      <c r="L846" s="254"/>
      <c r="M846" s="254"/>
      <c r="N846" s="254"/>
      <c r="O846" s="254"/>
      <c r="P846" s="254"/>
      <c r="Q846" s="254"/>
      <c r="R846" s="254"/>
      <c r="S846" s="254"/>
      <c r="T846" s="254"/>
      <c r="U846" s="254"/>
      <c r="V846" s="254"/>
      <c r="W846" s="254"/>
      <c r="X846" s="254"/>
      <c r="Y846" s="254"/>
      <c r="Z846" s="254"/>
    </row>
    <row r="847">
      <c r="A847" s="254"/>
      <c r="B847" s="254"/>
      <c r="C847" s="254"/>
      <c r="D847" s="254"/>
      <c r="E847" s="254"/>
      <c r="F847" s="254"/>
      <c r="G847" s="254"/>
      <c r="H847" s="254"/>
      <c r="I847" s="254"/>
      <c r="J847" s="254"/>
      <c r="K847" s="254"/>
      <c r="L847" s="254"/>
      <c r="M847" s="254"/>
      <c r="N847" s="254"/>
      <c r="O847" s="254"/>
      <c r="P847" s="254"/>
      <c r="Q847" s="254"/>
      <c r="R847" s="254"/>
      <c r="S847" s="254"/>
      <c r="T847" s="254"/>
      <c r="U847" s="254"/>
      <c r="V847" s="254"/>
      <c r="W847" s="254"/>
      <c r="X847" s="254"/>
      <c r="Y847" s="254"/>
      <c r="Z847" s="254"/>
    </row>
    <row r="848">
      <c r="A848" s="254"/>
      <c r="B848" s="254"/>
      <c r="C848" s="254"/>
      <c r="D848" s="254"/>
      <c r="E848" s="254"/>
      <c r="F848" s="254"/>
      <c r="G848" s="254"/>
      <c r="H848" s="254"/>
      <c r="I848" s="254"/>
      <c r="J848" s="254"/>
      <c r="K848" s="254"/>
      <c r="L848" s="254"/>
      <c r="M848" s="254"/>
      <c r="N848" s="254"/>
      <c r="O848" s="254"/>
      <c r="P848" s="254"/>
      <c r="Q848" s="254"/>
      <c r="R848" s="254"/>
      <c r="S848" s="254"/>
      <c r="T848" s="254"/>
      <c r="U848" s="254"/>
      <c r="V848" s="254"/>
      <c r="W848" s="254"/>
      <c r="X848" s="254"/>
      <c r="Y848" s="254"/>
      <c r="Z848" s="254"/>
    </row>
    <row r="849">
      <c r="A849" s="254"/>
      <c r="B849" s="254"/>
      <c r="C849" s="254"/>
      <c r="D849" s="254"/>
      <c r="E849" s="254"/>
      <c r="F849" s="254"/>
      <c r="G849" s="254"/>
      <c r="H849" s="254"/>
      <c r="I849" s="254"/>
      <c r="J849" s="254"/>
      <c r="K849" s="254"/>
      <c r="L849" s="254"/>
      <c r="M849" s="254"/>
      <c r="N849" s="254"/>
      <c r="O849" s="254"/>
      <c r="P849" s="254"/>
      <c r="Q849" s="254"/>
      <c r="R849" s="254"/>
      <c r="S849" s="254"/>
      <c r="T849" s="254"/>
      <c r="U849" s="254"/>
      <c r="V849" s="254"/>
      <c r="W849" s="254"/>
      <c r="X849" s="254"/>
      <c r="Y849" s="254"/>
      <c r="Z849" s="254"/>
    </row>
    <row r="850">
      <c r="A850" s="254"/>
      <c r="B850" s="254"/>
      <c r="C850" s="254"/>
      <c r="D850" s="254"/>
      <c r="E850" s="254"/>
      <c r="F850" s="254"/>
      <c r="G850" s="254"/>
      <c r="H850" s="254"/>
      <c r="I850" s="254"/>
      <c r="J850" s="254"/>
      <c r="K850" s="254"/>
      <c r="L850" s="254"/>
      <c r="M850" s="254"/>
      <c r="N850" s="254"/>
      <c r="O850" s="254"/>
      <c r="P850" s="254"/>
      <c r="Q850" s="254"/>
      <c r="R850" s="254"/>
      <c r="S850" s="254"/>
      <c r="T850" s="254"/>
      <c r="U850" s="254"/>
      <c r="V850" s="254"/>
      <c r="W850" s="254"/>
      <c r="X850" s="254"/>
      <c r="Y850" s="254"/>
      <c r="Z850" s="254"/>
    </row>
    <row r="851">
      <c r="A851" s="254"/>
      <c r="B851" s="254"/>
      <c r="C851" s="254"/>
      <c r="D851" s="254"/>
      <c r="E851" s="254"/>
      <c r="F851" s="254"/>
      <c r="G851" s="254"/>
      <c r="H851" s="254"/>
      <c r="I851" s="254"/>
      <c r="J851" s="254"/>
      <c r="K851" s="254"/>
      <c r="L851" s="254"/>
      <c r="M851" s="254"/>
      <c r="N851" s="254"/>
      <c r="O851" s="254"/>
      <c r="P851" s="254"/>
      <c r="Q851" s="254"/>
      <c r="R851" s="254"/>
      <c r="S851" s="254"/>
      <c r="T851" s="254"/>
      <c r="U851" s="254"/>
      <c r="V851" s="254"/>
      <c r="W851" s="254"/>
      <c r="X851" s="254"/>
      <c r="Y851" s="254"/>
      <c r="Z851" s="254"/>
    </row>
    <row r="852">
      <c r="A852" s="254"/>
      <c r="B852" s="254"/>
      <c r="C852" s="254"/>
      <c r="D852" s="254"/>
      <c r="E852" s="254"/>
      <c r="F852" s="254"/>
      <c r="G852" s="254"/>
      <c r="H852" s="254"/>
      <c r="I852" s="254"/>
      <c r="J852" s="254"/>
      <c r="K852" s="254"/>
      <c r="L852" s="254"/>
      <c r="M852" s="254"/>
      <c r="N852" s="254"/>
      <c r="O852" s="254"/>
      <c r="P852" s="254"/>
      <c r="Q852" s="254"/>
      <c r="R852" s="254"/>
      <c r="S852" s="254"/>
      <c r="T852" s="254"/>
      <c r="U852" s="254"/>
      <c r="V852" s="254"/>
      <c r="W852" s="254"/>
      <c r="X852" s="254"/>
      <c r="Y852" s="254"/>
      <c r="Z852" s="254"/>
    </row>
    <row r="853">
      <c r="A853" s="254"/>
      <c r="B853" s="254"/>
      <c r="C853" s="254"/>
      <c r="D853" s="254"/>
      <c r="E853" s="254"/>
      <c r="F853" s="254"/>
      <c r="G853" s="254"/>
      <c r="H853" s="254"/>
      <c r="I853" s="254"/>
      <c r="J853" s="254"/>
      <c r="K853" s="254"/>
      <c r="L853" s="254"/>
      <c r="M853" s="254"/>
      <c r="N853" s="254"/>
      <c r="O853" s="254"/>
      <c r="P853" s="254"/>
      <c r="Q853" s="254"/>
      <c r="R853" s="254"/>
      <c r="S853" s="254"/>
      <c r="T853" s="254"/>
      <c r="U853" s="254"/>
      <c r="V853" s="254"/>
      <c r="W853" s="254"/>
      <c r="X853" s="254"/>
      <c r="Y853" s="254"/>
      <c r="Z853" s="254"/>
    </row>
    <row r="854">
      <c r="A854" s="254"/>
      <c r="B854" s="254"/>
      <c r="C854" s="254"/>
      <c r="D854" s="254"/>
      <c r="E854" s="254"/>
      <c r="F854" s="254"/>
      <c r="G854" s="254"/>
      <c r="H854" s="254"/>
      <c r="I854" s="254"/>
      <c r="J854" s="254"/>
      <c r="K854" s="254"/>
      <c r="L854" s="254"/>
      <c r="M854" s="254"/>
      <c r="N854" s="254"/>
      <c r="O854" s="254"/>
      <c r="P854" s="254"/>
      <c r="Q854" s="254"/>
      <c r="R854" s="254"/>
      <c r="S854" s="254"/>
      <c r="T854" s="254"/>
      <c r="U854" s="254"/>
      <c r="V854" s="254"/>
      <c r="W854" s="254"/>
      <c r="X854" s="254"/>
      <c r="Y854" s="254"/>
      <c r="Z854" s="254"/>
    </row>
    <row r="855">
      <c r="A855" s="254"/>
      <c r="B855" s="254"/>
      <c r="C855" s="254"/>
      <c r="D855" s="254"/>
      <c r="E855" s="254"/>
      <c r="F855" s="254"/>
      <c r="G855" s="254"/>
      <c r="H855" s="254"/>
      <c r="I855" s="254"/>
      <c r="J855" s="254"/>
      <c r="K855" s="254"/>
      <c r="L855" s="254"/>
      <c r="M855" s="254"/>
      <c r="N855" s="254"/>
      <c r="O855" s="254"/>
      <c r="P855" s="254"/>
      <c r="Q855" s="254"/>
      <c r="R855" s="254"/>
      <c r="S855" s="254"/>
      <c r="T855" s="254"/>
      <c r="U855" s="254"/>
      <c r="V855" s="254"/>
      <c r="W855" s="254"/>
      <c r="X855" s="254"/>
      <c r="Y855" s="254"/>
      <c r="Z855" s="254"/>
    </row>
    <row r="856">
      <c r="A856" s="254"/>
      <c r="B856" s="254"/>
      <c r="C856" s="254"/>
      <c r="D856" s="254"/>
      <c r="E856" s="254"/>
      <c r="F856" s="254"/>
      <c r="G856" s="254"/>
      <c r="H856" s="254"/>
      <c r="I856" s="254"/>
      <c r="J856" s="254"/>
      <c r="K856" s="254"/>
      <c r="L856" s="254"/>
      <c r="M856" s="254"/>
      <c r="N856" s="254"/>
      <c r="O856" s="254"/>
      <c r="P856" s="254"/>
      <c r="Q856" s="254"/>
      <c r="R856" s="254"/>
      <c r="S856" s="254"/>
      <c r="T856" s="254"/>
      <c r="U856" s="254"/>
      <c r="V856" s="254"/>
      <c r="W856" s="254"/>
      <c r="X856" s="254"/>
      <c r="Y856" s="254"/>
      <c r="Z856" s="254"/>
    </row>
    <row r="857">
      <c r="A857" s="254"/>
      <c r="B857" s="254"/>
      <c r="C857" s="254"/>
      <c r="D857" s="254"/>
      <c r="E857" s="254"/>
      <c r="F857" s="254"/>
      <c r="G857" s="254"/>
      <c r="H857" s="254"/>
      <c r="I857" s="254"/>
      <c r="J857" s="254"/>
      <c r="K857" s="254"/>
      <c r="L857" s="254"/>
      <c r="M857" s="254"/>
      <c r="N857" s="254"/>
      <c r="O857" s="254"/>
      <c r="P857" s="254"/>
      <c r="Q857" s="254"/>
      <c r="R857" s="254"/>
      <c r="S857" s="254"/>
      <c r="T857" s="254"/>
      <c r="U857" s="254"/>
      <c r="V857" s="254"/>
      <c r="W857" s="254"/>
      <c r="X857" s="254"/>
      <c r="Y857" s="254"/>
      <c r="Z857" s="254"/>
    </row>
    <row r="858">
      <c r="A858" s="254"/>
      <c r="B858" s="254"/>
      <c r="C858" s="254"/>
      <c r="D858" s="254"/>
      <c r="E858" s="254"/>
      <c r="F858" s="254"/>
      <c r="G858" s="254"/>
      <c r="H858" s="254"/>
      <c r="I858" s="254"/>
      <c r="J858" s="254"/>
      <c r="K858" s="254"/>
      <c r="L858" s="254"/>
      <c r="M858" s="254"/>
      <c r="N858" s="254"/>
      <c r="O858" s="254"/>
      <c r="P858" s="254"/>
      <c r="Q858" s="254"/>
      <c r="R858" s="254"/>
      <c r="S858" s="254"/>
      <c r="T858" s="254"/>
      <c r="U858" s="254"/>
      <c r="V858" s="254"/>
      <c r="W858" s="254"/>
      <c r="X858" s="254"/>
      <c r="Y858" s="254"/>
      <c r="Z858" s="254"/>
    </row>
    <row r="859">
      <c r="A859" s="254"/>
      <c r="B859" s="254"/>
      <c r="C859" s="254"/>
      <c r="D859" s="254"/>
      <c r="E859" s="254"/>
      <c r="F859" s="254"/>
      <c r="G859" s="254"/>
      <c r="H859" s="254"/>
      <c r="I859" s="254"/>
      <c r="J859" s="254"/>
      <c r="K859" s="254"/>
      <c r="L859" s="254"/>
      <c r="M859" s="254"/>
      <c r="N859" s="254"/>
      <c r="O859" s="254"/>
      <c r="P859" s="254"/>
      <c r="Q859" s="254"/>
      <c r="R859" s="254"/>
      <c r="S859" s="254"/>
      <c r="T859" s="254"/>
      <c r="U859" s="254"/>
      <c r="V859" s="254"/>
      <c r="W859" s="254"/>
      <c r="X859" s="254"/>
      <c r="Y859" s="254"/>
      <c r="Z859" s="254"/>
    </row>
    <row r="860">
      <c r="A860" s="254"/>
      <c r="B860" s="254"/>
      <c r="C860" s="254"/>
      <c r="D860" s="254"/>
      <c r="E860" s="254"/>
      <c r="F860" s="254"/>
      <c r="G860" s="254"/>
      <c r="H860" s="254"/>
      <c r="I860" s="254"/>
      <c r="J860" s="254"/>
      <c r="K860" s="254"/>
      <c r="L860" s="254"/>
      <c r="M860" s="254"/>
      <c r="N860" s="254"/>
      <c r="O860" s="254"/>
      <c r="P860" s="254"/>
      <c r="Q860" s="254"/>
      <c r="R860" s="254"/>
      <c r="S860" s="254"/>
      <c r="T860" s="254"/>
      <c r="U860" s="254"/>
      <c r="V860" s="254"/>
      <c r="W860" s="254"/>
      <c r="X860" s="254"/>
      <c r="Y860" s="254"/>
      <c r="Z860" s="254"/>
    </row>
    <row r="861">
      <c r="A861" s="254"/>
      <c r="B861" s="254"/>
      <c r="C861" s="254"/>
      <c r="D861" s="254"/>
      <c r="E861" s="254"/>
      <c r="F861" s="254"/>
      <c r="G861" s="254"/>
      <c r="H861" s="254"/>
      <c r="I861" s="254"/>
      <c r="J861" s="254"/>
      <c r="K861" s="254"/>
      <c r="L861" s="254"/>
      <c r="M861" s="254"/>
      <c r="N861" s="254"/>
      <c r="O861" s="254"/>
      <c r="P861" s="254"/>
      <c r="Q861" s="254"/>
      <c r="R861" s="254"/>
      <c r="S861" s="254"/>
      <c r="T861" s="254"/>
      <c r="U861" s="254"/>
      <c r="V861" s="254"/>
      <c r="W861" s="254"/>
      <c r="X861" s="254"/>
      <c r="Y861" s="254"/>
      <c r="Z861" s="254"/>
    </row>
    <row r="862">
      <c r="A862" s="254"/>
      <c r="B862" s="254"/>
      <c r="C862" s="254"/>
      <c r="D862" s="254"/>
      <c r="E862" s="254"/>
      <c r="F862" s="254"/>
      <c r="G862" s="254"/>
      <c r="H862" s="254"/>
      <c r="I862" s="254"/>
      <c r="J862" s="254"/>
      <c r="K862" s="254"/>
      <c r="L862" s="254"/>
      <c r="M862" s="254"/>
      <c r="N862" s="254"/>
      <c r="O862" s="254"/>
      <c r="P862" s="254"/>
      <c r="Q862" s="254"/>
      <c r="R862" s="254"/>
      <c r="S862" s="254"/>
      <c r="T862" s="254"/>
      <c r="U862" s="254"/>
      <c r="V862" s="254"/>
      <c r="W862" s="254"/>
      <c r="X862" s="254"/>
      <c r="Y862" s="254"/>
      <c r="Z862" s="254"/>
    </row>
    <row r="863">
      <c r="A863" s="254"/>
      <c r="B863" s="254"/>
      <c r="C863" s="254"/>
      <c r="D863" s="254"/>
      <c r="E863" s="254"/>
      <c r="F863" s="254"/>
      <c r="G863" s="254"/>
      <c r="H863" s="254"/>
      <c r="I863" s="254"/>
      <c r="J863" s="254"/>
      <c r="K863" s="254"/>
      <c r="L863" s="254"/>
      <c r="M863" s="254"/>
      <c r="N863" s="254"/>
      <c r="O863" s="254"/>
      <c r="P863" s="254"/>
      <c r="Q863" s="254"/>
      <c r="R863" s="254"/>
      <c r="S863" s="254"/>
      <c r="T863" s="254"/>
      <c r="U863" s="254"/>
      <c r="V863" s="254"/>
      <c r="W863" s="254"/>
      <c r="X863" s="254"/>
      <c r="Y863" s="254"/>
      <c r="Z863" s="254"/>
    </row>
    <row r="864">
      <c r="A864" s="254"/>
      <c r="B864" s="254"/>
      <c r="C864" s="254"/>
      <c r="D864" s="254"/>
      <c r="E864" s="254"/>
      <c r="F864" s="254"/>
      <c r="G864" s="254"/>
      <c r="H864" s="254"/>
      <c r="I864" s="254"/>
      <c r="J864" s="254"/>
      <c r="K864" s="254"/>
      <c r="L864" s="254"/>
      <c r="M864" s="254"/>
      <c r="N864" s="254"/>
      <c r="O864" s="254"/>
      <c r="P864" s="254"/>
      <c r="Q864" s="254"/>
      <c r="R864" s="254"/>
      <c r="S864" s="254"/>
      <c r="T864" s="254"/>
      <c r="U864" s="254"/>
      <c r="V864" s="254"/>
      <c r="W864" s="254"/>
      <c r="X864" s="254"/>
      <c r="Y864" s="254"/>
      <c r="Z864" s="254"/>
    </row>
    <row r="865">
      <c r="A865" s="254"/>
      <c r="B865" s="254"/>
      <c r="C865" s="254"/>
      <c r="D865" s="254"/>
      <c r="E865" s="254"/>
      <c r="F865" s="254"/>
      <c r="G865" s="254"/>
      <c r="H865" s="254"/>
      <c r="I865" s="254"/>
      <c r="J865" s="254"/>
      <c r="K865" s="254"/>
      <c r="L865" s="254"/>
      <c r="M865" s="254"/>
      <c r="N865" s="254"/>
      <c r="O865" s="254"/>
      <c r="P865" s="254"/>
      <c r="Q865" s="254"/>
      <c r="R865" s="254"/>
      <c r="S865" s="254"/>
      <c r="T865" s="254"/>
      <c r="U865" s="254"/>
      <c r="V865" s="254"/>
      <c r="W865" s="254"/>
      <c r="X865" s="254"/>
      <c r="Y865" s="254"/>
      <c r="Z865" s="254"/>
    </row>
    <row r="866">
      <c r="A866" s="254"/>
      <c r="B866" s="254"/>
      <c r="C866" s="254"/>
      <c r="D866" s="254"/>
      <c r="E866" s="254"/>
      <c r="F866" s="254"/>
      <c r="G866" s="254"/>
      <c r="H866" s="254"/>
      <c r="I866" s="254"/>
      <c r="J866" s="254"/>
      <c r="K866" s="254"/>
      <c r="L866" s="254"/>
      <c r="M866" s="254"/>
      <c r="N866" s="254"/>
      <c r="O866" s="254"/>
      <c r="P866" s="254"/>
      <c r="Q866" s="254"/>
      <c r="R866" s="254"/>
      <c r="S866" s="254"/>
      <c r="T866" s="254"/>
      <c r="U866" s="254"/>
      <c r="V866" s="254"/>
      <c r="W866" s="254"/>
      <c r="X866" s="254"/>
      <c r="Y866" s="254"/>
      <c r="Z866" s="254"/>
    </row>
    <row r="867">
      <c r="A867" s="254"/>
      <c r="B867" s="254"/>
      <c r="C867" s="254"/>
      <c r="D867" s="254"/>
      <c r="E867" s="254"/>
      <c r="F867" s="254"/>
      <c r="G867" s="254"/>
      <c r="H867" s="254"/>
      <c r="I867" s="254"/>
      <c r="J867" s="254"/>
      <c r="K867" s="254"/>
      <c r="L867" s="254"/>
      <c r="M867" s="254"/>
      <c r="N867" s="254"/>
      <c r="O867" s="254"/>
      <c r="P867" s="254"/>
      <c r="Q867" s="254"/>
      <c r="R867" s="254"/>
      <c r="S867" s="254"/>
      <c r="T867" s="254"/>
      <c r="U867" s="254"/>
      <c r="V867" s="254"/>
      <c r="W867" s="254"/>
      <c r="X867" s="254"/>
      <c r="Y867" s="254"/>
      <c r="Z867" s="254"/>
    </row>
    <row r="868">
      <c r="A868" s="254"/>
      <c r="B868" s="254"/>
      <c r="C868" s="254"/>
      <c r="D868" s="254"/>
      <c r="E868" s="254"/>
      <c r="F868" s="254"/>
      <c r="G868" s="254"/>
      <c r="H868" s="254"/>
      <c r="I868" s="254"/>
      <c r="J868" s="254"/>
      <c r="K868" s="254"/>
      <c r="L868" s="254"/>
      <c r="M868" s="254"/>
      <c r="N868" s="254"/>
      <c r="O868" s="254"/>
      <c r="P868" s="254"/>
      <c r="Q868" s="254"/>
      <c r="R868" s="254"/>
      <c r="S868" s="254"/>
      <c r="T868" s="254"/>
      <c r="U868" s="254"/>
      <c r="V868" s="254"/>
      <c r="W868" s="254"/>
      <c r="X868" s="254"/>
      <c r="Y868" s="254"/>
      <c r="Z868" s="254"/>
    </row>
    <row r="869">
      <c r="A869" s="254"/>
      <c r="B869" s="254"/>
      <c r="C869" s="254"/>
      <c r="D869" s="254"/>
      <c r="E869" s="254"/>
      <c r="F869" s="254"/>
      <c r="G869" s="254"/>
      <c r="H869" s="254"/>
      <c r="I869" s="254"/>
      <c r="J869" s="254"/>
      <c r="K869" s="254"/>
      <c r="L869" s="254"/>
      <c r="M869" s="254"/>
      <c r="N869" s="254"/>
      <c r="O869" s="254"/>
      <c r="P869" s="254"/>
      <c r="Q869" s="254"/>
      <c r="R869" s="254"/>
      <c r="S869" s="254"/>
      <c r="T869" s="254"/>
      <c r="U869" s="254"/>
      <c r="V869" s="254"/>
      <c r="W869" s="254"/>
      <c r="X869" s="254"/>
      <c r="Y869" s="254"/>
      <c r="Z869" s="254"/>
    </row>
    <row r="870">
      <c r="A870" s="254"/>
      <c r="B870" s="254"/>
      <c r="C870" s="254"/>
      <c r="D870" s="254"/>
      <c r="E870" s="254"/>
      <c r="F870" s="254"/>
      <c r="G870" s="254"/>
      <c r="H870" s="254"/>
      <c r="I870" s="254"/>
      <c r="J870" s="254"/>
      <c r="K870" s="254"/>
      <c r="L870" s="254"/>
      <c r="M870" s="254"/>
      <c r="N870" s="254"/>
      <c r="O870" s="254"/>
      <c r="P870" s="254"/>
      <c r="Q870" s="254"/>
      <c r="R870" s="254"/>
      <c r="S870" s="254"/>
      <c r="T870" s="254"/>
      <c r="U870" s="254"/>
      <c r="V870" s="254"/>
      <c r="W870" s="254"/>
      <c r="X870" s="254"/>
      <c r="Y870" s="254"/>
      <c r="Z870" s="254"/>
    </row>
    <row r="871">
      <c r="A871" s="254"/>
      <c r="B871" s="254"/>
      <c r="C871" s="254"/>
      <c r="D871" s="254"/>
      <c r="E871" s="254"/>
      <c r="F871" s="254"/>
      <c r="G871" s="254"/>
      <c r="H871" s="254"/>
      <c r="I871" s="254"/>
      <c r="J871" s="254"/>
      <c r="K871" s="254"/>
      <c r="L871" s="254"/>
      <c r="M871" s="254"/>
      <c r="N871" s="254"/>
      <c r="O871" s="254"/>
      <c r="P871" s="254"/>
      <c r="Q871" s="254"/>
      <c r="R871" s="254"/>
      <c r="S871" s="254"/>
      <c r="T871" s="254"/>
      <c r="U871" s="254"/>
      <c r="V871" s="254"/>
      <c r="W871" s="254"/>
      <c r="X871" s="254"/>
      <c r="Y871" s="254"/>
      <c r="Z871" s="254"/>
    </row>
    <row r="872">
      <c r="A872" s="254"/>
      <c r="B872" s="254"/>
      <c r="C872" s="254"/>
      <c r="D872" s="254"/>
      <c r="E872" s="254"/>
      <c r="F872" s="254"/>
      <c r="G872" s="254"/>
      <c r="H872" s="254"/>
      <c r="I872" s="254"/>
      <c r="J872" s="254"/>
      <c r="K872" s="254"/>
      <c r="L872" s="254"/>
      <c r="M872" s="254"/>
      <c r="N872" s="254"/>
      <c r="O872" s="254"/>
      <c r="P872" s="254"/>
      <c r="Q872" s="254"/>
      <c r="R872" s="254"/>
      <c r="S872" s="254"/>
      <c r="T872" s="254"/>
      <c r="U872" s="254"/>
      <c r="V872" s="254"/>
      <c r="W872" s="254"/>
      <c r="X872" s="254"/>
      <c r="Y872" s="254"/>
      <c r="Z872" s="254"/>
    </row>
    <row r="873">
      <c r="A873" s="254"/>
      <c r="B873" s="254"/>
      <c r="C873" s="254"/>
      <c r="D873" s="254"/>
      <c r="E873" s="254"/>
      <c r="F873" s="254"/>
      <c r="G873" s="254"/>
      <c r="H873" s="254"/>
      <c r="I873" s="254"/>
      <c r="J873" s="254"/>
      <c r="K873" s="254"/>
      <c r="L873" s="254"/>
      <c r="M873" s="254"/>
      <c r="N873" s="254"/>
      <c r="O873" s="254"/>
      <c r="P873" s="254"/>
      <c r="Q873" s="254"/>
      <c r="R873" s="254"/>
      <c r="S873" s="254"/>
      <c r="T873" s="254"/>
      <c r="U873" s="254"/>
      <c r="V873" s="254"/>
      <c r="W873" s="254"/>
      <c r="X873" s="254"/>
      <c r="Y873" s="254"/>
      <c r="Z873" s="254"/>
    </row>
    <row r="874">
      <c r="A874" s="254"/>
      <c r="B874" s="254"/>
      <c r="C874" s="254"/>
      <c r="D874" s="254"/>
      <c r="E874" s="254"/>
      <c r="F874" s="254"/>
      <c r="G874" s="254"/>
      <c r="H874" s="254"/>
      <c r="I874" s="254"/>
      <c r="J874" s="254"/>
      <c r="K874" s="254"/>
      <c r="L874" s="254"/>
      <c r="M874" s="254"/>
      <c r="N874" s="254"/>
      <c r="O874" s="254"/>
      <c r="P874" s="254"/>
      <c r="Q874" s="254"/>
      <c r="R874" s="254"/>
      <c r="S874" s="254"/>
      <c r="T874" s="254"/>
      <c r="U874" s="254"/>
      <c r="V874" s="254"/>
      <c r="W874" s="254"/>
      <c r="X874" s="254"/>
      <c r="Y874" s="254"/>
      <c r="Z874" s="254"/>
    </row>
    <row r="875">
      <c r="A875" s="254"/>
      <c r="B875" s="254"/>
      <c r="C875" s="254"/>
      <c r="D875" s="254"/>
      <c r="E875" s="254"/>
      <c r="F875" s="254"/>
      <c r="G875" s="254"/>
      <c r="H875" s="254"/>
      <c r="I875" s="254"/>
      <c r="J875" s="254"/>
      <c r="K875" s="254"/>
      <c r="L875" s="254"/>
      <c r="M875" s="254"/>
      <c r="N875" s="254"/>
      <c r="O875" s="254"/>
      <c r="P875" s="254"/>
      <c r="Q875" s="254"/>
      <c r="R875" s="254"/>
      <c r="S875" s="254"/>
      <c r="T875" s="254"/>
      <c r="U875" s="254"/>
      <c r="V875" s="254"/>
      <c r="W875" s="254"/>
      <c r="X875" s="254"/>
      <c r="Y875" s="254"/>
      <c r="Z875" s="254"/>
    </row>
    <row r="876">
      <c r="A876" s="254"/>
      <c r="B876" s="254"/>
      <c r="C876" s="254"/>
      <c r="D876" s="254"/>
      <c r="E876" s="254"/>
      <c r="F876" s="254"/>
      <c r="G876" s="254"/>
      <c r="H876" s="254"/>
      <c r="I876" s="254"/>
      <c r="J876" s="254"/>
      <c r="K876" s="254"/>
      <c r="L876" s="254"/>
      <c r="M876" s="254"/>
      <c r="N876" s="254"/>
      <c r="O876" s="254"/>
      <c r="P876" s="254"/>
      <c r="Q876" s="254"/>
      <c r="R876" s="254"/>
      <c r="S876" s="254"/>
      <c r="T876" s="254"/>
      <c r="U876" s="254"/>
      <c r="V876" s="254"/>
      <c r="W876" s="254"/>
      <c r="X876" s="254"/>
      <c r="Y876" s="254"/>
      <c r="Z876" s="254"/>
    </row>
    <row r="877">
      <c r="A877" s="254"/>
      <c r="B877" s="254"/>
      <c r="C877" s="254"/>
      <c r="D877" s="254"/>
      <c r="E877" s="254"/>
      <c r="F877" s="254"/>
      <c r="G877" s="254"/>
      <c r="H877" s="254"/>
      <c r="I877" s="254"/>
      <c r="J877" s="254"/>
      <c r="K877" s="254"/>
      <c r="L877" s="254"/>
      <c r="M877" s="254"/>
      <c r="N877" s="254"/>
      <c r="O877" s="254"/>
      <c r="P877" s="254"/>
      <c r="Q877" s="254"/>
      <c r="R877" s="254"/>
      <c r="S877" s="254"/>
      <c r="T877" s="254"/>
      <c r="U877" s="254"/>
      <c r="V877" s="254"/>
      <c r="W877" s="254"/>
      <c r="X877" s="254"/>
      <c r="Y877" s="254"/>
      <c r="Z877" s="254"/>
    </row>
    <row r="878">
      <c r="A878" s="254"/>
      <c r="B878" s="254"/>
      <c r="C878" s="254"/>
      <c r="D878" s="254"/>
      <c r="E878" s="254"/>
      <c r="F878" s="254"/>
      <c r="G878" s="254"/>
      <c r="H878" s="254"/>
      <c r="I878" s="254"/>
      <c r="J878" s="254"/>
      <c r="K878" s="254"/>
      <c r="L878" s="254"/>
      <c r="M878" s="254"/>
      <c r="N878" s="254"/>
      <c r="O878" s="254"/>
      <c r="P878" s="254"/>
      <c r="Q878" s="254"/>
      <c r="R878" s="254"/>
      <c r="S878" s="254"/>
      <c r="T878" s="254"/>
      <c r="U878" s="254"/>
      <c r="V878" s="254"/>
      <c r="W878" s="254"/>
      <c r="X878" s="254"/>
      <c r="Y878" s="254"/>
      <c r="Z878" s="254"/>
    </row>
    <row r="879">
      <c r="A879" s="254"/>
      <c r="B879" s="254"/>
      <c r="C879" s="254"/>
      <c r="D879" s="254"/>
      <c r="E879" s="254"/>
      <c r="F879" s="254"/>
      <c r="G879" s="254"/>
      <c r="H879" s="254"/>
      <c r="I879" s="254"/>
      <c r="J879" s="254"/>
      <c r="K879" s="254"/>
      <c r="L879" s="254"/>
      <c r="M879" s="254"/>
      <c r="N879" s="254"/>
      <c r="O879" s="254"/>
      <c r="P879" s="254"/>
      <c r="Q879" s="254"/>
      <c r="R879" s="254"/>
      <c r="S879" s="254"/>
      <c r="T879" s="254"/>
      <c r="U879" s="254"/>
      <c r="V879" s="254"/>
      <c r="W879" s="254"/>
      <c r="X879" s="254"/>
      <c r="Y879" s="254"/>
      <c r="Z879" s="254"/>
    </row>
    <row r="880">
      <c r="A880" s="254"/>
      <c r="B880" s="254"/>
      <c r="C880" s="254"/>
      <c r="D880" s="254"/>
      <c r="E880" s="254"/>
      <c r="F880" s="254"/>
      <c r="G880" s="254"/>
      <c r="H880" s="254"/>
      <c r="I880" s="254"/>
      <c r="J880" s="254"/>
      <c r="K880" s="254"/>
      <c r="L880" s="254"/>
      <c r="M880" s="254"/>
      <c r="N880" s="254"/>
      <c r="O880" s="254"/>
      <c r="P880" s="254"/>
      <c r="Q880" s="254"/>
      <c r="R880" s="254"/>
      <c r="S880" s="254"/>
      <c r="T880" s="254"/>
      <c r="U880" s="254"/>
      <c r="V880" s="254"/>
      <c r="W880" s="254"/>
      <c r="X880" s="254"/>
      <c r="Y880" s="254"/>
      <c r="Z880" s="254"/>
    </row>
    <row r="881">
      <c r="A881" s="254"/>
      <c r="B881" s="254"/>
      <c r="C881" s="254"/>
      <c r="D881" s="254"/>
      <c r="E881" s="254"/>
      <c r="F881" s="254"/>
      <c r="G881" s="254"/>
      <c r="H881" s="254"/>
      <c r="I881" s="254"/>
      <c r="J881" s="254"/>
      <c r="K881" s="254"/>
      <c r="L881" s="254"/>
      <c r="M881" s="254"/>
      <c r="N881" s="254"/>
      <c r="O881" s="254"/>
      <c r="P881" s="254"/>
      <c r="Q881" s="254"/>
      <c r="R881" s="254"/>
      <c r="S881" s="254"/>
      <c r="T881" s="254"/>
      <c r="U881" s="254"/>
      <c r="V881" s="254"/>
      <c r="W881" s="254"/>
      <c r="X881" s="254"/>
      <c r="Y881" s="254"/>
      <c r="Z881" s="254"/>
    </row>
    <row r="882">
      <c r="A882" s="254"/>
      <c r="B882" s="254"/>
      <c r="C882" s="254"/>
      <c r="D882" s="254"/>
      <c r="E882" s="254"/>
      <c r="F882" s="254"/>
      <c r="G882" s="254"/>
      <c r="H882" s="254"/>
      <c r="I882" s="254"/>
      <c r="J882" s="254"/>
      <c r="K882" s="254"/>
      <c r="L882" s="254"/>
      <c r="M882" s="254"/>
      <c r="N882" s="254"/>
      <c r="O882" s="254"/>
      <c r="P882" s="254"/>
      <c r="Q882" s="254"/>
      <c r="R882" s="254"/>
      <c r="S882" s="254"/>
      <c r="T882" s="254"/>
      <c r="U882" s="254"/>
      <c r="V882" s="254"/>
      <c r="W882" s="254"/>
      <c r="X882" s="254"/>
      <c r="Y882" s="254"/>
      <c r="Z882" s="254"/>
    </row>
    <row r="883">
      <c r="A883" s="254"/>
      <c r="B883" s="254"/>
      <c r="C883" s="254"/>
      <c r="D883" s="254"/>
      <c r="E883" s="254"/>
      <c r="F883" s="254"/>
      <c r="G883" s="254"/>
      <c r="H883" s="254"/>
      <c r="I883" s="254"/>
      <c r="J883" s="254"/>
      <c r="K883" s="254"/>
      <c r="L883" s="254"/>
      <c r="M883" s="254"/>
      <c r="N883" s="254"/>
      <c r="O883" s="254"/>
      <c r="P883" s="254"/>
      <c r="Q883" s="254"/>
      <c r="R883" s="254"/>
      <c r="S883" s="254"/>
      <c r="T883" s="254"/>
      <c r="U883" s="254"/>
      <c r="V883" s="254"/>
      <c r="W883" s="254"/>
      <c r="X883" s="254"/>
      <c r="Y883" s="254"/>
      <c r="Z883" s="254"/>
    </row>
    <row r="884">
      <c r="A884" s="254"/>
      <c r="B884" s="254"/>
      <c r="C884" s="254"/>
      <c r="D884" s="254"/>
      <c r="E884" s="254"/>
      <c r="F884" s="254"/>
      <c r="G884" s="254"/>
      <c r="H884" s="254"/>
      <c r="I884" s="254"/>
      <c r="J884" s="254"/>
      <c r="K884" s="254"/>
      <c r="L884" s="254"/>
      <c r="M884" s="254"/>
      <c r="N884" s="254"/>
      <c r="O884" s="254"/>
      <c r="P884" s="254"/>
      <c r="Q884" s="254"/>
      <c r="R884" s="254"/>
      <c r="S884" s="254"/>
      <c r="T884" s="254"/>
      <c r="U884" s="254"/>
      <c r="V884" s="254"/>
      <c r="W884" s="254"/>
      <c r="X884" s="254"/>
      <c r="Y884" s="254"/>
      <c r="Z884" s="254"/>
    </row>
    <row r="885">
      <c r="A885" s="254"/>
      <c r="B885" s="254"/>
      <c r="C885" s="254"/>
      <c r="D885" s="254"/>
      <c r="E885" s="254"/>
      <c r="F885" s="254"/>
      <c r="G885" s="254"/>
      <c r="H885" s="254"/>
      <c r="I885" s="254"/>
      <c r="J885" s="254"/>
      <c r="K885" s="254"/>
      <c r="L885" s="254"/>
      <c r="M885" s="254"/>
      <c r="N885" s="254"/>
      <c r="O885" s="254"/>
      <c r="P885" s="254"/>
      <c r="Q885" s="254"/>
      <c r="R885" s="254"/>
      <c r="S885" s="254"/>
      <c r="T885" s="254"/>
      <c r="U885" s="254"/>
      <c r="V885" s="254"/>
      <c r="W885" s="254"/>
      <c r="X885" s="254"/>
      <c r="Y885" s="254"/>
      <c r="Z885" s="254"/>
    </row>
    <row r="886">
      <c r="A886" s="254"/>
      <c r="B886" s="254"/>
      <c r="C886" s="254"/>
      <c r="D886" s="254"/>
      <c r="E886" s="254"/>
      <c r="F886" s="254"/>
      <c r="G886" s="254"/>
      <c r="H886" s="254"/>
      <c r="I886" s="254"/>
      <c r="J886" s="254"/>
      <c r="K886" s="254"/>
      <c r="L886" s="254"/>
      <c r="M886" s="254"/>
      <c r="N886" s="254"/>
      <c r="O886" s="254"/>
      <c r="P886" s="254"/>
      <c r="Q886" s="254"/>
      <c r="R886" s="254"/>
      <c r="S886" s="254"/>
      <c r="T886" s="254"/>
      <c r="U886" s="254"/>
      <c r="V886" s="254"/>
      <c r="W886" s="254"/>
      <c r="X886" s="254"/>
      <c r="Y886" s="254"/>
      <c r="Z886" s="254"/>
    </row>
    <row r="887">
      <c r="A887" s="254"/>
      <c r="B887" s="254"/>
      <c r="C887" s="254"/>
      <c r="D887" s="254"/>
      <c r="E887" s="254"/>
      <c r="F887" s="254"/>
      <c r="G887" s="254"/>
      <c r="H887" s="254"/>
      <c r="I887" s="254"/>
      <c r="J887" s="254"/>
      <c r="K887" s="254"/>
      <c r="L887" s="254"/>
      <c r="M887" s="254"/>
      <c r="N887" s="254"/>
      <c r="O887" s="254"/>
      <c r="P887" s="254"/>
      <c r="Q887" s="254"/>
      <c r="R887" s="254"/>
      <c r="S887" s="254"/>
      <c r="T887" s="254"/>
      <c r="U887" s="254"/>
      <c r="V887" s="254"/>
      <c r="W887" s="254"/>
      <c r="X887" s="254"/>
      <c r="Y887" s="254"/>
      <c r="Z887" s="254"/>
    </row>
    <row r="888">
      <c r="A888" s="254"/>
      <c r="B888" s="254"/>
      <c r="C888" s="254"/>
      <c r="D888" s="254"/>
      <c r="E888" s="254"/>
      <c r="F888" s="254"/>
      <c r="G888" s="254"/>
      <c r="H888" s="254"/>
      <c r="I888" s="254"/>
      <c r="J888" s="254"/>
      <c r="K888" s="254"/>
      <c r="L888" s="254"/>
      <c r="M888" s="254"/>
      <c r="N888" s="254"/>
      <c r="O888" s="254"/>
      <c r="P888" s="254"/>
      <c r="Q888" s="254"/>
      <c r="R888" s="254"/>
      <c r="S888" s="254"/>
      <c r="T888" s="254"/>
      <c r="U888" s="254"/>
      <c r="V888" s="254"/>
      <c r="W888" s="254"/>
      <c r="X888" s="254"/>
      <c r="Y888" s="254"/>
      <c r="Z888" s="254"/>
    </row>
    <row r="889">
      <c r="A889" s="254"/>
      <c r="B889" s="254"/>
      <c r="C889" s="254"/>
      <c r="D889" s="254"/>
      <c r="E889" s="254"/>
      <c r="F889" s="254"/>
      <c r="G889" s="254"/>
      <c r="H889" s="254"/>
      <c r="I889" s="254"/>
      <c r="J889" s="254"/>
      <c r="K889" s="254"/>
      <c r="L889" s="254"/>
      <c r="M889" s="254"/>
      <c r="N889" s="254"/>
      <c r="O889" s="254"/>
      <c r="P889" s="254"/>
      <c r="Q889" s="254"/>
      <c r="R889" s="254"/>
      <c r="S889" s="254"/>
      <c r="T889" s="254"/>
      <c r="U889" s="254"/>
      <c r="V889" s="254"/>
      <c r="W889" s="254"/>
      <c r="X889" s="254"/>
      <c r="Y889" s="254"/>
      <c r="Z889" s="254"/>
    </row>
    <row r="890">
      <c r="A890" s="254"/>
      <c r="B890" s="254"/>
      <c r="C890" s="254"/>
      <c r="D890" s="254"/>
      <c r="E890" s="254"/>
      <c r="F890" s="254"/>
      <c r="G890" s="254"/>
      <c r="H890" s="254"/>
      <c r="I890" s="254"/>
      <c r="J890" s="254"/>
      <c r="K890" s="254"/>
      <c r="L890" s="254"/>
      <c r="M890" s="254"/>
      <c r="N890" s="254"/>
      <c r="O890" s="254"/>
      <c r="P890" s="254"/>
      <c r="Q890" s="254"/>
      <c r="R890" s="254"/>
      <c r="S890" s="254"/>
      <c r="T890" s="254"/>
      <c r="U890" s="254"/>
      <c r="V890" s="254"/>
      <c r="W890" s="254"/>
      <c r="X890" s="254"/>
      <c r="Y890" s="254"/>
      <c r="Z890" s="254"/>
    </row>
    <row r="891">
      <c r="A891" s="254"/>
      <c r="B891" s="254"/>
      <c r="C891" s="254"/>
      <c r="D891" s="254"/>
      <c r="E891" s="254"/>
      <c r="F891" s="254"/>
      <c r="G891" s="254"/>
      <c r="H891" s="254"/>
      <c r="I891" s="254"/>
      <c r="J891" s="254"/>
      <c r="K891" s="254"/>
      <c r="L891" s="254"/>
      <c r="M891" s="254"/>
      <c r="N891" s="254"/>
      <c r="O891" s="254"/>
      <c r="P891" s="254"/>
      <c r="Q891" s="254"/>
      <c r="R891" s="254"/>
      <c r="S891" s="254"/>
      <c r="T891" s="254"/>
      <c r="U891" s="254"/>
      <c r="V891" s="254"/>
      <c r="W891" s="254"/>
      <c r="X891" s="254"/>
      <c r="Y891" s="254"/>
      <c r="Z891" s="254"/>
    </row>
    <row r="892">
      <c r="A892" s="254"/>
      <c r="B892" s="254"/>
      <c r="C892" s="254"/>
      <c r="D892" s="254"/>
      <c r="E892" s="254"/>
      <c r="F892" s="254"/>
      <c r="G892" s="254"/>
      <c r="H892" s="254"/>
      <c r="I892" s="254"/>
      <c r="J892" s="254"/>
      <c r="K892" s="254"/>
      <c r="L892" s="254"/>
      <c r="M892" s="254"/>
      <c r="N892" s="254"/>
      <c r="O892" s="254"/>
      <c r="P892" s="254"/>
      <c r="Q892" s="254"/>
      <c r="R892" s="254"/>
      <c r="S892" s="254"/>
      <c r="T892" s="254"/>
      <c r="U892" s="254"/>
      <c r="V892" s="254"/>
      <c r="W892" s="254"/>
      <c r="X892" s="254"/>
      <c r="Y892" s="254"/>
      <c r="Z892" s="254"/>
    </row>
    <row r="893">
      <c r="A893" s="254"/>
      <c r="B893" s="254"/>
      <c r="C893" s="254"/>
      <c r="D893" s="254"/>
      <c r="E893" s="254"/>
      <c r="F893" s="254"/>
      <c r="G893" s="254"/>
      <c r="H893" s="254"/>
      <c r="I893" s="254"/>
      <c r="J893" s="254"/>
      <c r="K893" s="254"/>
      <c r="L893" s="254"/>
      <c r="M893" s="254"/>
      <c r="N893" s="254"/>
      <c r="O893" s="254"/>
      <c r="P893" s="254"/>
      <c r="Q893" s="254"/>
      <c r="R893" s="254"/>
      <c r="S893" s="254"/>
      <c r="T893" s="254"/>
      <c r="U893" s="254"/>
      <c r="V893" s="254"/>
      <c r="W893" s="254"/>
      <c r="X893" s="254"/>
      <c r="Y893" s="254"/>
      <c r="Z893" s="254"/>
    </row>
    <row r="894">
      <c r="A894" s="254"/>
      <c r="B894" s="254"/>
      <c r="C894" s="254"/>
      <c r="D894" s="254"/>
      <c r="E894" s="254"/>
      <c r="F894" s="254"/>
      <c r="G894" s="254"/>
      <c r="H894" s="254"/>
      <c r="I894" s="254"/>
      <c r="J894" s="254"/>
      <c r="K894" s="254"/>
      <c r="L894" s="254"/>
      <c r="M894" s="254"/>
      <c r="N894" s="254"/>
      <c r="O894" s="254"/>
      <c r="P894" s="254"/>
      <c r="Q894" s="254"/>
      <c r="R894" s="254"/>
      <c r="S894" s="254"/>
      <c r="T894" s="254"/>
      <c r="U894" s="254"/>
      <c r="V894" s="254"/>
      <c r="W894" s="254"/>
      <c r="X894" s="254"/>
      <c r="Y894" s="254"/>
      <c r="Z894" s="254"/>
    </row>
    <row r="895">
      <c r="A895" s="254"/>
      <c r="B895" s="254"/>
      <c r="C895" s="254"/>
      <c r="D895" s="254"/>
      <c r="E895" s="254"/>
      <c r="F895" s="254"/>
      <c r="G895" s="254"/>
      <c r="H895" s="254"/>
      <c r="I895" s="254"/>
      <c r="J895" s="254"/>
      <c r="K895" s="254"/>
      <c r="L895" s="254"/>
      <c r="M895" s="254"/>
      <c r="N895" s="254"/>
      <c r="O895" s="254"/>
      <c r="P895" s="254"/>
      <c r="Q895" s="254"/>
      <c r="R895" s="254"/>
      <c r="S895" s="254"/>
      <c r="T895" s="254"/>
      <c r="U895" s="254"/>
      <c r="V895" s="254"/>
      <c r="W895" s="254"/>
      <c r="X895" s="254"/>
      <c r="Y895" s="254"/>
      <c r="Z895" s="254"/>
    </row>
    <row r="896">
      <c r="A896" s="254"/>
      <c r="B896" s="254"/>
      <c r="C896" s="254"/>
      <c r="D896" s="254"/>
      <c r="E896" s="254"/>
      <c r="F896" s="254"/>
      <c r="G896" s="254"/>
      <c r="H896" s="254"/>
      <c r="I896" s="254"/>
      <c r="J896" s="254"/>
      <c r="K896" s="254"/>
      <c r="L896" s="254"/>
      <c r="M896" s="254"/>
      <c r="N896" s="254"/>
      <c r="O896" s="254"/>
      <c r="P896" s="254"/>
      <c r="Q896" s="254"/>
      <c r="R896" s="254"/>
      <c r="S896" s="254"/>
      <c r="T896" s="254"/>
      <c r="U896" s="254"/>
      <c r="V896" s="254"/>
      <c r="W896" s="254"/>
      <c r="X896" s="254"/>
      <c r="Y896" s="254"/>
      <c r="Z896" s="254"/>
    </row>
    <row r="897">
      <c r="A897" s="254"/>
      <c r="B897" s="254"/>
      <c r="C897" s="254"/>
      <c r="D897" s="254"/>
      <c r="E897" s="254"/>
      <c r="F897" s="254"/>
      <c r="G897" s="254"/>
      <c r="H897" s="254"/>
      <c r="I897" s="254"/>
      <c r="J897" s="254"/>
      <c r="K897" s="254"/>
      <c r="L897" s="254"/>
      <c r="M897" s="254"/>
      <c r="N897" s="254"/>
      <c r="O897" s="254"/>
      <c r="P897" s="254"/>
      <c r="Q897" s="254"/>
      <c r="R897" s="254"/>
      <c r="S897" s="254"/>
      <c r="T897" s="254"/>
      <c r="U897" s="254"/>
      <c r="V897" s="254"/>
      <c r="W897" s="254"/>
      <c r="X897" s="254"/>
      <c r="Y897" s="254"/>
      <c r="Z897" s="254"/>
    </row>
    <row r="898">
      <c r="A898" s="254"/>
      <c r="B898" s="254"/>
      <c r="C898" s="254"/>
      <c r="D898" s="254"/>
      <c r="E898" s="254"/>
      <c r="F898" s="254"/>
      <c r="G898" s="254"/>
      <c r="H898" s="254"/>
      <c r="I898" s="254"/>
      <c r="J898" s="254"/>
      <c r="K898" s="254"/>
      <c r="L898" s="254"/>
      <c r="M898" s="254"/>
      <c r="N898" s="254"/>
      <c r="O898" s="254"/>
      <c r="P898" s="254"/>
      <c r="Q898" s="254"/>
      <c r="R898" s="254"/>
      <c r="S898" s="254"/>
      <c r="T898" s="254"/>
      <c r="U898" s="254"/>
      <c r="V898" s="254"/>
      <c r="W898" s="254"/>
      <c r="X898" s="254"/>
      <c r="Y898" s="254"/>
      <c r="Z898" s="254"/>
    </row>
    <row r="899">
      <c r="A899" s="254"/>
      <c r="B899" s="254"/>
      <c r="C899" s="254"/>
      <c r="D899" s="254"/>
      <c r="E899" s="254"/>
      <c r="F899" s="254"/>
      <c r="G899" s="254"/>
      <c r="H899" s="254"/>
      <c r="I899" s="254"/>
      <c r="J899" s="254"/>
      <c r="K899" s="254"/>
      <c r="L899" s="254"/>
      <c r="M899" s="254"/>
      <c r="N899" s="254"/>
      <c r="O899" s="254"/>
      <c r="P899" s="254"/>
      <c r="Q899" s="254"/>
      <c r="R899" s="254"/>
      <c r="S899" s="254"/>
      <c r="T899" s="254"/>
      <c r="U899" s="254"/>
      <c r="V899" s="254"/>
      <c r="W899" s="254"/>
      <c r="X899" s="254"/>
      <c r="Y899" s="254"/>
      <c r="Z899" s="254"/>
    </row>
    <row r="900">
      <c r="A900" s="254"/>
      <c r="B900" s="254"/>
      <c r="C900" s="254"/>
      <c r="D900" s="254"/>
      <c r="E900" s="254"/>
      <c r="F900" s="254"/>
      <c r="G900" s="254"/>
      <c r="H900" s="254"/>
      <c r="I900" s="254"/>
      <c r="J900" s="254"/>
      <c r="K900" s="254"/>
      <c r="L900" s="254"/>
      <c r="M900" s="254"/>
      <c r="N900" s="254"/>
      <c r="O900" s="254"/>
      <c r="P900" s="254"/>
      <c r="Q900" s="254"/>
      <c r="R900" s="254"/>
      <c r="S900" s="254"/>
      <c r="T900" s="254"/>
      <c r="U900" s="254"/>
      <c r="V900" s="254"/>
      <c r="W900" s="254"/>
      <c r="X900" s="254"/>
      <c r="Y900" s="254"/>
      <c r="Z900" s="254"/>
    </row>
    <row r="901">
      <c r="A901" s="254"/>
      <c r="B901" s="254"/>
      <c r="C901" s="254"/>
      <c r="D901" s="254"/>
      <c r="E901" s="254"/>
      <c r="F901" s="254"/>
      <c r="G901" s="254"/>
      <c r="H901" s="254"/>
      <c r="I901" s="254"/>
      <c r="J901" s="254"/>
      <c r="K901" s="254"/>
      <c r="L901" s="254"/>
      <c r="M901" s="254"/>
      <c r="N901" s="254"/>
      <c r="O901" s="254"/>
      <c r="P901" s="254"/>
      <c r="Q901" s="254"/>
      <c r="R901" s="254"/>
      <c r="S901" s="254"/>
      <c r="T901" s="254"/>
      <c r="U901" s="254"/>
      <c r="V901" s="254"/>
      <c r="W901" s="254"/>
      <c r="X901" s="254"/>
      <c r="Y901" s="254"/>
      <c r="Z901" s="254"/>
    </row>
    <row r="902">
      <c r="A902" s="254"/>
      <c r="B902" s="254"/>
      <c r="C902" s="254"/>
      <c r="D902" s="254"/>
      <c r="E902" s="254"/>
      <c r="F902" s="254"/>
      <c r="G902" s="254"/>
      <c r="H902" s="254"/>
      <c r="I902" s="254"/>
      <c r="J902" s="254"/>
      <c r="K902" s="254"/>
      <c r="L902" s="254"/>
      <c r="M902" s="254"/>
      <c r="N902" s="254"/>
      <c r="O902" s="254"/>
      <c r="P902" s="254"/>
      <c r="Q902" s="254"/>
      <c r="R902" s="254"/>
      <c r="S902" s="254"/>
      <c r="T902" s="254"/>
      <c r="U902" s="254"/>
      <c r="V902" s="254"/>
      <c r="W902" s="254"/>
      <c r="X902" s="254"/>
      <c r="Y902" s="254"/>
      <c r="Z902" s="254"/>
    </row>
    <row r="903">
      <c r="A903" s="254"/>
      <c r="B903" s="254"/>
      <c r="C903" s="254"/>
      <c r="D903" s="254"/>
      <c r="E903" s="254"/>
      <c r="F903" s="254"/>
      <c r="G903" s="254"/>
      <c r="H903" s="254"/>
      <c r="I903" s="254"/>
      <c r="J903" s="254"/>
      <c r="K903" s="254"/>
      <c r="L903" s="254"/>
      <c r="M903" s="254"/>
      <c r="N903" s="254"/>
      <c r="O903" s="254"/>
      <c r="P903" s="254"/>
      <c r="Q903" s="254"/>
      <c r="R903" s="254"/>
      <c r="S903" s="254"/>
      <c r="T903" s="254"/>
      <c r="U903" s="254"/>
      <c r="V903" s="254"/>
      <c r="W903" s="254"/>
      <c r="X903" s="254"/>
      <c r="Y903" s="254"/>
      <c r="Z903" s="254"/>
    </row>
    <row r="904">
      <c r="A904" s="254"/>
      <c r="B904" s="254"/>
      <c r="C904" s="254"/>
      <c r="D904" s="254"/>
      <c r="E904" s="254"/>
      <c r="F904" s="254"/>
      <c r="G904" s="254"/>
      <c r="H904" s="254"/>
      <c r="I904" s="254"/>
      <c r="J904" s="254"/>
      <c r="K904" s="254"/>
      <c r="L904" s="254"/>
      <c r="M904" s="254"/>
      <c r="N904" s="254"/>
      <c r="O904" s="254"/>
      <c r="P904" s="254"/>
      <c r="Q904" s="254"/>
      <c r="R904" s="254"/>
      <c r="S904" s="254"/>
      <c r="T904" s="254"/>
      <c r="U904" s="254"/>
      <c r="V904" s="254"/>
      <c r="W904" s="254"/>
      <c r="X904" s="254"/>
      <c r="Y904" s="254"/>
      <c r="Z904" s="254"/>
    </row>
    <row r="905">
      <c r="A905" s="254"/>
      <c r="B905" s="254"/>
      <c r="C905" s="254"/>
      <c r="D905" s="254"/>
      <c r="E905" s="254"/>
      <c r="F905" s="254"/>
      <c r="G905" s="254"/>
      <c r="H905" s="254"/>
      <c r="I905" s="254"/>
      <c r="J905" s="254"/>
      <c r="K905" s="254"/>
      <c r="L905" s="254"/>
      <c r="M905" s="254"/>
      <c r="N905" s="254"/>
      <c r="O905" s="254"/>
      <c r="P905" s="254"/>
      <c r="Q905" s="254"/>
      <c r="R905" s="254"/>
      <c r="S905" s="254"/>
      <c r="T905" s="254"/>
      <c r="U905" s="254"/>
      <c r="V905" s="254"/>
      <c r="W905" s="254"/>
      <c r="X905" s="254"/>
      <c r="Y905" s="254"/>
      <c r="Z905" s="254"/>
    </row>
    <row r="906">
      <c r="A906" s="254"/>
      <c r="B906" s="254"/>
      <c r="C906" s="254"/>
      <c r="D906" s="254"/>
      <c r="E906" s="254"/>
      <c r="F906" s="254"/>
      <c r="G906" s="254"/>
      <c r="H906" s="254"/>
      <c r="I906" s="254"/>
      <c r="J906" s="254"/>
      <c r="K906" s="254"/>
      <c r="L906" s="254"/>
      <c r="M906" s="254"/>
      <c r="N906" s="254"/>
      <c r="O906" s="254"/>
      <c r="P906" s="254"/>
      <c r="Q906" s="254"/>
      <c r="R906" s="254"/>
      <c r="S906" s="254"/>
      <c r="T906" s="254"/>
      <c r="U906" s="254"/>
      <c r="V906" s="254"/>
      <c r="W906" s="254"/>
      <c r="X906" s="254"/>
      <c r="Y906" s="254"/>
      <c r="Z906" s="254"/>
    </row>
    <row r="907">
      <c r="A907" s="254"/>
      <c r="B907" s="254"/>
      <c r="C907" s="254"/>
      <c r="D907" s="254"/>
      <c r="E907" s="254"/>
      <c r="F907" s="254"/>
      <c r="G907" s="254"/>
      <c r="H907" s="254"/>
      <c r="I907" s="254"/>
      <c r="J907" s="254"/>
      <c r="K907" s="254"/>
      <c r="L907" s="254"/>
      <c r="M907" s="254"/>
      <c r="N907" s="254"/>
      <c r="O907" s="254"/>
      <c r="P907" s="254"/>
      <c r="Q907" s="254"/>
      <c r="R907" s="254"/>
      <c r="S907" s="254"/>
      <c r="T907" s="254"/>
      <c r="U907" s="254"/>
      <c r="V907" s="254"/>
      <c r="W907" s="254"/>
      <c r="X907" s="254"/>
      <c r="Y907" s="254"/>
      <c r="Z907" s="254"/>
    </row>
    <row r="908">
      <c r="A908" s="254"/>
      <c r="B908" s="254"/>
      <c r="C908" s="254"/>
      <c r="D908" s="254"/>
      <c r="E908" s="254"/>
      <c r="F908" s="254"/>
      <c r="G908" s="254"/>
      <c r="H908" s="254"/>
      <c r="I908" s="254"/>
      <c r="J908" s="254"/>
      <c r="K908" s="254"/>
      <c r="L908" s="254"/>
      <c r="M908" s="254"/>
      <c r="N908" s="254"/>
      <c r="O908" s="254"/>
      <c r="P908" s="254"/>
      <c r="Q908" s="254"/>
      <c r="R908" s="254"/>
      <c r="S908" s="254"/>
      <c r="T908" s="254"/>
      <c r="U908" s="254"/>
      <c r="V908" s="254"/>
      <c r="W908" s="254"/>
      <c r="X908" s="254"/>
      <c r="Y908" s="254"/>
      <c r="Z908" s="254"/>
    </row>
    <row r="909">
      <c r="A909" s="254"/>
      <c r="B909" s="254"/>
      <c r="C909" s="254"/>
      <c r="D909" s="254"/>
      <c r="E909" s="254"/>
      <c r="F909" s="254"/>
      <c r="G909" s="254"/>
      <c r="H909" s="254"/>
      <c r="I909" s="254"/>
      <c r="J909" s="254"/>
      <c r="K909" s="254"/>
      <c r="L909" s="254"/>
      <c r="M909" s="254"/>
      <c r="N909" s="254"/>
      <c r="O909" s="254"/>
      <c r="P909" s="254"/>
      <c r="Q909" s="254"/>
      <c r="R909" s="254"/>
      <c r="S909" s="254"/>
      <c r="T909" s="254"/>
      <c r="U909" s="254"/>
      <c r="V909" s="254"/>
      <c r="W909" s="254"/>
      <c r="X909" s="254"/>
      <c r="Y909" s="254"/>
      <c r="Z909" s="254"/>
    </row>
    <row r="910">
      <c r="A910" s="254"/>
      <c r="B910" s="254"/>
      <c r="C910" s="254"/>
      <c r="D910" s="254"/>
      <c r="E910" s="254"/>
      <c r="F910" s="254"/>
      <c r="G910" s="254"/>
      <c r="H910" s="254"/>
      <c r="I910" s="254"/>
      <c r="J910" s="254"/>
      <c r="K910" s="254"/>
      <c r="L910" s="254"/>
      <c r="M910" s="254"/>
      <c r="N910" s="254"/>
      <c r="O910" s="254"/>
      <c r="P910" s="254"/>
      <c r="Q910" s="254"/>
      <c r="R910" s="254"/>
      <c r="S910" s="254"/>
      <c r="T910" s="254"/>
      <c r="U910" s="254"/>
      <c r="V910" s="254"/>
      <c r="W910" s="254"/>
      <c r="X910" s="254"/>
      <c r="Y910" s="254"/>
      <c r="Z910" s="254"/>
    </row>
    <row r="911">
      <c r="A911" s="254"/>
      <c r="B911" s="254"/>
      <c r="C911" s="254"/>
      <c r="D911" s="254"/>
      <c r="E911" s="254"/>
      <c r="F911" s="254"/>
      <c r="G911" s="254"/>
      <c r="H911" s="254"/>
      <c r="I911" s="254"/>
      <c r="J911" s="254"/>
      <c r="K911" s="254"/>
      <c r="L911" s="254"/>
      <c r="M911" s="254"/>
      <c r="N911" s="254"/>
      <c r="O911" s="254"/>
      <c r="P911" s="254"/>
      <c r="Q911" s="254"/>
      <c r="R911" s="254"/>
      <c r="S911" s="254"/>
      <c r="T911" s="254"/>
      <c r="U911" s="254"/>
      <c r="V911" s="254"/>
      <c r="W911" s="254"/>
      <c r="X911" s="254"/>
      <c r="Y911" s="254"/>
      <c r="Z911" s="254"/>
    </row>
    <row r="912">
      <c r="A912" s="254"/>
      <c r="B912" s="254"/>
      <c r="C912" s="254"/>
      <c r="D912" s="254"/>
      <c r="E912" s="254"/>
      <c r="F912" s="254"/>
      <c r="G912" s="254"/>
      <c r="H912" s="254"/>
      <c r="I912" s="254"/>
      <c r="J912" s="254"/>
      <c r="K912" s="254"/>
      <c r="L912" s="254"/>
      <c r="M912" s="254"/>
      <c r="N912" s="254"/>
      <c r="O912" s="254"/>
      <c r="P912" s="254"/>
      <c r="Q912" s="254"/>
      <c r="R912" s="254"/>
      <c r="S912" s="254"/>
      <c r="T912" s="254"/>
      <c r="U912" s="254"/>
      <c r="V912" s="254"/>
      <c r="W912" s="254"/>
      <c r="X912" s="254"/>
      <c r="Y912" s="254"/>
      <c r="Z912" s="254"/>
    </row>
    <row r="913">
      <c r="A913" s="254"/>
      <c r="B913" s="254"/>
      <c r="C913" s="254"/>
      <c r="D913" s="254"/>
      <c r="E913" s="254"/>
      <c r="F913" s="254"/>
      <c r="G913" s="254"/>
      <c r="H913" s="254"/>
      <c r="I913" s="254"/>
      <c r="J913" s="254"/>
      <c r="K913" s="254"/>
      <c r="L913" s="254"/>
      <c r="M913" s="254"/>
      <c r="N913" s="254"/>
      <c r="O913" s="254"/>
      <c r="P913" s="254"/>
      <c r="Q913" s="254"/>
      <c r="R913" s="254"/>
      <c r="S913" s="254"/>
      <c r="T913" s="254"/>
      <c r="U913" s="254"/>
      <c r="V913" s="254"/>
      <c r="W913" s="254"/>
      <c r="X913" s="254"/>
      <c r="Y913" s="254"/>
      <c r="Z913" s="254"/>
    </row>
    <row r="914">
      <c r="A914" s="254"/>
      <c r="B914" s="254"/>
      <c r="C914" s="254"/>
      <c r="D914" s="254"/>
      <c r="E914" s="254"/>
      <c r="F914" s="254"/>
      <c r="G914" s="254"/>
      <c r="H914" s="254"/>
      <c r="I914" s="254"/>
      <c r="J914" s="254"/>
      <c r="K914" s="254"/>
      <c r="L914" s="254"/>
      <c r="M914" s="254"/>
      <c r="N914" s="254"/>
      <c r="O914" s="254"/>
      <c r="P914" s="254"/>
      <c r="Q914" s="254"/>
      <c r="R914" s="254"/>
      <c r="S914" s="254"/>
      <c r="T914" s="254"/>
      <c r="U914" s="254"/>
      <c r="V914" s="254"/>
      <c r="W914" s="254"/>
      <c r="X914" s="254"/>
      <c r="Y914" s="254"/>
      <c r="Z914" s="254"/>
    </row>
    <row r="915">
      <c r="A915" s="254"/>
      <c r="B915" s="254"/>
      <c r="C915" s="254"/>
      <c r="D915" s="254"/>
      <c r="E915" s="254"/>
      <c r="F915" s="254"/>
      <c r="G915" s="254"/>
      <c r="H915" s="254"/>
      <c r="I915" s="254"/>
      <c r="J915" s="254"/>
      <c r="K915" s="254"/>
      <c r="L915" s="254"/>
      <c r="M915" s="254"/>
      <c r="N915" s="254"/>
      <c r="O915" s="254"/>
      <c r="P915" s="254"/>
      <c r="Q915" s="254"/>
      <c r="R915" s="254"/>
      <c r="S915" s="254"/>
      <c r="T915" s="254"/>
      <c r="U915" s="254"/>
      <c r="V915" s="254"/>
      <c r="W915" s="254"/>
      <c r="X915" s="254"/>
      <c r="Y915" s="254"/>
      <c r="Z915" s="254"/>
    </row>
    <row r="916">
      <c r="A916" s="254"/>
      <c r="B916" s="254"/>
      <c r="C916" s="254"/>
      <c r="D916" s="254"/>
      <c r="E916" s="254"/>
      <c r="F916" s="254"/>
      <c r="G916" s="254"/>
      <c r="H916" s="254"/>
      <c r="I916" s="254"/>
      <c r="J916" s="254"/>
      <c r="K916" s="254"/>
      <c r="L916" s="254"/>
      <c r="M916" s="254"/>
      <c r="N916" s="254"/>
      <c r="O916" s="254"/>
      <c r="P916" s="254"/>
      <c r="Q916" s="254"/>
      <c r="R916" s="254"/>
      <c r="S916" s="254"/>
      <c r="T916" s="254"/>
      <c r="U916" s="254"/>
      <c r="V916" s="254"/>
      <c r="W916" s="254"/>
      <c r="X916" s="254"/>
      <c r="Y916" s="254"/>
      <c r="Z916" s="254"/>
    </row>
    <row r="917">
      <c r="A917" s="254"/>
      <c r="B917" s="254"/>
      <c r="C917" s="254"/>
      <c r="D917" s="254"/>
      <c r="E917" s="254"/>
      <c r="F917" s="254"/>
      <c r="G917" s="254"/>
      <c r="H917" s="254"/>
      <c r="I917" s="254"/>
      <c r="J917" s="254"/>
      <c r="K917" s="254"/>
      <c r="L917" s="254"/>
      <c r="M917" s="254"/>
      <c r="N917" s="254"/>
      <c r="O917" s="254"/>
      <c r="P917" s="254"/>
      <c r="Q917" s="254"/>
      <c r="R917" s="254"/>
      <c r="S917" s="254"/>
      <c r="T917" s="254"/>
      <c r="U917" s="254"/>
      <c r="V917" s="254"/>
      <c r="W917" s="254"/>
      <c r="X917" s="254"/>
      <c r="Y917" s="254"/>
      <c r="Z917" s="254"/>
    </row>
    <row r="918">
      <c r="A918" s="254"/>
      <c r="B918" s="254"/>
      <c r="C918" s="254"/>
      <c r="D918" s="254"/>
      <c r="E918" s="254"/>
      <c r="F918" s="254"/>
      <c r="G918" s="254"/>
      <c r="H918" s="254"/>
      <c r="I918" s="254"/>
      <c r="J918" s="254"/>
      <c r="K918" s="254"/>
      <c r="L918" s="254"/>
      <c r="M918" s="254"/>
      <c r="N918" s="254"/>
      <c r="O918" s="254"/>
      <c r="P918" s="254"/>
      <c r="Q918" s="254"/>
      <c r="R918" s="254"/>
      <c r="S918" s="254"/>
      <c r="T918" s="254"/>
      <c r="U918" s="254"/>
      <c r="V918" s="254"/>
      <c r="W918" s="254"/>
      <c r="X918" s="254"/>
      <c r="Y918" s="254"/>
      <c r="Z918" s="254"/>
    </row>
    <row r="919">
      <c r="A919" s="254"/>
      <c r="B919" s="254"/>
      <c r="C919" s="254"/>
      <c r="D919" s="254"/>
      <c r="E919" s="254"/>
      <c r="F919" s="254"/>
      <c r="G919" s="254"/>
      <c r="H919" s="254"/>
      <c r="I919" s="254"/>
      <c r="J919" s="254"/>
      <c r="K919" s="254"/>
      <c r="L919" s="254"/>
      <c r="M919" s="254"/>
      <c r="N919" s="254"/>
      <c r="O919" s="254"/>
      <c r="P919" s="254"/>
      <c r="Q919" s="254"/>
      <c r="R919" s="254"/>
      <c r="S919" s="254"/>
      <c r="T919" s="254"/>
      <c r="U919" s="254"/>
      <c r="V919" s="254"/>
      <c r="W919" s="254"/>
      <c r="X919" s="254"/>
      <c r="Y919" s="254"/>
      <c r="Z919" s="254"/>
    </row>
    <row r="920">
      <c r="A920" s="254"/>
      <c r="B920" s="254"/>
      <c r="C920" s="254"/>
      <c r="D920" s="254"/>
      <c r="E920" s="254"/>
      <c r="F920" s="254"/>
      <c r="G920" s="254"/>
      <c r="H920" s="254"/>
      <c r="I920" s="254"/>
      <c r="J920" s="254"/>
      <c r="K920" s="254"/>
      <c r="L920" s="254"/>
      <c r="M920" s="254"/>
      <c r="N920" s="254"/>
      <c r="O920" s="254"/>
      <c r="P920" s="254"/>
      <c r="Q920" s="254"/>
      <c r="R920" s="254"/>
      <c r="S920" s="254"/>
      <c r="T920" s="254"/>
      <c r="U920" s="254"/>
      <c r="V920" s="254"/>
      <c r="W920" s="254"/>
      <c r="X920" s="254"/>
      <c r="Y920" s="254"/>
      <c r="Z920" s="254"/>
    </row>
    <row r="921">
      <c r="A921" s="254"/>
      <c r="B921" s="254"/>
      <c r="C921" s="254"/>
      <c r="D921" s="254"/>
      <c r="E921" s="254"/>
      <c r="F921" s="254"/>
      <c r="G921" s="254"/>
      <c r="H921" s="254"/>
      <c r="I921" s="254"/>
      <c r="J921" s="254"/>
      <c r="K921" s="254"/>
      <c r="L921" s="254"/>
      <c r="M921" s="254"/>
      <c r="N921" s="254"/>
      <c r="O921" s="254"/>
      <c r="P921" s="254"/>
      <c r="Q921" s="254"/>
      <c r="R921" s="254"/>
      <c r="S921" s="254"/>
      <c r="T921" s="254"/>
      <c r="U921" s="254"/>
      <c r="V921" s="254"/>
      <c r="W921" s="254"/>
      <c r="X921" s="254"/>
      <c r="Y921" s="254"/>
      <c r="Z921" s="254"/>
    </row>
    <row r="922">
      <c r="A922" s="254"/>
      <c r="B922" s="254"/>
      <c r="C922" s="254"/>
      <c r="D922" s="254"/>
      <c r="E922" s="254"/>
      <c r="F922" s="254"/>
      <c r="G922" s="254"/>
      <c r="H922" s="254"/>
      <c r="I922" s="254"/>
      <c r="J922" s="254"/>
      <c r="K922" s="254"/>
      <c r="L922" s="254"/>
      <c r="M922" s="254"/>
      <c r="N922" s="254"/>
      <c r="O922" s="254"/>
      <c r="P922" s="254"/>
      <c r="Q922" s="254"/>
      <c r="R922" s="254"/>
      <c r="S922" s="254"/>
      <c r="T922" s="254"/>
      <c r="U922" s="254"/>
      <c r="V922" s="254"/>
      <c r="W922" s="254"/>
      <c r="X922" s="254"/>
      <c r="Y922" s="254"/>
      <c r="Z922" s="254"/>
    </row>
    <row r="923">
      <c r="A923" s="254"/>
      <c r="B923" s="254"/>
      <c r="C923" s="254"/>
      <c r="D923" s="254"/>
      <c r="E923" s="254"/>
      <c r="F923" s="254"/>
      <c r="G923" s="254"/>
      <c r="H923" s="254"/>
      <c r="I923" s="254"/>
      <c r="J923" s="254"/>
      <c r="K923" s="254"/>
      <c r="L923" s="254"/>
      <c r="M923" s="254"/>
      <c r="N923" s="254"/>
      <c r="O923" s="254"/>
      <c r="P923" s="254"/>
      <c r="Q923" s="254"/>
      <c r="R923" s="254"/>
      <c r="S923" s="254"/>
      <c r="T923" s="254"/>
      <c r="U923" s="254"/>
      <c r="V923" s="254"/>
      <c r="W923" s="254"/>
      <c r="X923" s="254"/>
      <c r="Y923" s="254"/>
      <c r="Z923" s="254"/>
    </row>
    <row r="924">
      <c r="A924" s="254"/>
      <c r="B924" s="254"/>
      <c r="C924" s="254"/>
      <c r="D924" s="254"/>
      <c r="E924" s="254"/>
      <c r="F924" s="254"/>
      <c r="G924" s="254"/>
      <c r="H924" s="254"/>
      <c r="I924" s="254"/>
      <c r="J924" s="254"/>
      <c r="K924" s="254"/>
      <c r="L924" s="254"/>
      <c r="M924" s="254"/>
      <c r="N924" s="254"/>
      <c r="O924" s="254"/>
      <c r="P924" s="254"/>
      <c r="Q924" s="254"/>
      <c r="R924" s="254"/>
      <c r="S924" s="254"/>
      <c r="T924" s="254"/>
      <c r="U924" s="254"/>
      <c r="V924" s="254"/>
      <c r="W924" s="254"/>
      <c r="X924" s="254"/>
      <c r="Y924" s="254"/>
      <c r="Z924" s="254"/>
    </row>
    <row r="925">
      <c r="A925" s="254"/>
      <c r="B925" s="254"/>
      <c r="C925" s="254"/>
      <c r="D925" s="254"/>
      <c r="E925" s="254"/>
      <c r="F925" s="254"/>
      <c r="G925" s="254"/>
      <c r="H925" s="254"/>
      <c r="I925" s="254"/>
      <c r="J925" s="254"/>
      <c r="K925" s="254"/>
      <c r="L925" s="254"/>
      <c r="M925" s="254"/>
      <c r="N925" s="254"/>
      <c r="O925" s="254"/>
      <c r="P925" s="254"/>
      <c r="Q925" s="254"/>
      <c r="R925" s="254"/>
      <c r="S925" s="254"/>
      <c r="T925" s="254"/>
      <c r="U925" s="254"/>
      <c r="V925" s="254"/>
      <c r="W925" s="254"/>
      <c r="X925" s="254"/>
      <c r="Y925" s="254"/>
      <c r="Z925" s="254"/>
    </row>
    <row r="926">
      <c r="A926" s="254"/>
      <c r="B926" s="254"/>
      <c r="C926" s="254"/>
      <c r="D926" s="254"/>
      <c r="E926" s="254"/>
      <c r="F926" s="254"/>
      <c r="G926" s="254"/>
      <c r="H926" s="254"/>
      <c r="I926" s="254"/>
      <c r="J926" s="254"/>
      <c r="K926" s="254"/>
      <c r="L926" s="254"/>
      <c r="M926" s="254"/>
      <c r="N926" s="254"/>
      <c r="O926" s="254"/>
      <c r="P926" s="254"/>
      <c r="Q926" s="254"/>
      <c r="R926" s="254"/>
      <c r="S926" s="254"/>
      <c r="T926" s="254"/>
      <c r="U926" s="254"/>
      <c r="V926" s="254"/>
      <c r="W926" s="254"/>
      <c r="X926" s="254"/>
      <c r="Y926" s="254"/>
      <c r="Z926" s="254"/>
    </row>
    <row r="927">
      <c r="A927" s="254"/>
      <c r="B927" s="254"/>
      <c r="C927" s="254"/>
      <c r="D927" s="254"/>
      <c r="E927" s="254"/>
      <c r="F927" s="254"/>
      <c r="G927" s="254"/>
      <c r="H927" s="254"/>
      <c r="I927" s="254"/>
      <c r="J927" s="254"/>
      <c r="K927" s="254"/>
      <c r="L927" s="254"/>
      <c r="M927" s="254"/>
      <c r="N927" s="254"/>
      <c r="O927" s="254"/>
      <c r="P927" s="254"/>
      <c r="Q927" s="254"/>
      <c r="R927" s="254"/>
      <c r="S927" s="254"/>
      <c r="T927" s="254"/>
      <c r="U927" s="254"/>
      <c r="V927" s="254"/>
      <c r="W927" s="254"/>
      <c r="X927" s="254"/>
      <c r="Y927" s="254"/>
      <c r="Z927" s="254"/>
    </row>
    <row r="928">
      <c r="A928" s="254"/>
      <c r="B928" s="254"/>
      <c r="C928" s="254"/>
      <c r="D928" s="254"/>
      <c r="E928" s="254"/>
      <c r="F928" s="254"/>
      <c r="G928" s="254"/>
      <c r="H928" s="254"/>
      <c r="I928" s="254"/>
      <c r="J928" s="254"/>
      <c r="K928" s="254"/>
      <c r="L928" s="254"/>
      <c r="M928" s="254"/>
      <c r="N928" s="254"/>
      <c r="O928" s="254"/>
      <c r="P928" s="254"/>
      <c r="Q928" s="254"/>
      <c r="R928" s="254"/>
      <c r="S928" s="254"/>
      <c r="T928" s="254"/>
      <c r="U928" s="254"/>
      <c r="V928" s="254"/>
      <c r="W928" s="254"/>
      <c r="X928" s="254"/>
      <c r="Y928" s="254"/>
      <c r="Z928" s="254"/>
    </row>
    <row r="929">
      <c r="A929" s="254"/>
      <c r="B929" s="254"/>
      <c r="C929" s="254"/>
      <c r="D929" s="254"/>
      <c r="E929" s="254"/>
      <c r="F929" s="254"/>
      <c r="G929" s="254"/>
      <c r="H929" s="254"/>
      <c r="I929" s="254"/>
      <c r="J929" s="254"/>
      <c r="K929" s="254"/>
      <c r="L929" s="254"/>
      <c r="M929" s="254"/>
      <c r="N929" s="254"/>
      <c r="O929" s="254"/>
      <c r="P929" s="254"/>
      <c r="Q929" s="254"/>
      <c r="R929" s="254"/>
      <c r="S929" s="254"/>
      <c r="T929" s="254"/>
      <c r="U929" s="254"/>
      <c r="V929" s="254"/>
      <c r="W929" s="254"/>
      <c r="X929" s="254"/>
      <c r="Y929" s="254"/>
      <c r="Z929" s="254"/>
    </row>
    <row r="930">
      <c r="A930" s="254"/>
      <c r="B930" s="254"/>
      <c r="C930" s="254"/>
      <c r="D930" s="254"/>
      <c r="E930" s="254"/>
      <c r="F930" s="254"/>
      <c r="G930" s="254"/>
      <c r="H930" s="254"/>
      <c r="I930" s="254"/>
      <c r="J930" s="254"/>
      <c r="K930" s="254"/>
      <c r="L930" s="254"/>
      <c r="M930" s="254"/>
      <c r="N930" s="254"/>
      <c r="O930" s="254"/>
      <c r="P930" s="254"/>
      <c r="Q930" s="254"/>
      <c r="R930" s="254"/>
      <c r="S930" s="254"/>
      <c r="T930" s="254"/>
      <c r="U930" s="254"/>
      <c r="V930" s="254"/>
      <c r="W930" s="254"/>
      <c r="X930" s="254"/>
      <c r="Y930" s="254"/>
      <c r="Z930" s="254"/>
    </row>
    <row r="931">
      <c r="A931" s="254"/>
      <c r="B931" s="254"/>
      <c r="C931" s="254"/>
      <c r="D931" s="254"/>
      <c r="E931" s="254"/>
      <c r="F931" s="254"/>
      <c r="G931" s="254"/>
      <c r="H931" s="254"/>
      <c r="I931" s="254"/>
      <c r="J931" s="254"/>
      <c r="K931" s="254"/>
      <c r="L931" s="254"/>
      <c r="M931" s="254"/>
      <c r="N931" s="254"/>
      <c r="O931" s="254"/>
      <c r="P931" s="254"/>
      <c r="Q931" s="254"/>
      <c r="R931" s="254"/>
      <c r="S931" s="254"/>
      <c r="T931" s="254"/>
      <c r="U931" s="254"/>
      <c r="V931" s="254"/>
      <c r="W931" s="254"/>
      <c r="X931" s="254"/>
      <c r="Y931" s="254"/>
      <c r="Z931" s="254"/>
    </row>
    <row r="932">
      <c r="A932" s="254"/>
      <c r="B932" s="254"/>
      <c r="C932" s="254"/>
      <c r="D932" s="254"/>
      <c r="E932" s="254"/>
      <c r="F932" s="254"/>
      <c r="G932" s="254"/>
      <c r="H932" s="254"/>
      <c r="I932" s="254"/>
      <c r="J932" s="254"/>
      <c r="K932" s="254"/>
      <c r="L932" s="254"/>
      <c r="M932" s="254"/>
      <c r="N932" s="254"/>
      <c r="O932" s="254"/>
      <c r="P932" s="254"/>
      <c r="Q932" s="254"/>
      <c r="R932" s="254"/>
      <c r="S932" s="254"/>
      <c r="T932" s="254"/>
      <c r="U932" s="254"/>
      <c r="V932" s="254"/>
      <c r="W932" s="254"/>
      <c r="X932" s="254"/>
      <c r="Y932" s="254"/>
      <c r="Z932" s="254"/>
    </row>
    <row r="933">
      <c r="A933" s="254"/>
      <c r="B933" s="254"/>
      <c r="C933" s="254"/>
      <c r="D933" s="254"/>
      <c r="E933" s="254"/>
      <c r="F933" s="254"/>
      <c r="G933" s="254"/>
      <c r="H933" s="254"/>
      <c r="I933" s="254"/>
      <c r="J933" s="254"/>
      <c r="K933" s="254"/>
      <c r="L933" s="254"/>
      <c r="M933" s="254"/>
      <c r="N933" s="254"/>
      <c r="O933" s="254"/>
      <c r="P933" s="254"/>
      <c r="Q933" s="254"/>
      <c r="R933" s="254"/>
      <c r="S933" s="254"/>
      <c r="T933" s="254"/>
      <c r="U933" s="254"/>
      <c r="V933" s="254"/>
      <c r="W933" s="254"/>
      <c r="X933" s="254"/>
      <c r="Y933" s="254"/>
      <c r="Z933" s="254"/>
    </row>
    <row r="934">
      <c r="A934" s="254"/>
      <c r="B934" s="254"/>
      <c r="C934" s="254"/>
      <c r="D934" s="254"/>
      <c r="E934" s="254"/>
      <c r="F934" s="254"/>
      <c r="G934" s="254"/>
      <c r="H934" s="254"/>
      <c r="I934" s="254"/>
      <c r="J934" s="254"/>
      <c r="K934" s="254"/>
      <c r="L934" s="254"/>
      <c r="M934" s="254"/>
      <c r="N934" s="254"/>
      <c r="O934" s="254"/>
      <c r="P934" s="254"/>
      <c r="Q934" s="254"/>
      <c r="R934" s="254"/>
      <c r="S934" s="254"/>
      <c r="T934" s="254"/>
      <c r="U934" s="254"/>
      <c r="V934" s="254"/>
      <c r="W934" s="254"/>
      <c r="X934" s="254"/>
      <c r="Y934" s="254"/>
      <c r="Z934" s="254"/>
    </row>
    <row r="935">
      <c r="A935" s="254"/>
      <c r="B935" s="254"/>
      <c r="C935" s="254"/>
      <c r="D935" s="254"/>
      <c r="E935" s="254"/>
      <c r="F935" s="254"/>
      <c r="G935" s="254"/>
      <c r="H935" s="254"/>
      <c r="I935" s="254"/>
      <c r="J935" s="254"/>
      <c r="K935" s="254"/>
      <c r="L935" s="254"/>
      <c r="M935" s="254"/>
      <c r="N935" s="254"/>
      <c r="O935" s="254"/>
      <c r="P935" s="254"/>
      <c r="Q935" s="254"/>
      <c r="R935" s="254"/>
      <c r="S935" s="254"/>
      <c r="T935" s="254"/>
      <c r="U935" s="254"/>
      <c r="V935" s="254"/>
      <c r="W935" s="254"/>
      <c r="X935" s="254"/>
      <c r="Y935" s="254"/>
      <c r="Z935" s="254"/>
    </row>
    <row r="936">
      <c r="A936" s="254"/>
      <c r="B936" s="254"/>
      <c r="C936" s="254"/>
      <c r="D936" s="254"/>
      <c r="E936" s="254"/>
      <c r="F936" s="254"/>
      <c r="G936" s="254"/>
      <c r="H936" s="254"/>
      <c r="I936" s="254"/>
      <c r="J936" s="254"/>
      <c r="K936" s="254"/>
      <c r="L936" s="254"/>
      <c r="M936" s="254"/>
      <c r="N936" s="254"/>
      <c r="O936" s="254"/>
      <c r="P936" s="254"/>
      <c r="Q936" s="254"/>
      <c r="R936" s="254"/>
      <c r="S936" s="254"/>
      <c r="T936" s="254"/>
      <c r="U936" s="254"/>
      <c r="V936" s="254"/>
      <c r="W936" s="254"/>
      <c r="X936" s="254"/>
      <c r="Y936" s="254"/>
      <c r="Z936" s="254"/>
    </row>
    <row r="937">
      <c r="A937" s="254"/>
      <c r="B937" s="254"/>
      <c r="C937" s="254"/>
      <c r="D937" s="254"/>
      <c r="E937" s="254"/>
      <c r="F937" s="254"/>
      <c r="G937" s="254"/>
      <c r="H937" s="254"/>
      <c r="I937" s="254"/>
      <c r="J937" s="254"/>
      <c r="K937" s="254"/>
      <c r="L937" s="254"/>
      <c r="M937" s="254"/>
      <c r="N937" s="254"/>
      <c r="O937" s="254"/>
      <c r="P937" s="254"/>
      <c r="Q937" s="254"/>
      <c r="R937" s="254"/>
      <c r="S937" s="254"/>
      <c r="T937" s="254"/>
      <c r="U937" s="254"/>
      <c r="V937" s="254"/>
      <c r="W937" s="254"/>
      <c r="X937" s="254"/>
      <c r="Y937" s="254"/>
      <c r="Z937" s="254"/>
    </row>
    <row r="938">
      <c r="A938" s="254"/>
      <c r="B938" s="254"/>
      <c r="C938" s="254"/>
      <c r="D938" s="254"/>
      <c r="E938" s="254"/>
      <c r="F938" s="254"/>
      <c r="G938" s="254"/>
      <c r="H938" s="254"/>
      <c r="I938" s="254"/>
      <c r="J938" s="254"/>
      <c r="K938" s="254"/>
      <c r="L938" s="254"/>
      <c r="M938" s="254"/>
      <c r="N938" s="254"/>
      <c r="O938" s="254"/>
      <c r="P938" s="254"/>
      <c r="Q938" s="254"/>
      <c r="R938" s="254"/>
      <c r="S938" s="254"/>
      <c r="T938" s="254"/>
      <c r="U938" s="254"/>
      <c r="V938" s="254"/>
      <c r="W938" s="254"/>
      <c r="X938" s="254"/>
      <c r="Y938" s="254"/>
      <c r="Z938" s="254"/>
    </row>
    <row r="939">
      <c r="A939" s="254"/>
      <c r="B939" s="254"/>
      <c r="C939" s="254"/>
      <c r="D939" s="254"/>
      <c r="E939" s="254"/>
      <c r="F939" s="254"/>
      <c r="G939" s="254"/>
      <c r="H939" s="254"/>
      <c r="I939" s="254"/>
      <c r="J939" s="254"/>
      <c r="K939" s="254"/>
      <c r="L939" s="254"/>
      <c r="M939" s="254"/>
      <c r="N939" s="254"/>
      <c r="O939" s="254"/>
      <c r="P939" s="254"/>
      <c r="Q939" s="254"/>
      <c r="R939" s="254"/>
      <c r="S939" s="254"/>
      <c r="T939" s="254"/>
      <c r="U939" s="254"/>
      <c r="V939" s="254"/>
      <c r="W939" s="254"/>
      <c r="X939" s="254"/>
      <c r="Y939" s="254"/>
      <c r="Z939" s="254"/>
    </row>
    <row r="940">
      <c r="A940" s="254"/>
      <c r="B940" s="254"/>
      <c r="C940" s="254"/>
      <c r="D940" s="254"/>
      <c r="E940" s="254"/>
      <c r="F940" s="254"/>
      <c r="G940" s="254"/>
      <c r="H940" s="254"/>
      <c r="I940" s="254"/>
      <c r="J940" s="254"/>
      <c r="K940" s="254"/>
      <c r="L940" s="254"/>
      <c r="M940" s="254"/>
      <c r="N940" s="254"/>
      <c r="O940" s="254"/>
      <c r="P940" s="254"/>
      <c r="Q940" s="254"/>
      <c r="R940" s="254"/>
      <c r="S940" s="254"/>
      <c r="T940" s="254"/>
      <c r="U940" s="254"/>
      <c r="V940" s="254"/>
      <c r="W940" s="254"/>
      <c r="X940" s="254"/>
      <c r="Y940" s="254"/>
      <c r="Z940" s="254"/>
    </row>
    <row r="941">
      <c r="A941" s="254"/>
      <c r="B941" s="254"/>
      <c r="C941" s="254"/>
      <c r="D941" s="254"/>
      <c r="E941" s="254"/>
      <c r="F941" s="254"/>
      <c r="G941" s="254"/>
      <c r="H941" s="254"/>
      <c r="I941" s="254"/>
      <c r="J941" s="254"/>
      <c r="K941" s="254"/>
      <c r="L941" s="254"/>
      <c r="M941" s="254"/>
      <c r="N941" s="254"/>
      <c r="O941" s="254"/>
      <c r="P941" s="254"/>
      <c r="Q941" s="254"/>
      <c r="R941" s="254"/>
      <c r="S941" s="254"/>
      <c r="T941" s="254"/>
      <c r="U941" s="254"/>
      <c r="V941" s="254"/>
      <c r="W941" s="254"/>
      <c r="X941" s="254"/>
      <c r="Y941" s="254"/>
      <c r="Z941" s="254"/>
    </row>
    <row r="942">
      <c r="A942" s="254"/>
      <c r="B942" s="254"/>
      <c r="C942" s="254"/>
      <c r="D942" s="254"/>
      <c r="E942" s="254"/>
      <c r="F942" s="254"/>
      <c r="G942" s="254"/>
      <c r="H942" s="254"/>
      <c r="I942" s="254"/>
      <c r="J942" s="254"/>
      <c r="K942" s="254"/>
      <c r="L942" s="254"/>
      <c r="M942" s="254"/>
      <c r="N942" s="254"/>
      <c r="O942" s="254"/>
      <c r="P942" s="254"/>
      <c r="Q942" s="254"/>
      <c r="R942" s="254"/>
      <c r="S942" s="254"/>
      <c r="T942" s="254"/>
      <c r="U942" s="254"/>
      <c r="V942" s="254"/>
      <c r="W942" s="254"/>
      <c r="X942" s="254"/>
      <c r="Y942" s="254"/>
      <c r="Z942" s="254"/>
    </row>
    <row r="943">
      <c r="A943" s="254"/>
      <c r="B943" s="254"/>
      <c r="C943" s="254"/>
      <c r="D943" s="254"/>
      <c r="E943" s="254"/>
      <c r="F943" s="254"/>
      <c r="G943" s="254"/>
      <c r="H943" s="254"/>
      <c r="I943" s="254"/>
      <c r="J943" s="254"/>
      <c r="K943" s="254"/>
      <c r="L943" s="254"/>
      <c r="M943" s="254"/>
      <c r="N943" s="254"/>
      <c r="O943" s="254"/>
      <c r="P943" s="254"/>
      <c r="Q943" s="254"/>
      <c r="R943" s="254"/>
      <c r="S943" s="254"/>
      <c r="T943" s="254"/>
      <c r="U943" s="254"/>
      <c r="V943" s="254"/>
      <c r="W943" s="254"/>
      <c r="X943" s="254"/>
      <c r="Y943" s="254"/>
      <c r="Z943" s="254"/>
    </row>
    <row r="944">
      <c r="A944" s="254"/>
      <c r="B944" s="254"/>
      <c r="C944" s="254"/>
      <c r="D944" s="254"/>
      <c r="E944" s="254"/>
      <c r="F944" s="254"/>
      <c r="G944" s="254"/>
      <c r="H944" s="254"/>
      <c r="I944" s="254"/>
      <c r="J944" s="254"/>
      <c r="K944" s="254"/>
      <c r="L944" s="254"/>
      <c r="M944" s="254"/>
      <c r="N944" s="254"/>
      <c r="O944" s="254"/>
      <c r="P944" s="254"/>
      <c r="Q944" s="254"/>
      <c r="R944" s="254"/>
      <c r="S944" s="254"/>
      <c r="T944" s="254"/>
      <c r="U944" s="254"/>
      <c r="V944" s="254"/>
      <c r="W944" s="254"/>
      <c r="X944" s="254"/>
      <c r="Y944" s="254"/>
      <c r="Z944" s="254"/>
    </row>
    <row r="945">
      <c r="A945" s="254"/>
      <c r="B945" s="254"/>
      <c r="C945" s="254"/>
      <c r="D945" s="254"/>
      <c r="E945" s="254"/>
      <c r="F945" s="254"/>
      <c r="G945" s="254"/>
      <c r="H945" s="254"/>
      <c r="I945" s="254"/>
      <c r="J945" s="254"/>
      <c r="K945" s="254"/>
      <c r="L945" s="254"/>
      <c r="M945" s="254"/>
      <c r="N945" s="254"/>
      <c r="O945" s="254"/>
      <c r="P945" s="254"/>
      <c r="Q945" s="254"/>
      <c r="R945" s="254"/>
      <c r="S945" s="254"/>
      <c r="T945" s="254"/>
      <c r="U945" s="254"/>
      <c r="V945" s="254"/>
      <c r="W945" s="254"/>
      <c r="X945" s="254"/>
      <c r="Y945" s="254"/>
      <c r="Z945" s="254"/>
    </row>
    <row r="946">
      <c r="A946" s="254"/>
      <c r="B946" s="254"/>
      <c r="C946" s="254"/>
      <c r="D946" s="254"/>
      <c r="E946" s="254"/>
      <c r="F946" s="254"/>
      <c r="G946" s="254"/>
      <c r="H946" s="254"/>
      <c r="I946" s="254"/>
      <c r="J946" s="254"/>
      <c r="K946" s="254"/>
      <c r="L946" s="254"/>
      <c r="M946" s="254"/>
      <c r="N946" s="254"/>
      <c r="O946" s="254"/>
      <c r="P946" s="254"/>
      <c r="Q946" s="254"/>
      <c r="R946" s="254"/>
      <c r="S946" s="254"/>
      <c r="T946" s="254"/>
      <c r="U946" s="254"/>
      <c r="V946" s="254"/>
      <c r="W946" s="254"/>
      <c r="X946" s="254"/>
      <c r="Y946" s="254"/>
      <c r="Z946" s="254"/>
    </row>
    <row r="947">
      <c r="A947" s="254"/>
      <c r="B947" s="254"/>
      <c r="C947" s="254"/>
      <c r="D947" s="254"/>
      <c r="E947" s="254"/>
      <c r="F947" s="254"/>
      <c r="G947" s="254"/>
      <c r="H947" s="254"/>
      <c r="I947" s="254"/>
      <c r="J947" s="254"/>
      <c r="K947" s="254"/>
      <c r="L947" s="254"/>
      <c r="M947" s="254"/>
      <c r="N947" s="254"/>
      <c r="O947" s="254"/>
      <c r="P947" s="254"/>
      <c r="Q947" s="254"/>
      <c r="R947" s="254"/>
      <c r="S947" s="254"/>
      <c r="T947" s="254"/>
      <c r="U947" s="254"/>
      <c r="V947" s="254"/>
      <c r="W947" s="254"/>
      <c r="X947" s="254"/>
      <c r="Y947" s="254"/>
      <c r="Z947" s="254"/>
    </row>
    <row r="948">
      <c r="A948" s="254"/>
      <c r="B948" s="254"/>
      <c r="C948" s="254"/>
      <c r="D948" s="254"/>
      <c r="E948" s="254"/>
      <c r="F948" s="254"/>
      <c r="G948" s="254"/>
      <c r="H948" s="254"/>
      <c r="I948" s="254"/>
      <c r="J948" s="254"/>
      <c r="K948" s="254"/>
      <c r="L948" s="254"/>
      <c r="M948" s="254"/>
      <c r="N948" s="254"/>
      <c r="O948" s="254"/>
      <c r="P948" s="254"/>
      <c r="Q948" s="254"/>
      <c r="R948" s="254"/>
      <c r="S948" s="254"/>
      <c r="T948" s="254"/>
      <c r="U948" s="254"/>
      <c r="V948" s="254"/>
      <c r="W948" s="254"/>
      <c r="X948" s="254"/>
      <c r="Y948" s="254"/>
      <c r="Z948" s="254"/>
    </row>
    <row r="949">
      <c r="A949" s="254"/>
      <c r="B949" s="254"/>
      <c r="C949" s="254"/>
      <c r="D949" s="254"/>
      <c r="E949" s="254"/>
      <c r="F949" s="254"/>
      <c r="G949" s="254"/>
      <c r="H949" s="254"/>
      <c r="I949" s="254"/>
      <c r="J949" s="254"/>
      <c r="K949" s="254"/>
      <c r="L949" s="254"/>
      <c r="M949" s="254"/>
      <c r="N949" s="254"/>
      <c r="O949" s="254"/>
      <c r="P949" s="254"/>
      <c r="Q949" s="254"/>
      <c r="R949" s="254"/>
      <c r="S949" s="254"/>
      <c r="T949" s="254"/>
      <c r="U949" s="254"/>
      <c r="V949" s="254"/>
      <c r="W949" s="254"/>
      <c r="X949" s="254"/>
      <c r="Y949" s="254"/>
      <c r="Z949" s="254"/>
    </row>
    <row r="950">
      <c r="A950" s="254"/>
      <c r="B950" s="254"/>
      <c r="C950" s="254"/>
      <c r="D950" s="254"/>
      <c r="E950" s="254"/>
      <c r="F950" s="254"/>
      <c r="G950" s="254"/>
      <c r="H950" s="254"/>
      <c r="I950" s="254"/>
      <c r="J950" s="254"/>
      <c r="K950" s="254"/>
      <c r="L950" s="254"/>
      <c r="M950" s="254"/>
      <c r="N950" s="254"/>
      <c r="O950" s="254"/>
      <c r="P950" s="254"/>
      <c r="Q950" s="254"/>
      <c r="R950" s="254"/>
      <c r="S950" s="254"/>
      <c r="T950" s="254"/>
      <c r="U950" s="254"/>
      <c r="V950" s="254"/>
      <c r="W950" s="254"/>
      <c r="X950" s="254"/>
      <c r="Y950" s="254"/>
      <c r="Z950" s="254"/>
    </row>
    <row r="951">
      <c r="A951" s="254"/>
      <c r="B951" s="254"/>
      <c r="C951" s="254"/>
      <c r="D951" s="254"/>
      <c r="E951" s="254"/>
      <c r="F951" s="254"/>
      <c r="G951" s="254"/>
      <c r="H951" s="254"/>
      <c r="I951" s="254"/>
      <c r="J951" s="254"/>
      <c r="K951" s="254"/>
      <c r="L951" s="254"/>
      <c r="M951" s="254"/>
      <c r="N951" s="254"/>
      <c r="O951" s="254"/>
      <c r="P951" s="254"/>
      <c r="Q951" s="254"/>
      <c r="R951" s="254"/>
      <c r="S951" s="254"/>
      <c r="T951" s="254"/>
      <c r="U951" s="254"/>
      <c r="V951" s="254"/>
      <c r="W951" s="254"/>
      <c r="X951" s="254"/>
      <c r="Y951" s="254"/>
      <c r="Z951" s="254"/>
    </row>
    <row r="952">
      <c r="A952" s="254"/>
      <c r="B952" s="254"/>
      <c r="C952" s="254"/>
      <c r="D952" s="254"/>
      <c r="E952" s="254"/>
      <c r="F952" s="254"/>
      <c r="G952" s="254"/>
      <c r="H952" s="254"/>
      <c r="I952" s="254"/>
      <c r="J952" s="254"/>
      <c r="K952" s="254"/>
      <c r="L952" s="254"/>
      <c r="M952" s="254"/>
      <c r="N952" s="254"/>
      <c r="O952" s="254"/>
      <c r="P952" s="254"/>
      <c r="Q952" s="254"/>
      <c r="R952" s="254"/>
      <c r="S952" s="254"/>
      <c r="T952" s="254"/>
      <c r="U952" s="254"/>
      <c r="V952" s="254"/>
      <c r="W952" s="254"/>
      <c r="X952" s="254"/>
      <c r="Y952" s="254"/>
      <c r="Z952" s="254"/>
    </row>
    <row r="953">
      <c r="A953" s="254"/>
      <c r="B953" s="254"/>
      <c r="C953" s="254"/>
      <c r="D953" s="254"/>
      <c r="E953" s="254"/>
      <c r="F953" s="254"/>
      <c r="G953" s="254"/>
      <c r="H953" s="254"/>
      <c r="I953" s="254"/>
      <c r="J953" s="254"/>
      <c r="K953" s="254"/>
      <c r="L953" s="254"/>
      <c r="M953" s="254"/>
      <c r="N953" s="254"/>
      <c r="O953" s="254"/>
      <c r="P953" s="254"/>
      <c r="Q953" s="254"/>
      <c r="R953" s="254"/>
      <c r="S953" s="254"/>
      <c r="T953" s="254"/>
      <c r="U953" s="254"/>
      <c r="V953" s="254"/>
      <c r="W953" s="254"/>
      <c r="X953" s="254"/>
      <c r="Y953" s="254"/>
      <c r="Z953" s="254"/>
    </row>
    <row r="954">
      <c r="A954" s="254"/>
      <c r="B954" s="254"/>
      <c r="C954" s="254"/>
      <c r="D954" s="254"/>
      <c r="E954" s="254"/>
      <c r="F954" s="254"/>
      <c r="G954" s="254"/>
      <c r="H954" s="254"/>
      <c r="I954" s="254"/>
      <c r="J954" s="254"/>
      <c r="K954" s="254"/>
      <c r="L954" s="254"/>
      <c r="M954" s="254"/>
      <c r="N954" s="254"/>
      <c r="O954" s="254"/>
      <c r="P954" s="254"/>
      <c r="Q954" s="254"/>
      <c r="R954" s="254"/>
      <c r="S954" s="254"/>
      <c r="T954" s="254"/>
      <c r="U954" s="254"/>
      <c r="V954" s="254"/>
      <c r="W954" s="254"/>
      <c r="X954" s="254"/>
      <c r="Y954" s="254"/>
      <c r="Z954" s="254"/>
    </row>
    <row r="955">
      <c r="A955" s="254"/>
      <c r="B955" s="254"/>
      <c r="C955" s="254"/>
      <c r="D955" s="254"/>
      <c r="E955" s="254"/>
      <c r="F955" s="254"/>
      <c r="G955" s="254"/>
      <c r="H955" s="254"/>
      <c r="I955" s="254"/>
      <c r="J955" s="254"/>
      <c r="K955" s="254"/>
      <c r="L955" s="254"/>
      <c r="M955" s="254"/>
      <c r="N955" s="254"/>
      <c r="O955" s="254"/>
      <c r="P955" s="254"/>
      <c r="Q955" s="254"/>
      <c r="R955" s="254"/>
      <c r="S955" s="254"/>
      <c r="T955" s="254"/>
      <c r="U955" s="254"/>
      <c r="V955" s="254"/>
      <c r="W955" s="254"/>
      <c r="X955" s="254"/>
      <c r="Y955" s="254"/>
      <c r="Z955" s="254"/>
    </row>
    <row r="956">
      <c r="A956" s="254"/>
      <c r="B956" s="254"/>
      <c r="C956" s="254"/>
      <c r="D956" s="254"/>
      <c r="E956" s="254"/>
      <c r="F956" s="254"/>
      <c r="G956" s="254"/>
      <c r="H956" s="254"/>
      <c r="I956" s="254"/>
      <c r="J956" s="254"/>
      <c r="K956" s="254"/>
      <c r="L956" s="254"/>
      <c r="M956" s="254"/>
      <c r="N956" s="254"/>
      <c r="O956" s="254"/>
      <c r="P956" s="254"/>
      <c r="Q956" s="254"/>
      <c r="R956" s="254"/>
      <c r="S956" s="254"/>
      <c r="T956" s="254"/>
      <c r="U956" s="254"/>
      <c r="V956" s="254"/>
      <c r="W956" s="254"/>
      <c r="X956" s="254"/>
      <c r="Y956" s="254"/>
      <c r="Z956" s="254"/>
    </row>
    <row r="957">
      <c r="A957" s="254"/>
      <c r="B957" s="254"/>
      <c r="C957" s="254"/>
      <c r="D957" s="254"/>
      <c r="E957" s="254"/>
      <c r="F957" s="254"/>
      <c r="G957" s="254"/>
      <c r="H957" s="254"/>
      <c r="I957" s="254"/>
      <c r="J957" s="254"/>
      <c r="K957" s="254"/>
      <c r="L957" s="254"/>
      <c r="M957" s="254"/>
      <c r="N957" s="254"/>
      <c r="O957" s="254"/>
      <c r="P957" s="254"/>
      <c r="Q957" s="254"/>
      <c r="R957" s="254"/>
      <c r="S957" s="254"/>
      <c r="T957" s="254"/>
      <c r="U957" s="254"/>
      <c r="V957" s="254"/>
      <c r="W957" s="254"/>
      <c r="X957" s="254"/>
      <c r="Y957" s="254"/>
      <c r="Z957" s="254"/>
    </row>
    <row r="958">
      <c r="A958" s="254"/>
      <c r="B958" s="254"/>
      <c r="C958" s="254"/>
      <c r="D958" s="254"/>
      <c r="E958" s="254"/>
      <c r="F958" s="254"/>
      <c r="G958" s="254"/>
      <c r="H958" s="254"/>
      <c r="I958" s="254"/>
      <c r="J958" s="254"/>
      <c r="K958" s="254"/>
      <c r="L958" s="254"/>
      <c r="M958" s="254"/>
      <c r="N958" s="254"/>
      <c r="O958" s="254"/>
      <c r="P958" s="254"/>
      <c r="Q958" s="254"/>
      <c r="R958" s="254"/>
      <c r="S958" s="254"/>
      <c r="T958" s="254"/>
      <c r="U958" s="254"/>
      <c r="V958" s="254"/>
      <c r="W958" s="254"/>
      <c r="X958" s="254"/>
      <c r="Y958" s="254"/>
      <c r="Z958" s="254"/>
    </row>
    <row r="959">
      <c r="A959" s="254"/>
      <c r="B959" s="254"/>
      <c r="C959" s="254"/>
      <c r="D959" s="254"/>
      <c r="E959" s="254"/>
      <c r="F959" s="254"/>
      <c r="G959" s="254"/>
      <c r="H959" s="254"/>
      <c r="I959" s="254"/>
      <c r="J959" s="254"/>
      <c r="K959" s="254"/>
      <c r="L959" s="254"/>
      <c r="M959" s="254"/>
      <c r="N959" s="254"/>
      <c r="O959" s="254"/>
      <c r="P959" s="254"/>
      <c r="Q959" s="254"/>
      <c r="R959" s="254"/>
      <c r="S959" s="254"/>
      <c r="T959" s="254"/>
      <c r="U959" s="254"/>
      <c r="V959" s="254"/>
      <c r="W959" s="254"/>
      <c r="X959" s="254"/>
      <c r="Y959" s="254"/>
      <c r="Z959" s="254"/>
    </row>
    <row r="960">
      <c r="A960" s="254"/>
      <c r="B960" s="254"/>
      <c r="C960" s="254"/>
      <c r="D960" s="254"/>
      <c r="E960" s="254"/>
      <c r="F960" s="254"/>
      <c r="G960" s="254"/>
      <c r="H960" s="254"/>
      <c r="I960" s="254"/>
      <c r="J960" s="254"/>
      <c r="K960" s="254"/>
      <c r="L960" s="254"/>
      <c r="M960" s="254"/>
      <c r="N960" s="254"/>
      <c r="O960" s="254"/>
      <c r="P960" s="254"/>
      <c r="Q960" s="254"/>
      <c r="R960" s="254"/>
      <c r="S960" s="254"/>
      <c r="T960" s="254"/>
      <c r="U960" s="254"/>
      <c r="V960" s="254"/>
      <c r="W960" s="254"/>
      <c r="X960" s="254"/>
      <c r="Y960" s="254"/>
      <c r="Z960" s="254"/>
    </row>
    <row r="961">
      <c r="A961" s="254"/>
      <c r="B961" s="254"/>
      <c r="C961" s="254"/>
      <c r="D961" s="254"/>
      <c r="E961" s="254"/>
      <c r="F961" s="254"/>
      <c r="G961" s="254"/>
      <c r="H961" s="254"/>
      <c r="I961" s="254"/>
      <c r="J961" s="254"/>
      <c r="K961" s="254"/>
      <c r="L961" s="254"/>
      <c r="M961" s="254"/>
      <c r="N961" s="254"/>
      <c r="O961" s="254"/>
      <c r="P961" s="254"/>
      <c r="Q961" s="254"/>
      <c r="R961" s="254"/>
      <c r="S961" s="254"/>
      <c r="T961" s="254"/>
      <c r="U961" s="254"/>
      <c r="V961" s="254"/>
      <c r="W961" s="254"/>
      <c r="X961" s="254"/>
      <c r="Y961" s="254"/>
      <c r="Z961" s="254"/>
    </row>
    <row r="962">
      <c r="A962" s="254"/>
      <c r="B962" s="254"/>
      <c r="C962" s="254"/>
      <c r="D962" s="254"/>
      <c r="E962" s="254"/>
      <c r="F962" s="254"/>
      <c r="G962" s="254"/>
      <c r="H962" s="254"/>
      <c r="I962" s="254"/>
      <c r="J962" s="254"/>
      <c r="K962" s="254"/>
      <c r="L962" s="254"/>
      <c r="M962" s="254"/>
      <c r="N962" s="254"/>
      <c r="O962" s="254"/>
      <c r="P962" s="254"/>
      <c r="Q962" s="254"/>
      <c r="R962" s="254"/>
      <c r="S962" s="254"/>
      <c r="T962" s="254"/>
      <c r="U962" s="254"/>
      <c r="V962" s="254"/>
      <c r="W962" s="254"/>
      <c r="X962" s="254"/>
      <c r="Y962" s="254"/>
      <c r="Z962" s="254"/>
    </row>
    <row r="963">
      <c r="A963" s="254"/>
      <c r="B963" s="254"/>
      <c r="C963" s="254"/>
      <c r="D963" s="254"/>
      <c r="E963" s="254"/>
      <c r="F963" s="254"/>
      <c r="G963" s="254"/>
      <c r="H963" s="254"/>
      <c r="I963" s="254"/>
      <c r="J963" s="254"/>
      <c r="K963" s="254"/>
      <c r="L963" s="254"/>
      <c r="M963" s="254"/>
      <c r="N963" s="254"/>
      <c r="O963" s="254"/>
      <c r="P963" s="254"/>
      <c r="Q963" s="254"/>
      <c r="R963" s="254"/>
      <c r="S963" s="254"/>
      <c r="T963" s="254"/>
      <c r="U963" s="254"/>
      <c r="V963" s="254"/>
      <c r="W963" s="254"/>
      <c r="X963" s="254"/>
      <c r="Y963" s="254"/>
      <c r="Z963" s="254"/>
    </row>
    <row r="964">
      <c r="A964" s="254"/>
      <c r="B964" s="254"/>
      <c r="C964" s="254"/>
      <c r="D964" s="254"/>
      <c r="E964" s="254"/>
      <c r="F964" s="254"/>
      <c r="G964" s="254"/>
      <c r="H964" s="254"/>
      <c r="I964" s="254"/>
      <c r="J964" s="254"/>
      <c r="K964" s="254"/>
      <c r="L964" s="254"/>
      <c r="M964" s="254"/>
      <c r="N964" s="254"/>
      <c r="O964" s="254"/>
      <c r="P964" s="254"/>
      <c r="Q964" s="254"/>
      <c r="R964" s="254"/>
      <c r="S964" s="254"/>
      <c r="T964" s="254"/>
      <c r="U964" s="254"/>
      <c r="V964" s="254"/>
      <c r="W964" s="254"/>
      <c r="X964" s="254"/>
      <c r="Y964" s="254"/>
      <c r="Z964" s="254"/>
    </row>
    <row r="965">
      <c r="A965" s="254"/>
      <c r="B965" s="254"/>
      <c r="C965" s="254"/>
      <c r="D965" s="254"/>
      <c r="E965" s="254"/>
      <c r="F965" s="254"/>
      <c r="G965" s="254"/>
      <c r="H965" s="254"/>
      <c r="I965" s="254"/>
      <c r="J965" s="254"/>
      <c r="K965" s="254"/>
      <c r="L965" s="254"/>
      <c r="M965" s="254"/>
      <c r="N965" s="254"/>
      <c r="O965" s="254"/>
      <c r="P965" s="254"/>
      <c r="Q965" s="254"/>
      <c r="R965" s="254"/>
      <c r="S965" s="254"/>
      <c r="T965" s="254"/>
      <c r="U965" s="254"/>
      <c r="V965" s="254"/>
      <c r="W965" s="254"/>
      <c r="X965" s="254"/>
      <c r="Y965" s="254"/>
      <c r="Z965" s="254"/>
    </row>
    <row r="966">
      <c r="A966" s="254"/>
      <c r="B966" s="254"/>
      <c r="C966" s="254"/>
      <c r="D966" s="254"/>
      <c r="E966" s="254"/>
      <c r="F966" s="254"/>
      <c r="G966" s="254"/>
      <c r="H966" s="254"/>
      <c r="I966" s="254"/>
      <c r="J966" s="254"/>
      <c r="K966" s="254"/>
      <c r="L966" s="254"/>
      <c r="M966" s="254"/>
      <c r="N966" s="254"/>
      <c r="O966" s="254"/>
      <c r="P966" s="254"/>
      <c r="Q966" s="254"/>
      <c r="R966" s="254"/>
      <c r="S966" s="254"/>
      <c r="T966" s="254"/>
      <c r="U966" s="254"/>
      <c r="V966" s="254"/>
      <c r="W966" s="254"/>
      <c r="X966" s="254"/>
      <c r="Y966" s="254"/>
      <c r="Z966" s="254"/>
    </row>
    <row r="967">
      <c r="A967" s="254"/>
      <c r="B967" s="254"/>
      <c r="C967" s="254"/>
      <c r="D967" s="254"/>
      <c r="E967" s="254"/>
      <c r="F967" s="254"/>
      <c r="G967" s="254"/>
      <c r="H967" s="254"/>
      <c r="I967" s="254"/>
      <c r="J967" s="254"/>
      <c r="K967" s="254"/>
      <c r="L967" s="254"/>
      <c r="M967" s="254"/>
      <c r="N967" s="254"/>
      <c r="O967" s="254"/>
      <c r="P967" s="254"/>
      <c r="Q967" s="254"/>
      <c r="R967" s="254"/>
      <c r="S967" s="254"/>
      <c r="T967" s="254"/>
      <c r="U967" s="254"/>
      <c r="V967" s="254"/>
      <c r="W967" s="254"/>
      <c r="X967" s="254"/>
      <c r="Y967" s="254"/>
      <c r="Z967" s="254"/>
    </row>
    <row r="968">
      <c r="A968" s="254"/>
      <c r="B968" s="254"/>
      <c r="C968" s="254"/>
      <c r="D968" s="254"/>
      <c r="E968" s="254"/>
      <c r="F968" s="254"/>
      <c r="G968" s="254"/>
      <c r="H968" s="254"/>
      <c r="I968" s="254"/>
      <c r="J968" s="254"/>
      <c r="K968" s="254"/>
      <c r="L968" s="254"/>
      <c r="M968" s="254"/>
      <c r="N968" s="254"/>
      <c r="O968" s="254"/>
      <c r="P968" s="254"/>
      <c r="Q968" s="254"/>
      <c r="R968" s="254"/>
      <c r="S968" s="254"/>
      <c r="T968" s="254"/>
      <c r="U968" s="254"/>
      <c r="V968" s="254"/>
      <c r="W968" s="254"/>
      <c r="X968" s="254"/>
      <c r="Y968" s="254"/>
      <c r="Z968" s="254"/>
    </row>
    <row r="969">
      <c r="A969" s="254"/>
      <c r="B969" s="254"/>
      <c r="C969" s="254"/>
      <c r="D969" s="254"/>
      <c r="E969" s="254"/>
      <c r="F969" s="254"/>
      <c r="G969" s="254"/>
      <c r="H969" s="254"/>
      <c r="I969" s="254"/>
      <c r="J969" s="254"/>
      <c r="K969" s="254"/>
      <c r="L969" s="254"/>
      <c r="M969" s="254"/>
      <c r="N969" s="254"/>
      <c r="O969" s="254"/>
      <c r="P969" s="254"/>
      <c r="Q969" s="254"/>
      <c r="R969" s="254"/>
      <c r="S969" s="254"/>
      <c r="T969" s="254"/>
      <c r="U969" s="254"/>
      <c r="V969" s="254"/>
      <c r="W969" s="254"/>
      <c r="X969" s="254"/>
      <c r="Y969" s="254"/>
      <c r="Z969" s="254"/>
    </row>
    <row r="970">
      <c r="A970" s="254"/>
      <c r="B970" s="254"/>
      <c r="C970" s="254"/>
      <c r="D970" s="254"/>
      <c r="E970" s="254"/>
      <c r="F970" s="254"/>
      <c r="G970" s="254"/>
      <c r="H970" s="254"/>
      <c r="I970" s="254"/>
      <c r="J970" s="254"/>
      <c r="K970" s="254"/>
      <c r="L970" s="254"/>
      <c r="M970" s="254"/>
      <c r="N970" s="254"/>
      <c r="O970" s="254"/>
      <c r="P970" s="254"/>
      <c r="Q970" s="254"/>
      <c r="R970" s="254"/>
      <c r="S970" s="254"/>
      <c r="T970" s="254"/>
      <c r="U970" s="254"/>
      <c r="V970" s="254"/>
      <c r="W970" s="254"/>
      <c r="X970" s="254"/>
      <c r="Y970" s="254"/>
      <c r="Z970" s="254"/>
    </row>
    <row r="971">
      <c r="A971" s="254"/>
      <c r="B971" s="254"/>
      <c r="C971" s="254"/>
      <c r="D971" s="254"/>
      <c r="E971" s="254"/>
      <c r="F971" s="254"/>
      <c r="G971" s="254"/>
      <c r="H971" s="254"/>
      <c r="I971" s="254"/>
      <c r="J971" s="254"/>
      <c r="K971" s="254"/>
      <c r="L971" s="254"/>
      <c r="M971" s="254"/>
      <c r="N971" s="254"/>
      <c r="O971" s="254"/>
      <c r="P971" s="254"/>
      <c r="Q971" s="254"/>
      <c r="R971" s="254"/>
      <c r="S971" s="254"/>
      <c r="T971" s="254"/>
      <c r="U971" s="254"/>
      <c r="V971" s="254"/>
      <c r="W971" s="254"/>
      <c r="X971" s="254"/>
      <c r="Y971" s="254"/>
      <c r="Z971" s="254"/>
    </row>
    <row r="972">
      <c r="A972" s="254"/>
      <c r="B972" s="254"/>
      <c r="C972" s="254"/>
      <c r="D972" s="254"/>
      <c r="E972" s="254"/>
      <c r="F972" s="254"/>
      <c r="G972" s="254"/>
      <c r="H972" s="254"/>
      <c r="I972" s="254"/>
      <c r="J972" s="254"/>
      <c r="K972" s="254"/>
      <c r="L972" s="254"/>
      <c r="M972" s="254"/>
      <c r="N972" s="254"/>
      <c r="O972" s="254"/>
      <c r="P972" s="254"/>
      <c r="Q972" s="254"/>
      <c r="R972" s="254"/>
      <c r="S972" s="254"/>
      <c r="T972" s="254"/>
      <c r="U972" s="254"/>
      <c r="V972" s="254"/>
      <c r="W972" s="254"/>
      <c r="X972" s="254"/>
      <c r="Y972" s="254"/>
      <c r="Z972" s="254"/>
    </row>
    <row r="973">
      <c r="A973" s="254"/>
      <c r="B973" s="254"/>
      <c r="C973" s="254"/>
      <c r="D973" s="254"/>
      <c r="E973" s="254"/>
      <c r="F973" s="254"/>
      <c r="G973" s="254"/>
      <c r="H973" s="254"/>
      <c r="I973" s="254"/>
      <c r="J973" s="254"/>
      <c r="K973" s="254"/>
      <c r="L973" s="254"/>
      <c r="M973" s="254"/>
      <c r="N973" s="254"/>
      <c r="O973" s="254"/>
      <c r="P973" s="254"/>
      <c r="Q973" s="254"/>
      <c r="R973" s="254"/>
      <c r="S973" s="254"/>
      <c r="T973" s="254"/>
      <c r="U973" s="254"/>
      <c r="V973" s="254"/>
      <c r="W973" s="254"/>
      <c r="X973" s="254"/>
      <c r="Y973" s="254"/>
      <c r="Z973" s="254"/>
    </row>
    <row r="974">
      <c r="A974" s="254"/>
      <c r="B974" s="254"/>
      <c r="C974" s="254"/>
      <c r="D974" s="254"/>
      <c r="E974" s="254"/>
      <c r="F974" s="254"/>
      <c r="G974" s="254"/>
      <c r="H974" s="254"/>
      <c r="I974" s="254"/>
      <c r="J974" s="254"/>
      <c r="K974" s="254"/>
      <c r="L974" s="254"/>
      <c r="M974" s="254"/>
      <c r="N974" s="254"/>
      <c r="O974" s="254"/>
      <c r="P974" s="254"/>
      <c r="Q974" s="254"/>
      <c r="R974" s="254"/>
      <c r="S974" s="254"/>
      <c r="T974" s="254"/>
      <c r="U974" s="254"/>
      <c r="V974" s="254"/>
      <c r="W974" s="254"/>
      <c r="X974" s="254"/>
      <c r="Y974" s="254"/>
      <c r="Z974" s="254"/>
    </row>
    <row r="975">
      <c r="A975" s="254"/>
      <c r="B975" s="254"/>
      <c r="C975" s="254"/>
      <c r="D975" s="254"/>
      <c r="E975" s="254"/>
      <c r="F975" s="254"/>
      <c r="G975" s="254"/>
      <c r="H975" s="254"/>
      <c r="I975" s="254"/>
      <c r="J975" s="254"/>
      <c r="K975" s="254"/>
      <c r="L975" s="254"/>
      <c r="M975" s="254"/>
      <c r="N975" s="254"/>
      <c r="O975" s="254"/>
      <c r="P975" s="254"/>
      <c r="Q975" s="254"/>
      <c r="R975" s="254"/>
      <c r="S975" s="254"/>
      <c r="T975" s="254"/>
      <c r="U975" s="254"/>
      <c r="V975" s="254"/>
      <c r="W975" s="254"/>
      <c r="X975" s="254"/>
      <c r="Y975" s="254"/>
      <c r="Z975" s="254"/>
    </row>
    <row r="976">
      <c r="A976" s="254"/>
      <c r="B976" s="254"/>
      <c r="C976" s="254"/>
      <c r="D976" s="254"/>
      <c r="E976" s="254"/>
      <c r="F976" s="254"/>
      <c r="G976" s="254"/>
      <c r="H976" s="254"/>
      <c r="I976" s="254"/>
      <c r="J976" s="254"/>
      <c r="K976" s="254"/>
      <c r="L976" s="254"/>
      <c r="M976" s="254"/>
      <c r="N976" s="254"/>
      <c r="O976" s="254"/>
      <c r="P976" s="254"/>
      <c r="Q976" s="254"/>
      <c r="R976" s="254"/>
      <c r="S976" s="254"/>
      <c r="T976" s="254"/>
      <c r="U976" s="254"/>
      <c r="V976" s="254"/>
      <c r="W976" s="254"/>
      <c r="X976" s="254"/>
      <c r="Y976" s="254"/>
      <c r="Z976" s="254"/>
    </row>
    <row r="977">
      <c r="A977" s="254"/>
      <c r="B977" s="254"/>
      <c r="C977" s="254"/>
      <c r="D977" s="254"/>
      <c r="E977" s="254"/>
      <c r="F977" s="254"/>
      <c r="G977" s="254"/>
      <c r="H977" s="254"/>
      <c r="I977" s="254"/>
      <c r="J977" s="254"/>
      <c r="K977" s="254"/>
      <c r="L977" s="254"/>
      <c r="M977" s="254"/>
      <c r="N977" s="254"/>
      <c r="O977" s="254"/>
      <c r="P977" s="254"/>
      <c r="Q977" s="254"/>
      <c r="R977" s="254"/>
      <c r="S977" s="254"/>
      <c r="T977" s="254"/>
      <c r="U977" s="254"/>
      <c r="V977" s="254"/>
      <c r="W977" s="254"/>
      <c r="X977" s="254"/>
      <c r="Y977" s="254"/>
      <c r="Z977" s="254"/>
    </row>
    <row r="978">
      <c r="A978" s="254"/>
      <c r="B978" s="254"/>
      <c r="C978" s="254"/>
      <c r="D978" s="254"/>
      <c r="E978" s="254"/>
      <c r="F978" s="254"/>
      <c r="G978" s="254"/>
      <c r="H978" s="254"/>
      <c r="I978" s="254"/>
      <c r="J978" s="254"/>
      <c r="K978" s="254"/>
      <c r="L978" s="254"/>
      <c r="M978" s="254"/>
      <c r="N978" s="254"/>
      <c r="O978" s="254"/>
      <c r="P978" s="254"/>
      <c r="Q978" s="254"/>
      <c r="R978" s="254"/>
      <c r="S978" s="254"/>
      <c r="T978" s="254"/>
      <c r="U978" s="254"/>
      <c r="V978" s="254"/>
      <c r="W978" s="254"/>
      <c r="X978" s="254"/>
      <c r="Y978" s="254"/>
      <c r="Z978" s="254"/>
    </row>
    <row r="979">
      <c r="A979" s="254"/>
      <c r="B979" s="254"/>
      <c r="C979" s="254"/>
      <c r="D979" s="254"/>
      <c r="E979" s="254"/>
      <c r="F979" s="254"/>
      <c r="G979" s="254"/>
      <c r="H979" s="254"/>
      <c r="I979" s="254"/>
      <c r="J979" s="254"/>
      <c r="K979" s="254"/>
      <c r="L979" s="254"/>
      <c r="M979" s="254"/>
      <c r="N979" s="254"/>
      <c r="O979" s="254"/>
      <c r="P979" s="254"/>
      <c r="Q979" s="254"/>
      <c r="R979" s="254"/>
      <c r="S979" s="254"/>
      <c r="T979" s="254"/>
      <c r="U979" s="254"/>
      <c r="V979" s="254"/>
      <c r="W979" s="254"/>
      <c r="X979" s="254"/>
      <c r="Y979" s="254"/>
      <c r="Z979" s="254"/>
    </row>
    <row r="980">
      <c r="A980" s="254"/>
      <c r="B980" s="254"/>
      <c r="C980" s="254"/>
      <c r="D980" s="254"/>
      <c r="E980" s="254"/>
      <c r="F980" s="254"/>
      <c r="G980" s="254"/>
      <c r="H980" s="254"/>
      <c r="I980" s="254"/>
      <c r="J980" s="254"/>
      <c r="K980" s="254"/>
      <c r="L980" s="254"/>
      <c r="M980" s="254"/>
      <c r="N980" s="254"/>
      <c r="O980" s="254"/>
      <c r="P980" s="254"/>
      <c r="Q980" s="254"/>
      <c r="R980" s="254"/>
      <c r="S980" s="254"/>
      <c r="T980" s="254"/>
      <c r="U980" s="254"/>
      <c r="V980" s="254"/>
      <c r="W980" s="254"/>
      <c r="X980" s="254"/>
      <c r="Y980" s="254"/>
      <c r="Z980" s="254"/>
    </row>
    <row r="981">
      <c r="A981" s="254"/>
      <c r="B981" s="254"/>
      <c r="C981" s="254"/>
      <c r="D981" s="254"/>
      <c r="E981" s="254"/>
      <c r="F981" s="254"/>
      <c r="G981" s="254"/>
      <c r="H981" s="254"/>
      <c r="I981" s="254"/>
      <c r="J981" s="254"/>
      <c r="K981" s="254"/>
      <c r="L981" s="254"/>
      <c r="M981" s="254"/>
      <c r="N981" s="254"/>
      <c r="O981" s="254"/>
      <c r="P981" s="254"/>
      <c r="Q981" s="254"/>
      <c r="R981" s="254"/>
      <c r="S981" s="254"/>
      <c r="T981" s="254"/>
      <c r="U981" s="254"/>
      <c r="V981" s="254"/>
      <c r="W981" s="254"/>
      <c r="X981" s="254"/>
      <c r="Y981" s="254"/>
      <c r="Z981" s="254"/>
    </row>
    <row r="982">
      <c r="A982" s="254"/>
      <c r="B982" s="254"/>
      <c r="C982" s="254"/>
      <c r="D982" s="254"/>
      <c r="E982" s="254"/>
      <c r="F982" s="254"/>
      <c r="G982" s="254"/>
      <c r="H982" s="254"/>
      <c r="I982" s="254"/>
      <c r="J982" s="254"/>
      <c r="K982" s="254"/>
      <c r="L982" s="254"/>
      <c r="M982" s="254"/>
      <c r="N982" s="254"/>
      <c r="O982" s="254"/>
      <c r="P982" s="254"/>
      <c r="Q982" s="254"/>
      <c r="R982" s="254"/>
      <c r="S982" s="254"/>
      <c r="T982" s="254"/>
      <c r="U982" s="254"/>
      <c r="V982" s="254"/>
      <c r="W982" s="254"/>
      <c r="X982" s="254"/>
      <c r="Y982" s="254"/>
      <c r="Z982" s="254"/>
    </row>
    <row r="983">
      <c r="A983" s="254"/>
      <c r="B983" s="254"/>
      <c r="C983" s="254"/>
      <c r="D983" s="254"/>
      <c r="E983" s="254"/>
      <c r="F983" s="254"/>
      <c r="G983" s="254"/>
      <c r="H983" s="254"/>
      <c r="I983" s="254"/>
      <c r="J983" s="254"/>
      <c r="K983" s="254"/>
      <c r="L983" s="254"/>
      <c r="M983" s="254"/>
      <c r="N983" s="254"/>
      <c r="O983" s="254"/>
      <c r="P983" s="254"/>
      <c r="Q983" s="254"/>
      <c r="R983" s="254"/>
      <c r="S983" s="254"/>
      <c r="T983" s="254"/>
      <c r="U983" s="254"/>
      <c r="V983" s="254"/>
      <c r="W983" s="254"/>
      <c r="X983" s="254"/>
      <c r="Y983" s="254"/>
      <c r="Z983" s="254"/>
    </row>
    <row r="984">
      <c r="A984" s="254"/>
      <c r="B984" s="254"/>
      <c r="C984" s="254"/>
      <c r="D984" s="254"/>
      <c r="E984" s="254"/>
      <c r="F984" s="254"/>
      <c r="G984" s="254"/>
      <c r="H984" s="254"/>
      <c r="I984" s="254"/>
      <c r="J984" s="254"/>
      <c r="K984" s="254"/>
      <c r="L984" s="254"/>
      <c r="M984" s="254"/>
      <c r="N984" s="254"/>
      <c r="O984" s="254"/>
      <c r="P984" s="254"/>
      <c r="Q984" s="254"/>
      <c r="R984" s="254"/>
      <c r="S984" s="254"/>
      <c r="T984" s="254"/>
      <c r="U984" s="254"/>
      <c r="V984" s="254"/>
      <c r="W984" s="254"/>
      <c r="X984" s="254"/>
      <c r="Y984" s="254"/>
      <c r="Z984" s="254"/>
    </row>
    <row r="985">
      <c r="A985" s="254"/>
      <c r="B985" s="254"/>
      <c r="C985" s="254"/>
      <c r="D985" s="254"/>
      <c r="E985" s="254"/>
      <c r="F985" s="254"/>
      <c r="G985" s="254"/>
      <c r="H985" s="254"/>
      <c r="I985" s="254"/>
      <c r="J985" s="254"/>
      <c r="K985" s="254"/>
      <c r="L985" s="254"/>
      <c r="M985" s="254"/>
      <c r="N985" s="254"/>
      <c r="O985" s="254"/>
      <c r="P985" s="254"/>
      <c r="Q985" s="254"/>
      <c r="R985" s="254"/>
      <c r="S985" s="254"/>
      <c r="T985" s="254"/>
      <c r="U985" s="254"/>
      <c r="V985" s="254"/>
      <c r="W985" s="254"/>
      <c r="X985" s="254"/>
      <c r="Y985" s="254"/>
      <c r="Z985" s="254"/>
    </row>
    <row r="986">
      <c r="A986" s="254"/>
      <c r="B986" s="254"/>
      <c r="C986" s="254"/>
      <c r="D986" s="254"/>
      <c r="E986" s="254"/>
      <c r="F986" s="254"/>
      <c r="G986" s="254"/>
      <c r="H986" s="254"/>
      <c r="I986" s="254"/>
      <c r="J986" s="254"/>
      <c r="K986" s="254"/>
      <c r="L986" s="254"/>
      <c r="M986" s="254"/>
      <c r="N986" s="254"/>
      <c r="O986" s="254"/>
      <c r="P986" s="254"/>
      <c r="Q986" s="254"/>
      <c r="R986" s="254"/>
      <c r="S986" s="254"/>
      <c r="T986" s="254"/>
      <c r="U986" s="254"/>
      <c r="V986" s="254"/>
      <c r="W986" s="254"/>
      <c r="X986" s="254"/>
      <c r="Y986" s="254"/>
      <c r="Z986" s="254"/>
    </row>
    <row r="987">
      <c r="A987" s="254"/>
      <c r="B987" s="254"/>
      <c r="C987" s="254"/>
      <c r="D987" s="254"/>
      <c r="E987" s="254"/>
      <c r="F987" s="254"/>
      <c r="G987" s="254"/>
      <c r="H987" s="254"/>
      <c r="I987" s="254"/>
      <c r="J987" s="254"/>
      <c r="K987" s="254"/>
      <c r="L987" s="254"/>
      <c r="M987" s="254"/>
      <c r="N987" s="254"/>
      <c r="O987" s="254"/>
      <c r="P987" s="254"/>
      <c r="Q987" s="254"/>
      <c r="R987" s="254"/>
      <c r="S987" s="254"/>
      <c r="T987" s="254"/>
      <c r="U987" s="254"/>
      <c r="V987" s="254"/>
      <c r="W987" s="254"/>
      <c r="X987" s="254"/>
      <c r="Y987" s="254"/>
      <c r="Z987" s="254"/>
    </row>
    <row r="988">
      <c r="A988" s="254"/>
      <c r="B988" s="254"/>
      <c r="C988" s="254"/>
      <c r="D988" s="254"/>
      <c r="E988" s="254"/>
      <c r="F988" s="254"/>
      <c r="G988" s="254"/>
      <c r="H988" s="254"/>
      <c r="I988" s="254"/>
      <c r="J988" s="254"/>
      <c r="K988" s="254"/>
      <c r="L988" s="254"/>
      <c r="M988" s="254"/>
      <c r="N988" s="254"/>
      <c r="O988" s="254"/>
      <c r="P988" s="254"/>
      <c r="Q988" s="254"/>
      <c r="R988" s="254"/>
      <c r="S988" s="254"/>
      <c r="T988" s="254"/>
      <c r="U988" s="254"/>
      <c r="V988" s="254"/>
      <c r="W988" s="254"/>
      <c r="X988" s="254"/>
      <c r="Y988" s="254"/>
      <c r="Z988" s="254"/>
    </row>
    <row r="989">
      <c r="A989" s="254"/>
      <c r="B989" s="254"/>
      <c r="C989" s="254"/>
      <c r="D989" s="254"/>
      <c r="E989" s="254"/>
      <c r="F989" s="254"/>
      <c r="G989" s="254"/>
      <c r="H989" s="254"/>
      <c r="I989" s="254"/>
      <c r="J989" s="254"/>
      <c r="K989" s="254"/>
      <c r="L989" s="254"/>
      <c r="M989" s="254"/>
      <c r="N989" s="254"/>
      <c r="O989" s="254"/>
      <c r="P989" s="254"/>
      <c r="Q989" s="254"/>
      <c r="R989" s="254"/>
      <c r="S989" s="254"/>
      <c r="T989" s="254"/>
      <c r="U989" s="254"/>
      <c r="V989" s="254"/>
      <c r="W989" s="254"/>
      <c r="X989" s="254"/>
      <c r="Y989" s="254"/>
      <c r="Z989" s="254"/>
    </row>
    <row r="990">
      <c r="A990" s="254"/>
      <c r="B990" s="254"/>
      <c r="C990" s="254"/>
      <c r="D990" s="254"/>
      <c r="E990" s="254"/>
      <c r="F990" s="254"/>
      <c r="G990" s="254"/>
      <c r="H990" s="254"/>
      <c r="I990" s="254"/>
      <c r="J990" s="254"/>
      <c r="K990" s="254"/>
      <c r="L990" s="254"/>
      <c r="M990" s="254"/>
      <c r="N990" s="254"/>
      <c r="O990" s="254"/>
      <c r="P990" s="254"/>
      <c r="Q990" s="254"/>
      <c r="R990" s="254"/>
      <c r="S990" s="254"/>
      <c r="T990" s="254"/>
      <c r="U990" s="254"/>
      <c r="V990" s="254"/>
      <c r="W990" s="254"/>
      <c r="X990" s="254"/>
      <c r="Y990" s="254"/>
      <c r="Z990" s="254"/>
    </row>
    <row r="991">
      <c r="A991" s="254"/>
      <c r="B991" s="254"/>
      <c r="C991" s="254"/>
      <c r="D991" s="254"/>
      <c r="E991" s="254"/>
      <c r="F991" s="254"/>
      <c r="G991" s="254"/>
      <c r="H991" s="254"/>
      <c r="I991" s="254"/>
      <c r="J991" s="254"/>
      <c r="K991" s="254"/>
      <c r="L991" s="254"/>
      <c r="M991" s="254"/>
      <c r="N991" s="254"/>
      <c r="O991" s="254"/>
      <c r="P991" s="254"/>
      <c r="Q991" s="254"/>
      <c r="R991" s="254"/>
      <c r="S991" s="254"/>
      <c r="T991" s="254"/>
      <c r="U991" s="254"/>
      <c r="V991" s="254"/>
      <c r="W991" s="254"/>
      <c r="X991" s="254"/>
      <c r="Y991" s="254"/>
      <c r="Z991" s="254"/>
    </row>
    <row r="992">
      <c r="A992" s="254"/>
      <c r="B992" s="254"/>
      <c r="C992" s="254"/>
      <c r="D992" s="254"/>
      <c r="E992" s="254"/>
      <c r="F992" s="254"/>
      <c r="G992" s="254"/>
      <c r="H992" s="254"/>
      <c r="I992" s="254"/>
      <c r="J992" s="254"/>
      <c r="K992" s="254"/>
      <c r="L992" s="254"/>
      <c r="M992" s="254"/>
      <c r="N992" s="254"/>
      <c r="O992" s="254"/>
      <c r="P992" s="254"/>
      <c r="Q992" s="254"/>
      <c r="R992" s="254"/>
      <c r="S992" s="254"/>
      <c r="T992" s="254"/>
      <c r="U992" s="254"/>
      <c r="V992" s="254"/>
      <c r="W992" s="254"/>
      <c r="X992" s="254"/>
      <c r="Y992" s="254"/>
      <c r="Z992" s="254"/>
    </row>
    <row r="993">
      <c r="A993" s="254"/>
      <c r="B993" s="254"/>
      <c r="C993" s="254"/>
      <c r="D993" s="254"/>
      <c r="E993" s="254"/>
      <c r="F993" s="254"/>
      <c r="G993" s="254"/>
      <c r="H993" s="254"/>
      <c r="I993" s="254"/>
      <c r="J993" s="254"/>
      <c r="K993" s="254"/>
      <c r="L993" s="254"/>
      <c r="M993" s="254"/>
      <c r="N993" s="254"/>
      <c r="O993" s="254"/>
      <c r="P993" s="254"/>
      <c r="Q993" s="254"/>
      <c r="R993" s="254"/>
      <c r="S993" s="254"/>
      <c r="T993" s="254"/>
      <c r="U993" s="254"/>
      <c r="V993" s="254"/>
      <c r="W993" s="254"/>
      <c r="X993" s="254"/>
      <c r="Y993" s="254"/>
      <c r="Z993" s="254"/>
    </row>
    <row r="994">
      <c r="A994" s="254"/>
      <c r="B994" s="254"/>
      <c r="C994" s="254"/>
      <c r="D994" s="254"/>
      <c r="E994" s="254"/>
      <c r="F994" s="254"/>
      <c r="G994" s="254"/>
      <c r="H994" s="254"/>
      <c r="I994" s="254"/>
      <c r="J994" s="254"/>
      <c r="K994" s="254"/>
      <c r="L994" s="254"/>
      <c r="M994" s="254"/>
      <c r="N994" s="254"/>
      <c r="O994" s="254"/>
      <c r="P994" s="254"/>
      <c r="Q994" s="254"/>
      <c r="R994" s="254"/>
      <c r="S994" s="254"/>
      <c r="T994" s="254"/>
      <c r="U994" s="254"/>
      <c r="V994" s="254"/>
      <c r="W994" s="254"/>
      <c r="X994" s="254"/>
      <c r="Y994" s="254"/>
      <c r="Z994" s="254"/>
    </row>
    <row r="995">
      <c r="A995" s="254"/>
      <c r="B995" s="254"/>
      <c r="C995" s="254"/>
      <c r="D995" s="254"/>
      <c r="E995" s="254"/>
      <c r="F995" s="254"/>
      <c r="G995" s="254"/>
      <c r="H995" s="254"/>
      <c r="I995" s="254"/>
      <c r="J995" s="254"/>
      <c r="K995" s="254"/>
      <c r="L995" s="254"/>
      <c r="M995" s="254"/>
      <c r="N995" s="254"/>
      <c r="O995" s="254"/>
      <c r="P995" s="254"/>
      <c r="Q995" s="254"/>
      <c r="R995" s="254"/>
      <c r="S995" s="254"/>
      <c r="T995" s="254"/>
      <c r="U995" s="254"/>
      <c r="V995" s="254"/>
      <c r="W995" s="254"/>
      <c r="X995" s="254"/>
      <c r="Y995" s="254"/>
      <c r="Z995" s="254"/>
    </row>
    <row r="996">
      <c r="A996" s="254"/>
      <c r="B996" s="254"/>
      <c r="C996" s="254"/>
      <c r="D996" s="254"/>
      <c r="E996" s="254"/>
      <c r="F996" s="254"/>
      <c r="G996" s="254"/>
      <c r="H996" s="254"/>
      <c r="I996" s="254"/>
      <c r="J996" s="254"/>
      <c r="K996" s="254"/>
      <c r="L996" s="254"/>
      <c r="M996" s="254"/>
      <c r="N996" s="254"/>
      <c r="O996" s="254"/>
      <c r="P996" s="254"/>
      <c r="Q996" s="254"/>
      <c r="R996" s="254"/>
      <c r="S996" s="254"/>
      <c r="T996" s="254"/>
      <c r="U996" s="254"/>
      <c r="V996" s="254"/>
      <c r="W996" s="254"/>
      <c r="X996" s="254"/>
      <c r="Y996" s="254"/>
      <c r="Z996" s="254"/>
    </row>
    <row r="997">
      <c r="A997" s="254"/>
      <c r="B997" s="254"/>
      <c r="C997" s="254"/>
      <c r="D997" s="254"/>
      <c r="E997" s="254"/>
      <c r="F997" s="254"/>
      <c r="G997" s="254"/>
      <c r="H997" s="254"/>
      <c r="I997" s="254"/>
      <c r="J997" s="254"/>
      <c r="K997" s="254"/>
      <c r="L997" s="254"/>
      <c r="M997" s="254"/>
      <c r="N997" s="254"/>
      <c r="O997" s="254"/>
      <c r="P997" s="254"/>
      <c r="Q997" s="254"/>
      <c r="R997" s="254"/>
      <c r="S997" s="254"/>
      <c r="T997" s="254"/>
      <c r="U997" s="254"/>
      <c r="V997" s="254"/>
      <c r="W997" s="254"/>
      <c r="X997" s="254"/>
      <c r="Y997" s="254"/>
      <c r="Z997" s="254"/>
    </row>
    <row r="998">
      <c r="A998" s="254"/>
      <c r="B998" s="254"/>
      <c r="C998" s="254"/>
      <c r="D998" s="254"/>
      <c r="E998" s="254"/>
      <c r="F998" s="254"/>
      <c r="G998" s="254"/>
      <c r="H998" s="254"/>
      <c r="I998" s="254"/>
      <c r="J998" s="254"/>
      <c r="K998" s="254"/>
      <c r="L998" s="254"/>
      <c r="M998" s="254"/>
      <c r="N998" s="254"/>
      <c r="O998" s="254"/>
      <c r="P998" s="254"/>
      <c r="Q998" s="254"/>
      <c r="R998" s="254"/>
      <c r="S998" s="254"/>
      <c r="T998" s="254"/>
      <c r="U998" s="254"/>
      <c r="V998" s="254"/>
      <c r="W998" s="254"/>
      <c r="X998" s="254"/>
      <c r="Y998" s="254"/>
      <c r="Z998" s="254"/>
    </row>
    <row r="999">
      <c r="A999" s="254"/>
      <c r="B999" s="254"/>
      <c r="C999" s="254"/>
      <c r="D999" s="254"/>
      <c r="E999" s="254"/>
      <c r="F999" s="254"/>
      <c r="G999" s="254"/>
      <c r="H999" s="254"/>
      <c r="I999" s="254"/>
      <c r="J999" s="254"/>
      <c r="K999" s="254"/>
      <c r="L999" s="254"/>
      <c r="M999" s="254"/>
      <c r="N999" s="254"/>
      <c r="O999" s="254"/>
      <c r="P999" s="254"/>
      <c r="Q999" s="254"/>
      <c r="R999" s="254"/>
      <c r="S999" s="254"/>
      <c r="T999" s="254"/>
      <c r="U999" s="254"/>
      <c r="V999" s="254"/>
      <c r="W999" s="254"/>
      <c r="X999" s="254"/>
      <c r="Y999" s="254"/>
      <c r="Z999" s="254"/>
    </row>
    <row r="1000">
      <c r="A1000" s="254"/>
      <c r="B1000" s="254"/>
      <c r="C1000" s="254"/>
      <c r="D1000" s="254"/>
      <c r="E1000" s="254"/>
      <c r="F1000" s="254"/>
      <c r="G1000" s="254"/>
      <c r="H1000" s="254"/>
      <c r="I1000" s="254"/>
      <c r="J1000" s="254"/>
      <c r="K1000" s="254"/>
      <c r="L1000" s="254"/>
      <c r="M1000" s="254"/>
      <c r="N1000" s="254"/>
      <c r="O1000" s="254"/>
      <c r="P1000" s="254"/>
      <c r="Q1000" s="254"/>
      <c r="R1000" s="254"/>
      <c r="S1000" s="254"/>
      <c r="T1000" s="254"/>
      <c r="U1000" s="254"/>
      <c r="V1000" s="254"/>
      <c r="W1000" s="254"/>
      <c r="X1000" s="254"/>
      <c r="Y1000" s="254"/>
      <c r="Z1000" s="254"/>
    </row>
  </sheetData>
  <mergeCells count="4">
    <mergeCell ref="A1:L1"/>
    <mergeCell ref="A33:J33"/>
    <mergeCell ref="A59:H59"/>
    <mergeCell ref="A80:H80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C78D8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24.5"/>
    <col customWidth="1" min="3" max="3" width="21.75"/>
    <col customWidth="1" min="4" max="4" width="24.63"/>
    <col customWidth="1" min="5" max="5" width="24.88"/>
    <col customWidth="1" min="6" max="6" width="21.0"/>
    <col customWidth="1" min="7" max="7" width="21.75"/>
    <col customWidth="1" min="8" max="8" width="24.63"/>
    <col customWidth="1" min="9" max="9" width="32.13"/>
    <col customWidth="1" min="10" max="11" width="23.25"/>
    <col customWidth="1" min="13" max="13" width="20.38"/>
    <col customWidth="1" min="14" max="14" width="18.0"/>
  </cols>
  <sheetData>
    <row r="1">
      <c r="A1" s="256" t="s">
        <v>4640</v>
      </c>
    </row>
    <row r="2">
      <c r="A2" s="255" t="s">
        <v>15</v>
      </c>
      <c r="B2" s="255" t="s">
        <v>11</v>
      </c>
      <c r="C2" s="255" t="s">
        <v>14</v>
      </c>
      <c r="D2" s="255" t="s">
        <v>16</v>
      </c>
      <c r="E2" s="255" t="s">
        <v>18</v>
      </c>
      <c r="F2" s="255" t="s">
        <v>19</v>
      </c>
      <c r="G2" s="255" t="s">
        <v>9</v>
      </c>
      <c r="H2" s="255" t="s">
        <v>12</v>
      </c>
      <c r="I2" s="255" t="s">
        <v>17</v>
      </c>
      <c r="J2" s="255" t="s">
        <v>20</v>
      </c>
      <c r="K2" s="255" t="s">
        <v>21</v>
      </c>
      <c r="L2" s="255" t="s">
        <v>22</v>
      </c>
      <c r="M2" s="255" t="s">
        <v>23</v>
      </c>
      <c r="N2" s="255" t="s">
        <v>4644</v>
      </c>
    </row>
    <row r="3">
      <c r="A3" s="258" t="s">
        <v>4645</v>
      </c>
      <c r="B3" s="19" t="s">
        <v>2210</v>
      </c>
      <c r="C3" s="19" t="s">
        <v>1162</v>
      </c>
      <c r="D3" s="258" t="s">
        <v>2452</v>
      </c>
      <c r="E3" s="258" t="s">
        <v>1962</v>
      </c>
      <c r="F3" s="258" t="s">
        <v>4650</v>
      </c>
      <c r="G3" s="19" t="s">
        <v>4651</v>
      </c>
      <c r="H3" s="19" t="s">
        <v>4653</v>
      </c>
      <c r="I3" s="19" t="s">
        <v>1694</v>
      </c>
      <c r="J3" s="19" t="s">
        <v>674</v>
      </c>
      <c r="K3" s="19" t="s">
        <v>4652</v>
      </c>
      <c r="M3" s="19" t="s">
        <v>4654</v>
      </c>
      <c r="N3" s="19" t="s">
        <v>1143</v>
      </c>
    </row>
    <row r="4">
      <c r="A4" s="261" t="s">
        <v>4656</v>
      </c>
      <c r="B4" s="19" t="s">
        <v>53</v>
      </c>
      <c r="C4" s="19" t="s">
        <v>4657</v>
      </c>
      <c r="D4" s="19" t="s">
        <v>4658</v>
      </c>
      <c r="E4" s="19" t="s">
        <v>4659</v>
      </c>
      <c r="F4" s="19" t="s">
        <v>4662</v>
      </c>
      <c r="G4" s="19" t="s">
        <v>1100</v>
      </c>
      <c r="H4" s="19" t="s">
        <v>941</v>
      </c>
      <c r="I4" s="19" t="s">
        <v>4664</v>
      </c>
      <c r="J4" s="19" t="s">
        <v>767</v>
      </c>
      <c r="K4" s="19" t="s">
        <v>3400</v>
      </c>
      <c r="M4" s="19" t="s">
        <v>3287</v>
      </c>
      <c r="N4" s="19" t="s">
        <v>1146</v>
      </c>
    </row>
    <row r="5">
      <c r="A5" s="261" t="s">
        <v>3338</v>
      </c>
      <c r="B5" s="19" t="s">
        <v>3289</v>
      </c>
      <c r="C5" s="19" t="s">
        <v>4667</v>
      </c>
      <c r="D5" s="19" t="s">
        <v>4668</v>
      </c>
      <c r="E5" s="19" t="s">
        <v>4669</v>
      </c>
      <c r="F5" s="19" t="s">
        <v>4670</v>
      </c>
      <c r="G5" s="19" t="s">
        <v>1335</v>
      </c>
      <c r="H5" s="19" t="s">
        <v>4671</v>
      </c>
      <c r="I5" s="19" t="s">
        <v>2236</v>
      </c>
      <c r="J5" s="19" t="s">
        <v>4672</v>
      </c>
      <c r="K5" s="19" t="s">
        <v>2672</v>
      </c>
      <c r="M5" s="19" t="s">
        <v>2981</v>
      </c>
      <c r="N5" s="19" t="s">
        <v>4673</v>
      </c>
    </row>
    <row r="6">
      <c r="A6" s="261" t="s">
        <v>4676</v>
      </c>
      <c r="B6" s="19" t="s">
        <v>4678</v>
      </c>
      <c r="C6" s="19" t="s">
        <v>1217</v>
      </c>
      <c r="D6" s="19" t="s">
        <v>4681</v>
      </c>
      <c r="E6" s="19" t="s">
        <v>4682</v>
      </c>
      <c r="F6" s="19" t="s">
        <v>4683</v>
      </c>
      <c r="G6" s="19" t="s">
        <v>4684</v>
      </c>
      <c r="H6" s="19" t="s">
        <v>4685</v>
      </c>
      <c r="I6" s="19" t="s">
        <v>4686</v>
      </c>
      <c r="J6" s="19" t="s">
        <v>4688</v>
      </c>
      <c r="K6" s="19" t="s">
        <v>2693</v>
      </c>
      <c r="M6" s="19" t="s">
        <v>4689</v>
      </c>
      <c r="N6" s="19" t="s">
        <v>1297</v>
      </c>
    </row>
    <row r="7">
      <c r="A7" s="261" t="s">
        <v>4690</v>
      </c>
      <c r="B7" s="19" t="s">
        <v>95</v>
      </c>
      <c r="C7" s="19" t="s">
        <v>1228</v>
      </c>
      <c r="D7" s="19" t="s">
        <v>4693</v>
      </c>
      <c r="E7" s="19" t="s">
        <v>3421</v>
      </c>
      <c r="F7" s="19" t="s">
        <v>4696</v>
      </c>
      <c r="G7" s="19" t="s">
        <v>4698</v>
      </c>
      <c r="H7" s="19" t="s">
        <v>704</v>
      </c>
      <c r="I7" s="19" t="s">
        <v>4699</v>
      </c>
      <c r="J7" s="19" t="s">
        <v>4701</v>
      </c>
      <c r="K7" s="19" t="s">
        <v>3426</v>
      </c>
      <c r="M7" s="19" t="s">
        <v>4704</v>
      </c>
      <c r="N7" s="19" t="s">
        <v>4705</v>
      </c>
    </row>
    <row r="8">
      <c r="A8" s="261" t="s">
        <v>4706</v>
      </c>
      <c r="B8" s="19" t="s">
        <v>4707</v>
      </c>
      <c r="C8" s="19" t="s">
        <v>1231</v>
      </c>
      <c r="D8" s="19" t="s">
        <v>4708</v>
      </c>
      <c r="E8" s="19" t="s">
        <v>4710</v>
      </c>
      <c r="F8" s="19" t="s">
        <v>4712</v>
      </c>
      <c r="G8" s="19" t="s">
        <v>4715</v>
      </c>
      <c r="H8" s="19" t="s">
        <v>4716</v>
      </c>
      <c r="I8" s="19" t="s">
        <v>4718</v>
      </c>
      <c r="J8" s="19" t="s">
        <v>4720</v>
      </c>
      <c r="K8" s="19" t="s">
        <v>3303</v>
      </c>
      <c r="M8" s="19" t="s">
        <v>4723</v>
      </c>
      <c r="N8" s="19" t="s">
        <v>4724</v>
      </c>
    </row>
    <row r="9">
      <c r="A9" s="261" t="s">
        <v>4725</v>
      </c>
      <c r="B9" s="19" t="s">
        <v>4726</v>
      </c>
      <c r="C9" s="19" t="s">
        <v>1235</v>
      </c>
      <c r="D9" s="19" t="s">
        <v>4727</v>
      </c>
      <c r="E9" s="19" t="s">
        <v>4728</v>
      </c>
      <c r="F9" s="19" t="s">
        <v>4730</v>
      </c>
      <c r="G9" s="19" t="s">
        <v>4732</v>
      </c>
      <c r="H9" s="19" t="s">
        <v>4734</v>
      </c>
      <c r="I9" s="19" t="s">
        <v>1742</v>
      </c>
      <c r="J9" s="19" t="s">
        <v>4738</v>
      </c>
      <c r="K9" s="19" t="s">
        <v>3444</v>
      </c>
      <c r="M9" s="19" t="s">
        <v>4740</v>
      </c>
      <c r="N9" s="19" t="s">
        <v>4741</v>
      </c>
    </row>
    <row r="10">
      <c r="A10" s="261" t="s">
        <v>4743</v>
      </c>
      <c r="B10" s="19" t="s">
        <v>130</v>
      </c>
      <c r="C10" s="19" t="s">
        <v>1241</v>
      </c>
      <c r="D10" s="19" t="s">
        <v>4744</v>
      </c>
      <c r="E10" s="19" t="s">
        <v>4745</v>
      </c>
      <c r="F10" s="19" t="s">
        <v>4746</v>
      </c>
      <c r="G10" s="19" t="s">
        <v>4747</v>
      </c>
      <c r="H10" s="19" t="s">
        <v>3318</v>
      </c>
      <c r="I10" s="19" t="s">
        <v>4748</v>
      </c>
      <c r="J10" s="19" t="s">
        <v>4750</v>
      </c>
      <c r="K10" s="19" t="s">
        <v>4752</v>
      </c>
      <c r="M10" s="19" t="s">
        <v>4754</v>
      </c>
      <c r="N10" s="19" t="s">
        <v>4755</v>
      </c>
    </row>
    <row r="11">
      <c r="A11" s="261" t="s">
        <v>4757</v>
      </c>
      <c r="B11" s="19" t="s">
        <v>146</v>
      </c>
      <c r="C11" s="19" t="s">
        <v>4760</v>
      </c>
      <c r="D11" s="19" t="s">
        <v>4761</v>
      </c>
      <c r="E11" s="19" t="s">
        <v>4762</v>
      </c>
      <c r="F11" s="19" t="s">
        <v>4763</v>
      </c>
      <c r="G11" s="19" t="s">
        <v>4764</v>
      </c>
      <c r="H11" s="19" t="s">
        <v>4765</v>
      </c>
      <c r="I11" s="19" t="s">
        <v>4766</v>
      </c>
      <c r="J11" s="19" t="s">
        <v>4767</v>
      </c>
      <c r="K11" s="19" t="s">
        <v>4768</v>
      </c>
      <c r="M11" s="19" t="s">
        <v>4770</v>
      </c>
      <c r="N11" s="19" t="s">
        <v>4772</v>
      </c>
    </row>
    <row r="12">
      <c r="A12" s="261" t="s">
        <v>4776</v>
      </c>
      <c r="B12" s="19" t="s">
        <v>153</v>
      </c>
      <c r="C12" s="19" t="s">
        <v>1245</v>
      </c>
      <c r="D12" s="19" t="s">
        <v>4779</v>
      </c>
      <c r="E12" s="19" t="s">
        <v>4780</v>
      </c>
      <c r="F12" s="19" t="s">
        <v>4781</v>
      </c>
      <c r="G12" s="19" t="s">
        <v>4784</v>
      </c>
      <c r="H12" s="19" t="s">
        <v>4785</v>
      </c>
      <c r="I12" s="19" t="s">
        <v>4786</v>
      </c>
      <c r="J12" s="19" t="s">
        <v>4787</v>
      </c>
      <c r="K12" s="19" t="s">
        <v>3473</v>
      </c>
      <c r="M12" s="19" t="s">
        <v>4788</v>
      </c>
      <c r="N12" s="19" t="s">
        <v>4789</v>
      </c>
    </row>
    <row r="13">
      <c r="A13" s="261" t="s">
        <v>4790</v>
      </c>
      <c r="B13" s="19" t="s">
        <v>169</v>
      </c>
      <c r="C13" s="19" t="s">
        <v>1246</v>
      </c>
      <c r="D13" s="19" t="s">
        <v>4792</v>
      </c>
      <c r="E13" s="19"/>
      <c r="F13" s="19" t="s">
        <v>4795</v>
      </c>
      <c r="G13" s="19" t="s">
        <v>4797</v>
      </c>
      <c r="H13" s="19" t="s">
        <v>4799</v>
      </c>
      <c r="I13" s="19" t="s">
        <v>4800</v>
      </c>
      <c r="J13" s="19" t="s">
        <v>4801</v>
      </c>
      <c r="K13" s="19" t="s">
        <v>4803</v>
      </c>
      <c r="M13" s="19" t="s">
        <v>4805</v>
      </c>
      <c r="N13" s="19" t="s">
        <v>4806</v>
      </c>
    </row>
    <row r="14">
      <c r="A14" s="261" t="s">
        <v>4807</v>
      </c>
      <c r="B14" s="19" t="s">
        <v>176</v>
      </c>
      <c r="C14" s="19" t="s">
        <v>4808</v>
      </c>
      <c r="D14" s="19" t="s">
        <v>4809</v>
      </c>
      <c r="F14" s="19" t="s">
        <v>4811</v>
      </c>
      <c r="G14" s="19" t="s">
        <v>4813</v>
      </c>
      <c r="H14" s="19" t="s">
        <v>4815</v>
      </c>
      <c r="I14" s="19" t="s">
        <v>4817</v>
      </c>
      <c r="J14" s="19" t="s">
        <v>3964</v>
      </c>
      <c r="K14" s="19" t="s">
        <v>4820</v>
      </c>
      <c r="M14" s="19" t="s">
        <v>4822</v>
      </c>
      <c r="N14" s="19" t="s">
        <v>4824</v>
      </c>
    </row>
    <row r="15">
      <c r="A15" s="261" t="s">
        <v>4826</v>
      </c>
      <c r="B15" s="19" t="s">
        <v>4828</v>
      </c>
      <c r="C15" s="19" t="s">
        <v>1249</v>
      </c>
      <c r="D15" s="19" t="s">
        <v>4829</v>
      </c>
      <c r="F15" s="19" t="s">
        <v>4830</v>
      </c>
      <c r="G15" s="19" t="s">
        <v>4831</v>
      </c>
      <c r="H15" s="19" t="s">
        <v>4832</v>
      </c>
      <c r="I15" s="19" t="s">
        <v>4833</v>
      </c>
      <c r="J15" s="19" t="s">
        <v>4834</v>
      </c>
      <c r="K15" s="19" t="s">
        <v>4835</v>
      </c>
      <c r="M15" s="19" t="s">
        <v>4836</v>
      </c>
    </row>
    <row r="16">
      <c r="A16" s="261" t="s">
        <v>4837</v>
      </c>
      <c r="B16" s="19" t="s">
        <v>215</v>
      </c>
      <c r="C16" s="19" t="s">
        <v>1250</v>
      </c>
      <c r="D16" s="19" t="s">
        <v>4844</v>
      </c>
      <c r="G16" s="19" t="s">
        <v>4845</v>
      </c>
      <c r="I16" s="19" t="s">
        <v>4846</v>
      </c>
      <c r="J16" s="19" t="s">
        <v>4847</v>
      </c>
      <c r="K16" s="19" t="s">
        <v>3506</v>
      </c>
      <c r="M16" s="19" t="s">
        <v>4848</v>
      </c>
    </row>
    <row r="17">
      <c r="A17" s="19" t="s">
        <v>4849</v>
      </c>
      <c r="B17" s="19" t="s">
        <v>237</v>
      </c>
      <c r="C17" s="19" t="s">
        <v>1252</v>
      </c>
      <c r="F17" s="14" t="s">
        <v>4850</v>
      </c>
      <c r="G17" s="19" t="s">
        <v>4851</v>
      </c>
      <c r="H17" s="14" t="s">
        <v>4852</v>
      </c>
      <c r="I17" s="19" t="s">
        <v>4854</v>
      </c>
      <c r="J17" s="19" t="s">
        <v>4855</v>
      </c>
      <c r="K17" s="19" t="s">
        <v>4857</v>
      </c>
      <c r="M17" s="19" t="s">
        <v>4858</v>
      </c>
    </row>
    <row r="18">
      <c r="B18" s="19" t="s">
        <v>4861</v>
      </c>
      <c r="C18" s="19" t="s">
        <v>4863</v>
      </c>
      <c r="D18" s="19" t="s">
        <v>4864</v>
      </c>
      <c r="F18" s="19" t="s">
        <v>2452</v>
      </c>
      <c r="G18" s="19" t="s">
        <v>4355</v>
      </c>
      <c r="H18" s="19" t="s">
        <v>4866</v>
      </c>
      <c r="I18" s="19" t="s">
        <v>4867</v>
      </c>
      <c r="J18" s="19" t="s">
        <v>4868</v>
      </c>
      <c r="K18" s="19" t="s">
        <v>4869</v>
      </c>
    </row>
    <row r="19">
      <c r="B19" s="19" t="s">
        <v>4870</v>
      </c>
      <c r="C19" s="19" t="s">
        <v>1257</v>
      </c>
      <c r="D19" s="14" t="s">
        <v>4871</v>
      </c>
      <c r="F19" s="19" t="s">
        <v>4872</v>
      </c>
      <c r="G19" s="19" t="s">
        <v>4873</v>
      </c>
      <c r="H19" s="19" t="s">
        <v>4874</v>
      </c>
      <c r="I19" s="19" t="s">
        <v>4875</v>
      </c>
      <c r="K19" s="19" t="s">
        <v>4876</v>
      </c>
      <c r="M19" s="14" t="s">
        <v>4877</v>
      </c>
    </row>
    <row r="20">
      <c r="B20" s="19" t="s">
        <v>277</v>
      </c>
      <c r="C20" s="19" t="s">
        <v>1259</v>
      </c>
      <c r="D20" s="19" t="s">
        <v>2355</v>
      </c>
      <c r="F20" s="19" t="s">
        <v>4880</v>
      </c>
      <c r="G20" s="19" t="s">
        <v>4882</v>
      </c>
      <c r="H20" s="19" t="s">
        <v>4883</v>
      </c>
      <c r="I20" s="19" t="s">
        <v>4884</v>
      </c>
      <c r="M20" s="28" t="s">
        <v>3231</v>
      </c>
    </row>
    <row r="21">
      <c r="B21" s="19" t="s">
        <v>291</v>
      </c>
      <c r="D21" s="19" t="s">
        <v>4886</v>
      </c>
      <c r="F21" s="19" t="s">
        <v>4887</v>
      </c>
      <c r="G21" s="19" t="s">
        <v>4888</v>
      </c>
      <c r="H21" s="19" t="s">
        <v>4889</v>
      </c>
      <c r="I21" s="19" t="s">
        <v>4890</v>
      </c>
      <c r="J21" s="14" t="s">
        <v>4891</v>
      </c>
      <c r="M21" s="28" t="s">
        <v>3070</v>
      </c>
    </row>
    <row r="22">
      <c r="B22" s="19" t="s">
        <v>4892</v>
      </c>
      <c r="D22" s="19" t="s">
        <v>3074</v>
      </c>
      <c r="F22" s="19" t="s">
        <v>4895</v>
      </c>
      <c r="G22" s="19" t="s">
        <v>481</v>
      </c>
      <c r="I22" s="19" t="s">
        <v>4898</v>
      </c>
      <c r="J22" s="19" t="s">
        <v>2920</v>
      </c>
      <c r="M22" s="28" t="s">
        <v>4900</v>
      </c>
    </row>
    <row r="23">
      <c r="B23" s="19" t="s">
        <v>308</v>
      </c>
      <c r="F23" s="19" t="s">
        <v>4902</v>
      </c>
      <c r="J23" s="19" t="s">
        <v>4903</v>
      </c>
      <c r="M23" s="28" t="s">
        <v>4904</v>
      </c>
    </row>
    <row r="24">
      <c r="B24" s="19" t="s">
        <v>332</v>
      </c>
      <c r="F24" s="19" t="s">
        <v>4905</v>
      </c>
      <c r="M24" s="28"/>
    </row>
    <row r="25">
      <c r="B25" s="19" t="s">
        <v>4906</v>
      </c>
      <c r="M25" s="28"/>
    </row>
    <row r="26">
      <c r="M26" s="28"/>
    </row>
    <row r="27">
      <c r="M27" s="28"/>
    </row>
    <row r="28">
      <c r="M28" s="28"/>
    </row>
    <row r="31">
      <c r="A31" s="256" t="s">
        <v>4910</v>
      </c>
    </row>
    <row r="32">
      <c r="A32" s="86" t="s">
        <v>887</v>
      </c>
      <c r="B32" s="86" t="s">
        <v>888</v>
      </c>
      <c r="C32" s="86" t="s">
        <v>891</v>
      </c>
      <c r="D32" s="86" t="s">
        <v>892</v>
      </c>
      <c r="E32" s="86" t="s">
        <v>893</v>
      </c>
      <c r="F32" s="86" t="s">
        <v>894</v>
      </c>
      <c r="G32" s="109" t="s">
        <v>895</v>
      </c>
      <c r="H32" s="102" t="s">
        <v>896</v>
      </c>
      <c r="I32" s="102" t="s">
        <v>897</v>
      </c>
      <c r="J32" s="102" t="s">
        <v>899</v>
      </c>
    </row>
    <row r="33">
      <c r="A33" s="60" t="s">
        <v>4914</v>
      </c>
      <c r="B33" s="60" t="s">
        <v>4916</v>
      </c>
      <c r="C33" s="60" t="s">
        <v>4918</v>
      </c>
      <c r="D33" s="60" t="s">
        <v>4919</v>
      </c>
      <c r="E33" s="60" t="s">
        <v>4921</v>
      </c>
      <c r="F33" s="60" t="s">
        <v>4922</v>
      </c>
      <c r="G33" s="60" t="s">
        <v>4923</v>
      </c>
      <c r="H33" s="60" t="s">
        <v>4924</v>
      </c>
      <c r="I33" s="60" t="s">
        <v>4925</v>
      </c>
      <c r="J33" s="60" t="s">
        <v>4926</v>
      </c>
      <c r="K33" s="71"/>
    </row>
    <row r="34">
      <c r="A34" s="60" t="s">
        <v>4927</v>
      </c>
      <c r="B34" s="60" t="s">
        <v>4928</v>
      </c>
      <c r="C34" s="60" t="s">
        <v>4930</v>
      </c>
      <c r="D34" s="60" t="s">
        <v>4932</v>
      </c>
      <c r="E34" s="60" t="s">
        <v>4934</v>
      </c>
      <c r="F34" s="60" t="s">
        <v>4935</v>
      </c>
      <c r="G34" s="60" t="s">
        <v>4936</v>
      </c>
      <c r="H34" s="60" t="s">
        <v>4937</v>
      </c>
      <c r="I34" s="60" t="s">
        <v>4938</v>
      </c>
      <c r="J34" s="60" t="s">
        <v>4939</v>
      </c>
      <c r="K34" s="71"/>
    </row>
    <row r="35">
      <c r="A35" s="60" t="s">
        <v>4940</v>
      </c>
      <c r="B35" s="60" t="s">
        <v>4941</v>
      </c>
      <c r="C35" s="60" t="s">
        <v>4942</v>
      </c>
      <c r="D35" s="60" t="s">
        <v>4943</v>
      </c>
      <c r="E35" s="60" t="s">
        <v>4944</v>
      </c>
      <c r="F35" s="60" t="s">
        <v>4945</v>
      </c>
      <c r="G35" s="60" t="s">
        <v>4946</v>
      </c>
      <c r="H35" s="60" t="s">
        <v>4947</v>
      </c>
      <c r="I35" s="60" t="s">
        <v>4948</v>
      </c>
      <c r="J35" s="60" t="s">
        <v>4950</v>
      </c>
      <c r="K35" s="71"/>
    </row>
    <row r="36">
      <c r="A36" s="60" t="s">
        <v>4953</v>
      </c>
      <c r="B36" s="60" t="s">
        <v>4954</v>
      </c>
      <c r="C36" s="60" t="s">
        <v>4955</v>
      </c>
      <c r="D36" s="60" t="s">
        <v>4956</v>
      </c>
      <c r="E36" s="60" t="s">
        <v>4957</v>
      </c>
      <c r="F36" s="60" t="s">
        <v>4958</v>
      </c>
      <c r="G36" s="60" t="s">
        <v>4959</v>
      </c>
      <c r="H36" s="60" t="s">
        <v>4960</v>
      </c>
      <c r="I36" s="60" t="s">
        <v>4961</v>
      </c>
      <c r="J36" s="60" t="s">
        <v>4962</v>
      </c>
      <c r="K36" s="71"/>
    </row>
    <row r="37">
      <c r="A37" s="60" t="s">
        <v>4964</v>
      </c>
      <c r="B37" s="60" t="s">
        <v>4966</v>
      </c>
      <c r="C37" s="60" t="s">
        <v>4967</v>
      </c>
      <c r="D37" s="60" t="s">
        <v>4968</v>
      </c>
      <c r="E37" s="60" t="s">
        <v>4969</v>
      </c>
      <c r="F37" s="60" t="s">
        <v>4970</v>
      </c>
      <c r="G37" s="60" t="s">
        <v>4971</v>
      </c>
      <c r="H37" s="60" t="s">
        <v>4972</v>
      </c>
      <c r="I37" s="60" t="s">
        <v>4973</v>
      </c>
      <c r="J37" s="60" t="s">
        <v>4974</v>
      </c>
      <c r="K37" s="71"/>
    </row>
    <row r="38">
      <c r="A38" s="60" t="s">
        <v>4976</v>
      </c>
      <c r="B38" s="60" t="s">
        <v>4977</v>
      </c>
      <c r="C38" s="60" t="s">
        <v>4979</v>
      </c>
      <c r="D38" s="60" t="s">
        <v>4980</v>
      </c>
      <c r="E38" s="60" t="s">
        <v>4981</v>
      </c>
      <c r="F38" s="60" t="s">
        <v>4982</v>
      </c>
      <c r="G38" s="60" t="s">
        <v>4983</v>
      </c>
      <c r="H38" s="60" t="s">
        <v>4984</v>
      </c>
      <c r="I38" s="60" t="s">
        <v>4985</v>
      </c>
      <c r="J38" s="60" t="s">
        <v>4986</v>
      </c>
      <c r="K38" s="71"/>
    </row>
    <row r="39">
      <c r="A39" s="60" t="s">
        <v>4988</v>
      </c>
      <c r="B39" s="60" t="s">
        <v>4989</v>
      </c>
      <c r="C39" s="60" t="s">
        <v>4991</v>
      </c>
      <c r="D39" s="60" t="s">
        <v>4992</v>
      </c>
      <c r="E39" s="60" t="s">
        <v>4993</v>
      </c>
      <c r="F39" s="60" t="s">
        <v>4994</v>
      </c>
      <c r="G39" s="60" t="s">
        <v>4995</v>
      </c>
      <c r="H39" s="60" t="s">
        <v>4996</v>
      </c>
      <c r="I39" s="60" t="s">
        <v>4997</v>
      </c>
      <c r="J39" s="60" t="s">
        <v>4998</v>
      </c>
      <c r="K39" s="71"/>
    </row>
    <row r="40">
      <c r="A40" s="60" t="s">
        <v>4999</v>
      </c>
      <c r="B40" s="60" t="s">
        <v>5000</v>
      </c>
      <c r="C40" s="60" t="s">
        <v>5002</v>
      </c>
      <c r="D40" s="60" t="s">
        <v>5003</v>
      </c>
      <c r="E40" s="60" t="s">
        <v>5005</v>
      </c>
      <c r="F40" s="60" t="s">
        <v>5006</v>
      </c>
      <c r="G40" s="60" t="s">
        <v>5007</v>
      </c>
      <c r="H40" s="60" t="s">
        <v>5008</v>
      </c>
      <c r="I40" s="60" t="s">
        <v>5009</v>
      </c>
      <c r="J40" s="60" t="s">
        <v>5010</v>
      </c>
      <c r="K40" s="71"/>
    </row>
    <row r="41">
      <c r="A41" s="60" t="s">
        <v>5011</v>
      </c>
      <c r="B41" s="60" t="s">
        <v>5012</v>
      </c>
      <c r="C41" s="60" t="s">
        <v>5013</v>
      </c>
      <c r="D41" s="60" t="s">
        <v>5014</v>
      </c>
      <c r="E41" s="60" t="s">
        <v>5015</v>
      </c>
      <c r="F41" s="60" t="s">
        <v>5017</v>
      </c>
      <c r="G41" s="60" t="s">
        <v>5018</v>
      </c>
      <c r="H41" s="60" t="s">
        <v>5019</v>
      </c>
      <c r="I41" s="60" t="s">
        <v>5020</v>
      </c>
      <c r="J41" s="60" t="s">
        <v>5021</v>
      </c>
      <c r="K41" s="71"/>
    </row>
    <row r="42">
      <c r="A42" s="60" t="s">
        <v>5022</v>
      </c>
      <c r="B42" s="60" t="s">
        <v>5023</v>
      </c>
      <c r="C42" s="60" t="s">
        <v>5024</v>
      </c>
      <c r="D42" s="60" t="s">
        <v>5025</v>
      </c>
      <c r="E42" s="60" t="s">
        <v>5026</v>
      </c>
      <c r="F42" s="60" t="s">
        <v>5027</v>
      </c>
      <c r="G42" s="60" t="s">
        <v>5028</v>
      </c>
      <c r="H42" s="60" t="s">
        <v>5029</v>
      </c>
      <c r="I42" s="60" t="s">
        <v>5030</v>
      </c>
      <c r="J42" s="60" t="s">
        <v>5031</v>
      </c>
      <c r="K42" s="71"/>
    </row>
    <row r="43">
      <c r="A43" s="60" t="s">
        <v>5032</v>
      </c>
      <c r="B43" s="60" t="s">
        <v>5033</v>
      </c>
      <c r="C43" s="60" t="s">
        <v>5035</v>
      </c>
      <c r="D43" s="60" t="s">
        <v>5036</v>
      </c>
      <c r="E43" s="60" t="s">
        <v>5037</v>
      </c>
      <c r="F43" s="60" t="s">
        <v>5038</v>
      </c>
      <c r="G43" s="60" t="s">
        <v>5039</v>
      </c>
      <c r="H43" s="60" t="s">
        <v>5040</v>
      </c>
      <c r="I43" s="60" t="s">
        <v>5041</v>
      </c>
      <c r="J43" s="60" t="s">
        <v>5042</v>
      </c>
      <c r="K43" s="71"/>
    </row>
    <row r="44">
      <c r="A44" s="60" t="s">
        <v>5043</v>
      </c>
      <c r="B44" s="60" t="s">
        <v>5044</v>
      </c>
      <c r="C44" s="60" t="s">
        <v>5045</v>
      </c>
      <c r="D44" s="60" t="s">
        <v>5046</v>
      </c>
      <c r="E44" s="60" t="s">
        <v>5047</v>
      </c>
      <c r="F44" s="60" t="s">
        <v>5048</v>
      </c>
      <c r="G44" s="60" t="s">
        <v>5049</v>
      </c>
      <c r="H44" s="60" t="s">
        <v>5050</v>
      </c>
      <c r="I44" s="60" t="s">
        <v>5051</v>
      </c>
      <c r="J44" s="60" t="s">
        <v>5052</v>
      </c>
      <c r="K44" s="71"/>
    </row>
    <row r="45">
      <c r="A45" s="60" t="s">
        <v>5054</v>
      </c>
      <c r="B45" s="60" t="s">
        <v>5055</v>
      </c>
      <c r="C45" s="60" t="s">
        <v>5056</v>
      </c>
      <c r="D45" s="60" t="s">
        <v>5057</v>
      </c>
      <c r="E45" s="60" t="s">
        <v>5058</v>
      </c>
      <c r="F45" s="60" t="s">
        <v>5059</v>
      </c>
      <c r="G45" s="60" t="s">
        <v>5060</v>
      </c>
      <c r="H45" s="60" t="s">
        <v>5061</v>
      </c>
      <c r="I45" s="60" t="s">
        <v>5062</v>
      </c>
      <c r="J45" s="60" t="s">
        <v>5063</v>
      </c>
      <c r="K45" s="71"/>
    </row>
    <row r="46">
      <c r="A46" s="60" t="s">
        <v>5064</v>
      </c>
      <c r="B46" s="60" t="s">
        <v>5065</v>
      </c>
      <c r="C46" s="60" t="s">
        <v>5066</v>
      </c>
      <c r="D46" s="60" t="s">
        <v>5067</v>
      </c>
      <c r="E46" s="60" t="s">
        <v>5068</v>
      </c>
      <c r="F46" s="60" t="s">
        <v>5069</v>
      </c>
      <c r="G46" s="60" t="s">
        <v>5070</v>
      </c>
      <c r="H46" s="60" t="s">
        <v>5071</v>
      </c>
      <c r="I46" s="60" t="s">
        <v>5073</v>
      </c>
      <c r="J46" s="60" t="s">
        <v>5074</v>
      </c>
      <c r="K46" s="71"/>
    </row>
    <row r="47">
      <c r="A47" s="60" t="s">
        <v>5075</v>
      </c>
      <c r="B47" s="60" t="s">
        <v>5076</v>
      </c>
      <c r="C47" s="60" t="s">
        <v>5077</v>
      </c>
      <c r="D47" s="60" t="s">
        <v>5078</v>
      </c>
      <c r="E47" s="60" t="s">
        <v>5079</v>
      </c>
      <c r="F47" s="60" t="s">
        <v>5080</v>
      </c>
      <c r="G47" s="60" t="s">
        <v>5081</v>
      </c>
      <c r="H47" s="60" t="s">
        <v>5082</v>
      </c>
      <c r="I47" s="60" t="s">
        <v>5083</v>
      </c>
      <c r="J47" s="60" t="s">
        <v>5084</v>
      </c>
      <c r="K47" s="71"/>
    </row>
    <row r="48">
      <c r="A48" s="60" t="s">
        <v>5085</v>
      </c>
      <c r="B48" s="60" t="s">
        <v>5086</v>
      </c>
      <c r="C48" s="60" t="s">
        <v>5087</v>
      </c>
      <c r="D48" s="60" t="s">
        <v>5088</v>
      </c>
      <c r="E48" s="60" t="s">
        <v>5089</v>
      </c>
      <c r="F48" s="60" t="s">
        <v>5090</v>
      </c>
      <c r="G48" s="60" t="s">
        <v>5091</v>
      </c>
      <c r="H48" s="60" t="s">
        <v>5092</v>
      </c>
      <c r="I48" s="60" t="s">
        <v>5093</v>
      </c>
      <c r="J48" s="60" t="s">
        <v>5094</v>
      </c>
      <c r="K48" s="71"/>
    </row>
    <row r="49">
      <c r="A49" s="60" t="s">
        <v>5095</v>
      </c>
      <c r="B49" s="60" t="s">
        <v>5096</v>
      </c>
      <c r="C49" s="60" t="s">
        <v>5097</v>
      </c>
      <c r="D49" s="60" t="s">
        <v>5098</v>
      </c>
      <c r="E49" s="60" t="s">
        <v>5099</v>
      </c>
      <c r="F49" s="60" t="s">
        <v>5100</v>
      </c>
      <c r="G49" s="60" t="s">
        <v>5101</v>
      </c>
      <c r="H49" s="60" t="s">
        <v>5102</v>
      </c>
      <c r="I49" s="60" t="s">
        <v>5103</v>
      </c>
      <c r="J49" s="60" t="s">
        <v>5104</v>
      </c>
      <c r="K49" s="71"/>
    </row>
    <row r="50">
      <c r="A50" s="60" t="s">
        <v>5105</v>
      </c>
      <c r="B50" s="60" t="s">
        <v>5106</v>
      </c>
      <c r="C50" s="60" t="s">
        <v>5107</v>
      </c>
      <c r="D50" s="60" t="s">
        <v>5108</v>
      </c>
      <c r="E50" s="60" t="s">
        <v>5109</v>
      </c>
      <c r="F50" s="60" t="s">
        <v>5110</v>
      </c>
      <c r="G50" s="60" t="s">
        <v>5111</v>
      </c>
      <c r="H50" s="60" t="s">
        <v>5112</v>
      </c>
      <c r="I50" s="60" t="s">
        <v>5113</v>
      </c>
      <c r="J50" s="60" t="s">
        <v>5114</v>
      </c>
      <c r="K50" s="71"/>
    </row>
    <row r="5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</row>
    <row r="52">
      <c r="A52" s="60"/>
      <c r="B52" s="71"/>
      <c r="C52" s="71"/>
      <c r="D52" s="71"/>
      <c r="E52" s="71"/>
      <c r="F52" s="71"/>
      <c r="G52" s="71"/>
      <c r="H52" s="71"/>
      <c r="I52" s="71"/>
      <c r="J52" s="71"/>
      <c r="K52" s="71"/>
    </row>
    <row r="53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</row>
    <row r="54">
      <c r="A54" s="211" t="s">
        <v>3502</v>
      </c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248" t="s">
        <v>2882</v>
      </c>
      <c r="B55" s="248" t="s">
        <v>3045</v>
      </c>
      <c r="C55" s="167" t="s">
        <v>3046</v>
      </c>
      <c r="D55" s="248" t="s">
        <v>2883</v>
      </c>
      <c r="E55" s="248" t="s">
        <v>64</v>
      </c>
      <c r="F55" s="248" t="s">
        <v>3051</v>
      </c>
      <c r="G55" s="248" t="s">
        <v>587</v>
      </c>
      <c r="H55" s="248" t="s">
        <v>579</v>
      </c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9" t="s">
        <v>5119</v>
      </c>
      <c r="B56" s="9" t="s">
        <v>5121</v>
      </c>
      <c r="C56" s="9" t="s">
        <v>376</v>
      </c>
      <c r="D56" s="9" t="s">
        <v>5122</v>
      </c>
      <c r="E56" s="9" t="s">
        <v>601</v>
      </c>
      <c r="F56" s="9" t="s">
        <v>5123</v>
      </c>
      <c r="G56" s="9" t="s">
        <v>5123</v>
      </c>
      <c r="H56" s="9" t="s">
        <v>5124</v>
      </c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9" t="s">
        <v>5133</v>
      </c>
      <c r="B57" s="9" t="s">
        <v>5121</v>
      </c>
      <c r="C57" s="9" t="s">
        <v>356</v>
      </c>
      <c r="D57" s="9" t="s">
        <v>5136</v>
      </c>
      <c r="E57" s="9" t="s">
        <v>3571</v>
      </c>
      <c r="F57" s="9" t="s">
        <v>5137</v>
      </c>
      <c r="G57" s="9" t="s">
        <v>5138</v>
      </c>
      <c r="H57" s="9" t="s">
        <v>5137</v>
      </c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9" t="s">
        <v>5149</v>
      </c>
      <c r="B58" s="9" t="s">
        <v>5121</v>
      </c>
      <c r="C58" s="9" t="s">
        <v>1256</v>
      </c>
      <c r="D58" s="9" t="s">
        <v>5150</v>
      </c>
      <c r="E58" s="9" t="s">
        <v>662</v>
      </c>
      <c r="F58" s="9" t="s">
        <v>5151</v>
      </c>
      <c r="G58" s="9" t="s">
        <v>5152</v>
      </c>
      <c r="H58" s="9" t="s">
        <v>5151</v>
      </c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9" t="s">
        <v>5162</v>
      </c>
      <c r="B59" s="9" t="s">
        <v>5121</v>
      </c>
      <c r="C59" s="9" t="s">
        <v>5163</v>
      </c>
      <c r="D59" s="9" t="s">
        <v>5164</v>
      </c>
      <c r="E59" s="9" t="s">
        <v>5166</v>
      </c>
      <c r="F59" s="9" t="s">
        <v>5168</v>
      </c>
      <c r="G59" s="9" t="s">
        <v>5168</v>
      </c>
      <c r="H59" s="9" t="s">
        <v>5171</v>
      </c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9" t="s">
        <v>5179</v>
      </c>
      <c r="B60" s="9" t="s">
        <v>5121</v>
      </c>
      <c r="C60" s="9" t="s">
        <v>5182</v>
      </c>
      <c r="D60" s="9" t="s">
        <v>5185</v>
      </c>
      <c r="E60" s="9" t="s">
        <v>789</v>
      </c>
      <c r="F60" s="9" t="s">
        <v>5188</v>
      </c>
      <c r="G60" s="9" t="s">
        <v>5188</v>
      </c>
      <c r="H60" s="9" t="s">
        <v>5192</v>
      </c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9" t="s">
        <v>5203</v>
      </c>
      <c r="B61" s="9" t="s">
        <v>5204</v>
      </c>
      <c r="C61" s="9" t="s">
        <v>339</v>
      </c>
      <c r="D61" s="9" t="s">
        <v>5136</v>
      </c>
      <c r="E61" s="9" t="s">
        <v>5205</v>
      </c>
      <c r="F61" s="9" t="s">
        <v>5206</v>
      </c>
      <c r="G61" s="9" t="s">
        <v>5208</v>
      </c>
      <c r="H61" s="9" t="s">
        <v>5206</v>
      </c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9" t="s">
        <v>5218</v>
      </c>
      <c r="B62" s="9" t="s">
        <v>5204</v>
      </c>
      <c r="C62" s="9" t="s">
        <v>1288</v>
      </c>
      <c r="D62" s="9" t="s">
        <v>5223</v>
      </c>
      <c r="E62" s="9" t="s">
        <v>3571</v>
      </c>
      <c r="F62" s="9" t="s">
        <v>5227</v>
      </c>
      <c r="G62" s="9" t="s">
        <v>5230</v>
      </c>
      <c r="H62" s="9" t="s">
        <v>5232</v>
      </c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9" t="s">
        <v>5241</v>
      </c>
      <c r="B63" s="9" t="s">
        <v>5204</v>
      </c>
      <c r="C63" s="9" t="s">
        <v>1281</v>
      </c>
      <c r="D63" s="9" t="s">
        <v>5185</v>
      </c>
      <c r="E63" s="9" t="s">
        <v>5244</v>
      </c>
      <c r="F63" s="9" t="s">
        <v>5188</v>
      </c>
      <c r="G63" s="9" t="s">
        <v>5188</v>
      </c>
      <c r="H63" s="9" t="s">
        <v>5245</v>
      </c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9" t="s">
        <v>5256</v>
      </c>
      <c r="B64" s="9" t="s">
        <v>5257</v>
      </c>
      <c r="C64" s="9" t="s">
        <v>5258</v>
      </c>
      <c r="D64" s="9" t="s">
        <v>5164</v>
      </c>
      <c r="E64" s="9" t="s">
        <v>5259</v>
      </c>
      <c r="F64" s="9" t="s">
        <v>5260</v>
      </c>
      <c r="G64" s="9" t="s">
        <v>5261</v>
      </c>
      <c r="H64" s="9" t="s">
        <v>5262</v>
      </c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9" t="s">
        <v>5273</v>
      </c>
      <c r="B65" s="9" t="s">
        <v>5257</v>
      </c>
      <c r="C65" s="9" t="s">
        <v>356</v>
      </c>
      <c r="D65" s="9" t="s">
        <v>5274</v>
      </c>
      <c r="E65" s="9" t="s">
        <v>662</v>
      </c>
      <c r="F65" s="9" t="s">
        <v>5275</v>
      </c>
      <c r="G65" s="9" t="s">
        <v>5276</v>
      </c>
      <c r="H65" s="9" t="s">
        <v>5277</v>
      </c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9" t="s">
        <v>5283</v>
      </c>
      <c r="B66" s="9" t="s">
        <v>5257</v>
      </c>
      <c r="C66" s="9" t="s">
        <v>376</v>
      </c>
      <c r="D66" s="9" t="s">
        <v>5286</v>
      </c>
      <c r="E66" s="9" t="s">
        <v>5288</v>
      </c>
      <c r="F66" s="9" t="s">
        <v>5290</v>
      </c>
      <c r="G66" s="9" t="s">
        <v>5292</v>
      </c>
      <c r="H66" s="9" t="s">
        <v>5171</v>
      </c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262" t="s">
        <v>5295</v>
      </c>
      <c r="B67" s="9" t="s">
        <v>5301</v>
      </c>
      <c r="C67" s="9" t="s">
        <v>1281</v>
      </c>
      <c r="D67" s="9" t="s">
        <v>5274</v>
      </c>
      <c r="E67" s="9" t="s">
        <v>601</v>
      </c>
      <c r="F67" s="9" t="s">
        <v>5138</v>
      </c>
      <c r="G67" s="9" t="s">
        <v>5305</v>
      </c>
      <c r="H67" s="9" t="s">
        <v>5306</v>
      </c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9" t="s">
        <v>5309</v>
      </c>
      <c r="B68" s="9" t="s">
        <v>5301</v>
      </c>
      <c r="C68" s="9" t="s">
        <v>1270</v>
      </c>
      <c r="D68" s="9" t="s">
        <v>5164</v>
      </c>
      <c r="E68" s="9" t="s">
        <v>645</v>
      </c>
      <c r="F68" s="9" t="s">
        <v>5315</v>
      </c>
      <c r="G68" s="9" t="s">
        <v>5317</v>
      </c>
      <c r="H68" s="9" t="s">
        <v>5315</v>
      </c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9" t="s">
        <v>5320</v>
      </c>
      <c r="B69" s="9" t="s">
        <v>5301</v>
      </c>
      <c r="C69" s="9" t="s">
        <v>5182</v>
      </c>
      <c r="D69" s="9" t="s">
        <v>5324</v>
      </c>
      <c r="E69" s="9" t="s">
        <v>5326</v>
      </c>
      <c r="F69" s="9" t="s">
        <v>5328</v>
      </c>
      <c r="G69" s="9" t="s">
        <v>5330</v>
      </c>
      <c r="H69" s="9" t="s">
        <v>5332</v>
      </c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9" t="s">
        <v>5336</v>
      </c>
      <c r="B70" s="9" t="s">
        <v>5337</v>
      </c>
      <c r="C70" s="9" t="s">
        <v>1288</v>
      </c>
      <c r="D70" s="9" t="s">
        <v>5223</v>
      </c>
      <c r="E70" s="9" t="s">
        <v>349</v>
      </c>
      <c r="F70" s="9" t="s">
        <v>5227</v>
      </c>
      <c r="G70" s="9" t="s">
        <v>5341</v>
      </c>
      <c r="H70" s="9" t="s">
        <v>5227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9" t="s">
        <v>5349</v>
      </c>
      <c r="B71" s="9" t="s">
        <v>5337</v>
      </c>
      <c r="C71" s="9" t="s">
        <v>5163</v>
      </c>
      <c r="D71" s="9" t="s">
        <v>5286</v>
      </c>
      <c r="E71" s="9" t="s">
        <v>658</v>
      </c>
      <c r="F71" s="9" t="s">
        <v>5350</v>
      </c>
      <c r="G71" s="9" t="s">
        <v>5351</v>
      </c>
      <c r="H71" s="9" t="s">
        <v>5332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32" t="s">
        <v>5362</v>
      </c>
      <c r="B72" s="9" t="s">
        <v>5337</v>
      </c>
      <c r="C72" s="9" t="s">
        <v>1270</v>
      </c>
      <c r="D72" s="9" t="s">
        <v>5274</v>
      </c>
      <c r="E72" s="9" t="s">
        <v>662</v>
      </c>
      <c r="F72" s="9" t="s">
        <v>5363</v>
      </c>
      <c r="G72" s="9" t="s">
        <v>5138</v>
      </c>
      <c r="H72" s="9" t="s">
        <v>5363</v>
      </c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9" t="s">
        <v>5374</v>
      </c>
      <c r="B73" s="9" t="s">
        <v>5375</v>
      </c>
      <c r="C73" s="9" t="s">
        <v>1256</v>
      </c>
      <c r="D73" s="9" t="s">
        <v>5223</v>
      </c>
      <c r="E73" s="9" t="s">
        <v>5244</v>
      </c>
      <c r="F73" s="9" t="s">
        <v>5377</v>
      </c>
      <c r="G73" s="9" t="s">
        <v>5377</v>
      </c>
      <c r="H73" s="9" t="s">
        <v>5380</v>
      </c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9" t="s">
        <v>5387</v>
      </c>
      <c r="B74" s="9" t="s">
        <v>5375</v>
      </c>
      <c r="C74" s="9" t="s">
        <v>5258</v>
      </c>
      <c r="D74" s="9" t="s">
        <v>5122</v>
      </c>
      <c r="E74" s="9" t="s">
        <v>662</v>
      </c>
      <c r="F74" s="9" t="s">
        <v>5393</v>
      </c>
      <c r="G74" s="9" t="s">
        <v>5395</v>
      </c>
      <c r="H74" s="9" t="s">
        <v>5341</v>
      </c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9" t="s">
        <v>5396</v>
      </c>
      <c r="B75" s="9" t="s">
        <v>5375</v>
      </c>
      <c r="C75" s="9" t="s">
        <v>5163</v>
      </c>
      <c r="D75" s="9" t="s">
        <v>5324</v>
      </c>
      <c r="E75" s="9" t="s">
        <v>3571</v>
      </c>
      <c r="F75" s="9" t="s">
        <v>5192</v>
      </c>
      <c r="G75" s="9" t="s">
        <v>5397</v>
      </c>
      <c r="H75" s="9" t="s">
        <v>5398</v>
      </c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9" t="s">
        <v>5399</v>
      </c>
      <c r="B76" s="9" t="s">
        <v>5400</v>
      </c>
      <c r="C76" s="9" t="s">
        <v>356</v>
      </c>
      <c r="D76" s="9" t="s">
        <v>5274</v>
      </c>
      <c r="E76" s="9" t="s">
        <v>601</v>
      </c>
      <c r="F76" s="9" t="s">
        <v>5401</v>
      </c>
      <c r="G76" s="9" t="s">
        <v>5402</v>
      </c>
      <c r="H76" s="9" t="s">
        <v>5403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32" t="s">
        <v>5404</v>
      </c>
      <c r="B77" s="9" t="s">
        <v>5400</v>
      </c>
      <c r="C77" s="9" t="s">
        <v>339</v>
      </c>
      <c r="D77" s="9" t="s">
        <v>5405</v>
      </c>
      <c r="E77" s="9" t="s">
        <v>5326</v>
      </c>
      <c r="F77" s="9" t="s">
        <v>5406</v>
      </c>
      <c r="G77" s="9" t="s">
        <v>5406</v>
      </c>
      <c r="H77" s="9" t="s">
        <v>5137</v>
      </c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9" t="s">
        <v>5407</v>
      </c>
      <c r="B78" s="9" t="s">
        <v>5400</v>
      </c>
      <c r="C78" s="9" t="s">
        <v>5258</v>
      </c>
      <c r="D78" s="9" t="s">
        <v>5286</v>
      </c>
      <c r="E78" s="9" t="s">
        <v>3571</v>
      </c>
      <c r="F78" s="9" t="s">
        <v>5408</v>
      </c>
      <c r="G78" s="9" t="s">
        <v>5409</v>
      </c>
      <c r="H78" s="9" t="s">
        <v>5398</v>
      </c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9" t="s">
        <v>5416</v>
      </c>
      <c r="B79" s="9" t="s">
        <v>5400</v>
      </c>
      <c r="C79" s="9" t="s">
        <v>1284</v>
      </c>
      <c r="D79" s="9" t="s">
        <v>5164</v>
      </c>
      <c r="E79" s="9" t="s">
        <v>5417</v>
      </c>
      <c r="F79" s="9" t="s">
        <v>5418</v>
      </c>
      <c r="G79" s="9" t="s">
        <v>5418</v>
      </c>
      <c r="H79" s="9" t="s">
        <v>5421</v>
      </c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9" t="s">
        <v>5426</v>
      </c>
      <c r="B80" s="9" t="s">
        <v>5400</v>
      </c>
      <c r="C80" s="9" t="s">
        <v>1288</v>
      </c>
      <c r="D80" s="9" t="s">
        <v>5185</v>
      </c>
      <c r="E80" s="9" t="s">
        <v>662</v>
      </c>
      <c r="F80" s="9" t="s">
        <v>5431</v>
      </c>
      <c r="G80" s="9" t="s">
        <v>5431</v>
      </c>
      <c r="H80" s="9" t="s">
        <v>5434</v>
      </c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9" t="s">
        <v>5440</v>
      </c>
      <c r="B81" s="9" t="s">
        <v>5441</v>
      </c>
      <c r="C81" s="9" t="s">
        <v>376</v>
      </c>
      <c r="D81" s="9" t="s">
        <v>5405</v>
      </c>
      <c r="E81" s="9" t="s">
        <v>5417</v>
      </c>
      <c r="F81" s="9" t="s">
        <v>5380</v>
      </c>
      <c r="G81" s="9" t="s">
        <v>5380</v>
      </c>
      <c r="H81" s="9" t="s">
        <v>5403</v>
      </c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32" t="s">
        <v>5447</v>
      </c>
      <c r="B82" s="9" t="s">
        <v>5441</v>
      </c>
      <c r="C82" s="9" t="s">
        <v>5163</v>
      </c>
      <c r="D82" s="9" t="s">
        <v>5274</v>
      </c>
      <c r="E82" s="9" t="s">
        <v>601</v>
      </c>
      <c r="F82" s="9" t="s">
        <v>5450</v>
      </c>
      <c r="G82" s="9" t="s">
        <v>5451</v>
      </c>
      <c r="H82" s="9" t="s">
        <v>5450</v>
      </c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9" t="s">
        <v>5455</v>
      </c>
      <c r="B83" s="9" t="s">
        <v>5441</v>
      </c>
      <c r="C83" s="9" t="s">
        <v>1284</v>
      </c>
      <c r="D83" s="9" t="s">
        <v>5150</v>
      </c>
      <c r="E83" s="9" t="s">
        <v>5456</v>
      </c>
      <c r="F83" s="9" t="s">
        <v>5341</v>
      </c>
      <c r="G83" s="9" t="s">
        <v>5409</v>
      </c>
      <c r="H83" s="9" t="s">
        <v>5341</v>
      </c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9" t="s">
        <v>5459</v>
      </c>
      <c r="B84" s="9" t="s">
        <v>5441</v>
      </c>
      <c r="C84" s="9" t="s">
        <v>1270</v>
      </c>
      <c r="D84" s="9" t="s">
        <v>5164</v>
      </c>
      <c r="E84" s="9" t="s">
        <v>5460</v>
      </c>
      <c r="F84" s="9" t="s">
        <v>5462</v>
      </c>
      <c r="G84" s="9" t="s">
        <v>5465</v>
      </c>
      <c r="H84" s="9" t="s">
        <v>5315</v>
      </c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9" t="s">
        <v>5470</v>
      </c>
      <c r="B85" s="9" t="s">
        <v>5471</v>
      </c>
      <c r="C85" s="9" t="s">
        <v>5258</v>
      </c>
      <c r="D85" s="9" t="s">
        <v>5185</v>
      </c>
      <c r="E85" s="9" t="s">
        <v>5456</v>
      </c>
      <c r="F85" s="9" t="s">
        <v>5188</v>
      </c>
      <c r="G85" s="9" t="s">
        <v>5262</v>
      </c>
      <c r="H85" s="9" t="s">
        <v>5473</v>
      </c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9" t="s">
        <v>5477</v>
      </c>
      <c r="B86" s="9" t="s">
        <v>5471</v>
      </c>
      <c r="C86" s="9" t="s">
        <v>1256</v>
      </c>
      <c r="D86" s="9" t="s">
        <v>5274</v>
      </c>
      <c r="E86" s="9" t="s">
        <v>601</v>
      </c>
      <c r="F86" s="9" t="s">
        <v>5275</v>
      </c>
      <c r="G86" s="9" t="s">
        <v>5275</v>
      </c>
      <c r="H86" s="9" t="s">
        <v>5478</v>
      </c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9" t="s">
        <v>5482</v>
      </c>
      <c r="B87" s="9" t="s">
        <v>5471</v>
      </c>
      <c r="C87" s="9" t="s">
        <v>339</v>
      </c>
      <c r="D87" s="9" t="s">
        <v>5136</v>
      </c>
      <c r="E87" s="9" t="s">
        <v>5417</v>
      </c>
      <c r="F87" s="9" t="s">
        <v>5332</v>
      </c>
      <c r="G87" s="9" t="s">
        <v>5484</v>
      </c>
      <c r="H87" s="9" t="s">
        <v>5332</v>
      </c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9" t="s">
        <v>5488</v>
      </c>
      <c r="B88" s="9" t="s">
        <v>5489</v>
      </c>
      <c r="C88" s="9" t="s">
        <v>376</v>
      </c>
      <c r="D88" s="9" t="s">
        <v>5122</v>
      </c>
      <c r="E88" s="9" t="s">
        <v>2978</v>
      </c>
      <c r="F88" s="9" t="s">
        <v>5393</v>
      </c>
      <c r="G88" s="9" t="s">
        <v>5393</v>
      </c>
      <c r="H88" s="9" t="s">
        <v>5403</v>
      </c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9" t="s">
        <v>5494</v>
      </c>
      <c r="B89" s="9" t="s">
        <v>5489</v>
      </c>
      <c r="C89" s="9" t="s">
        <v>356</v>
      </c>
      <c r="D89" s="9" t="s">
        <v>5164</v>
      </c>
      <c r="E89" s="9" t="s">
        <v>5460</v>
      </c>
      <c r="F89" s="9" t="s">
        <v>5496</v>
      </c>
      <c r="G89" s="9" t="s">
        <v>5497</v>
      </c>
      <c r="H89" s="9" t="s">
        <v>5498</v>
      </c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9" t="s">
        <v>5500</v>
      </c>
      <c r="B90" s="9" t="s">
        <v>5489</v>
      </c>
      <c r="C90" s="9" t="s">
        <v>1281</v>
      </c>
      <c r="D90" s="9" t="s">
        <v>5274</v>
      </c>
      <c r="E90" s="9" t="s">
        <v>601</v>
      </c>
      <c r="F90" s="9" t="s">
        <v>5501</v>
      </c>
      <c r="G90" s="9" t="s">
        <v>5401</v>
      </c>
      <c r="H90" s="9" t="s">
        <v>5501</v>
      </c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9" t="s">
        <v>5505</v>
      </c>
      <c r="B91" s="9" t="s">
        <v>5506</v>
      </c>
      <c r="C91" s="9" t="s">
        <v>1281</v>
      </c>
      <c r="D91" s="9" t="s">
        <v>5122</v>
      </c>
      <c r="E91" s="9" t="s">
        <v>5417</v>
      </c>
      <c r="F91" s="9" t="s">
        <v>5292</v>
      </c>
      <c r="G91" s="9" t="s">
        <v>5292</v>
      </c>
      <c r="H91" s="9" t="s">
        <v>5508</v>
      </c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9" t="s">
        <v>5510</v>
      </c>
      <c r="B92" s="9" t="s">
        <v>5506</v>
      </c>
      <c r="C92" s="9" t="s">
        <v>1256</v>
      </c>
      <c r="D92" s="9" t="s">
        <v>5405</v>
      </c>
      <c r="E92" s="9" t="s">
        <v>5417</v>
      </c>
      <c r="F92" s="9" t="s">
        <v>5511</v>
      </c>
      <c r="G92" s="9" t="s">
        <v>5511</v>
      </c>
      <c r="H92" s="9" t="s">
        <v>5513</v>
      </c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9" t="s">
        <v>5516</v>
      </c>
      <c r="B93" s="9" t="s">
        <v>5506</v>
      </c>
      <c r="C93" s="9" t="s">
        <v>5258</v>
      </c>
      <c r="D93" s="9" t="s">
        <v>5150</v>
      </c>
      <c r="E93" s="9" t="s">
        <v>5456</v>
      </c>
      <c r="F93" s="9" t="s">
        <v>5341</v>
      </c>
      <c r="G93" s="9" t="s">
        <v>5517</v>
      </c>
      <c r="H93" s="9" t="s">
        <v>5332</v>
      </c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9" t="s">
        <v>5521</v>
      </c>
      <c r="B94" s="9" t="s">
        <v>5522</v>
      </c>
      <c r="C94" s="9" t="s">
        <v>1270</v>
      </c>
      <c r="D94" s="9" t="s">
        <v>5164</v>
      </c>
      <c r="E94" s="9" t="s">
        <v>5417</v>
      </c>
      <c r="F94" s="9" t="s">
        <v>5523</v>
      </c>
      <c r="G94" s="9" t="s">
        <v>5524</v>
      </c>
      <c r="H94" s="9" t="s">
        <v>5523</v>
      </c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9" t="s">
        <v>5528</v>
      </c>
      <c r="B95" s="9" t="s">
        <v>5522</v>
      </c>
      <c r="C95" s="9" t="s">
        <v>356</v>
      </c>
      <c r="D95" s="9" t="s">
        <v>5150</v>
      </c>
      <c r="E95" s="9" t="s">
        <v>5460</v>
      </c>
      <c r="F95" s="9" t="s">
        <v>5529</v>
      </c>
      <c r="G95" s="9" t="s">
        <v>5529</v>
      </c>
      <c r="H95" s="9" t="s">
        <v>5262</v>
      </c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9" t="s">
        <v>5534</v>
      </c>
      <c r="B96" s="9" t="s">
        <v>5522</v>
      </c>
      <c r="C96" s="9" t="s">
        <v>1288</v>
      </c>
      <c r="D96" s="9" t="s">
        <v>5324</v>
      </c>
      <c r="E96" s="9" t="s">
        <v>2978</v>
      </c>
      <c r="F96" s="9" t="s">
        <v>5328</v>
      </c>
      <c r="G96" s="9" t="s">
        <v>5328</v>
      </c>
      <c r="H96" s="9" t="s">
        <v>5535</v>
      </c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9" t="s">
        <v>5536</v>
      </c>
      <c r="B97" s="9" t="s">
        <v>5522</v>
      </c>
      <c r="C97" s="9" t="s">
        <v>339</v>
      </c>
      <c r="D97" s="9" t="s">
        <v>5185</v>
      </c>
      <c r="E97" s="9" t="s">
        <v>601</v>
      </c>
      <c r="F97" s="9" t="s">
        <v>5537</v>
      </c>
      <c r="G97" s="9" t="s">
        <v>5137</v>
      </c>
      <c r="H97" s="9" t="s">
        <v>5537</v>
      </c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9" t="s">
        <v>5538</v>
      </c>
      <c r="B98" s="9" t="s">
        <v>5539</v>
      </c>
      <c r="C98" s="9" t="s">
        <v>1284</v>
      </c>
      <c r="D98" s="9" t="s">
        <v>5324</v>
      </c>
      <c r="E98" s="9" t="s">
        <v>5417</v>
      </c>
      <c r="F98" s="9" t="s">
        <v>5540</v>
      </c>
      <c r="G98" s="9" t="s">
        <v>5540</v>
      </c>
      <c r="H98" s="9" t="s">
        <v>5541</v>
      </c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9" t="s">
        <v>5542</v>
      </c>
      <c r="B99" s="9" t="s">
        <v>5539</v>
      </c>
      <c r="C99" s="9" t="s">
        <v>1270</v>
      </c>
      <c r="D99" s="9" t="s">
        <v>5164</v>
      </c>
      <c r="E99" s="9" t="s">
        <v>5417</v>
      </c>
      <c r="F99" s="9" t="s">
        <v>5315</v>
      </c>
      <c r="G99" s="9" t="s">
        <v>5168</v>
      </c>
      <c r="H99" s="9" t="s">
        <v>5315</v>
      </c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9" t="s">
        <v>5543</v>
      </c>
      <c r="B100" s="9" t="s">
        <v>5539</v>
      </c>
      <c r="C100" s="9" t="s">
        <v>5163</v>
      </c>
      <c r="D100" s="9" t="s">
        <v>5286</v>
      </c>
      <c r="E100" s="9" t="s">
        <v>601</v>
      </c>
      <c r="F100" s="9" t="s">
        <v>5544</v>
      </c>
      <c r="G100" s="9" t="s">
        <v>5497</v>
      </c>
      <c r="H100" s="9" t="s">
        <v>5544</v>
      </c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9" t="s">
        <v>5545</v>
      </c>
      <c r="B101" s="9" t="s">
        <v>5546</v>
      </c>
      <c r="C101" s="9" t="s">
        <v>5547</v>
      </c>
      <c r="D101" s="9" t="s">
        <v>5164</v>
      </c>
      <c r="E101" s="9" t="s">
        <v>2978</v>
      </c>
      <c r="F101" s="9" t="s">
        <v>5462</v>
      </c>
      <c r="G101" s="9" t="s">
        <v>5138</v>
      </c>
      <c r="H101" s="9" t="s">
        <v>5548</v>
      </c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9" t="s">
        <v>5549</v>
      </c>
      <c r="B102" s="9" t="s">
        <v>5546</v>
      </c>
      <c r="C102" s="9" t="s">
        <v>5550</v>
      </c>
      <c r="D102" s="9" t="s">
        <v>5136</v>
      </c>
      <c r="E102" s="9" t="s">
        <v>601</v>
      </c>
      <c r="F102" s="9" t="s">
        <v>5406</v>
      </c>
      <c r="G102" s="9" t="s">
        <v>5330</v>
      </c>
      <c r="H102" s="9" t="s">
        <v>5406</v>
      </c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9" t="s">
        <v>5551</v>
      </c>
      <c r="B103" s="9" t="s">
        <v>5552</v>
      </c>
      <c r="C103" s="9" t="s">
        <v>5547</v>
      </c>
      <c r="D103" s="9" t="s">
        <v>5136</v>
      </c>
      <c r="E103" s="9" t="s">
        <v>5417</v>
      </c>
      <c r="F103" s="9" t="s">
        <v>5406</v>
      </c>
      <c r="G103" s="9" t="s">
        <v>5406</v>
      </c>
      <c r="H103" s="9" t="s">
        <v>5406</v>
      </c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9" t="s">
        <v>5553</v>
      </c>
      <c r="B104" s="9" t="s">
        <v>5554</v>
      </c>
      <c r="C104" s="9" t="s">
        <v>5555</v>
      </c>
      <c r="D104" s="9" t="s">
        <v>5164</v>
      </c>
      <c r="E104" s="9" t="s">
        <v>5456</v>
      </c>
      <c r="F104" s="9" t="s">
        <v>5524</v>
      </c>
      <c r="G104" s="9" t="s">
        <v>5524</v>
      </c>
      <c r="H104" s="9" t="s">
        <v>5524</v>
      </c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6"/>
      <c r="B105" s="16"/>
      <c r="C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273" t="s">
        <v>5556</v>
      </c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50" t="s">
        <v>509</v>
      </c>
      <c r="B108" s="150" t="s">
        <v>511</v>
      </c>
      <c r="C108" s="150" t="s">
        <v>512</v>
      </c>
      <c r="D108" s="150" t="s">
        <v>513</v>
      </c>
      <c r="E108" s="150" t="s">
        <v>3085</v>
      </c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9" t="s">
        <v>530</v>
      </c>
      <c r="B109" s="9" t="s">
        <v>807</v>
      </c>
      <c r="C109" s="9" t="s">
        <v>808</v>
      </c>
      <c r="D109" s="9" t="s">
        <v>13</v>
      </c>
      <c r="E109" s="9">
        <v>40000.0</v>
      </c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9" t="s">
        <v>565</v>
      </c>
      <c r="B110" s="9" t="s">
        <v>566</v>
      </c>
      <c r="C110" s="9" t="s">
        <v>809</v>
      </c>
      <c r="D110" s="9" t="s">
        <v>16</v>
      </c>
      <c r="E110" s="9">
        <v>40000.0</v>
      </c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9" t="s">
        <v>810</v>
      </c>
      <c r="B111" s="9" t="s">
        <v>797</v>
      </c>
      <c r="C111" s="9" t="s">
        <v>808</v>
      </c>
      <c r="D111" s="9" t="s">
        <v>17</v>
      </c>
      <c r="E111" s="9">
        <v>80000.0</v>
      </c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9" t="s">
        <v>811</v>
      </c>
      <c r="B112" s="9" t="s">
        <v>813</v>
      </c>
      <c r="C112" s="9" t="s">
        <v>808</v>
      </c>
      <c r="D112" s="9" t="s">
        <v>19</v>
      </c>
      <c r="E112" s="9">
        <v>80000.0</v>
      </c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9" t="s">
        <v>600</v>
      </c>
      <c r="B113" s="9" t="s">
        <v>818</v>
      </c>
      <c r="C113" s="9" t="s">
        <v>820</v>
      </c>
      <c r="D113" s="9" t="s">
        <v>13</v>
      </c>
      <c r="E113" s="9">
        <v>160000.0</v>
      </c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9" t="s">
        <v>696</v>
      </c>
      <c r="B114" s="9" t="s">
        <v>824</v>
      </c>
      <c r="E114" s="9">
        <v>200000.0</v>
      </c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9" t="s">
        <v>705</v>
      </c>
      <c r="B115" s="9" t="s">
        <v>808</v>
      </c>
      <c r="E115" s="9">
        <v>350000.0</v>
      </c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9" t="s">
        <v>620</v>
      </c>
      <c r="B116" s="9" t="s">
        <v>828</v>
      </c>
      <c r="E116" s="9">
        <v>700000.0</v>
      </c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</sheetData>
  <mergeCells count="7">
    <mergeCell ref="A1:N1"/>
    <mergeCell ref="A31:J31"/>
    <mergeCell ref="A54:H54"/>
    <mergeCell ref="A107:E107"/>
    <mergeCell ref="B114:D114"/>
    <mergeCell ref="B115:D115"/>
    <mergeCell ref="B116:D116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5200C"/>
    <outlinePr summaryBelow="0" summaryRight="0"/>
  </sheetPr>
  <sheetViews>
    <sheetView workbookViewId="0"/>
  </sheetViews>
  <sheetFormatPr customHeight="1" defaultColWidth="12.63" defaultRowHeight="15.75"/>
  <cols>
    <col customWidth="1" min="1" max="1" width="44.88"/>
    <col customWidth="1" min="2" max="2" width="22.38"/>
    <col customWidth="1" min="3" max="3" width="23.38"/>
    <col customWidth="1" min="4" max="4" width="21.13"/>
    <col customWidth="1" min="5" max="5" width="22.75"/>
    <col customWidth="1" min="6" max="6" width="23.38"/>
    <col customWidth="1" min="7" max="7" width="23.13"/>
    <col customWidth="1" min="8" max="8" width="24.75"/>
    <col customWidth="1" min="9" max="9" width="23.13"/>
    <col customWidth="1" min="10" max="10" width="23.88"/>
    <col customWidth="1" min="11" max="11" width="17.63"/>
    <col customWidth="1" min="12" max="12" width="20.38"/>
  </cols>
  <sheetData>
    <row r="1">
      <c r="A1" s="255" t="s">
        <v>14</v>
      </c>
      <c r="B1" s="255" t="s">
        <v>13</v>
      </c>
      <c r="C1" s="255" t="s">
        <v>20</v>
      </c>
      <c r="D1" s="255" t="s">
        <v>18</v>
      </c>
      <c r="E1" s="255" t="s">
        <v>9</v>
      </c>
      <c r="F1" s="255" t="s">
        <v>17</v>
      </c>
      <c r="G1" s="255" t="s">
        <v>12</v>
      </c>
      <c r="H1" s="255" t="s">
        <v>16</v>
      </c>
      <c r="I1" s="255" t="s">
        <v>19</v>
      </c>
      <c r="J1" s="255" t="s">
        <v>21</v>
      </c>
      <c r="K1" s="255" t="s">
        <v>15</v>
      </c>
      <c r="L1" s="14" t="s">
        <v>5557</v>
      </c>
    </row>
    <row r="2">
      <c r="A2" s="258" t="s">
        <v>1423</v>
      </c>
      <c r="B2" s="251" t="s">
        <v>5558</v>
      </c>
      <c r="C2" s="19" t="s">
        <v>5559</v>
      </c>
      <c r="D2" s="19" t="s">
        <v>5560</v>
      </c>
      <c r="E2" s="19" t="s">
        <v>5561</v>
      </c>
      <c r="F2" s="19" t="s">
        <v>1655</v>
      </c>
      <c r="G2" s="19" t="s">
        <v>915</v>
      </c>
      <c r="H2" s="19" t="s">
        <v>5562</v>
      </c>
      <c r="I2" s="19" t="s">
        <v>2452</v>
      </c>
      <c r="J2" s="19" t="s">
        <v>2670</v>
      </c>
      <c r="K2" s="19" t="s">
        <v>3332</v>
      </c>
      <c r="L2" s="19" t="s">
        <v>5563</v>
      </c>
    </row>
    <row r="3">
      <c r="A3" s="276" t="s">
        <v>5564</v>
      </c>
      <c r="B3" s="19" t="s">
        <v>1375</v>
      </c>
      <c r="C3" s="19" t="s">
        <v>322</v>
      </c>
      <c r="D3" s="19" t="s">
        <v>5565</v>
      </c>
      <c r="E3" s="19" t="s">
        <v>5566</v>
      </c>
      <c r="F3" s="19" t="s">
        <v>5567</v>
      </c>
      <c r="G3" s="19" t="s">
        <v>5568</v>
      </c>
      <c r="H3" s="19" t="s">
        <v>1770</v>
      </c>
      <c r="I3" s="19" t="s">
        <v>5569</v>
      </c>
      <c r="J3" s="19" t="s">
        <v>3400</v>
      </c>
      <c r="K3" s="19" t="s">
        <v>4656</v>
      </c>
      <c r="L3" s="19" t="s">
        <v>5570</v>
      </c>
    </row>
    <row r="4">
      <c r="A4" s="276" t="s">
        <v>5571</v>
      </c>
      <c r="B4" s="19" t="s">
        <v>1273</v>
      </c>
      <c r="C4" s="19" t="s">
        <v>2636</v>
      </c>
      <c r="D4" s="19" t="s">
        <v>2241</v>
      </c>
      <c r="E4" s="19" t="s">
        <v>2827</v>
      </c>
      <c r="F4" s="19" t="s">
        <v>5572</v>
      </c>
      <c r="G4" s="19" t="s">
        <v>1122</v>
      </c>
      <c r="H4" s="19" t="s">
        <v>5573</v>
      </c>
      <c r="I4" s="19" t="s">
        <v>2509</v>
      </c>
      <c r="J4" s="19" t="s">
        <v>2672</v>
      </c>
      <c r="K4" s="19" t="s">
        <v>5574</v>
      </c>
      <c r="L4" s="19" t="s">
        <v>5575</v>
      </c>
    </row>
    <row r="5">
      <c r="A5" s="276" t="s">
        <v>1217</v>
      </c>
      <c r="B5" s="19" t="s">
        <v>5576</v>
      </c>
      <c r="C5" s="19" t="s">
        <v>5577</v>
      </c>
      <c r="D5" s="19" t="s">
        <v>2239</v>
      </c>
      <c r="E5" s="19" t="s">
        <v>3415</v>
      </c>
      <c r="F5" s="19" t="s">
        <v>4227</v>
      </c>
      <c r="G5" s="19" t="s">
        <v>5578</v>
      </c>
      <c r="H5" s="19" t="s">
        <v>5579</v>
      </c>
      <c r="I5" s="19" t="s">
        <v>5580</v>
      </c>
      <c r="J5" s="19" t="s">
        <v>2693</v>
      </c>
      <c r="K5" s="19" t="s">
        <v>5581</v>
      </c>
      <c r="L5" s="19" t="s">
        <v>5582</v>
      </c>
    </row>
    <row r="6">
      <c r="A6" s="276" t="s">
        <v>1228</v>
      </c>
      <c r="B6" s="19" t="s">
        <v>5583</v>
      </c>
      <c r="C6" s="19" t="s">
        <v>5584</v>
      </c>
      <c r="D6" s="19" t="s">
        <v>5585</v>
      </c>
      <c r="E6" s="19" t="s">
        <v>4709</v>
      </c>
      <c r="F6" s="19" t="s">
        <v>4699</v>
      </c>
      <c r="G6" s="19" t="s">
        <v>5586</v>
      </c>
      <c r="H6" s="19" t="s">
        <v>5587</v>
      </c>
      <c r="I6" s="19" t="s">
        <v>2436</v>
      </c>
      <c r="J6" s="19" t="s">
        <v>3426</v>
      </c>
      <c r="K6" s="19" t="s">
        <v>5588</v>
      </c>
      <c r="L6" s="19" t="s">
        <v>5589</v>
      </c>
    </row>
    <row r="7">
      <c r="A7" s="276" t="s">
        <v>1231</v>
      </c>
      <c r="B7" s="19" t="s">
        <v>5590</v>
      </c>
      <c r="C7" s="19" t="s">
        <v>2568</v>
      </c>
      <c r="D7" s="19" t="s">
        <v>2415</v>
      </c>
      <c r="E7" s="19" t="s">
        <v>5591</v>
      </c>
      <c r="F7" s="19" t="s">
        <v>4718</v>
      </c>
      <c r="H7" s="19" t="s">
        <v>3438</v>
      </c>
      <c r="I7" s="19" t="s">
        <v>5592</v>
      </c>
      <c r="J7" s="19" t="s">
        <v>3303</v>
      </c>
      <c r="K7" s="19" t="s">
        <v>5593</v>
      </c>
      <c r="L7" s="19" t="s">
        <v>5594</v>
      </c>
    </row>
    <row r="8">
      <c r="A8" s="276" t="s">
        <v>1235</v>
      </c>
      <c r="B8" s="19" t="s">
        <v>5595</v>
      </c>
      <c r="C8" s="19" t="s">
        <v>5596</v>
      </c>
      <c r="D8" s="19" t="s">
        <v>5597</v>
      </c>
      <c r="E8" s="19" t="s">
        <v>3928</v>
      </c>
      <c r="F8" s="19" t="s">
        <v>5598</v>
      </c>
      <c r="H8" s="19" t="s">
        <v>4727</v>
      </c>
      <c r="I8" s="19" t="s">
        <v>5599</v>
      </c>
      <c r="J8" s="19" t="s">
        <v>3444</v>
      </c>
      <c r="K8" s="19" t="s">
        <v>5600</v>
      </c>
      <c r="L8" s="19" t="s">
        <v>5601</v>
      </c>
    </row>
    <row r="9">
      <c r="A9" s="276" t="s">
        <v>1241</v>
      </c>
      <c r="B9" s="19" t="s">
        <v>5602</v>
      </c>
      <c r="C9" s="19" t="s">
        <v>5603</v>
      </c>
      <c r="D9" s="19" t="s">
        <v>5604</v>
      </c>
      <c r="F9" s="19" t="s">
        <v>5605</v>
      </c>
      <c r="H9" s="19" t="s">
        <v>5606</v>
      </c>
      <c r="I9" s="19" t="s">
        <v>5607</v>
      </c>
      <c r="J9" s="19" t="s">
        <v>4752</v>
      </c>
      <c r="K9" s="19" t="s">
        <v>5608</v>
      </c>
      <c r="L9" s="19" t="s">
        <v>5609</v>
      </c>
    </row>
    <row r="10">
      <c r="A10" s="276" t="s">
        <v>5610</v>
      </c>
      <c r="B10" s="19" t="s">
        <v>5611</v>
      </c>
      <c r="C10" s="19" t="s">
        <v>5612</v>
      </c>
      <c r="D10" s="19" t="s">
        <v>5613</v>
      </c>
      <c r="F10" s="19" t="s">
        <v>5614</v>
      </c>
      <c r="H10" s="19" t="s">
        <v>5615</v>
      </c>
      <c r="I10" s="19" t="s">
        <v>5616</v>
      </c>
      <c r="J10" s="19" t="s">
        <v>4768</v>
      </c>
      <c r="K10" s="19" t="s">
        <v>5617</v>
      </c>
      <c r="L10" s="19" t="s">
        <v>5618</v>
      </c>
    </row>
    <row r="11">
      <c r="A11" s="276" t="s">
        <v>5619</v>
      </c>
      <c r="B11" s="19" t="s">
        <v>5620</v>
      </c>
      <c r="C11" s="19" t="s">
        <v>5621</v>
      </c>
      <c r="D11" s="19" t="s">
        <v>5622</v>
      </c>
      <c r="F11" s="19" t="s">
        <v>5623</v>
      </c>
      <c r="H11" s="19" t="s">
        <v>4306</v>
      </c>
      <c r="I11" s="19" t="s">
        <v>5624</v>
      </c>
      <c r="J11" s="19" t="s">
        <v>3473</v>
      </c>
      <c r="K11" s="19" t="s">
        <v>5625</v>
      </c>
      <c r="L11" s="19" t="s">
        <v>5626</v>
      </c>
    </row>
    <row r="12">
      <c r="A12" s="276" t="s">
        <v>5627</v>
      </c>
      <c r="B12" s="19" t="s">
        <v>5628</v>
      </c>
      <c r="C12" s="19" t="s">
        <v>5629</v>
      </c>
      <c r="D12" s="19" t="s">
        <v>5630</v>
      </c>
      <c r="F12" s="19" t="s">
        <v>5631</v>
      </c>
      <c r="H12" s="19" t="s">
        <v>5632</v>
      </c>
      <c r="I12" s="19" t="s">
        <v>5633</v>
      </c>
      <c r="J12" s="19" t="s">
        <v>4803</v>
      </c>
      <c r="L12" s="19" t="s">
        <v>5634</v>
      </c>
    </row>
    <row r="13">
      <c r="A13" s="276" t="s">
        <v>5635</v>
      </c>
      <c r="B13" s="19" t="s">
        <v>5636</v>
      </c>
      <c r="C13" s="19" t="s">
        <v>5637</v>
      </c>
      <c r="F13" s="19" t="s">
        <v>5638</v>
      </c>
      <c r="H13" s="19" t="s">
        <v>5639</v>
      </c>
      <c r="I13" s="19" t="s">
        <v>5640</v>
      </c>
      <c r="J13" s="19" t="s">
        <v>4820</v>
      </c>
      <c r="L13" s="28" t="s">
        <v>5641</v>
      </c>
    </row>
    <row r="14">
      <c r="A14" s="276" t="s">
        <v>5642</v>
      </c>
      <c r="B14" s="19" t="s">
        <v>5643</v>
      </c>
      <c r="C14" s="19" t="s">
        <v>5644</v>
      </c>
      <c r="F14" s="19" t="s">
        <v>5645</v>
      </c>
      <c r="H14" s="19" t="s">
        <v>5646</v>
      </c>
      <c r="I14" s="19" t="s">
        <v>5647</v>
      </c>
      <c r="J14" s="19" t="s">
        <v>4835</v>
      </c>
      <c r="L14" s="28" t="s">
        <v>5648</v>
      </c>
    </row>
    <row r="15">
      <c r="A15" s="276" t="s">
        <v>5649</v>
      </c>
      <c r="B15" s="19" t="s">
        <v>5650</v>
      </c>
      <c r="F15" s="19" t="s">
        <v>5651</v>
      </c>
      <c r="H15" s="19" t="s">
        <v>5652</v>
      </c>
      <c r="I15" s="19" t="s">
        <v>5653</v>
      </c>
      <c r="J15" s="19" t="s">
        <v>3506</v>
      </c>
      <c r="L15" s="28" t="s">
        <v>5654</v>
      </c>
    </row>
    <row r="16">
      <c r="A16" s="276" t="s">
        <v>5655</v>
      </c>
      <c r="B16" s="19" t="s">
        <v>5656</v>
      </c>
      <c r="F16" s="19" t="s">
        <v>5657</v>
      </c>
      <c r="H16" s="19" t="s">
        <v>5658</v>
      </c>
      <c r="I16" s="19" t="s">
        <v>5659</v>
      </c>
      <c r="J16" s="19" t="s">
        <v>4857</v>
      </c>
      <c r="L16" s="28" t="s">
        <v>5660</v>
      </c>
    </row>
    <row r="17">
      <c r="A17" s="276" t="s">
        <v>5661</v>
      </c>
      <c r="B17" s="19" t="s">
        <v>5662</v>
      </c>
      <c r="I17" s="19" t="s">
        <v>5663</v>
      </c>
      <c r="J17" s="19" t="s">
        <v>4869</v>
      </c>
      <c r="L17" s="19" t="s">
        <v>5664</v>
      </c>
    </row>
    <row r="18">
      <c r="A18" s="276" t="s">
        <v>5665</v>
      </c>
      <c r="I18" s="19" t="s">
        <v>5666</v>
      </c>
      <c r="J18" s="19" t="s">
        <v>4876</v>
      </c>
    </row>
    <row r="19">
      <c r="A19" s="276" t="s">
        <v>5667</v>
      </c>
      <c r="I19" s="19" t="s">
        <v>5668</v>
      </c>
    </row>
    <row r="20">
      <c r="A20" s="276" t="s">
        <v>5669</v>
      </c>
      <c r="I20" s="19" t="s">
        <v>5670</v>
      </c>
    </row>
    <row r="21">
      <c r="A21" s="19"/>
      <c r="I21" s="19" t="s">
        <v>5671</v>
      </c>
    </row>
    <row r="22">
      <c r="I22" s="19" t="s">
        <v>5672</v>
      </c>
    </row>
    <row r="23">
      <c r="I23" s="19" t="s">
        <v>5673</v>
      </c>
    </row>
    <row r="24">
      <c r="I24" s="19" t="s">
        <v>5674</v>
      </c>
    </row>
    <row r="25">
      <c r="I25" s="19" t="s">
        <v>5675</v>
      </c>
    </row>
    <row r="26">
      <c r="I26" s="19" t="s">
        <v>5676</v>
      </c>
    </row>
    <row r="27">
      <c r="I27" s="19" t="s">
        <v>5677</v>
      </c>
    </row>
    <row r="28">
      <c r="I28" s="19" t="s">
        <v>5678</v>
      </c>
    </row>
    <row r="31">
      <c r="A31" s="133" t="s">
        <v>5679</v>
      </c>
    </row>
    <row r="32">
      <c r="A32" s="86" t="s">
        <v>5680</v>
      </c>
      <c r="B32" s="86" t="s">
        <v>5681</v>
      </c>
      <c r="C32" s="86" t="s">
        <v>5682</v>
      </c>
      <c r="D32" s="86" t="s">
        <v>5683</v>
      </c>
      <c r="E32" s="86" t="s">
        <v>5684</v>
      </c>
      <c r="F32" s="86" t="s">
        <v>5685</v>
      </c>
      <c r="G32" s="86" t="s">
        <v>5686</v>
      </c>
      <c r="H32" s="86" t="s">
        <v>5687</v>
      </c>
    </row>
    <row r="33">
      <c r="A33" s="19" t="s">
        <v>5688</v>
      </c>
      <c r="B33" s="19" t="s">
        <v>5689</v>
      </c>
      <c r="C33" s="19" t="s">
        <v>5690</v>
      </c>
      <c r="D33" s="19" t="s">
        <v>5691</v>
      </c>
      <c r="E33" s="19" t="s">
        <v>5692</v>
      </c>
      <c r="F33" s="19" t="s">
        <v>5693</v>
      </c>
      <c r="G33" s="19" t="s">
        <v>5694</v>
      </c>
      <c r="H33" s="19" t="s">
        <v>5695</v>
      </c>
    </row>
    <row r="34">
      <c r="A34" s="19" t="s">
        <v>5696</v>
      </c>
      <c r="B34" s="19" t="s">
        <v>5697</v>
      </c>
      <c r="C34" s="19" t="s">
        <v>5698</v>
      </c>
      <c r="D34" s="19" t="s">
        <v>5699</v>
      </c>
      <c r="E34" s="19" t="s">
        <v>5700</v>
      </c>
      <c r="F34" s="19" t="s">
        <v>5701</v>
      </c>
      <c r="G34" s="19" t="s">
        <v>5702</v>
      </c>
      <c r="H34" s="19" t="s">
        <v>5703</v>
      </c>
    </row>
    <row r="35">
      <c r="A35" s="19" t="s">
        <v>5704</v>
      </c>
      <c r="B35" s="19" t="s">
        <v>5705</v>
      </c>
      <c r="C35" s="19" t="s">
        <v>5706</v>
      </c>
      <c r="D35" s="19" t="s">
        <v>5707</v>
      </c>
      <c r="E35" s="19" t="s">
        <v>5708</v>
      </c>
      <c r="F35" s="19" t="s">
        <v>5709</v>
      </c>
      <c r="G35" s="19" t="s">
        <v>5710</v>
      </c>
      <c r="H35" s="19" t="s">
        <v>5711</v>
      </c>
    </row>
    <row r="36">
      <c r="A36" s="19" t="s">
        <v>5712</v>
      </c>
      <c r="B36" s="19" t="s">
        <v>5713</v>
      </c>
      <c r="C36" s="19" t="s">
        <v>5714</v>
      </c>
      <c r="D36" s="19" t="s">
        <v>5715</v>
      </c>
      <c r="E36" s="19" t="s">
        <v>5716</v>
      </c>
      <c r="F36" s="19" t="s">
        <v>5717</v>
      </c>
      <c r="G36" s="19" t="s">
        <v>5718</v>
      </c>
      <c r="H36" s="19" t="s">
        <v>5719</v>
      </c>
    </row>
    <row r="37">
      <c r="A37" s="19" t="s">
        <v>5720</v>
      </c>
      <c r="B37" s="19" t="s">
        <v>5721</v>
      </c>
      <c r="C37" s="19" t="s">
        <v>5722</v>
      </c>
      <c r="D37" s="19" t="s">
        <v>5723</v>
      </c>
      <c r="E37" s="19" t="s">
        <v>5724</v>
      </c>
      <c r="F37" s="19" t="s">
        <v>5725</v>
      </c>
      <c r="G37" s="19" t="s">
        <v>5726</v>
      </c>
      <c r="H37" s="19" t="s">
        <v>5727</v>
      </c>
    </row>
    <row r="38">
      <c r="A38" s="19" t="s">
        <v>5728</v>
      </c>
      <c r="B38" s="19" t="s">
        <v>5729</v>
      </c>
      <c r="C38" s="19" t="s">
        <v>5730</v>
      </c>
      <c r="D38" s="19" t="s">
        <v>5731</v>
      </c>
      <c r="E38" s="19" t="s">
        <v>5732</v>
      </c>
      <c r="F38" s="19" t="s">
        <v>5733</v>
      </c>
      <c r="G38" s="19" t="s">
        <v>5734</v>
      </c>
      <c r="H38" s="19" t="s">
        <v>5735</v>
      </c>
    </row>
    <row r="39">
      <c r="A39" s="19" t="s">
        <v>5736</v>
      </c>
      <c r="B39" s="19" t="s">
        <v>5737</v>
      </c>
      <c r="C39" s="19" t="s">
        <v>5738</v>
      </c>
      <c r="D39" s="19" t="s">
        <v>5739</v>
      </c>
      <c r="E39" s="19" t="s">
        <v>5740</v>
      </c>
      <c r="F39" s="19" t="s">
        <v>5741</v>
      </c>
      <c r="G39" s="19" t="s">
        <v>5742</v>
      </c>
      <c r="H39" s="19" t="s">
        <v>5743</v>
      </c>
    </row>
    <row r="40">
      <c r="A40" s="19" t="s">
        <v>5744</v>
      </c>
      <c r="B40" s="19" t="s">
        <v>5745</v>
      </c>
      <c r="C40" s="19" t="s">
        <v>5746</v>
      </c>
      <c r="D40" s="19" t="s">
        <v>5747</v>
      </c>
      <c r="E40" s="19" t="s">
        <v>5748</v>
      </c>
      <c r="F40" s="19" t="s">
        <v>5749</v>
      </c>
      <c r="G40" s="19" t="s">
        <v>5750</v>
      </c>
      <c r="H40" s="19" t="s">
        <v>5751</v>
      </c>
    </row>
    <row r="41">
      <c r="A41" s="19" t="s">
        <v>5752</v>
      </c>
      <c r="B41" s="19" t="s">
        <v>5753</v>
      </c>
      <c r="C41" s="19" t="s">
        <v>5754</v>
      </c>
      <c r="D41" s="19" t="s">
        <v>5755</v>
      </c>
      <c r="E41" s="19" t="s">
        <v>5756</v>
      </c>
      <c r="F41" s="19" t="s">
        <v>5757</v>
      </c>
      <c r="G41" s="19" t="s">
        <v>5758</v>
      </c>
      <c r="H41" s="19" t="s">
        <v>5759</v>
      </c>
    </row>
    <row r="42">
      <c r="A42" s="19" t="s">
        <v>5760</v>
      </c>
      <c r="B42" s="19" t="s">
        <v>5761</v>
      </c>
      <c r="C42" s="19" t="s">
        <v>5762</v>
      </c>
      <c r="D42" s="19" t="s">
        <v>5763</v>
      </c>
      <c r="E42" s="19" t="s">
        <v>5764</v>
      </c>
      <c r="F42" s="19" t="s">
        <v>5765</v>
      </c>
      <c r="G42" s="19" t="s">
        <v>5766</v>
      </c>
      <c r="H42" s="19" t="s">
        <v>5767</v>
      </c>
    </row>
    <row r="43">
      <c r="A43" s="19" t="s">
        <v>5768</v>
      </c>
      <c r="B43" s="19" t="s">
        <v>5769</v>
      </c>
      <c r="C43" s="19" t="s">
        <v>5770</v>
      </c>
      <c r="D43" s="19" t="s">
        <v>5771</v>
      </c>
      <c r="E43" s="19" t="s">
        <v>5772</v>
      </c>
      <c r="F43" s="19" t="s">
        <v>5773</v>
      </c>
      <c r="G43" s="19" t="s">
        <v>5774</v>
      </c>
      <c r="H43" s="19" t="s">
        <v>5775</v>
      </c>
    </row>
    <row r="44">
      <c r="A44" s="19" t="s">
        <v>5776</v>
      </c>
      <c r="B44" s="19" t="s">
        <v>5777</v>
      </c>
      <c r="C44" s="19" t="s">
        <v>5778</v>
      </c>
      <c r="D44" s="19" t="s">
        <v>5779</v>
      </c>
      <c r="E44" s="19" t="s">
        <v>5780</v>
      </c>
      <c r="F44" s="19" t="s">
        <v>5781</v>
      </c>
      <c r="G44" s="19" t="s">
        <v>5782</v>
      </c>
      <c r="H44" s="19" t="s">
        <v>5783</v>
      </c>
    </row>
    <row r="45">
      <c r="A45" s="19" t="s">
        <v>5784</v>
      </c>
      <c r="B45" s="19" t="s">
        <v>5785</v>
      </c>
      <c r="C45" s="19" t="s">
        <v>5786</v>
      </c>
      <c r="D45" s="19" t="s">
        <v>5787</v>
      </c>
      <c r="E45" s="19" t="s">
        <v>5788</v>
      </c>
      <c r="F45" s="19" t="s">
        <v>5789</v>
      </c>
      <c r="G45" s="19" t="s">
        <v>5790</v>
      </c>
      <c r="H45" s="19" t="s">
        <v>5791</v>
      </c>
    </row>
    <row r="46">
      <c r="A46" s="19" t="s">
        <v>5792</v>
      </c>
      <c r="B46" s="19" t="s">
        <v>5793</v>
      </c>
      <c r="C46" s="19" t="s">
        <v>5794</v>
      </c>
      <c r="D46" s="19" t="s">
        <v>5795</v>
      </c>
      <c r="E46" s="19" t="s">
        <v>5796</v>
      </c>
      <c r="F46" s="19" t="s">
        <v>5797</v>
      </c>
      <c r="G46" s="19" t="s">
        <v>5798</v>
      </c>
      <c r="H46" s="19" t="s">
        <v>5799</v>
      </c>
    </row>
    <row r="47">
      <c r="A47" s="19" t="s">
        <v>5800</v>
      </c>
      <c r="B47" s="19" t="s">
        <v>5801</v>
      </c>
      <c r="C47" s="19" t="s">
        <v>5802</v>
      </c>
      <c r="D47" s="19" t="s">
        <v>5803</v>
      </c>
      <c r="E47" s="19" t="s">
        <v>5804</v>
      </c>
      <c r="F47" s="19" t="s">
        <v>5805</v>
      </c>
      <c r="G47" s="19" t="s">
        <v>5806</v>
      </c>
      <c r="H47" s="19" t="s">
        <v>5807</v>
      </c>
    </row>
    <row r="48">
      <c r="A48" s="19" t="s">
        <v>5808</v>
      </c>
      <c r="B48" s="19" t="s">
        <v>5809</v>
      </c>
      <c r="C48" s="19" t="s">
        <v>5810</v>
      </c>
      <c r="D48" s="19" t="s">
        <v>5811</v>
      </c>
      <c r="E48" s="19" t="s">
        <v>5812</v>
      </c>
      <c r="F48" s="19" t="s">
        <v>5813</v>
      </c>
      <c r="G48" s="19" t="s">
        <v>5814</v>
      </c>
      <c r="H48" s="19" t="s">
        <v>5815</v>
      </c>
    </row>
    <row r="49">
      <c r="A49" s="19" t="s">
        <v>5816</v>
      </c>
      <c r="B49" s="19" t="s">
        <v>5817</v>
      </c>
      <c r="C49" s="19" t="s">
        <v>5818</v>
      </c>
      <c r="D49" s="19" t="s">
        <v>5819</v>
      </c>
      <c r="E49" s="19" t="s">
        <v>5820</v>
      </c>
      <c r="F49" s="19" t="s">
        <v>5821</v>
      </c>
      <c r="G49" s="19" t="s">
        <v>5822</v>
      </c>
      <c r="H49" s="19" t="s">
        <v>5823</v>
      </c>
    </row>
    <row r="50">
      <c r="A50" s="19" t="s">
        <v>5824</v>
      </c>
      <c r="B50" s="19" t="s">
        <v>5825</v>
      </c>
      <c r="C50" s="19" t="s">
        <v>5826</v>
      </c>
      <c r="D50" s="19" t="s">
        <v>5827</v>
      </c>
      <c r="E50" s="19" t="s">
        <v>5828</v>
      </c>
      <c r="F50" s="19" t="s">
        <v>5829</v>
      </c>
      <c r="G50" s="19" t="s">
        <v>5830</v>
      </c>
      <c r="H50" s="19" t="s">
        <v>5831</v>
      </c>
    </row>
    <row r="52">
      <c r="A52" s="211" t="s">
        <v>3502</v>
      </c>
    </row>
    <row r="53">
      <c r="A53" s="248" t="s">
        <v>2882</v>
      </c>
      <c r="B53" s="248" t="s">
        <v>3045</v>
      </c>
      <c r="C53" s="167" t="s">
        <v>3046</v>
      </c>
      <c r="D53" s="248" t="s">
        <v>2883</v>
      </c>
      <c r="E53" s="248" t="s">
        <v>64</v>
      </c>
      <c r="F53" s="248" t="s">
        <v>3051</v>
      </c>
      <c r="G53" s="248" t="s">
        <v>587</v>
      </c>
      <c r="H53" s="248" t="s">
        <v>579</v>
      </c>
    </row>
    <row r="54">
      <c r="A54" s="9" t="s">
        <v>5832</v>
      </c>
      <c r="B54" s="9" t="s">
        <v>5833</v>
      </c>
      <c r="C54" s="9" t="s">
        <v>5834</v>
      </c>
      <c r="D54" s="9" t="s">
        <v>958</v>
      </c>
      <c r="E54" s="9" t="s">
        <v>3571</v>
      </c>
      <c r="F54" s="9" t="s">
        <v>5835</v>
      </c>
      <c r="G54" s="9" t="s">
        <v>5836</v>
      </c>
      <c r="H54" s="9" t="s">
        <v>5837</v>
      </c>
    </row>
    <row r="55">
      <c r="A55" s="9" t="s">
        <v>5838</v>
      </c>
      <c r="B55" s="9" t="s">
        <v>5833</v>
      </c>
      <c r="C55" s="9" t="s">
        <v>5839</v>
      </c>
      <c r="D55" s="9" t="s">
        <v>834</v>
      </c>
      <c r="E55" s="9" t="s">
        <v>5840</v>
      </c>
      <c r="F55" s="9" t="s">
        <v>5841</v>
      </c>
      <c r="G55" s="9" t="s">
        <v>5842</v>
      </c>
      <c r="H55" s="9" t="s">
        <v>5841</v>
      </c>
    </row>
    <row r="56">
      <c r="A56" s="9" t="s">
        <v>5843</v>
      </c>
      <c r="B56" s="9" t="s">
        <v>5844</v>
      </c>
      <c r="C56" s="9" t="s">
        <v>5845</v>
      </c>
      <c r="D56" s="9" t="s">
        <v>5846</v>
      </c>
      <c r="E56" s="9" t="s">
        <v>837</v>
      </c>
      <c r="F56" s="9" t="s">
        <v>5847</v>
      </c>
      <c r="G56" s="9" t="s">
        <v>5847</v>
      </c>
      <c r="H56" s="9" t="s">
        <v>5848</v>
      </c>
    </row>
    <row r="57">
      <c r="A57" s="9" t="s">
        <v>5849</v>
      </c>
      <c r="B57" s="9" t="s">
        <v>5844</v>
      </c>
      <c r="C57" s="9" t="s">
        <v>5850</v>
      </c>
      <c r="D57" s="9" t="s">
        <v>5851</v>
      </c>
      <c r="E57" s="9" t="s">
        <v>601</v>
      </c>
      <c r="F57" s="9" t="s">
        <v>5852</v>
      </c>
      <c r="G57" s="9" t="s">
        <v>5853</v>
      </c>
      <c r="H57" s="9" t="s">
        <v>5852</v>
      </c>
    </row>
    <row r="58">
      <c r="A58" s="9" t="s">
        <v>5854</v>
      </c>
      <c r="B58" s="9" t="s">
        <v>5855</v>
      </c>
      <c r="C58" s="9" t="s">
        <v>5856</v>
      </c>
      <c r="D58" s="9" t="s">
        <v>838</v>
      </c>
      <c r="E58" s="9" t="s">
        <v>5857</v>
      </c>
      <c r="F58" s="9" t="s">
        <v>5858</v>
      </c>
      <c r="G58" s="9" t="s">
        <v>5858</v>
      </c>
      <c r="H58" s="9" t="s">
        <v>5859</v>
      </c>
    </row>
    <row r="59">
      <c r="A59" s="9" t="s">
        <v>5860</v>
      </c>
      <c r="B59" s="9" t="s">
        <v>5855</v>
      </c>
      <c r="C59" s="9" t="s">
        <v>5834</v>
      </c>
      <c r="D59" s="9" t="s">
        <v>958</v>
      </c>
      <c r="E59" s="9" t="s">
        <v>5840</v>
      </c>
      <c r="F59" s="9" t="s">
        <v>5861</v>
      </c>
      <c r="G59" s="9" t="s">
        <v>5861</v>
      </c>
      <c r="H59" s="9" t="s">
        <v>5862</v>
      </c>
    </row>
    <row r="60">
      <c r="A60" s="9" t="s">
        <v>5863</v>
      </c>
      <c r="B60" s="9" t="s">
        <v>5864</v>
      </c>
      <c r="C60" s="9" t="s">
        <v>5839</v>
      </c>
      <c r="D60" s="9" t="s">
        <v>836</v>
      </c>
      <c r="E60" s="9" t="s">
        <v>837</v>
      </c>
      <c r="F60" s="9" t="s">
        <v>5865</v>
      </c>
      <c r="G60" s="9" t="s">
        <v>5866</v>
      </c>
      <c r="H60" s="9" t="s">
        <v>5865</v>
      </c>
    </row>
    <row r="61">
      <c r="A61" s="9" t="s">
        <v>5867</v>
      </c>
      <c r="B61" s="9" t="s">
        <v>5864</v>
      </c>
      <c r="C61" s="9" t="s">
        <v>5845</v>
      </c>
      <c r="D61" s="9" t="s">
        <v>844</v>
      </c>
      <c r="E61" s="9" t="s">
        <v>5868</v>
      </c>
      <c r="F61" s="9" t="s">
        <v>5869</v>
      </c>
      <c r="G61" s="9" t="s">
        <v>5869</v>
      </c>
      <c r="H61" s="9" t="s">
        <v>5870</v>
      </c>
    </row>
    <row r="62">
      <c r="A62" s="9" t="s">
        <v>5871</v>
      </c>
      <c r="B62" s="9" t="s">
        <v>5872</v>
      </c>
      <c r="C62" s="9" t="s">
        <v>5856</v>
      </c>
      <c r="D62" s="9" t="s">
        <v>838</v>
      </c>
      <c r="E62" s="9" t="s">
        <v>5873</v>
      </c>
      <c r="F62" s="9" t="s">
        <v>5874</v>
      </c>
      <c r="G62" s="9" t="s">
        <v>5874</v>
      </c>
      <c r="H62" s="9" t="s">
        <v>5837</v>
      </c>
    </row>
    <row r="63">
      <c r="A63" s="9" t="s">
        <v>5875</v>
      </c>
      <c r="B63" s="9" t="s">
        <v>5872</v>
      </c>
      <c r="C63" s="9" t="s">
        <v>3068</v>
      </c>
      <c r="D63" s="9" t="s">
        <v>834</v>
      </c>
      <c r="E63" s="9" t="s">
        <v>5876</v>
      </c>
      <c r="F63" s="9" t="s">
        <v>5877</v>
      </c>
      <c r="G63" s="9" t="s">
        <v>5878</v>
      </c>
      <c r="H63" s="9" t="s">
        <v>5877</v>
      </c>
    </row>
    <row r="64">
      <c r="A64" s="9" t="s">
        <v>5879</v>
      </c>
      <c r="B64" s="9" t="s">
        <v>5880</v>
      </c>
      <c r="C64" s="9" t="s">
        <v>5834</v>
      </c>
      <c r="D64" s="9" t="s">
        <v>958</v>
      </c>
      <c r="E64" s="9" t="s">
        <v>5881</v>
      </c>
      <c r="F64" s="9" t="s">
        <v>5882</v>
      </c>
      <c r="G64" s="9" t="s">
        <v>5883</v>
      </c>
      <c r="H64" s="9" t="s">
        <v>5882</v>
      </c>
    </row>
    <row r="65">
      <c r="A65" s="9" t="s">
        <v>5884</v>
      </c>
      <c r="B65" s="9" t="s">
        <v>5880</v>
      </c>
      <c r="C65" s="9" t="s">
        <v>5839</v>
      </c>
      <c r="D65" s="9" t="s">
        <v>844</v>
      </c>
      <c r="E65" s="9" t="s">
        <v>5885</v>
      </c>
      <c r="F65" s="9" t="s">
        <v>5886</v>
      </c>
      <c r="G65" s="9" t="s">
        <v>5887</v>
      </c>
      <c r="H65" s="9" t="s">
        <v>5886</v>
      </c>
    </row>
    <row r="66">
      <c r="A66" s="9" t="s">
        <v>5888</v>
      </c>
      <c r="B66" s="9" t="s">
        <v>5889</v>
      </c>
      <c r="C66" s="9" t="s">
        <v>5839</v>
      </c>
      <c r="D66" s="9" t="s">
        <v>5851</v>
      </c>
      <c r="E66" s="9" t="s">
        <v>5885</v>
      </c>
      <c r="F66" s="9" t="s">
        <v>5890</v>
      </c>
      <c r="G66" s="9" t="s">
        <v>5891</v>
      </c>
      <c r="H66" s="9" t="s">
        <v>5890</v>
      </c>
    </row>
    <row r="67">
      <c r="A67" s="9" t="s">
        <v>5892</v>
      </c>
      <c r="B67" s="9" t="s">
        <v>5889</v>
      </c>
      <c r="C67" s="9" t="s">
        <v>5893</v>
      </c>
      <c r="D67" s="9" t="s">
        <v>5846</v>
      </c>
      <c r="E67" s="9" t="s">
        <v>662</v>
      </c>
      <c r="F67" s="9" t="s">
        <v>5894</v>
      </c>
      <c r="G67" s="9" t="s">
        <v>5894</v>
      </c>
      <c r="H67" s="9" t="s">
        <v>5894</v>
      </c>
    </row>
    <row r="68">
      <c r="A68" s="9" t="s">
        <v>5895</v>
      </c>
      <c r="B68" s="9" t="s">
        <v>5896</v>
      </c>
      <c r="C68" s="9" t="s">
        <v>3068</v>
      </c>
      <c r="D68" s="9" t="s">
        <v>844</v>
      </c>
      <c r="E68" s="9" t="s">
        <v>5417</v>
      </c>
      <c r="F68" s="9" t="s">
        <v>5897</v>
      </c>
      <c r="G68" s="9" t="s">
        <v>5898</v>
      </c>
      <c r="H68" s="9" t="s">
        <v>5899</v>
      </c>
    </row>
    <row r="69">
      <c r="A69" s="9" t="s">
        <v>5900</v>
      </c>
      <c r="B69" s="9" t="s">
        <v>5896</v>
      </c>
      <c r="C69" s="9" t="s">
        <v>5834</v>
      </c>
      <c r="D69" s="9" t="s">
        <v>836</v>
      </c>
      <c r="E69" s="9" t="s">
        <v>3098</v>
      </c>
      <c r="F69" s="9" t="s">
        <v>5901</v>
      </c>
      <c r="G69" s="9" t="s">
        <v>5902</v>
      </c>
      <c r="H69" s="9" t="s">
        <v>5901</v>
      </c>
    </row>
    <row r="70">
      <c r="A70" s="9" t="s">
        <v>5903</v>
      </c>
      <c r="B70" s="9" t="s">
        <v>5904</v>
      </c>
      <c r="C70" s="9" t="s">
        <v>5850</v>
      </c>
      <c r="D70" s="9" t="s">
        <v>838</v>
      </c>
      <c r="E70" s="9" t="s">
        <v>5905</v>
      </c>
      <c r="F70" s="9" t="s">
        <v>5858</v>
      </c>
      <c r="G70" s="9" t="s">
        <v>5858</v>
      </c>
      <c r="H70" s="9" t="s">
        <v>5837</v>
      </c>
    </row>
    <row r="71">
      <c r="A71" s="9" t="s">
        <v>5906</v>
      </c>
      <c r="B71" s="9" t="s">
        <v>5904</v>
      </c>
      <c r="C71" s="9" t="s">
        <v>5907</v>
      </c>
      <c r="D71" s="9" t="s">
        <v>844</v>
      </c>
      <c r="E71" s="9" t="s">
        <v>5908</v>
      </c>
      <c r="F71" s="9" t="s">
        <v>5909</v>
      </c>
      <c r="G71" s="9" t="s">
        <v>5910</v>
      </c>
      <c r="H71" s="9" t="s">
        <v>5897</v>
      </c>
    </row>
    <row r="72">
      <c r="A72" s="9" t="s">
        <v>5911</v>
      </c>
      <c r="B72" s="9" t="s">
        <v>5912</v>
      </c>
      <c r="C72" s="9" t="s">
        <v>5893</v>
      </c>
      <c r="D72" s="9" t="s">
        <v>836</v>
      </c>
      <c r="E72" s="9" t="s">
        <v>5857</v>
      </c>
      <c r="F72" s="9" t="s">
        <v>5865</v>
      </c>
      <c r="G72" s="9" t="s">
        <v>5913</v>
      </c>
      <c r="H72" s="9" t="s">
        <v>5914</v>
      </c>
    </row>
    <row r="73">
      <c r="A73" s="9" t="s">
        <v>5915</v>
      </c>
      <c r="B73" s="9" t="s">
        <v>5912</v>
      </c>
      <c r="C73" s="9" t="s">
        <v>3068</v>
      </c>
      <c r="D73" s="9" t="s">
        <v>958</v>
      </c>
      <c r="E73" s="9" t="s">
        <v>5916</v>
      </c>
      <c r="F73" s="9" t="s">
        <v>5917</v>
      </c>
      <c r="G73" s="9" t="s">
        <v>5918</v>
      </c>
      <c r="H73" s="9" t="s">
        <v>5919</v>
      </c>
    </row>
    <row r="74">
      <c r="A74" s="9" t="s">
        <v>5920</v>
      </c>
      <c r="B74" s="9" t="s">
        <v>5921</v>
      </c>
      <c r="C74" s="9" t="s">
        <v>5856</v>
      </c>
      <c r="D74" s="9" t="s">
        <v>844</v>
      </c>
      <c r="E74" s="9" t="s">
        <v>5876</v>
      </c>
      <c r="F74" s="9" t="s">
        <v>5870</v>
      </c>
      <c r="G74" s="9" t="s">
        <v>5922</v>
      </c>
      <c r="H74" s="9" t="s">
        <v>5870</v>
      </c>
    </row>
    <row r="75">
      <c r="A75" s="9" t="s">
        <v>5923</v>
      </c>
      <c r="B75" s="9" t="s">
        <v>5921</v>
      </c>
      <c r="C75" s="9" t="s">
        <v>5850</v>
      </c>
      <c r="D75" s="9" t="s">
        <v>836</v>
      </c>
      <c r="E75" s="9" t="s">
        <v>662</v>
      </c>
      <c r="F75" s="9" t="s">
        <v>5924</v>
      </c>
      <c r="G75" s="9" t="s">
        <v>5925</v>
      </c>
      <c r="H75" s="9" t="s">
        <v>5901</v>
      </c>
    </row>
    <row r="76">
      <c r="A76" s="9" t="s">
        <v>5926</v>
      </c>
      <c r="B76" s="9" t="s">
        <v>5927</v>
      </c>
      <c r="C76" s="9" t="s">
        <v>5907</v>
      </c>
      <c r="D76" s="9" t="s">
        <v>958</v>
      </c>
      <c r="E76" s="9" t="s">
        <v>5928</v>
      </c>
      <c r="F76" s="9" t="s">
        <v>5861</v>
      </c>
      <c r="G76" s="9" t="s">
        <v>5861</v>
      </c>
      <c r="H76" s="9" t="s">
        <v>5929</v>
      </c>
    </row>
    <row r="77">
      <c r="A77" s="9" t="s">
        <v>5930</v>
      </c>
      <c r="B77" s="9" t="s">
        <v>5927</v>
      </c>
      <c r="C77" s="9" t="s">
        <v>5893</v>
      </c>
      <c r="D77" s="9" t="s">
        <v>834</v>
      </c>
      <c r="E77" s="9" t="s">
        <v>681</v>
      </c>
      <c r="F77" s="9" t="s">
        <v>5931</v>
      </c>
      <c r="G77" s="9" t="s">
        <v>5931</v>
      </c>
      <c r="H77" s="9" t="s">
        <v>5932</v>
      </c>
    </row>
    <row r="78">
      <c r="A78" s="9" t="s">
        <v>5933</v>
      </c>
      <c r="B78" s="9" t="s">
        <v>5934</v>
      </c>
      <c r="C78" s="9" t="s">
        <v>5839</v>
      </c>
      <c r="D78" s="9" t="s">
        <v>836</v>
      </c>
      <c r="E78" s="9" t="s">
        <v>5417</v>
      </c>
      <c r="F78" s="9" t="s">
        <v>5924</v>
      </c>
      <c r="G78" s="9" t="s">
        <v>5935</v>
      </c>
      <c r="H78" s="9" t="s">
        <v>5935</v>
      </c>
    </row>
    <row r="79">
      <c r="A79" s="9" t="s">
        <v>5936</v>
      </c>
      <c r="B79" s="9" t="s">
        <v>5934</v>
      </c>
      <c r="C79" s="9" t="s">
        <v>5845</v>
      </c>
      <c r="D79" s="9" t="s">
        <v>958</v>
      </c>
      <c r="E79" s="9" t="s">
        <v>5244</v>
      </c>
      <c r="F79" s="9" t="s">
        <v>5937</v>
      </c>
      <c r="G79" s="9" t="s">
        <v>5938</v>
      </c>
      <c r="H79" s="9" t="s">
        <v>5937</v>
      </c>
    </row>
    <row r="80">
      <c r="A80" s="9" t="s">
        <v>5939</v>
      </c>
      <c r="B80" s="9" t="s">
        <v>5940</v>
      </c>
      <c r="C80" s="9" t="s">
        <v>5850</v>
      </c>
      <c r="D80" s="9" t="s">
        <v>833</v>
      </c>
      <c r="E80" s="9" t="s">
        <v>681</v>
      </c>
      <c r="F80" s="9" t="s">
        <v>5941</v>
      </c>
      <c r="G80" s="9" t="s">
        <v>5942</v>
      </c>
      <c r="H80" s="9" t="s">
        <v>5899</v>
      </c>
    </row>
    <row r="81">
      <c r="A81" s="9" t="s">
        <v>5943</v>
      </c>
      <c r="B81" s="9" t="s">
        <v>5940</v>
      </c>
      <c r="C81" s="9" t="s">
        <v>5907</v>
      </c>
      <c r="D81" s="9" t="s">
        <v>5851</v>
      </c>
      <c r="E81" s="9" t="s">
        <v>5944</v>
      </c>
      <c r="F81" s="9" t="s">
        <v>5945</v>
      </c>
      <c r="G81" s="9" t="s">
        <v>5946</v>
      </c>
      <c r="H81" s="9" t="s">
        <v>5945</v>
      </c>
    </row>
    <row r="82">
      <c r="A82" s="9" t="s">
        <v>5947</v>
      </c>
      <c r="B82" s="9" t="s">
        <v>5948</v>
      </c>
      <c r="C82" s="9" t="s">
        <v>5834</v>
      </c>
      <c r="D82" s="9" t="s">
        <v>838</v>
      </c>
      <c r="E82" s="9" t="s">
        <v>662</v>
      </c>
      <c r="F82" s="9" t="s">
        <v>5874</v>
      </c>
      <c r="G82" s="9" t="s">
        <v>5949</v>
      </c>
      <c r="H82" s="9" t="s">
        <v>5937</v>
      </c>
    </row>
    <row r="83">
      <c r="A83" s="9" t="s">
        <v>5950</v>
      </c>
      <c r="B83" s="9" t="s">
        <v>5948</v>
      </c>
      <c r="C83" s="9" t="s">
        <v>5845</v>
      </c>
      <c r="D83" s="9" t="s">
        <v>836</v>
      </c>
      <c r="E83" s="9" t="s">
        <v>5905</v>
      </c>
      <c r="F83" s="9" t="s">
        <v>5901</v>
      </c>
      <c r="G83" s="9" t="s">
        <v>5938</v>
      </c>
      <c r="H83" s="9" t="s">
        <v>5901</v>
      </c>
    </row>
    <row r="84">
      <c r="A84" s="9" t="s">
        <v>5951</v>
      </c>
      <c r="B84" s="9" t="s">
        <v>5952</v>
      </c>
      <c r="C84" s="9" t="s">
        <v>3068</v>
      </c>
      <c r="D84" s="9" t="s">
        <v>836</v>
      </c>
      <c r="E84" s="9" t="s">
        <v>662</v>
      </c>
      <c r="F84" s="9" t="s">
        <v>5953</v>
      </c>
      <c r="G84" s="9" t="s">
        <v>5954</v>
      </c>
      <c r="H84" s="9" t="s">
        <v>5953</v>
      </c>
    </row>
    <row r="85">
      <c r="A85" s="16"/>
      <c r="B85" s="16"/>
      <c r="C85" s="16"/>
      <c r="D85" s="16"/>
      <c r="E85" s="16"/>
      <c r="F85" s="16"/>
      <c r="G85" s="16"/>
      <c r="H85" s="16"/>
    </row>
    <row r="86">
      <c r="A86" s="16"/>
      <c r="B86" s="16"/>
      <c r="C86" s="16"/>
      <c r="D86" s="16"/>
      <c r="E86" s="16"/>
      <c r="F86" s="16"/>
      <c r="G86" s="16"/>
      <c r="H86" s="16"/>
    </row>
    <row r="87">
      <c r="A87" s="16"/>
      <c r="B87" s="16"/>
      <c r="C87" s="16"/>
      <c r="D87" s="16"/>
      <c r="E87" s="16"/>
      <c r="F87" s="16"/>
      <c r="G87" s="16"/>
      <c r="H87" s="16"/>
    </row>
    <row r="88">
      <c r="A88" s="17" t="s">
        <v>5955</v>
      </c>
      <c r="F88" s="16"/>
      <c r="G88" s="16"/>
      <c r="H88" s="16"/>
    </row>
    <row r="89">
      <c r="A89" s="150" t="s">
        <v>509</v>
      </c>
      <c r="B89" s="150" t="s">
        <v>511</v>
      </c>
      <c r="C89" s="150" t="s">
        <v>512</v>
      </c>
      <c r="D89" s="150" t="s">
        <v>513</v>
      </c>
      <c r="E89" s="150" t="s">
        <v>3085</v>
      </c>
      <c r="F89" s="16"/>
      <c r="G89" s="16"/>
      <c r="H89" s="16"/>
    </row>
    <row r="90">
      <c r="A90" s="9" t="s">
        <v>530</v>
      </c>
      <c r="B90" s="9" t="s">
        <v>832</v>
      </c>
      <c r="C90" s="9" t="s">
        <v>833</v>
      </c>
      <c r="D90" s="9" t="s">
        <v>23</v>
      </c>
      <c r="E90" s="9">
        <v>50000.0</v>
      </c>
      <c r="F90" s="16"/>
      <c r="G90" s="16"/>
      <c r="H90" s="16"/>
    </row>
    <row r="91">
      <c r="A91" s="9" t="s">
        <v>565</v>
      </c>
      <c r="B91" s="9" t="s">
        <v>601</v>
      </c>
      <c r="C91" s="9" t="s">
        <v>834</v>
      </c>
      <c r="D91" s="9" t="s">
        <v>13</v>
      </c>
      <c r="E91" s="9">
        <v>50000.0</v>
      </c>
      <c r="F91" s="16"/>
      <c r="G91" s="16"/>
      <c r="H91" s="16"/>
    </row>
    <row r="92">
      <c r="A92" s="9" t="s">
        <v>579</v>
      </c>
      <c r="B92" s="9" t="s">
        <v>835</v>
      </c>
      <c r="C92" s="9" t="s">
        <v>836</v>
      </c>
      <c r="D92" s="9" t="s">
        <v>23</v>
      </c>
      <c r="E92" s="9">
        <v>100000.0</v>
      </c>
      <c r="F92" s="16"/>
      <c r="G92" s="16"/>
      <c r="H92" s="16"/>
    </row>
    <row r="93">
      <c r="A93" s="9" t="s">
        <v>587</v>
      </c>
      <c r="B93" s="9" t="s">
        <v>837</v>
      </c>
      <c r="C93" s="9" t="s">
        <v>838</v>
      </c>
      <c r="D93" s="9" t="s">
        <v>23</v>
      </c>
      <c r="E93" s="9">
        <v>100000.0</v>
      </c>
      <c r="F93" s="16"/>
      <c r="G93" s="16"/>
      <c r="H93" s="16"/>
    </row>
    <row r="94">
      <c r="A94" s="9" t="s">
        <v>600</v>
      </c>
      <c r="B94" s="9" t="s">
        <v>789</v>
      </c>
      <c r="C94" s="9" t="s">
        <v>844</v>
      </c>
      <c r="D94" s="9" t="s">
        <v>9</v>
      </c>
      <c r="E94" s="9">
        <v>180000.0</v>
      </c>
      <c r="F94" s="16"/>
      <c r="G94" s="16"/>
      <c r="H94" s="16"/>
    </row>
    <row r="95">
      <c r="A95" s="9" t="s">
        <v>696</v>
      </c>
      <c r="B95" s="9" t="s">
        <v>834</v>
      </c>
      <c r="E95" s="9">
        <v>225000.0</v>
      </c>
      <c r="F95" s="16"/>
      <c r="G95" s="16"/>
      <c r="H95" s="16"/>
    </row>
    <row r="96">
      <c r="A96" s="9" t="s">
        <v>705</v>
      </c>
      <c r="B96" s="9" t="s">
        <v>838</v>
      </c>
      <c r="E96" s="9">
        <v>400000.0</v>
      </c>
      <c r="F96" s="16"/>
      <c r="G96" s="16"/>
      <c r="H96" s="16"/>
    </row>
    <row r="97">
      <c r="A97" s="9" t="s">
        <v>620</v>
      </c>
      <c r="B97" s="9" t="s">
        <v>836</v>
      </c>
      <c r="E97" s="9">
        <v>800000.0</v>
      </c>
      <c r="F97" s="16"/>
      <c r="G97" s="16"/>
      <c r="H97" s="16"/>
    </row>
    <row r="98">
      <c r="A98" s="16"/>
      <c r="B98" s="16"/>
      <c r="C98" s="16"/>
      <c r="D98" s="16"/>
      <c r="E98" s="16"/>
      <c r="F98" s="16"/>
      <c r="G98" s="16"/>
      <c r="H98" s="16"/>
    </row>
    <row r="99">
      <c r="A99" s="16"/>
      <c r="B99" s="16"/>
      <c r="C99" s="16"/>
      <c r="D99" s="16"/>
      <c r="E99" s="16"/>
      <c r="F99" s="16"/>
      <c r="G99" s="16"/>
      <c r="H99" s="16"/>
    </row>
    <row r="100">
      <c r="A100" s="16"/>
      <c r="B100" s="16"/>
      <c r="C100" s="16"/>
      <c r="D100" s="16"/>
      <c r="E100" s="16"/>
      <c r="F100" s="16"/>
      <c r="G100" s="16"/>
      <c r="H100" s="16"/>
    </row>
    <row r="101">
      <c r="A101" s="16"/>
      <c r="B101" s="16"/>
      <c r="C101" s="16"/>
      <c r="D101" s="16"/>
      <c r="E101" s="16"/>
      <c r="F101" s="16"/>
      <c r="G101" s="16"/>
      <c r="H101" s="16"/>
    </row>
    <row r="102">
      <c r="A102" s="16"/>
      <c r="B102" s="16"/>
      <c r="C102" s="16"/>
      <c r="D102" s="16"/>
      <c r="E102" s="16"/>
      <c r="F102" s="16"/>
      <c r="G102" s="16"/>
      <c r="H102" s="16"/>
    </row>
    <row r="103">
      <c r="A103" s="16"/>
      <c r="B103" s="16"/>
      <c r="C103" s="16"/>
      <c r="D103" s="16"/>
      <c r="E103" s="16"/>
      <c r="F103" s="16"/>
      <c r="G103" s="16"/>
      <c r="H103" s="16"/>
    </row>
    <row r="104">
      <c r="A104" s="16"/>
      <c r="B104" s="16"/>
      <c r="C104" s="16"/>
      <c r="D104" s="16"/>
      <c r="E104" s="16"/>
      <c r="F104" s="16"/>
      <c r="G104" s="16"/>
      <c r="H104" s="16"/>
    </row>
    <row r="105">
      <c r="A105" s="16"/>
      <c r="B105" s="16"/>
      <c r="C105" s="16"/>
      <c r="D105" s="16"/>
      <c r="E105" s="16"/>
      <c r="F105" s="16"/>
      <c r="G105" s="16"/>
      <c r="H105" s="16"/>
    </row>
    <row r="106">
      <c r="A106" s="16"/>
      <c r="B106" s="16"/>
      <c r="C106" s="16"/>
      <c r="D106" s="16"/>
      <c r="E106" s="16"/>
      <c r="F106" s="16"/>
      <c r="G106" s="16"/>
      <c r="H106" s="16"/>
    </row>
    <row r="107">
      <c r="A107" s="16"/>
      <c r="B107" s="16"/>
      <c r="C107" s="16"/>
      <c r="D107" s="16"/>
      <c r="E107" s="16"/>
      <c r="F107" s="16"/>
      <c r="G107" s="16"/>
      <c r="H107" s="16"/>
    </row>
    <row r="108">
      <c r="A108" s="16"/>
      <c r="B108" s="16"/>
      <c r="C108" s="16"/>
      <c r="D108" s="16"/>
      <c r="E108" s="16"/>
      <c r="F108" s="16"/>
      <c r="G108" s="16"/>
      <c r="H108" s="16"/>
    </row>
    <row r="109">
      <c r="A109" s="16"/>
      <c r="B109" s="16"/>
      <c r="C109" s="16"/>
      <c r="D109" s="16"/>
      <c r="E109" s="16"/>
      <c r="F109" s="16"/>
      <c r="G109" s="16"/>
      <c r="H109" s="16"/>
    </row>
  </sheetData>
  <mergeCells count="6">
    <mergeCell ref="A31:H31"/>
    <mergeCell ref="A52:H52"/>
    <mergeCell ref="A88:E88"/>
    <mergeCell ref="B95:D95"/>
    <mergeCell ref="B96:D96"/>
    <mergeCell ref="B97:D97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75"/>
    <col customWidth="1" min="2" max="2" width="23.0"/>
    <col customWidth="1" min="3" max="3" width="25.5"/>
    <col customWidth="1" min="4" max="4" width="24.63"/>
    <col customWidth="1" min="5" max="5" width="24.13"/>
    <col customWidth="1" min="6" max="6" width="26.63"/>
    <col customWidth="1" min="7" max="7" width="25.13"/>
    <col customWidth="1" min="8" max="8" width="21.38"/>
    <col customWidth="1" min="9" max="9" width="21.88"/>
    <col customWidth="1" min="10" max="10" width="21.38"/>
    <col customWidth="1" min="11" max="11" width="22.13"/>
    <col customWidth="1" min="12" max="12" width="19.13"/>
  </cols>
  <sheetData>
    <row r="1">
      <c r="A1" s="256" t="s">
        <v>5956</v>
      </c>
    </row>
    <row r="2">
      <c r="A2" s="255" t="s">
        <v>23</v>
      </c>
      <c r="B2" s="255" t="s">
        <v>14</v>
      </c>
      <c r="C2" s="255" t="s">
        <v>18</v>
      </c>
      <c r="D2" s="255" t="s">
        <v>12</v>
      </c>
      <c r="E2" s="255" t="s">
        <v>20</v>
      </c>
      <c r="F2" s="255" t="s">
        <v>13</v>
      </c>
      <c r="G2" s="255" t="s">
        <v>9</v>
      </c>
      <c r="H2" s="255" t="s">
        <v>17</v>
      </c>
      <c r="I2" s="255" t="s">
        <v>11</v>
      </c>
      <c r="J2" s="255" t="s">
        <v>21</v>
      </c>
      <c r="K2" s="255" t="s">
        <v>16</v>
      </c>
      <c r="L2" s="255" t="s">
        <v>5957</v>
      </c>
    </row>
    <row r="3">
      <c r="A3" s="19" t="s">
        <v>5958</v>
      </c>
      <c r="B3" s="19" t="s">
        <v>1423</v>
      </c>
      <c r="C3" s="19" t="s">
        <v>5959</v>
      </c>
      <c r="D3" s="19" t="s">
        <v>1074</v>
      </c>
      <c r="E3" s="19" t="s">
        <v>5960</v>
      </c>
      <c r="F3" s="19" t="s">
        <v>1159</v>
      </c>
      <c r="G3" s="19" t="s">
        <v>5961</v>
      </c>
      <c r="H3" s="276" t="s">
        <v>5962</v>
      </c>
      <c r="I3" s="19" t="s">
        <v>38</v>
      </c>
      <c r="J3" s="19" t="s">
        <v>5963</v>
      </c>
      <c r="K3" s="19" t="s">
        <v>5964</v>
      </c>
      <c r="L3" s="19" t="s">
        <v>2396</v>
      </c>
    </row>
    <row r="4">
      <c r="A4" s="19" t="s">
        <v>3287</v>
      </c>
      <c r="B4" s="19" t="s">
        <v>5564</v>
      </c>
      <c r="C4" s="19" t="s">
        <v>5965</v>
      </c>
      <c r="D4" s="19" t="s">
        <v>1022</v>
      </c>
      <c r="E4" s="19" t="s">
        <v>767</v>
      </c>
      <c r="F4" s="19" t="s">
        <v>1208</v>
      </c>
      <c r="G4" s="19" t="s">
        <v>1387</v>
      </c>
      <c r="H4" s="276" t="s">
        <v>5567</v>
      </c>
      <c r="I4" s="19" t="s">
        <v>53</v>
      </c>
      <c r="J4" s="19" t="s">
        <v>5966</v>
      </c>
      <c r="K4" s="19" t="s">
        <v>5967</v>
      </c>
      <c r="L4" s="19" t="s">
        <v>1664</v>
      </c>
    </row>
    <row r="5">
      <c r="A5" s="19" t="s">
        <v>3890</v>
      </c>
      <c r="B5" s="19" t="s">
        <v>5571</v>
      </c>
      <c r="C5" s="19" t="s">
        <v>5968</v>
      </c>
      <c r="D5" s="19" t="s">
        <v>5969</v>
      </c>
      <c r="E5" s="19" t="s">
        <v>5970</v>
      </c>
      <c r="F5" s="19" t="s">
        <v>1366</v>
      </c>
      <c r="G5" s="19" t="s">
        <v>294</v>
      </c>
      <c r="H5" s="276" t="s">
        <v>5971</v>
      </c>
      <c r="I5" s="19" t="s">
        <v>5972</v>
      </c>
      <c r="J5" s="19" t="s">
        <v>5973</v>
      </c>
      <c r="K5" s="19" t="s">
        <v>1942</v>
      </c>
      <c r="L5" s="19" t="s">
        <v>2072</v>
      </c>
    </row>
    <row r="6">
      <c r="A6" s="19" t="s">
        <v>5974</v>
      </c>
      <c r="B6" s="19" t="s">
        <v>1217</v>
      </c>
      <c r="C6" s="19" t="s">
        <v>3412</v>
      </c>
      <c r="D6" s="19" t="s">
        <v>5975</v>
      </c>
      <c r="E6" s="19" t="s">
        <v>5577</v>
      </c>
      <c r="F6" s="19" t="s">
        <v>5976</v>
      </c>
      <c r="G6" s="19" t="s">
        <v>4684</v>
      </c>
      <c r="H6" s="276" t="s">
        <v>4227</v>
      </c>
      <c r="I6" s="19" t="s">
        <v>83</v>
      </c>
      <c r="K6" s="19" t="s">
        <v>5977</v>
      </c>
      <c r="L6" s="19" t="s">
        <v>5978</v>
      </c>
    </row>
    <row r="7">
      <c r="A7" s="19" t="s">
        <v>5979</v>
      </c>
      <c r="B7" s="19" t="s">
        <v>1228</v>
      </c>
      <c r="C7" s="19" t="s">
        <v>3297</v>
      </c>
      <c r="D7" s="19" t="s">
        <v>5980</v>
      </c>
      <c r="E7" s="19" t="s">
        <v>5584</v>
      </c>
      <c r="F7" s="19" t="s">
        <v>5981</v>
      </c>
      <c r="G7" s="19" t="s">
        <v>5982</v>
      </c>
      <c r="H7" s="276" t="s">
        <v>4699</v>
      </c>
      <c r="I7" s="19" t="s">
        <v>5983</v>
      </c>
      <c r="K7" s="19" t="s">
        <v>5984</v>
      </c>
      <c r="L7" s="19" t="s">
        <v>5985</v>
      </c>
    </row>
    <row r="8">
      <c r="A8" s="19" t="s">
        <v>2783</v>
      </c>
      <c r="B8" s="19" t="s">
        <v>1231</v>
      </c>
      <c r="C8" s="19" t="s">
        <v>3912</v>
      </c>
      <c r="D8" s="19" t="s">
        <v>4716</v>
      </c>
      <c r="E8" s="19" t="s">
        <v>5986</v>
      </c>
      <c r="F8" s="19" t="s">
        <v>5987</v>
      </c>
      <c r="G8" s="19" t="s">
        <v>5591</v>
      </c>
      <c r="H8" s="276" t="s">
        <v>4718</v>
      </c>
      <c r="I8" s="19" t="s">
        <v>5988</v>
      </c>
      <c r="K8" s="19" t="s">
        <v>4735</v>
      </c>
      <c r="L8" s="19" t="s">
        <v>5989</v>
      </c>
    </row>
    <row r="9">
      <c r="A9" s="19" t="s">
        <v>5990</v>
      </c>
      <c r="B9" s="19" t="s">
        <v>1235</v>
      </c>
      <c r="C9" s="19" t="s">
        <v>5991</v>
      </c>
      <c r="D9" s="19" t="s">
        <v>5992</v>
      </c>
      <c r="E9" s="19" t="s">
        <v>5993</v>
      </c>
      <c r="F9" s="19" t="s">
        <v>5994</v>
      </c>
      <c r="G9" s="19" t="s">
        <v>5995</v>
      </c>
      <c r="H9" s="276" t="s">
        <v>5996</v>
      </c>
      <c r="I9" s="19" t="s">
        <v>121</v>
      </c>
      <c r="K9" s="19" t="s">
        <v>5997</v>
      </c>
      <c r="L9" s="19" t="s">
        <v>2162</v>
      </c>
    </row>
    <row r="10">
      <c r="A10" s="19" t="s">
        <v>5998</v>
      </c>
      <c r="B10" s="19" t="s">
        <v>1241</v>
      </c>
      <c r="C10" s="19" t="s">
        <v>5999</v>
      </c>
      <c r="D10" s="19" t="s">
        <v>6000</v>
      </c>
      <c r="E10" s="19" t="s">
        <v>6001</v>
      </c>
      <c r="F10" s="19" t="s">
        <v>6002</v>
      </c>
      <c r="G10" s="19" t="s">
        <v>6003</v>
      </c>
      <c r="H10" s="276" t="s">
        <v>4778</v>
      </c>
      <c r="I10" s="19" t="s">
        <v>130</v>
      </c>
      <c r="K10" s="19" t="s">
        <v>6004</v>
      </c>
      <c r="L10" s="19" t="s">
        <v>6005</v>
      </c>
    </row>
    <row r="11">
      <c r="A11" s="19" t="s">
        <v>6006</v>
      </c>
      <c r="B11" s="19" t="s">
        <v>5610</v>
      </c>
      <c r="C11" s="19" t="s">
        <v>6007</v>
      </c>
      <c r="D11" s="19" t="s">
        <v>6008</v>
      </c>
      <c r="E11" s="19" t="s">
        <v>6009</v>
      </c>
      <c r="F11" s="19" t="s">
        <v>6010</v>
      </c>
      <c r="G11" s="19" t="s">
        <v>4296</v>
      </c>
      <c r="H11" s="276" t="s">
        <v>4798</v>
      </c>
      <c r="I11" s="19" t="s">
        <v>6011</v>
      </c>
      <c r="K11" s="19" t="s">
        <v>6012</v>
      </c>
      <c r="L11" s="19" t="s">
        <v>6013</v>
      </c>
    </row>
    <row r="12">
      <c r="A12" s="19" t="s">
        <v>2813</v>
      </c>
      <c r="B12" s="19" t="s">
        <v>5619</v>
      </c>
      <c r="C12" s="19" t="s">
        <v>6014</v>
      </c>
      <c r="D12" s="19" t="s">
        <v>6015</v>
      </c>
      <c r="E12" s="19" t="s">
        <v>2615</v>
      </c>
      <c r="F12" s="19" t="s">
        <v>6016</v>
      </c>
      <c r="H12" s="276" t="s">
        <v>6017</v>
      </c>
      <c r="I12" s="19" t="s">
        <v>153</v>
      </c>
      <c r="K12" s="19" t="s">
        <v>6018</v>
      </c>
      <c r="L12" s="19" t="s">
        <v>6019</v>
      </c>
    </row>
    <row r="13">
      <c r="A13" s="19" t="s">
        <v>6020</v>
      </c>
      <c r="B13" s="19" t="s">
        <v>5627</v>
      </c>
      <c r="C13" s="19" t="s">
        <v>4311</v>
      </c>
      <c r="D13" s="19" t="s">
        <v>3958</v>
      </c>
      <c r="E13" s="19" t="s">
        <v>6021</v>
      </c>
      <c r="F13" s="19" t="s">
        <v>5628</v>
      </c>
      <c r="H13" s="276" t="s">
        <v>4842</v>
      </c>
      <c r="I13" s="19" t="s">
        <v>169</v>
      </c>
      <c r="K13" s="19" t="s">
        <v>6022</v>
      </c>
      <c r="L13" s="19" t="s">
        <v>5633</v>
      </c>
    </row>
    <row r="14">
      <c r="A14" s="19" t="s">
        <v>2828</v>
      </c>
      <c r="B14" s="19" t="s">
        <v>5635</v>
      </c>
      <c r="C14" s="19" t="s">
        <v>6023</v>
      </c>
      <c r="D14" s="19" t="s">
        <v>6024</v>
      </c>
      <c r="E14" s="19" t="s">
        <v>6025</v>
      </c>
      <c r="F14" s="19" t="s">
        <v>6026</v>
      </c>
      <c r="H14" s="258" t="s">
        <v>6027</v>
      </c>
      <c r="I14" s="19" t="s">
        <v>6028</v>
      </c>
      <c r="L14" s="19" t="s">
        <v>6029</v>
      </c>
    </row>
    <row r="15">
      <c r="A15" s="19" t="s">
        <v>6030</v>
      </c>
      <c r="B15" s="19" t="s">
        <v>5642</v>
      </c>
      <c r="C15" s="19" t="s">
        <v>6031</v>
      </c>
      <c r="D15" s="19" t="s">
        <v>6032</v>
      </c>
      <c r="E15" s="19" t="s">
        <v>5644</v>
      </c>
      <c r="F15" s="19" t="s">
        <v>6033</v>
      </c>
      <c r="H15" s="276" t="s">
        <v>6034</v>
      </c>
      <c r="I15" s="19" t="s">
        <v>194</v>
      </c>
      <c r="L15" s="28" t="s">
        <v>6035</v>
      </c>
    </row>
    <row r="16">
      <c r="A16" s="19" t="s">
        <v>6036</v>
      </c>
      <c r="B16" s="19" t="s">
        <v>5649</v>
      </c>
      <c r="D16" s="19" t="s">
        <v>6037</v>
      </c>
      <c r="H16" s="276" t="s">
        <v>6038</v>
      </c>
      <c r="I16" s="19" t="s">
        <v>215</v>
      </c>
      <c r="L16" s="28" t="s">
        <v>6039</v>
      </c>
    </row>
    <row r="17">
      <c r="A17" s="19" t="s">
        <v>2837</v>
      </c>
      <c r="B17" s="19" t="s">
        <v>5655</v>
      </c>
      <c r="D17" s="19" t="s">
        <v>6040</v>
      </c>
      <c r="H17" s="276" t="s">
        <v>6041</v>
      </c>
      <c r="I17" s="19" t="s">
        <v>237</v>
      </c>
      <c r="L17" s="28" t="s">
        <v>6042</v>
      </c>
    </row>
    <row r="18">
      <c r="A18" s="19" t="s">
        <v>6043</v>
      </c>
      <c r="B18" s="19" t="s">
        <v>5661</v>
      </c>
      <c r="H18" s="276" t="s">
        <v>4920</v>
      </c>
      <c r="I18" s="19" t="s">
        <v>6044</v>
      </c>
      <c r="L18" s="28" t="s">
        <v>6045</v>
      </c>
    </row>
    <row r="19">
      <c r="A19" s="19" t="s">
        <v>2846</v>
      </c>
      <c r="B19" s="19" t="s">
        <v>5665</v>
      </c>
      <c r="I19" s="19" t="s">
        <v>265</v>
      </c>
      <c r="L19" s="28" t="s">
        <v>6046</v>
      </c>
    </row>
    <row r="20">
      <c r="A20" s="19" t="s">
        <v>6047</v>
      </c>
      <c r="B20" s="19" t="s">
        <v>5667</v>
      </c>
      <c r="I20" s="19" t="s">
        <v>6048</v>
      </c>
      <c r="L20" s="19" t="s">
        <v>6049</v>
      </c>
    </row>
    <row r="21">
      <c r="A21" s="19" t="s">
        <v>6050</v>
      </c>
      <c r="B21" s="19" t="s">
        <v>5669</v>
      </c>
      <c r="L21" s="19" t="s">
        <v>6051</v>
      </c>
    </row>
    <row r="22">
      <c r="A22" s="19" t="s">
        <v>2866</v>
      </c>
      <c r="B22" s="19" t="s">
        <v>6052</v>
      </c>
      <c r="L22" s="19" t="s">
        <v>6053</v>
      </c>
    </row>
    <row r="23">
      <c r="A23" s="19" t="s">
        <v>6054</v>
      </c>
      <c r="L23" s="19" t="s">
        <v>6055</v>
      </c>
    </row>
    <row r="24">
      <c r="A24" s="19" t="s">
        <v>2878</v>
      </c>
      <c r="L24" s="19" t="s">
        <v>6056</v>
      </c>
    </row>
    <row r="25">
      <c r="A25" s="19" t="s">
        <v>2880</v>
      </c>
      <c r="L25" s="19" t="s">
        <v>6057</v>
      </c>
    </row>
    <row r="26">
      <c r="A26" s="19" t="s">
        <v>2886</v>
      </c>
      <c r="L26" s="19" t="s">
        <v>6058</v>
      </c>
    </row>
    <row r="27">
      <c r="A27" s="19" t="s">
        <v>2895</v>
      </c>
    </row>
    <row r="28">
      <c r="A28" s="19" t="s">
        <v>2905</v>
      </c>
    </row>
    <row r="29">
      <c r="A29" s="19" t="s">
        <v>6059</v>
      </c>
    </row>
    <row r="30">
      <c r="A30" s="19" t="s">
        <v>6060</v>
      </c>
      <c r="C30" s="75">
        <f>37+20+13+15+13+13+9+16+18+3+11+11</f>
        <v>179</v>
      </c>
    </row>
    <row r="31">
      <c r="A31" s="19" t="s">
        <v>6061</v>
      </c>
    </row>
    <row r="32">
      <c r="A32" s="19" t="s">
        <v>2928</v>
      </c>
    </row>
    <row r="33">
      <c r="A33" s="19" t="s">
        <v>2936</v>
      </c>
    </row>
    <row r="34">
      <c r="A34" s="19" t="s">
        <v>6062</v>
      </c>
    </row>
    <row r="35">
      <c r="A35" s="19" t="s">
        <v>2943</v>
      </c>
    </row>
    <row r="36">
      <c r="A36" s="19" t="s">
        <v>6063</v>
      </c>
    </row>
    <row r="37">
      <c r="A37" s="19" t="s">
        <v>6064</v>
      </c>
    </row>
    <row r="38">
      <c r="A38" s="19" t="s">
        <v>6065</v>
      </c>
    </row>
    <row r="39">
      <c r="A39" s="19" t="s">
        <v>6066</v>
      </c>
    </row>
    <row r="42">
      <c r="A42" s="64" t="s">
        <v>6067</v>
      </c>
    </row>
    <row r="43">
      <c r="A43" s="86" t="s">
        <v>965</v>
      </c>
      <c r="B43" s="86" t="s">
        <v>966</v>
      </c>
      <c r="C43" s="86" t="s">
        <v>968</v>
      </c>
      <c r="D43" s="86" t="s">
        <v>969</v>
      </c>
      <c r="E43" s="86" t="s">
        <v>970</v>
      </c>
      <c r="F43" s="86" t="s">
        <v>971</v>
      </c>
      <c r="G43" s="86" t="s">
        <v>972</v>
      </c>
      <c r="H43" s="86" t="s">
        <v>973</v>
      </c>
      <c r="I43" s="86" t="s">
        <v>974</v>
      </c>
      <c r="J43" s="86" t="s">
        <v>975</v>
      </c>
    </row>
    <row r="44">
      <c r="A44" s="19" t="s">
        <v>6068</v>
      </c>
      <c r="B44" s="19" t="s">
        <v>6069</v>
      </c>
      <c r="C44" s="19" t="s">
        <v>6070</v>
      </c>
      <c r="D44" s="19" t="s">
        <v>6071</v>
      </c>
      <c r="E44" s="19" t="s">
        <v>6072</v>
      </c>
      <c r="F44" s="19" t="s">
        <v>6073</v>
      </c>
      <c r="G44" s="19" t="s">
        <v>6074</v>
      </c>
      <c r="H44" s="19" t="s">
        <v>6075</v>
      </c>
      <c r="I44" s="19" t="s">
        <v>6076</v>
      </c>
      <c r="J44" s="19" t="s">
        <v>6077</v>
      </c>
    </row>
    <row r="45">
      <c r="A45" s="19" t="s">
        <v>6078</v>
      </c>
      <c r="B45" s="19" t="s">
        <v>6079</v>
      </c>
      <c r="C45" s="19" t="s">
        <v>6080</v>
      </c>
      <c r="D45" s="19" t="s">
        <v>6081</v>
      </c>
      <c r="E45" s="19" t="s">
        <v>6082</v>
      </c>
      <c r="F45" s="19" t="s">
        <v>6083</v>
      </c>
      <c r="G45" s="19" t="s">
        <v>6084</v>
      </c>
      <c r="H45" s="19" t="s">
        <v>6085</v>
      </c>
      <c r="I45" s="19" t="s">
        <v>6086</v>
      </c>
      <c r="J45" s="19" t="s">
        <v>6087</v>
      </c>
    </row>
    <row r="46">
      <c r="A46" s="19" t="s">
        <v>6088</v>
      </c>
      <c r="B46" s="19" t="s">
        <v>6089</v>
      </c>
      <c r="C46" s="19" t="s">
        <v>6090</v>
      </c>
      <c r="D46" s="19" t="s">
        <v>6091</v>
      </c>
      <c r="E46" s="19" t="s">
        <v>6092</v>
      </c>
      <c r="F46" s="19" t="s">
        <v>6093</v>
      </c>
      <c r="G46" s="19" t="s">
        <v>6094</v>
      </c>
      <c r="H46" s="19" t="s">
        <v>6095</v>
      </c>
      <c r="I46" s="19" t="s">
        <v>6096</v>
      </c>
      <c r="J46" s="19" t="s">
        <v>6097</v>
      </c>
    </row>
    <row r="47">
      <c r="A47" s="19" t="s">
        <v>6098</v>
      </c>
      <c r="B47" s="19" t="s">
        <v>6099</v>
      </c>
      <c r="C47" s="19" t="s">
        <v>6100</v>
      </c>
      <c r="D47" s="19" t="s">
        <v>6101</v>
      </c>
      <c r="E47" s="19" t="s">
        <v>6102</v>
      </c>
      <c r="F47" s="19" t="s">
        <v>6103</v>
      </c>
      <c r="G47" s="19" t="s">
        <v>6104</v>
      </c>
      <c r="H47" s="19" t="s">
        <v>6105</v>
      </c>
      <c r="I47" s="19" t="s">
        <v>6106</v>
      </c>
      <c r="J47" s="19" t="s">
        <v>6107</v>
      </c>
    </row>
    <row r="48">
      <c r="A48" s="19" t="s">
        <v>6108</v>
      </c>
      <c r="B48" s="19" t="s">
        <v>6109</v>
      </c>
      <c r="C48" s="19" t="s">
        <v>6110</v>
      </c>
      <c r="D48" s="19" t="s">
        <v>6111</v>
      </c>
      <c r="E48" s="19" t="s">
        <v>6112</v>
      </c>
      <c r="F48" s="19" t="s">
        <v>6113</v>
      </c>
      <c r="G48" s="19" t="s">
        <v>6114</v>
      </c>
      <c r="H48" s="19" t="s">
        <v>6115</v>
      </c>
      <c r="I48" s="19" t="s">
        <v>6116</v>
      </c>
      <c r="J48" s="19" t="s">
        <v>6117</v>
      </c>
    </row>
    <row r="49">
      <c r="A49" s="19" t="s">
        <v>6118</v>
      </c>
      <c r="B49" s="19" t="s">
        <v>6119</v>
      </c>
      <c r="C49" s="19" t="s">
        <v>6120</v>
      </c>
      <c r="D49" s="19" t="s">
        <v>6121</v>
      </c>
      <c r="E49" s="19" t="s">
        <v>6122</v>
      </c>
      <c r="F49" s="19" t="s">
        <v>6123</v>
      </c>
      <c r="G49" s="19" t="s">
        <v>6124</v>
      </c>
      <c r="H49" s="19" t="s">
        <v>6125</v>
      </c>
      <c r="I49" s="19" t="s">
        <v>6126</v>
      </c>
      <c r="J49" s="19" t="s">
        <v>6127</v>
      </c>
    </row>
    <row r="50">
      <c r="A50" s="19" t="s">
        <v>6128</v>
      </c>
      <c r="B50" s="19" t="s">
        <v>6129</v>
      </c>
      <c r="C50" s="19" t="s">
        <v>6130</v>
      </c>
      <c r="D50" s="19" t="s">
        <v>6131</v>
      </c>
      <c r="E50" s="19" t="s">
        <v>6132</v>
      </c>
      <c r="F50" s="19" t="s">
        <v>6133</v>
      </c>
      <c r="G50" s="19" t="s">
        <v>6134</v>
      </c>
      <c r="H50" s="19" t="s">
        <v>6135</v>
      </c>
      <c r="I50" s="19" t="s">
        <v>6136</v>
      </c>
      <c r="J50" s="19" t="s">
        <v>6137</v>
      </c>
    </row>
    <row r="51">
      <c r="A51" s="19" t="s">
        <v>6138</v>
      </c>
      <c r="B51" s="19" t="s">
        <v>6139</v>
      </c>
      <c r="C51" s="19" t="s">
        <v>6140</v>
      </c>
      <c r="D51" s="19" t="s">
        <v>6141</v>
      </c>
      <c r="E51" s="19" t="s">
        <v>6142</v>
      </c>
      <c r="F51" s="19" t="s">
        <v>6143</v>
      </c>
      <c r="G51" s="19" t="s">
        <v>6144</v>
      </c>
      <c r="H51" s="19" t="s">
        <v>6145</v>
      </c>
      <c r="I51" s="19" t="s">
        <v>6146</v>
      </c>
      <c r="J51" s="19" t="s">
        <v>6147</v>
      </c>
    </row>
    <row r="52">
      <c r="A52" s="19" t="s">
        <v>6148</v>
      </c>
      <c r="B52" s="19" t="s">
        <v>6149</v>
      </c>
      <c r="C52" s="19" t="s">
        <v>6150</v>
      </c>
      <c r="D52" s="19" t="s">
        <v>6151</v>
      </c>
      <c r="E52" s="19" t="s">
        <v>6152</v>
      </c>
      <c r="F52" s="19" t="s">
        <v>6153</v>
      </c>
      <c r="G52" s="19" t="s">
        <v>6154</v>
      </c>
      <c r="H52" s="19" t="s">
        <v>6155</v>
      </c>
      <c r="I52" s="19" t="s">
        <v>6156</v>
      </c>
      <c r="J52" s="19" t="s">
        <v>6157</v>
      </c>
    </row>
    <row r="53">
      <c r="A53" s="19" t="s">
        <v>6158</v>
      </c>
      <c r="B53" s="19" t="s">
        <v>6159</v>
      </c>
      <c r="C53" s="19" t="s">
        <v>6160</v>
      </c>
      <c r="D53" s="19" t="s">
        <v>6161</v>
      </c>
      <c r="E53" s="19" t="s">
        <v>6162</v>
      </c>
      <c r="F53" s="19" t="s">
        <v>6163</v>
      </c>
      <c r="G53" s="19" t="s">
        <v>6164</v>
      </c>
      <c r="H53" s="19" t="s">
        <v>6165</v>
      </c>
      <c r="I53" s="19" t="s">
        <v>6166</v>
      </c>
      <c r="J53" s="19" t="s">
        <v>6167</v>
      </c>
    </row>
    <row r="54">
      <c r="A54" s="19" t="s">
        <v>6168</v>
      </c>
      <c r="B54" s="19" t="s">
        <v>6169</v>
      </c>
      <c r="C54" s="19" t="s">
        <v>6170</v>
      </c>
      <c r="D54" s="19" t="s">
        <v>6171</v>
      </c>
      <c r="E54" s="19" t="s">
        <v>6172</v>
      </c>
      <c r="F54" s="19" t="s">
        <v>6173</v>
      </c>
      <c r="G54" s="19" t="s">
        <v>6174</v>
      </c>
      <c r="H54" s="19" t="s">
        <v>6175</v>
      </c>
      <c r="I54" s="19" t="s">
        <v>6176</v>
      </c>
      <c r="J54" s="19" t="s">
        <v>6177</v>
      </c>
    </row>
    <row r="55">
      <c r="A55" s="19" t="s">
        <v>6178</v>
      </c>
      <c r="B55" s="19" t="s">
        <v>6179</v>
      </c>
      <c r="C55" s="19" t="s">
        <v>6180</v>
      </c>
      <c r="D55" s="19" t="s">
        <v>6181</v>
      </c>
      <c r="E55" s="19" t="s">
        <v>6182</v>
      </c>
      <c r="F55" s="19" t="s">
        <v>6183</v>
      </c>
      <c r="G55" s="19" t="s">
        <v>6184</v>
      </c>
      <c r="H55" s="19" t="s">
        <v>6185</v>
      </c>
      <c r="I55" s="19" t="s">
        <v>6186</v>
      </c>
      <c r="J55" s="19" t="s">
        <v>6187</v>
      </c>
    </row>
    <row r="56">
      <c r="A56" s="19" t="s">
        <v>6188</v>
      </c>
      <c r="B56" s="19" t="s">
        <v>6189</v>
      </c>
      <c r="C56" s="19" t="s">
        <v>6190</v>
      </c>
      <c r="D56" s="19" t="s">
        <v>6191</v>
      </c>
      <c r="E56" s="19" t="s">
        <v>6192</v>
      </c>
      <c r="F56" s="19" t="s">
        <v>6193</v>
      </c>
      <c r="G56" s="19" t="s">
        <v>6194</v>
      </c>
      <c r="H56" s="19" t="s">
        <v>6195</v>
      </c>
      <c r="I56" s="19" t="s">
        <v>6196</v>
      </c>
      <c r="J56" s="19" t="s">
        <v>6197</v>
      </c>
    </row>
    <row r="57">
      <c r="A57" s="19" t="s">
        <v>6198</v>
      </c>
      <c r="B57" s="19" t="s">
        <v>6199</v>
      </c>
      <c r="C57" s="19" t="s">
        <v>6200</v>
      </c>
      <c r="D57" s="19" t="s">
        <v>6201</v>
      </c>
      <c r="E57" s="19" t="s">
        <v>6202</v>
      </c>
      <c r="F57" s="19" t="s">
        <v>6203</v>
      </c>
      <c r="G57" s="19" t="s">
        <v>6204</v>
      </c>
      <c r="H57" s="19" t="s">
        <v>6205</v>
      </c>
      <c r="I57" s="19" t="s">
        <v>6206</v>
      </c>
      <c r="J57" s="19" t="s">
        <v>6207</v>
      </c>
    </row>
    <row r="58">
      <c r="A58" s="19" t="s">
        <v>6208</v>
      </c>
      <c r="B58" s="19" t="s">
        <v>6209</v>
      </c>
      <c r="C58" s="19" t="s">
        <v>6210</v>
      </c>
      <c r="D58" s="19" t="s">
        <v>6211</v>
      </c>
      <c r="E58" s="19" t="s">
        <v>6212</v>
      </c>
      <c r="F58" s="19" t="s">
        <v>6213</v>
      </c>
      <c r="G58" s="19" t="s">
        <v>6214</v>
      </c>
      <c r="H58" s="19" t="s">
        <v>6215</v>
      </c>
      <c r="I58" s="19" t="s">
        <v>6216</v>
      </c>
      <c r="J58" s="19" t="s">
        <v>6217</v>
      </c>
    </row>
    <row r="59">
      <c r="A59" s="19" t="s">
        <v>6218</v>
      </c>
      <c r="B59" s="19" t="s">
        <v>6219</v>
      </c>
      <c r="C59" s="19" t="s">
        <v>6220</v>
      </c>
      <c r="D59" s="19" t="s">
        <v>6221</v>
      </c>
      <c r="E59" s="19" t="s">
        <v>6222</v>
      </c>
      <c r="F59" s="19" t="s">
        <v>6223</v>
      </c>
      <c r="G59" s="19" t="s">
        <v>6224</v>
      </c>
      <c r="H59" s="19" t="s">
        <v>6225</v>
      </c>
      <c r="I59" s="19" t="s">
        <v>6226</v>
      </c>
      <c r="J59" s="19" t="s">
        <v>6227</v>
      </c>
    </row>
    <row r="60">
      <c r="A60" s="19" t="s">
        <v>6228</v>
      </c>
      <c r="B60" s="19" t="s">
        <v>6229</v>
      </c>
      <c r="C60" s="19" t="s">
        <v>6230</v>
      </c>
      <c r="D60" s="19" t="s">
        <v>6231</v>
      </c>
      <c r="E60" s="19" t="s">
        <v>6232</v>
      </c>
      <c r="F60" s="19" t="s">
        <v>6233</v>
      </c>
      <c r="G60" s="19" t="s">
        <v>6234</v>
      </c>
      <c r="H60" s="19" t="s">
        <v>6235</v>
      </c>
      <c r="I60" s="19" t="s">
        <v>6236</v>
      </c>
      <c r="J60" s="19" t="s">
        <v>6237</v>
      </c>
    </row>
    <row r="61">
      <c r="A61" s="19" t="s">
        <v>6238</v>
      </c>
      <c r="B61" s="19" t="s">
        <v>6239</v>
      </c>
      <c r="C61" s="19" t="s">
        <v>6240</v>
      </c>
      <c r="D61" s="19" t="s">
        <v>6241</v>
      </c>
      <c r="E61" s="19" t="s">
        <v>6242</v>
      </c>
      <c r="F61" s="19" t="s">
        <v>6243</v>
      </c>
      <c r="G61" s="19" t="s">
        <v>6244</v>
      </c>
      <c r="H61" s="19" t="s">
        <v>6245</v>
      </c>
      <c r="I61" s="19" t="s">
        <v>6246</v>
      </c>
      <c r="J61" s="19" t="s">
        <v>6247</v>
      </c>
    </row>
    <row r="62">
      <c r="C62" s="19" t="s">
        <v>6248</v>
      </c>
      <c r="D62" s="19" t="s">
        <v>6249</v>
      </c>
      <c r="E62" s="19" t="s">
        <v>6250</v>
      </c>
      <c r="F62" s="19" t="s">
        <v>6251</v>
      </c>
      <c r="G62" s="19" t="s">
        <v>6252</v>
      </c>
      <c r="H62" s="19" t="s">
        <v>6253</v>
      </c>
      <c r="I62" s="19" t="s">
        <v>6254</v>
      </c>
      <c r="J62" s="19" t="s">
        <v>6255</v>
      </c>
    </row>
    <row r="63">
      <c r="D63" s="19" t="s">
        <v>6256</v>
      </c>
      <c r="E63" s="19" t="s">
        <v>6257</v>
      </c>
      <c r="F63" s="19" t="s">
        <v>6258</v>
      </c>
      <c r="G63" s="19" t="s">
        <v>6259</v>
      </c>
      <c r="I63" s="19" t="s">
        <v>6260</v>
      </c>
    </row>
    <row r="64">
      <c r="D64" s="19" t="s">
        <v>6261</v>
      </c>
      <c r="E64" s="19" t="s">
        <v>6262</v>
      </c>
      <c r="F64" s="19" t="s">
        <v>6263</v>
      </c>
      <c r="G64" s="19" t="s">
        <v>6264</v>
      </c>
    </row>
    <row r="74">
      <c r="A74" s="28"/>
    </row>
    <row r="77">
      <c r="A77" s="28"/>
    </row>
  </sheetData>
  <mergeCells count="2">
    <mergeCell ref="A1:N1"/>
    <mergeCell ref="A42:J4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0"/>
    <col customWidth="1" min="2" max="2" width="22.13"/>
    <col customWidth="1" min="3" max="3" width="11.63"/>
    <col customWidth="1" min="4" max="4" width="16.75"/>
    <col customWidth="1" min="5" max="5" width="21.5"/>
    <col customWidth="1" min="6" max="6" width="21.63"/>
    <col customWidth="1" min="7" max="7" width="20.75"/>
    <col customWidth="1" min="8" max="8" width="15.25"/>
    <col customWidth="1" min="9" max="9" width="18.13"/>
  </cols>
  <sheetData>
    <row r="1">
      <c r="A1" s="14" t="s">
        <v>6265</v>
      </c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64" t="s">
        <v>6266</v>
      </c>
      <c r="B2" s="64" t="s">
        <v>3269</v>
      </c>
      <c r="C2" s="64" t="s">
        <v>6267</v>
      </c>
      <c r="D2" s="64" t="s">
        <v>6268</v>
      </c>
      <c r="E2" s="64" t="s">
        <v>3049</v>
      </c>
      <c r="F2" s="64" t="s">
        <v>6269</v>
      </c>
      <c r="G2" s="64" t="s">
        <v>6270</v>
      </c>
      <c r="H2" s="64" t="s">
        <v>6271</v>
      </c>
      <c r="I2" s="64" t="s">
        <v>6272</v>
      </c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81" t="s">
        <v>6273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9" t="s">
        <v>6274</v>
      </c>
      <c r="B4" s="9" t="s">
        <v>9</v>
      </c>
      <c r="C4" s="9" t="s">
        <v>17</v>
      </c>
      <c r="D4" s="9" t="s">
        <v>6275</v>
      </c>
      <c r="E4" s="9" t="s">
        <v>17</v>
      </c>
      <c r="F4" s="9" t="s">
        <v>9</v>
      </c>
      <c r="G4" s="277">
        <v>46024.0</v>
      </c>
      <c r="H4" s="9">
        <v>5000.0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9" t="s">
        <v>6276</v>
      </c>
      <c r="B5" s="9" t="s">
        <v>21</v>
      </c>
      <c r="C5" s="9" t="s">
        <v>17</v>
      </c>
      <c r="D5" s="9" t="s">
        <v>6277</v>
      </c>
      <c r="E5" s="9" t="s">
        <v>21</v>
      </c>
      <c r="F5" s="9" t="s">
        <v>17</v>
      </c>
      <c r="G5" s="277">
        <v>46054.0</v>
      </c>
      <c r="H5" s="9">
        <v>6000.0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9" t="s">
        <v>6278</v>
      </c>
      <c r="B6" s="9" t="s">
        <v>9</v>
      </c>
      <c r="C6" s="9" t="s">
        <v>20</v>
      </c>
      <c r="D6" s="9" t="s">
        <v>6279</v>
      </c>
      <c r="E6" s="9" t="s">
        <v>9</v>
      </c>
      <c r="F6" s="9" t="s">
        <v>20</v>
      </c>
      <c r="G6" s="9" t="s">
        <v>6280</v>
      </c>
      <c r="H6" s="9">
        <v>5000.0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9" t="s">
        <v>6281</v>
      </c>
      <c r="B7" s="9" t="s">
        <v>16</v>
      </c>
      <c r="C7" s="9" t="s">
        <v>549</v>
      </c>
      <c r="D7" s="9" t="s">
        <v>6279</v>
      </c>
      <c r="E7" s="9" t="s">
        <v>16</v>
      </c>
      <c r="F7" s="9" t="s">
        <v>549</v>
      </c>
      <c r="G7" s="277">
        <v>46054.0</v>
      </c>
      <c r="H7" s="9">
        <v>3000.0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9" t="s">
        <v>6282</v>
      </c>
      <c r="B8" s="9" t="s">
        <v>23</v>
      </c>
      <c r="C8" s="9" t="s">
        <v>12</v>
      </c>
      <c r="D8" s="9" t="s">
        <v>6279</v>
      </c>
      <c r="E8" s="9" t="s">
        <v>12</v>
      </c>
      <c r="F8" s="9" t="s">
        <v>23</v>
      </c>
      <c r="G8" s="277">
        <v>46024.0</v>
      </c>
      <c r="H8" s="9">
        <v>10000.0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9" t="s">
        <v>6283</v>
      </c>
      <c r="B9" s="9" t="s">
        <v>16</v>
      </c>
      <c r="C9" s="9" t="s">
        <v>17</v>
      </c>
      <c r="D9" s="9" t="s">
        <v>6284</v>
      </c>
      <c r="E9" s="9" t="s">
        <v>16</v>
      </c>
      <c r="F9" s="9" t="s">
        <v>17</v>
      </c>
      <c r="G9" s="9" t="s">
        <v>6280</v>
      </c>
      <c r="H9" s="9">
        <v>3000.0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9" t="s">
        <v>6285</v>
      </c>
      <c r="B10" s="9" t="s">
        <v>12</v>
      </c>
      <c r="C10" s="9" t="s">
        <v>13</v>
      </c>
      <c r="D10" s="9" t="s">
        <v>6286</v>
      </c>
      <c r="E10" s="9" t="s">
        <v>13</v>
      </c>
      <c r="F10" s="9" t="s">
        <v>12</v>
      </c>
      <c r="G10" s="9" t="s">
        <v>6287</v>
      </c>
      <c r="H10" s="9">
        <v>5000.0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9" t="s">
        <v>6288</v>
      </c>
      <c r="B11" s="9" t="s">
        <v>23</v>
      </c>
      <c r="C11" s="9" t="s">
        <v>6289</v>
      </c>
      <c r="D11" s="9" t="s">
        <v>6290</v>
      </c>
      <c r="E11" s="9" t="s">
        <v>9</v>
      </c>
      <c r="F11" s="9" t="s">
        <v>23</v>
      </c>
      <c r="G11" s="9" t="s">
        <v>6291</v>
      </c>
      <c r="H11" s="9">
        <v>5000.0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9" t="s">
        <v>6292</v>
      </c>
      <c r="B12" s="9" t="s">
        <v>16</v>
      </c>
      <c r="C12" s="9" t="s">
        <v>23</v>
      </c>
      <c r="D12" s="9" t="s">
        <v>6293</v>
      </c>
      <c r="E12" s="9" t="s">
        <v>16</v>
      </c>
      <c r="F12" s="9" t="s">
        <v>23</v>
      </c>
      <c r="G12" s="277">
        <v>46054.0</v>
      </c>
      <c r="H12" s="9">
        <v>5000.0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9" t="s">
        <v>6294</v>
      </c>
      <c r="B13" s="9" t="s">
        <v>549</v>
      </c>
      <c r="C13" s="9" t="s">
        <v>21</v>
      </c>
      <c r="D13" s="9" t="s">
        <v>6295</v>
      </c>
      <c r="E13" s="9" t="s">
        <v>21</v>
      </c>
      <c r="F13" s="9" t="s">
        <v>549</v>
      </c>
      <c r="G13" s="277">
        <v>46024.0</v>
      </c>
      <c r="H13" s="9">
        <v>5000.0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9" t="s">
        <v>6296</v>
      </c>
      <c r="B14" s="9" t="s">
        <v>9</v>
      </c>
      <c r="C14" s="9" t="s">
        <v>16</v>
      </c>
      <c r="D14" s="9" t="s">
        <v>6297</v>
      </c>
      <c r="E14" s="9" t="s">
        <v>16</v>
      </c>
      <c r="F14" s="9" t="s">
        <v>9</v>
      </c>
      <c r="G14" s="9" t="s">
        <v>6287</v>
      </c>
      <c r="H14" s="9">
        <v>5000.0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9" t="s">
        <v>6298</v>
      </c>
      <c r="B15" s="9" t="s">
        <v>23</v>
      </c>
      <c r="C15" s="9" t="s">
        <v>20</v>
      </c>
      <c r="D15" s="9" t="s">
        <v>6297</v>
      </c>
      <c r="E15" s="9" t="s">
        <v>20</v>
      </c>
      <c r="F15" s="9" t="s">
        <v>23</v>
      </c>
      <c r="G15" s="277">
        <v>46024.0</v>
      </c>
      <c r="H15" s="9">
        <v>5000.0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9" t="s">
        <v>6299</v>
      </c>
      <c r="B16" s="9" t="s">
        <v>21</v>
      </c>
      <c r="C16" s="9" t="s">
        <v>13</v>
      </c>
      <c r="D16" s="9" t="s">
        <v>6300</v>
      </c>
      <c r="E16" s="9" t="s">
        <v>21</v>
      </c>
      <c r="F16" s="9" t="s">
        <v>13</v>
      </c>
      <c r="G16" s="277">
        <v>46054.0</v>
      </c>
      <c r="H16" s="9">
        <v>6000.0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9" t="s">
        <v>6301</v>
      </c>
      <c r="B17" s="9" t="s">
        <v>12</v>
      </c>
      <c r="C17" s="9" t="s">
        <v>19</v>
      </c>
      <c r="D17" s="9" t="s">
        <v>6300</v>
      </c>
      <c r="E17" s="9" t="s">
        <v>12</v>
      </c>
      <c r="F17" s="9" t="s">
        <v>19</v>
      </c>
      <c r="G17" s="277">
        <v>46054.0</v>
      </c>
      <c r="H17" s="9">
        <v>5000.0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9" t="s">
        <v>6302</v>
      </c>
      <c r="B18" s="9" t="s">
        <v>549</v>
      </c>
      <c r="C18" s="9" t="s">
        <v>12</v>
      </c>
      <c r="D18" s="9" t="s">
        <v>6303</v>
      </c>
      <c r="E18" s="9" t="s">
        <v>549</v>
      </c>
      <c r="F18" s="9" t="s">
        <v>12</v>
      </c>
      <c r="G18" s="277">
        <v>46054.0</v>
      </c>
      <c r="H18" s="9">
        <v>3000.0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9" t="s">
        <v>6304</v>
      </c>
      <c r="B19" s="9" t="s">
        <v>17</v>
      </c>
      <c r="C19" s="9" t="s">
        <v>23</v>
      </c>
      <c r="D19" s="9" t="s">
        <v>6305</v>
      </c>
      <c r="E19" s="9" t="s">
        <v>23</v>
      </c>
      <c r="F19" s="9" t="s">
        <v>17</v>
      </c>
      <c r="G19" s="277">
        <v>46024.0</v>
      </c>
      <c r="H19" s="9">
        <v>5000.0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9" t="s">
        <v>6306</v>
      </c>
      <c r="B20" s="9" t="s">
        <v>16</v>
      </c>
      <c r="C20" s="9" t="s">
        <v>20</v>
      </c>
      <c r="D20" s="9" t="s">
        <v>6307</v>
      </c>
      <c r="E20" s="9" t="s">
        <v>20</v>
      </c>
      <c r="F20" s="9" t="s">
        <v>16</v>
      </c>
      <c r="G20" s="277">
        <v>46024.0</v>
      </c>
      <c r="H20" s="9">
        <v>5000.0</v>
      </c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9" t="s">
        <v>6308</v>
      </c>
      <c r="B21" s="9" t="s">
        <v>9</v>
      </c>
      <c r="C21" s="9" t="s">
        <v>23</v>
      </c>
      <c r="D21" s="9" t="s">
        <v>6309</v>
      </c>
      <c r="E21" s="9" t="s">
        <v>23</v>
      </c>
      <c r="F21" s="9" t="s">
        <v>9</v>
      </c>
      <c r="G21" s="277">
        <v>46024.0</v>
      </c>
      <c r="H21" s="9">
        <v>5000.0</v>
      </c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9" t="s">
        <v>6310</v>
      </c>
      <c r="B22" s="9" t="s">
        <v>16</v>
      </c>
      <c r="C22" s="9" t="s">
        <v>19</v>
      </c>
      <c r="D22" s="9" t="s">
        <v>6309</v>
      </c>
      <c r="E22" s="9" t="s">
        <v>19</v>
      </c>
      <c r="F22" s="9" t="s">
        <v>16</v>
      </c>
      <c r="G22" s="9" t="s">
        <v>6287</v>
      </c>
      <c r="H22" s="9">
        <v>5000.0</v>
      </c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9" t="s">
        <v>6311</v>
      </c>
      <c r="B23" s="9" t="s">
        <v>19</v>
      </c>
      <c r="C23" s="9" t="s">
        <v>17</v>
      </c>
      <c r="D23" s="9" t="s">
        <v>6309</v>
      </c>
      <c r="E23" s="9" t="s">
        <v>17</v>
      </c>
      <c r="F23" s="9" t="s">
        <v>19</v>
      </c>
      <c r="G23" s="9" t="s">
        <v>6287</v>
      </c>
      <c r="H23" s="9">
        <v>5000.0</v>
      </c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9" t="s">
        <v>6312</v>
      </c>
      <c r="B24" s="9" t="s">
        <v>12</v>
      </c>
      <c r="C24" s="9" t="s">
        <v>21</v>
      </c>
      <c r="D24" s="9" t="s">
        <v>6309</v>
      </c>
      <c r="E24" s="9" t="s">
        <v>21</v>
      </c>
      <c r="F24" s="9" t="s">
        <v>12</v>
      </c>
      <c r="G24" s="277">
        <v>46024.0</v>
      </c>
      <c r="H24" s="9">
        <v>5000.0</v>
      </c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9" t="s">
        <v>6313</v>
      </c>
      <c r="B25" s="9" t="s">
        <v>20</v>
      </c>
      <c r="C25" s="9" t="s">
        <v>549</v>
      </c>
      <c r="D25" s="9" t="s">
        <v>6314</v>
      </c>
      <c r="E25" s="9" t="s">
        <v>20</v>
      </c>
      <c r="F25" s="9" t="s">
        <v>549</v>
      </c>
      <c r="G25" s="277">
        <v>46054.0</v>
      </c>
      <c r="H25" s="9">
        <v>6000.0</v>
      </c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9" t="s">
        <v>6315</v>
      </c>
      <c r="B26" s="9" t="s">
        <v>19</v>
      </c>
      <c r="C26" s="9" t="s">
        <v>6316</v>
      </c>
      <c r="D26" s="9" t="s">
        <v>6317</v>
      </c>
      <c r="E26" s="9" t="s">
        <v>19</v>
      </c>
      <c r="F26" s="9" t="s">
        <v>9</v>
      </c>
      <c r="G26" s="9" t="s">
        <v>6280</v>
      </c>
      <c r="H26" s="9">
        <v>5000.0</v>
      </c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9" t="s">
        <v>6318</v>
      </c>
      <c r="B27" s="9" t="s">
        <v>12</v>
      </c>
      <c r="C27" s="9" t="s">
        <v>16</v>
      </c>
      <c r="D27" s="9" t="s">
        <v>6319</v>
      </c>
      <c r="E27" s="9" t="s">
        <v>12</v>
      </c>
      <c r="F27" s="9" t="s">
        <v>16</v>
      </c>
      <c r="G27" s="277">
        <v>46054.0</v>
      </c>
      <c r="H27" s="9">
        <v>5000.0</v>
      </c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9" t="s">
        <v>6320</v>
      </c>
      <c r="B28" s="9" t="s">
        <v>21</v>
      </c>
      <c r="C28" s="9" t="s">
        <v>6321</v>
      </c>
      <c r="D28" s="9" t="s">
        <v>6322</v>
      </c>
      <c r="E28" s="9" t="s">
        <v>19</v>
      </c>
      <c r="F28" s="9" t="s">
        <v>17</v>
      </c>
      <c r="G28" s="9" t="s">
        <v>6323</v>
      </c>
      <c r="H28" s="9">
        <v>6000.0</v>
      </c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9" t="s">
        <v>6324</v>
      </c>
      <c r="B29" s="9" t="s">
        <v>20</v>
      </c>
      <c r="C29" s="9" t="s">
        <v>23</v>
      </c>
      <c r="D29" s="9" t="s">
        <v>6325</v>
      </c>
      <c r="E29" s="9" t="s">
        <v>23</v>
      </c>
      <c r="F29" s="9" t="s">
        <v>20</v>
      </c>
      <c r="G29" s="277">
        <v>46056.0</v>
      </c>
      <c r="H29" s="9">
        <v>6000.0</v>
      </c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9" t="s">
        <v>6326</v>
      </c>
      <c r="B30" s="9" t="s">
        <v>9</v>
      </c>
      <c r="C30" s="9" t="s">
        <v>549</v>
      </c>
      <c r="D30" s="9" t="s">
        <v>6327</v>
      </c>
      <c r="E30" s="9" t="s">
        <v>9</v>
      </c>
      <c r="F30" s="9" t="s">
        <v>549</v>
      </c>
      <c r="G30" s="9" t="s">
        <v>6280</v>
      </c>
      <c r="H30" s="9">
        <v>7000.0</v>
      </c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9" t="s">
        <v>6328</v>
      </c>
      <c r="B31" s="9" t="s">
        <v>12</v>
      </c>
      <c r="C31" s="9" t="s">
        <v>17</v>
      </c>
      <c r="D31" s="9" t="s">
        <v>6329</v>
      </c>
      <c r="E31" s="9" t="s">
        <v>12</v>
      </c>
      <c r="F31" s="9" t="s">
        <v>17</v>
      </c>
      <c r="G31" s="277">
        <v>46054.0</v>
      </c>
      <c r="H31" s="9">
        <v>5000.0</v>
      </c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81" t="s">
        <v>6330</v>
      </c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9" t="s">
        <v>6331</v>
      </c>
      <c r="B33" s="9" t="s">
        <v>15</v>
      </c>
      <c r="C33" s="9" t="s">
        <v>549</v>
      </c>
      <c r="D33" s="9" t="s">
        <v>6332</v>
      </c>
      <c r="E33" s="9" t="s">
        <v>549</v>
      </c>
      <c r="F33" s="9" t="s">
        <v>15</v>
      </c>
      <c r="G33" s="277">
        <v>46024.0</v>
      </c>
      <c r="H33" s="9">
        <v>5000.0</v>
      </c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9" t="s">
        <v>6333</v>
      </c>
      <c r="B34" s="9" t="s">
        <v>23</v>
      </c>
      <c r="C34" s="9" t="s">
        <v>549</v>
      </c>
      <c r="D34" s="9" t="s">
        <v>6334</v>
      </c>
      <c r="E34" s="9" t="s">
        <v>23</v>
      </c>
      <c r="F34" s="9" t="s">
        <v>549</v>
      </c>
      <c r="G34" s="277">
        <v>46054.0</v>
      </c>
      <c r="H34" s="9">
        <v>3000.0</v>
      </c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9" t="s">
        <v>6335</v>
      </c>
      <c r="B35" s="9" t="s">
        <v>15</v>
      </c>
      <c r="C35" s="9" t="s">
        <v>22</v>
      </c>
      <c r="D35" s="9" t="s">
        <v>6334</v>
      </c>
      <c r="E35" s="9" t="s">
        <v>22</v>
      </c>
      <c r="F35" s="9" t="s">
        <v>15</v>
      </c>
      <c r="G35" s="277">
        <v>46024.0</v>
      </c>
      <c r="H35" s="9">
        <v>5000.0</v>
      </c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9" t="s">
        <v>6336</v>
      </c>
      <c r="B36" s="9" t="s">
        <v>21</v>
      </c>
      <c r="C36" s="9" t="s">
        <v>3330</v>
      </c>
      <c r="D36" s="9" t="s">
        <v>6337</v>
      </c>
      <c r="E36" s="9" t="s">
        <v>21</v>
      </c>
      <c r="F36" s="9" t="s">
        <v>3330</v>
      </c>
      <c r="G36" s="9" t="s">
        <v>6280</v>
      </c>
      <c r="H36" s="9">
        <v>5000.0</v>
      </c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9" t="s">
        <v>6338</v>
      </c>
      <c r="B37" s="9" t="s">
        <v>12</v>
      </c>
      <c r="C37" s="9" t="s">
        <v>9</v>
      </c>
      <c r="D37" s="9" t="s">
        <v>6339</v>
      </c>
      <c r="E37" s="9" t="s">
        <v>9</v>
      </c>
      <c r="F37" s="9" t="s">
        <v>12</v>
      </c>
      <c r="G37" s="9" t="s">
        <v>6287</v>
      </c>
      <c r="H37" s="9">
        <v>10000.0</v>
      </c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9" t="s">
        <v>6340</v>
      </c>
      <c r="B38" s="9" t="s">
        <v>23</v>
      </c>
      <c r="C38" s="9" t="s">
        <v>22</v>
      </c>
      <c r="D38" s="9" t="s">
        <v>6341</v>
      </c>
      <c r="E38" s="9" t="s">
        <v>22</v>
      </c>
      <c r="F38" s="9" t="s">
        <v>23</v>
      </c>
      <c r="G38" s="277">
        <v>46024.0</v>
      </c>
      <c r="H38" s="9">
        <v>5000.0</v>
      </c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9" t="s">
        <v>6342</v>
      </c>
      <c r="B39" s="9" t="s">
        <v>19</v>
      </c>
      <c r="C39" s="9" t="s">
        <v>17</v>
      </c>
      <c r="D39" s="9" t="s">
        <v>6343</v>
      </c>
      <c r="E39" s="9" t="s">
        <v>17</v>
      </c>
      <c r="F39" s="9" t="s">
        <v>19</v>
      </c>
      <c r="G39" s="9" t="s">
        <v>6344</v>
      </c>
      <c r="H39" s="9">
        <v>10000.0</v>
      </c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9" t="s">
        <v>6345</v>
      </c>
      <c r="B40" s="9" t="s">
        <v>15</v>
      </c>
      <c r="C40" s="9" t="s">
        <v>16</v>
      </c>
      <c r="D40" s="9" t="s">
        <v>6341</v>
      </c>
      <c r="E40" s="9" t="s">
        <v>16</v>
      </c>
      <c r="F40" s="9" t="s">
        <v>15</v>
      </c>
      <c r="G40" s="277">
        <v>46024.0</v>
      </c>
      <c r="H40" s="9">
        <v>5000.0</v>
      </c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9" t="s">
        <v>6346</v>
      </c>
      <c r="B41" s="9" t="s">
        <v>16</v>
      </c>
      <c r="C41" s="9" t="s">
        <v>21</v>
      </c>
      <c r="D41" s="9" t="s">
        <v>6347</v>
      </c>
      <c r="E41" s="9" t="s">
        <v>16</v>
      </c>
      <c r="F41" s="9" t="s">
        <v>21</v>
      </c>
      <c r="G41" s="277">
        <v>46054.0</v>
      </c>
      <c r="H41" s="9">
        <v>5000.0</v>
      </c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9" t="s">
        <v>6348</v>
      </c>
      <c r="B42" s="9" t="s">
        <v>3330</v>
      </c>
      <c r="C42" s="9" t="s">
        <v>23</v>
      </c>
      <c r="D42" s="9" t="s">
        <v>6347</v>
      </c>
      <c r="E42" s="9" t="s">
        <v>23</v>
      </c>
      <c r="F42" s="9" t="s">
        <v>3330</v>
      </c>
      <c r="G42" s="277">
        <v>46024.0</v>
      </c>
      <c r="H42" s="9">
        <v>5000.0</v>
      </c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9" t="s">
        <v>6349</v>
      </c>
      <c r="B43" s="9" t="s">
        <v>13</v>
      </c>
      <c r="C43" s="9" t="s">
        <v>12</v>
      </c>
      <c r="D43" s="9" t="s">
        <v>6350</v>
      </c>
      <c r="E43" s="9" t="s">
        <v>12</v>
      </c>
      <c r="F43" s="9" t="s">
        <v>13</v>
      </c>
      <c r="G43" s="277">
        <v>46024.0</v>
      </c>
      <c r="H43" s="9">
        <v>10000.0</v>
      </c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9" t="s">
        <v>6351</v>
      </c>
      <c r="B44" s="9" t="s">
        <v>15</v>
      </c>
      <c r="C44" s="9" t="s">
        <v>23</v>
      </c>
      <c r="D44" s="9" t="s">
        <v>6350</v>
      </c>
      <c r="E44" s="9" t="s">
        <v>23</v>
      </c>
      <c r="F44" s="9" t="s">
        <v>15</v>
      </c>
      <c r="G44" s="9" t="s">
        <v>6287</v>
      </c>
      <c r="H44" s="9">
        <v>5000.0</v>
      </c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9" t="s">
        <v>6352</v>
      </c>
      <c r="B45" s="9" t="s">
        <v>22</v>
      </c>
      <c r="C45" s="9" t="s">
        <v>17</v>
      </c>
      <c r="D45" s="9" t="s">
        <v>6353</v>
      </c>
      <c r="E45" s="9" t="s">
        <v>22</v>
      </c>
      <c r="F45" s="9" t="s">
        <v>17</v>
      </c>
      <c r="G45" s="277">
        <v>46113.0</v>
      </c>
      <c r="H45" s="9">
        <v>5000.0</v>
      </c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9" t="s">
        <v>6354</v>
      </c>
      <c r="B46" s="9" t="s">
        <v>11</v>
      </c>
      <c r="C46" s="9" t="s">
        <v>549</v>
      </c>
      <c r="D46" s="9" t="s">
        <v>6355</v>
      </c>
      <c r="E46" s="9" t="s">
        <v>11</v>
      </c>
      <c r="F46" s="9" t="s">
        <v>549</v>
      </c>
      <c r="G46" s="277">
        <v>46083.0</v>
      </c>
      <c r="H46" s="9">
        <v>5000.0</v>
      </c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9" t="s">
        <v>6356</v>
      </c>
      <c r="B47" s="9" t="s">
        <v>19</v>
      </c>
      <c r="C47" s="9" t="s">
        <v>21</v>
      </c>
      <c r="D47" s="9" t="s">
        <v>6357</v>
      </c>
      <c r="E47" s="9" t="s">
        <v>21</v>
      </c>
      <c r="F47" s="9" t="s">
        <v>19</v>
      </c>
      <c r="G47" s="277">
        <v>46024.0</v>
      </c>
      <c r="H47" s="9">
        <v>5000.0</v>
      </c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9" t="s">
        <v>6358</v>
      </c>
      <c r="B48" s="9" t="s">
        <v>15</v>
      </c>
      <c r="C48" s="9" t="s">
        <v>3330</v>
      </c>
      <c r="D48" s="9" t="s">
        <v>6357</v>
      </c>
      <c r="E48" s="9" t="s">
        <v>15</v>
      </c>
      <c r="F48" s="9" t="s">
        <v>3330</v>
      </c>
      <c r="G48" s="277">
        <v>46054.0</v>
      </c>
      <c r="H48" s="9">
        <v>5000.0</v>
      </c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9" t="s">
        <v>6359</v>
      </c>
      <c r="B49" s="9" t="s">
        <v>12</v>
      </c>
      <c r="C49" s="9" t="s">
        <v>9</v>
      </c>
      <c r="D49" s="9" t="s">
        <v>6357</v>
      </c>
      <c r="E49" s="9" t="s">
        <v>12</v>
      </c>
      <c r="F49" s="9" t="s">
        <v>9</v>
      </c>
      <c r="G49" s="277">
        <v>46054.0</v>
      </c>
      <c r="H49" s="9">
        <v>5000.0</v>
      </c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9" t="s">
        <v>6360</v>
      </c>
      <c r="B50" s="9" t="s">
        <v>14</v>
      </c>
      <c r="C50" s="9" t="s">
        <v>23</v>
      </c>
      <c r="D50" s="9" t="s">
        <v>6361</v>
      </c>
      <c r="E50" s="9" t="s">
        <v>6362</v>
      </c>
      <c r="F50" s="9" t="s">
        <v>23</v>
      </c>
      <c r="G50" s="277">
        <v>46113.0</v>
      </c>
      <c r="H50" s="9">
        <v>5000.0</v>
      </c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9" t="s">
        <v>6363</v>
      </c>
      <c r="B51" s="9" t="s">
        <v>16</v>
      </c>
      <c r="C51" s="9" t="s">
        <v>3330</v>
      </c>
      <c r="D51" s="9" t="s">
        <v>6364</v>
      </c>
      <c r="E51" s="9" t="s">
        <v>16</v>
      </c>
      <c r="F51" s="9" t="s">
        <v>3330</v>
      </c>
      <c r="G51" s="277">
        <v>46054.0</v>
      </c>
      <c r="H51" s="9">
        <v>5000.0</v>
      </c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9" t="s">
        <v>6365</v>
      </c>
      <c r="B52" s="9" t="s">
        <v>17</v>
      </c>
      <c r="C52" s="9" t="s">
        <v>549</v>
      </c>
      <c r="D52" s="9" t="s">
        <v>6366</v>
      </c>
      <c r="E52" s="9" t="s">
        <v>549</v>
      </c>
      <c r="F52" s="9" t="s">
        <v>17</v>
      </c>
      <c r="G52" s="277">
        <v>46024.0</v>
      </c>
      <c r="H52" s="9">
        <v>5000.0</v>
      </c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9" t="s">
        <v>6367</v>
      </c>
      <c r="B53" s="9" t="s">
        <v>22</v>
      </c>
      <c r="C53" s="9" t="s">
        <v>9</v>
      </c>
      <c r="D53" s="9" t="s">
        <v>6368</v>
      </c>
      <c r="E53" s="9" t="s">
        <v>22</v>
      </c>
      <c r="F53" s="9" t="s">
        <v>9</v>
      </c>
      <c r="G53" s="277">
        <v>46083.0</v>
      </c>
      <c r="H53" s="9">
        <v>5000.0</v>
      </c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9" t="s">
        <v>6369</v>
      </c>
      <c r="B54" s="9" t="s">
        <v>15</v>
      </c>
      <c r="C54" s="9" t="s">
        <v>19</v>
      </c>
      <c r="D54" s="9" t="s">
        <v>6370</v>
      </c>
      <c r="E54" s="9" t="s">
        <v>19</v>
      </c>
      <c r="F54" s="9" t="s">
        <v>15</v>
      </c>
      <c r="G54" s="277">
        <v>46026.0</v>
      </c>
      <c r="H54" s="9">
        <v>5000.0</v>
      </c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9" t="s">
        <v>6371</v>
      </c>
      <c r="B55" s="9" t="s">
        <v>15</v>
      </c>
      <c r="C55" s="9" t="s">
        <v>17</v>
      </c>
      <c r="D55" s="9" t="s">
        <v>6372</v>
      </c>
      <c r="E55" s="9" t="s">
        <v>17</v>
      </c>
      <c r="F55" s="9" t="s">
        <v>15</v>
      </c>
      <c r="G55" s="277">
        <v>46024.0</v>
      </c>
      <c r="H55" s="9">
        <v>3000.0</v>
      </c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9" t="s">
        <v>6373</v>
      </c>
      <c r="B56" s="9" t="s">
        <v>16</v>
      </c>
      <c r="C56" s="9" t="s">
        <v>11</v>
      </c>
      <c r="D56" s="9" t="s">
        <v>6372</v>
      </c>
      <c r="E56" s="9" t="s">
        <v>11</v>
      </c>
      <c r="F56" s="9" t="s">
        <v>16</v>
      </c>
      <c r="G56" s="277">
        <v>46024.0</v>
      </c>
      <c r="H56" s="9">
        <v>5000.0</v>
      </c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9" t="s">
        <v>6374</v>
      </c>
      <c r="B57" s="9" t="s">
        <v>16</v>
      </c>
      <c r="C57" s="9" t="s">
        <v>549</v>
      </c>
      <c r="D57" s="9" t="s">
        <v>6375</v>
      </c>
      <c r="E57" s="9" t="s">
        <v>16</v>
      </c>
      <c r="F57" s="9" t="s">
        <v>549</v>
      </c>
      <c r="G57" s="277">
        <v>46054.0</v>
      </c>
      <c r="H57" s="9">
        <v>5000.0</v>
      </c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9" t="s">
        <v>6376</v>
      </c>
      <c r="B58" s="9" t="s">
        <v>16</v>
      </c>
      <c r="C58" s="9" t="s">
        <v>9</v>
      </c>
      <c r="D58" s="9" t="s">
        <v>6375</v>
      </c>
      <c r="E58" s="9" t="s">
        <v>9</v>
      </c>
      <c r="F58" s="9" t="s">
        <v>16</v>
      </c>
      <c r="G58" s="9" t="s">
        <v>6287</v>
      </c>
      <c r="H58" s="9">
        <v>5000.0</v>
      </c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81" t="s">
        <v>6377</v>
      </c>
      <c r="I59" s="9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9" t="s">
        <v>6378</v>
      </c>
      <c r="B60" s="9" t="s">
        <v>17</v>
      </c>
      <c r="C60" s="9" t="s">
        <v>9</v>
      </c>
      <c r="D60" s="9" t="s">
        <v>6379</v>
      </c>
      <c r="E60" s="9" t="s">
        <v>9</v>
      </c>
      <c r="F60" s="9" t="s">
        <v>17</v>
      </c>
      <c r="G60" s="277">
        <v>46024.0</v>
      </c>
      <c r="H60" s="9">
        <v>10000.0</v>
      </c>
      <c r="I60" s="9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9" t="s">
        <v>6380</v>
      </c>
      <c r="B61" s="9" t="s">
        <v>11</v>
      </c>
      <c r="C61" s="9" t="s">
        <v>23</v>
      </c>
      <c r="D61" s="9" t="s">
        <v>6379</v>
      </c>
      <c r="E61" s="9" t="s">
        <v>23</v>
      </c>
      <c r="F61" s="9" t="s">
        <v>11</v>
      </c>
      <c r="G61" s="277">
        <v>46024.0</v>
      </c>
      <c r="H61" s="9">
        <v>7000.0</v>
      </c>
      <c r="I61" s="9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9" t="s">
        <v>6381</v>
      </c>
      <c r="B62" s="9" t="s">
        <v>21</v>
      </c>
      <c r="C62" s="9" t="s">
        <v>6362</v>
      </c>
      <c r="D62" s="9" t="s">
        <v>6382</v>
      </c>
      <c r="E62" s="9" t="s">
        <v>6362</v>
      </c>
      <c r="F62" s="9" t="s">
        <v>21</v>
      </c>
      <c r="G62" s="277">
        <v>46024.0</v>
      </c>
      <c r="H62" s="9">
        <v>6000.0</v>
      </c>
      <c r="I62" s="9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9" t="s">
        <v>6383</v>
      </c>
      <c r="B63" s="9" t="s">
        <v>15</v>
      </c>
      <c r="C63" s="9" t="s">
        <v>12</v>
      </c>
      <c r="D63" s="9" t="s">
        <v>6379</v>
      </c>
      <c r="E63" s="9" t="s">
        <v>12</v>
      </c>
      <c r="F63" s="9" t="s">
        <v>15</v>
      </c>
      <c r="G63" s="277">
        <v>46024.0</v>
      </c>
      <c r="H63" s="9">
        <v>5000.0</v>
      </c>
      <c r="I63" s="9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9" t="s">
        <v>6384</v>
      </c>
      <c r="B64" s="9" t="s">
        <v>12</v>
      </c>
      <c r="C64" s="9" t="s">
        <v>23</v>
      </c>
      <c r="D64" s="9" t="s">
        <v>6385</v>
      </c>
      <c r="E64" s="9" t="s">
        <v>23</v>
      </c>
      <c r="F64" s="9" t="s">
        <v>12</v>
      </c>
      <c r="G64" s="277">
        <v>46024.0</v>
      </c>
      <c r="H64" s="9">
        <v>6000.0</v>
      </c>
      <c r="I64" s="9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9" t="s">
        <v>6386</v>
      </c>
      <c r="B65" s="9" t="s">
        <v>12</v>
      </c>
      <c r="C65" s="9" t="s">
        <v>6362</v>
      </c>
      <c r="D65" s="9" t="s">
        <v>6387</v>
      </c>
      <c r="E65" s="9" t="s">
        <v>6362</v>
      </c>
      <c r="F65" s="9" t="s">
        <v>12</v>
      </c>
      <c r="G65" s="277">
        <v>46024.0</v>
      </c>
      <c r="H65" s="9">
        <v>5000.0</v>
      </c>
      <c r="I65" s="9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9" t="s">
        <v>6388</v>
      </c>
      <c r="B66" s="9" t="s">
        <v>12</v>
      </c>
      <c r="C66" s="9" t="s">
        <v>11</v>
      </c>
      <c r="D66" s="9" t="s">
        <v>6389</v>
      </c>
      <c r="E66" s="9" t="s">
        <v>11</v>
      </c>
      <c r="F66" s="9" t="s">
        <v>12</v>
      </c>
      <c r="G66" s="277">
        <v>46024.0</v>
      </c>
      <c r="H66" s="9">
        <v>10000.0</v>
      </c>
      <c r="I66" s="9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9" t="s">
        <v>6390</v>
      </c>
      <c r="B67" s="9" t="s">
        <v>15</v>
      </c>
      <c r="C67" s="9" t="s">
        <v>13</v>
      </c>
      <c r="D67" s="9" t="s">
        <v>6391</v>
      </c>
      <c r="E67" s="9" t="s">
        <v>6392</v>
      </c>
      <c r="F67" s="9" t="s">
        <v>13</v>
      </c>
      <c r="G67" s="9" t="s">
        <v>6393</v>
      </c>
      <c r="H67" s="9">
        <v>2000.0</v>
      </c>
      <c r="I67" s="9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9" t="s">
        <v>6394</v>
      </c>
      <c r="B68" s="9" t="s">
        <v>16</v>
      </c>
      <c r="C68" s="9" t="s">
        <v>23</v>
      </c>
      <c r="D68" s="9" t="s">
        <v>6395</v>
      </c>
      <c r="E68" s="9" t="s">
        <v>16</v>
      </c>
      <c r="F68" s="9" t="s">
        <v>23</v>
      </c>
      <c r="G68" s="277">
        <v>46054.0</v>
      </c>
      <c r="H68" s="9">
        <v>5000.0</v>
      </c>
      <c r="I68" s="9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81" t="s">
        <v>6396</v>
      </c>
      <c r="I69" s="9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9" t="s">
        <v>6397</v>
      </c>
      <c r="B70" s="9" t="s">
        <v>16</v>
      </c>
      <c r="C70" s="9" t="s">
        <v>9</v>
      </c>
      <c r="D70" s="9" t="s">
        <v>6398</v>
      </c>
      <c r="E70" s="9" t="s">
        <v>9</v>
      </c>
      <c r="F70" s="9" t="s">
        <v>16</v>
      </c>
      <c r="G70" s="9" t="s">
        <v>6287</v>
      </c>
      <c r="H70" s="9">
        <v>5000.0</v>
      </c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9" t="s">
        <v>6399</v>
      </c>
      <c r="B71" s="9" t="s">
        <v>549</v>
      </c>
      <c r="C71" s="9" t="s">
        <v>17</v>
      </c>
      <c r="D71" s="9" t="s">
        <v>6400</v>
      </c>
      <c r="E71" s="9" t="s">
        <v>17</v>
      </c>
      <c r="F71" s="9" t="s">
        <v>549</v>
      </c>
      <c r="G71" s="277">
        <v>46024.0</v>
      </c>
      <c r="H71" s="9">
        <v>5000.0</v>
      </c>
      <c r="I71" s="9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9" t="s">
        <v>6401</v>
      </c>
      <c r="B72" s="9" t="s">
        <v>23</v>
      </c>
      <c r="C72" s="9" t="s">
        <v>17</v>
      </c>
      <c r="D72" s="9" t="s">
        <v>6402</v>
      </c>
      <c r="E72" s="9" t="s">
        <v>17</v>
      </c>
      <c r="F72" s="9" t="s">
        <v>23</v>
      </c>
      <c r="G72" s="9" t="s">
        <v>6403</v>
      </c>
      <c r="H72" s="9">
        <v>5000.0</v>
      </c>
      <c r="I72" s="9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9" t="s">
        <v>6404</v>
      </c>
      <c r="B73" s="9" t="s">
        <v>549</v>
      </c>
      <c r="C73" s="9" t="s">
        <v>15</v>
      </c>
      <c r="D73" s="9" t="s">
        <v>6405</v>
      </c>
      <c r="E73" s="9" t="s">
        <v>549</v>
      </c>
      <c r="F73" s="9" t="s">
        <v>15</v>
      </c>
      <c r="G73" s="277">
        <v>46083.0</v>
      </c>
      <c r="H73" s="9">
        <v>4000.0</v>
      </c>
      <c r="I73" s="9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9" t="s">
        <v>6406</v>
      </c>
      <c r="B74" s="9" t="s">
        <v>17</v>
      </c>
      <c r="C74" s="9" t="s">
        <v>549</v>
      </c>
      <c r="D74" s="9" t="s">
        <v>6407</v>
      </c>
      <c r="E74" s="9" t="s">
        <v>549</v>
      </c>
      <c r="F74" s="9" t="s">
        <v>17</v>
      </c>
      <c r="G74" s="277">
        <v>46024.0</v>
      </c>
      <c r="H74" s="9">
        <v>5000.0</v>
      </c>
      <c r="I74" s="9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9" t="s">
        <v>6408</v>
      </c>
      <c r="B75" s="9" t="s">
        <v>15</v>
      </c>
      <c r="C75" s="9" t="s">
        <v>23</v>
      </c>
      <c r="D75" s="9" t="s">
        <v>4337</v>
      </c>
      <c r="E75" s="9" t="s">
        <v>15</v>
      </c>
      <c r="F75" s="9" t="s">
        <v>23</v>
      </c>
      <c r="G75" s="9" t="s">
        <v>6409</v>
      </c>
      <c r="H75" s="9">
        <v>4000.0</v>
      </c>
      <c r="I75" s="9"/>
    </row>
    <row r="76">
      <c r="A76" s="9" t="s">
        <v>6410</v>
      </c>
      <c r="B76" s="9" t="s">
        <v>17</v>
      </c>
      <c r="C76" s="9" t="s">
        <v>12</v>
      </c>
      <c r="D76" s="9" t="s">
        <v>6411</v>
      </c>
      <c r="E76" s="9" t="s">
        <v>12</v>
      </c>
      <c r="F76" s="9" t="s">
        <v>17</v>
      </c>
      <c r="G76" s="277">
        <v>46024.0</v>
      </c>
      <c r="H76" s="9">
        <v>5000.0</v>
      </c>
      <c r="I76" s="9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9" t="s">
        <v>6412</v>
      </c>
      <c r="B77" s="9" t="s">
        <v>12</v>
      </c>
      <c r="C77" s="9" t="s">
        <v>23</v>
      </c>
      <c r="D77" s="9" t="s">
        <v>6413</v>
      </c>
      <c r="E77" s="9" t="s">
        <v>12</v>
      </c>
      <c r="F77" s="9" t="s">
        <v>23</v>
      </c>
      <c r="G77" s="277">
        <v>46054.0</v>
      </c>
      <c r="H77" s="9">
        <v>5000.0</v>
      </c>
      <c r="I77" s="9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9" t="s">
        <v>6414</v>
      </c>
      <c r="B78" s="9" t="s">
        <v>15</v>
      </c>
      <c r="C78" s="9" t="s">
        <v>11</v>
      </c>
      <c r="D78" s="9" t="s">
        <v>6415</v>
      </c>
      <c r="E78" s="9" t="s">
        <v>11</v>
      </c>
      <c r="F78" s="9" t="s">
        <v>15</v>
      </c>
      <c r="G78" s="277">
        <v>46056.0</v>
      </c>
      <c r="H78" s="9">
        <v>4000.0</v>
      </c>
      <c r="I78" s="9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81" t="s">
        <v>6416</v>
      </c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ht="14.25" customHeight="1">
      <c r="A80" s="9" t="s">
        <v>6417</v>
      </c>
      <c r="B80" s="9" t="s">
        <v>11</v>
      </c>
      <c r="C80" s="9" t="s">
        <v>17</v>
      </c>
      <c r="D80" s="9" t="s">
        <v>6418</v>
      </c>
      <c r="E80" s="9" t="s">
        <v>17</v>
      </c>
      <c r="F80" s="9" t="s">
        <v>11</v>
      </c>
      <c r="G80" s="9" t="s">
        <v>6287</v>
      </c>
      <c r="H80" s="9">
        <v>5000.0</v>
      </c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278" t="s">
        <v>6419</v>
      </c>
      <c r="B81" s="9" t="s">
        <v>15</v>
      </c>
      <c r="C81" s="9" t="s">
        <v>12</v>
      </c>
      <c r="D81" s="9" t="s">
        <v>6420</v>
      </c>
      <c r="E81" s="9" t="s">
        <v>12</v>
      </c>
      <c r="F81" s="9" t="s">
        <v>15</v>
      </c>
      <c r="G81" s="277">
        <v>46056.0</v>
      </c>
      <c r="H81" s="9">
        <v>4000.0</v>
      </c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9" t="s">
        <v>6421</v>
      </c>
      <c r="B82" s="9" t="s">
        <v>23</v>
      </c>
      <c r="C82" s="9" t="s">
        <v>22</v>
      </c>
      <c r="D82" s="9" t="s">
        <v>6422</v>
      </c>
      <c r="E82" s="9" t="s">
        <v>23</v>
      </c>
      <c r="F82" s="9" t="s">
        <v>22</v>
      </c>
      <c r="G82" s="277">
        <v>46113.0</v>
      </c>
      <c r="H82" s="9">
        <v>5000.0</v>
      </c>
      <c r="I82" s="9" t="s">
        <v>6423</v>
      </c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9" t="s">
        <v>6424</v>
      </c>
      <c r="B83" s="9" t="s">
        <v>12</v>
      </c>
      <c r="C83" s="9" t="s">
        <v>11</v>
      </c>
      <c r="D83" s="9" t="s">
        <v>6425</v>
      </c>
      <c r="E83" s="9" t="s">
        <v>11</v>
      </c>
      <c r="F83" s="9" t="s">
        <v>12</v>
      </c>
      <c r="G83" s="277">
        <v>46024.0</v>
      </c>
      <c r="H83" s="9">
        <v>5000.0</v>
      </c>
      <c r="I83" s="9" t="s">
        <v>6426</v>
      </c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9" t="s">
        <v>6427</v>
      </c>
      <c r="B84" s="9" t="s">
        <v>20</v>
      </c>
      <c r="C84" s="9" t="s">
        <v>549</v>
      </c>
      <c r="D84" s="9" t="s">
        <v>6425</v>
      </c>
      <c r="E84" s="9" t="s">
        <v>549</v>
      </c>
      <c r="F84" s="9" t="s">
        <v>20</v>
      </c>
      <c r="G84" s="277">
        <v>46024.0</v>
      </c>
      <c r="H84" s="9">
        <v>5000.0</v>
      </c>
      <c r="I84" s="9" t="s">
        <v>6428</v>
      </c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9" t="s">
        <v>6429</v>
      </c>
      <c r="B85" s="9" t="s">
        <v>23</v>
      </c>
      <c r="C85" s="9" t="s">
        <v>15</v>
      </c>
      <c r="D85" s="9" t="s">
        <v>4637</v>
      </c>
      <c r="E85" s="9" t="s">
        <v>23</v>
      </c>
      <c r="F85" s="9" t="s">
        <v>15</v>
      </c>
      <c r="G85" s="9" t="s">
        <v>6409</v>
      </c>
      <c r="H85" s="9">
        <v>5000.0</v>
      </c>
      <c r="I85" s="9" t="s">
        <v>6430</v>
      </c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9" t="s">
        <v>6431</v>
      </c>
      <c r="B86" s="9" t="s">
        <v>9</v>
      </c>
      <c r="C86" s="9" t="s">
        <v>21</v>
      </c>
      <c r="D86" s="9" t="s">
        <v>4637</v>
      </c>
      <c r="E86" s="9" t="s">
        <v>9</v>
      </c>
      <c r="F86" s="9" t="s">
        <v>21</v>
      </c>
      <c r="G86" s="9" t="s">
        <v>6409</v>
      </c>
      <c r="H86" s="9">
        <v>5000.0</v>
      </c>
      <c r="I86" s="9" t="s">
        <v>6430</v>
      </c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9" t="s">
        <v>6432</v>
      </c>
      <c r="B87" s="9" t="s">
        <v>17</v>
      </c>
      <c r="C87" s="9" t="s">
        <v>16</v>
      </c>
      <c r="D87" s="9" t="s">
        <v>6433</v>
      </c>
      <c r="E87" s="9" t="s">
        <v>16</v>
      </c>
      <c r="F87" s="9" t="s">
        <v>17</v>
      </c>
      <c r="G87" s="277">
        <v>46024.0</v>
      </c>
      <c r="H87" s="9">
        <v>5000.0</v>
      </c>
      <c r="I87" s="9" t="s">
        <v>6434</v>
      </c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9" t="s">
        <v>6435</v>
      </c>
      <c r="B88" s="9" t="s">
        <v>15</v>
      </c>
      <c r="C88" s="9" t="s">
        <v>12</v>
      </c>
      <c r="D88" s="9" t="s">
        <v>6436</v>
      </c>
      <c r="E88" s="9" t="s">
        <v>15</v>
      </c>
      <c r="F88" s="9" t="s">
        <v>12</v>
      </c>
      <c r="G88" s="9" t="s">
        <v>6393</v>
      </c>
      <c r="H88" s="9">
        <v>5000.0</v>
      </c>
      <c r="I88" s="9" t="s">
        <v>6430</v>
      </c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9" t="s">
        <v>6437</v>
      </c>
      <c r="B89" s="9" t="s">
        <v>22</v>
      </c>
      <c r="C89" s="9" t="s">
        <v>18</v>
      </c>
      <c r="D89" s="9" t="s">
        <v>6438</v>
      </c>
      <c r="E89" s="9" t="s">
        <v>18</v>
      </c>
      <c r="F89" s="9" t="s">
        <v>22</v>
      </c>
      <c r="G89" s="9" t="s">
        <v>6393</v>
      </c>
      <c r="H89" s="9">
        <v>3000.0</v>
      </c>
      <c r="I89" s="9" t="s">
        <v>6439</v>
      </c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9" t="s">
        <v>6440</v>
      </c>
      <c r="B90" s="9" t="s">
        <v>12</v>
      </c>
      <c r="C90" s="9" t="s">
        <v>21</v>
      </c>
      <c r="D90" s="9" t="s">
        <v>6438</v>
      </c>
      <c r="E90" s="9" t="s">
        <v>21</v>
      </c>
      <c r="F90" s="9" t="s">
        <v>12</v>
      </c>
      <c r="G90" s="9" t="s">
        <v>6393</v>
      </c>
      <c r="H90" s="9">
        <v>5000.0</v>
      </c>
      <c r="I90" s="9" t="s">
        <v>6430</v>
      </c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9" t="s">
        <v>6441</v>
      </c>
      <c r="B91" s="9" t="s">
        <v>12</v>
      </c>
      <c r="C91" s="9" t="s">
        <v>22</v>
      </c>
      <c r="D91" s="9" t="s">
        <v>6442</v>
      </c>
      <c r="E91" s="9" t="s">
        <v>12</v>
      </c>
      <c r="F91" s="9" t="s">
        <v>22</v>
      </c>
      <c r="G91" s="9" t="s">
        <v>6393</v>
      </c>
      <c r="H91" s="9">
        <v>5000.0</v>
      </c>
      <c r="I91" s="9" t="s">
        <v>6439</v>
      </c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9" t="s">
        <v>6443</v>
      </c>
      <c r="B92" s="9" t="s">
        <v>20</v>
      </c>
      <c r="C92" s="9" t="s">
        <v>23</v>
      </c>
      <c r="D92" s="9" t="s">
        <v>6444</v>
      </c>
      <c r="E92" s="9" t="s">
        <v>23</v>
      </c>
      <c r="F92" s="9" t="s">
        <v>20</v>
      </c>
      <c r="G92" s="9" t="s">
        <v>6393</v>
      </c>
      <c r="H92" s="9">
        <v>3000.0</v>
      </c>
      <c r="I92" s="9" t="s">
        <v>6430</v>
      </c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9" t="s">
        <v>6445</v>
      </c>
      <c r="B93" s="9" t="s">
        <v>9</v>
      </c>
      <c r="C93" s="9" t="s">
        <v>12</v>
      </c>
      <c r="D93" s="9" t="s">
        <v>6446</v>
      </c>
      <c r="E93" s="9" t="s">
        <v>9</v>
      </c>
      <c r="F93" s="9" t="s">
        <v>12</v>
      </c>
      <c r="G93" s="277">
        <v>46054.0</v>
      </c>
      <c r="H93" s="9">
        <v>10000.0</v>
      </c>
      <c r="I93" s="9" t="s">
        <v>6439</v>
      </c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9" t="s">
        <v>6447</v>
      </c>
      <c r="B94" s="9" t="s">
        <v>17</v>
      </c>
      <c r="C94" s="9" t="s">
        <v>11</v>
      </c>
      <c r="D94" s="9" t="s">
        <v>6448</v>
      </c>
      <c r="E94" s="9" t="s">
        <v>17</v>
      </c>
      <c r="F94" s="9" t="s">
        <v>11</v>
      </c>
      <c r="G94" s="9" t="s">
        <v>6393</v>
      </c>
      <c r="H94" s="9">
        <v>5000.0</v>
      </c>
      <c r="I94" s="9" t="s">
        <v>6430</v>
      </c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9" t="s">
        <v>6449</v>
      </c>
      <c r="B95" s="9" t="s">
        <v>21</v>
      </c>
      <c r="C95" s="9" t="s">
        <v>23</v>
      </c>
      <c r="D95" s="9" t="s">
        <v>6448</v>
      </c>
      <c r="E95" s="9" t="s">
        <v>21</v>
      </c>
      <c r="F95" s="9" t="s">
        <v>23</v>
      </c>
      <c r="G95" s="9" t="s">
        <v>6393</v>
      </c>
      <c r="H95" s="9">
        <v>5000.0</v>
      </c>
      <c r="I95" s="9" t="s">
        <v>6430</v>
      </c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9" t="s">
        <v>6450</v>
      </c>
      <c r="B96" s="9" t="s">
        <v>23</v>
      </c>
      <c r="C96" s="9" t="s">
        <v>21</v>
      </c>
      <c r="D96" s="9" t="s">
        <v>6451</v>
      </c>
      <c r="E96" s="9" t="s">
        <v>23</v>
      </c>
      <c r="F96" s="9" t="s">
        <v>21</v>
      </c>
      <c r="G96" s="9" t="s">
        <v>6393</v>
      </c>
      <c r="H96" s="9">
        <v>5000.0</v>
      </c>
      <c r="I96" s="9" t="s">
        <v>6430</v>
      </c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81" t="s">
        <v>6452</v>
      </c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9" t="s">
        <v>6453</v>
      </c>
      <c r="B98" s="9" t="s">
        <v>12</v>
      </c>
      <c r="C98" s="9" t="s">
        <v>16</v>
      </c>
      <c r="D98" s="9" t="s">
        <v>6454</v>
      </c>
      <c r="E98" s="9" t="s">
        <v>12</v>
      </c>
      <c r="F98" s="9" t="s">
        <v>16</v>
      </c>
      <c r="G98" s="9" t="s">
        <v>6393</v>
      </c>
      <c r="H98" s="9">
        <v>10000.0</v>
      </c>
      <c r="I98" s="9" t="s">
        <v>6430</v>
      </c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9" t="s">
        <v>6455</v>
      </c>
      <c r="B99" s="9" t="s">
        <v>9</v>
      </c>
      <c r="C99" s="9" t="s">
        <v>13</v>
      </c>
      <c r="D99" s="9" t="s">
        <v>6454</v>
      </c>
      <c r="E99" s="9" t="s">
        <v>13</v>
      </c>
      <c r="F99" s="9" t="s">
        <v>9</v>
      </c>
      <c r="G99" s="9" t="s">
        <v>6393</v>
      </c>
      <c r="H99" s="9">
        <v>5000.0</v>
      </c>
      <c r="I99" s="9" t="s">
        <v>6430</v>
      </c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9" t="s">
        <v>6456</v>
      </c>
      <c r="B100" s="9" t="s">
        <v>11</v>
      </c>
      <c r="C100" s="9" t="s">
        <v>20</v>
      </c>
      <c r="D100" s="9" t="s">
        <v>6454</v>
      </c>
      <c r="E100" s="9" t="s">
        <v>11</v>
      </c>
      <c r="F100" s="9" t="s">
        <v>20</v>
      </c>
      <c r="G100" s="9" t="s">
        <v>6393</v>
      </c>
      <c r="H100" s="9">
        <v>6000.0</v>
      </c>
      <c r="I100" s="9" t="s">
        <v>6430</v>
      </c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9" t="s">
        <v>6457</v>
      </c>
      <c r="B101" s="9" t="s">
        <v>17</v>
      </c>
      <c r="C101" s="9" t="s">
        <v>18</v>
      </c>
      <c r="D101" s="9" t="s">
        <v>6454</v>
      </c>
      <c r="E101" s="9" t="s">
        <v>17</v>
      </c>
      <c r="F101" s="9" t="s">
        <v>18</v>
      </c>
      <c r="G101" s="9" t="s">
        <v>6393</v>
      </c>
      <c r="H101" s="9">
        <v>5000.0</v>
      </c>
      <c r="I101" s="9" t="s">
        <v>6439</v>
      </c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9" t="s">
        <v>6458</v>
      </c>
      <c r="B102" s="9" t="s">
        <v>12</v>
      </c>
      <c r="C102" s="9" t="s">
        <v>11</v>
      </c>
      <c r="D102" s="9" t="s">
        <v>6459</v>
      </c>
      <c r="E102" s="9" t="s">
        <v>12</v>
      </c>
      <c r="F102" s="9" t="s">
        <v>11</v>
      </c>
      <c r="G102" s="9" t="s">
        <v>6393</v>
      </c>
      <c r="H102" s="9">
        <v>5000.0</v>
      </c>
      <c r="I102" s="9" t="s">
        <v>6430</v>
      </c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9" t="s">
        <v>6460</v>
      </c>
      <c r="B103" s="9" t="s">
        <v>23</v>
      </c>
      <c r="C103" s="9" t="s">
        <v>18</v>
      </c>
      <c r="D103" s="9" t="s">
        <v>6459</v>
      </c>
      <c r="E103" s="9" t="s">
        <v>23</v>
      </c>
      <c r="F103" s="9" t="s">
        <v>18</v>
      </c>
      <c r="G103" s="9" t="s">
        <v>6393</v>
      </c>
      <c r="H103" s="9">
        <v>5000.0</v>
      </c>
      <c r="I103" s="9" t="s">
        <v>6461</v>
      </c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9" t="s">
        <v>6462</v>
      </c>
      <c r="B104" s="9" t="s">
        <v>13</v>
      </c>
      <c r="C104" s="9" t="s">
        <v>9</v>
      </c>
      <c r="D104" s="9" t="s">
        <v>6459</v>
      </c>
      <c r="E104" s="9" t="s">
        <v>9</v>
      </c>
      <c r="F104" s="9" t="s">
        <v>13</v>
      </c>
      <c r="G104" s="9" t="s">
        <v>6393</v>
      </c>
      <c r="H104" s="9">
        <v>5000.0</v>
      </c>
      <c r="I104" s="9" t="s">
        <v>6439</v>
      </c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9" t="s">
        <v>6463</v>
      </c>
      <c r="B105" s="9" t="s">
        <v>11</v>
      </c>
      <c r="C105" s="9" t="s">
        <v>6464</v>
      </c>
      <c r="D105" s="9" t="s">
        <v>5301</v>
      </c>
      <c r="E105" s="9" t="s">
        <v>23</v>
      </c>
      <c r="F105" s="9" t="s">
        <v>15</v>
      </c>
      <c r="G105" s="9" t="s">
        <v>6465</v>
      </c>
      <c r="H105" s="9">
        <v>15000.0</v>
      </c>
      <c r="I105" s="9" t="s">
        <v>6466</v>
      </c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9" t="s">
        <v>6467</v>
      </c>
      <c r="B106" s="9" t="s">
        <v>12</v>
      </c>
      <c r="C106" s="9" t="s">
        <v>11</v>
      </c>
      <c r="D106" s="9" t="s">
        <v>6468</v>
      </c>
      <c r="E106" s="9" t="s">
        <v>12</v>
      </c>
      <c r="F106" s="9" t="s">
        <v>11</v>
      </c>
      <c r="G106" s="277">
        <v>46054.0</v>
      </c>
      <c r="H106" s="9">
        <v>5000.0</v>
      </c>
      <c r="I106" s="9" t="s">
        <v>6439</v>
      </c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9" t="s">
        <v>6469</v>
      </c>
      <c r="B107" s="9" t="s">
        <v>9</v>
      </c>
      <c r="C107" s="9" t="s">
        <v>15</v>
      </c>
      <c r="D107" s="9" t="s">
        <v>6470</v>
      </c>
      <c r="E107" s="9" t="s">
        <v>9</v>
      </c>
      <c r="F107" s="9" t="s">
        <v>15</v>
      </c>
      <c r="G107" s="277">
        <v>46113.0</v>
      </c>
      <c r="H107" s="9">
        <v>10000.0</v>
      </c>
      <c r="I107" s="9" t="s">
        <v>6439</v>
      </c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9" t="s">
        <v>6471</v>
      </c>
      <c r="B108" s="9" t="s">
        <v>12</v>
      </c>
      <c r="C108" s="9" t="s">
        <v>11</v>
      </c>
      <c r="D108" s="9" t="s">
        <v>6472</v>
      </c>
      <c r="E108" s="9" t="s">
        <v>11</v>
      </c>
      <c r="F108" s="9" t="s">
        <v>12</v>
      </c>
      <c r="G108" s="277">
        <v>46024.0</v>
      </c>
      <c r="H108" s="9">
        <v>5000.0</v>
      </c>
      <c r="I108" s="9" t="s">
        <v>6430</v>
      </c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9" t="s">
        <v>6473</v>
      </c>
      <c r="B109" s="9" t="s">
        <v>11</v>
      </c>
      <c r="C109" s="9" t="s">
        <v>22</v>
      </c>
      <c r="D109" s="9" t="s">
        <v>5904</v>
      </c>
      <c r="E109" s="9" t="s">
        <v>22</v>
      </c>
      <c r="F109" s="9" t="s">
        <v>11</v>
      </c>
      <c r="G109" s="9" t="s">
        <v>6409</v>
      </c>
      <c r="H109" s="9">
        <v>5000.0</v>
      </c>
      <c r="I109" s="9" t="s">
        <v>6430</v>
      </c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9" t="s">
        <v>6474</v>
      </c>
      <c r="B110" s="9" t="s">
        <v>12</v>
      </c>
      <c r="C110" s="9" t="s">
        <v>22</v>
      </c>
      <c r="D110" s="9" t="s">
        <v>5912</v>
      </c>
      <c r="E110" s="9" t="s">
        <v>22</v>
      </c>
      <c r="F110" s="9" t="s">
        <v>12</v>
      </c>
      <c r="G110" s="9" t="s">
        <v>6409</v>
      </c>
      <c r="H110" s="9">
        <v>5000.0</v>
      </c>
      <c r="I110" s="9" t="s">
        <v>6430</v>
      </c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81" t="s">
        <v>6475</v>
      </c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9" t="s">
        <v>6476</v>
      </c>
      <c r="B112" s="9" t="s">
        <v>22</v>
      </c>
      <c r="C112" s="9" t="s">
        <v>23</v>
      </c>
      <c r="D112" s="9" t="s">
        <v>6477</v>
      </c>
      <c r="E112" s="9" t="s">
        <v>23</v>
      </c>
      <c r="F112" s="9" t="s">
        <v>22</v>
      </c>
      <c r="G112" s="9" t="s">
        <v>6409</v>
      </c>
      <c r="H112" s="9">
        <v>10000.0</v>
      </c>
      <c r="I112" s="9" t="s">
        <v>6430</v>
      </c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9" t="s">
        <v>6478</v>
      </c>
      <c r="B113" s="9" t="s">
        <v>23</v>
      </c>
      <c r="C113" s="9" t="s">
        <v>22</v>
      </c>
      <c r="D113" s="9" t="s">
        <v>5948</v>
      </c>
      <c r="E113" s="9" t="s">
        <v>22</v>
      </c>
      <c r="F113" s="9" t="s">
        <v>23</v>
      </c>
      <c r="G113" s="9" t="s">
        <v>6409</v>
      </c>
      <c r="H113" s="9">
        <v>10000.0</v>
      </c>
      <c r="I113" s="9" t="s">
        <v>6430</v>
      </c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9" t="s">
        <v>6479</v>
      </c>
      <c r="B114" s="9" t="s">
        <v>11</v>
      </c>
      <c r="C114" s="9" t="s">
        <v>15</v>
      </c>
      <c r="D114" s="9" t="s">
        <v>6480</v>
      </c>
      <c r="E114" s="9" t="s">
        <v>11</v>
      </c>
      <c r="F114" s="9" t="s">
        <v>15</v>
      </c>
      <c r="G114" s="277">
        <v>46113.0</v>
      </c>
      <c r="H114" s="9">
        <v>7000.0</v>
      </c>
      <c r="I114" s="9" t="s">
        <v>6430</v>
      </c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9" t="s">
        <v>6481</v>
      </c>
      <c r="B115" s="9" t="s">
        <v>9</v>
      </c>
      <c r="C115" s="9" t="s">
        <v>12</v>
      </c>
      <c r="D115" s="9" t="s">
        <v>6480</v>
      </c>
      <c r="E115" s="9" t="s">
        <v>12</v>
      </c>
      <c r="F115" s="9" t="s">
        <v>9</v>
      </c>
      <c r="G115" s="277">
        <v>46026.0</v>
      </c>
      <c r="H115" s="9">
        <v>10000.0</v>
      </c>
      <c r="I115" s="9" t="s">
        <v>6430</v>
      </c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9" t="s">
        <v>6482</v>
      </c>
      <c r="B116" s="9" t="s">
        <v>9</v>
      </c>
      <c r="C116" s="9" t="s">
        <v>22</v>
      </c>
      <c r="D116" s="9" t="s">
        <v>5952</v>
      </c>
      <c r="E116" s="9" t="s">
        <v>22</v>
      </c>
      <c r="F116" s="9" t="s">
        <v>9</v>
      </c>
      <c r="G116" s="9" t="s">
        <v>6409</v>
      </c>
      <c r="H116" s="9">
        <v>3000.0</v>
      </c>
      <c r="I116" s="9" t="s">
        <v>6430</v>
      </c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4" t="s">
        <v>6483</v>
      </c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64" t="s">
        <v>6266</v>
      </c>
      <c r="B120" s="64" t="s">
        <v>3269</v>
      </c>
      <c r="C120" s="64" t="s">
        <v>6267</v>
      </c>
      <c r="D120" s="64" t="s">
        <v>6268</v>
      </c>
      <c r="E120" s="64" t="s">
        <v>3049</v>
      </c>
      <c r="F120" s="64" t="s">
        <v>6269</v>
      </c>
      <c r="G120" s="64" t="s">
        <v>6270</v>
      </c>
      <c r="H120" s="64" t="s">
        <v>6271</v>
      </c>
      <c r="I120" s="64" t="s">
        <v>6272</v>
      </c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4" t="s">
        <v>6484</v>
      </c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4" t="s">
        <v>6485</v>
      </c>
      <c r="B126" s="14" t="s">
        <v>3269</v>
      </c>
      <c r="C126" s="14" t="s">
        <v>6267</v>
      </c>
      <c r="D126" s="14" t="s">
        <v>6268</v>
      </c>
      <c r="E126" s="14" t="s">
        <v>6486</v>
      </c>
      <c r="F126" s="14" t="s">
        <v>6271</v>
      </c>
      <c r="G126" s="64" t="s">
        <v>6272</v>
      </c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9"/>
      <c r="B127" s="9"/>
      <c r="C127" s="9"/>
      <c r="D127" s="9"/>
      <c r="E127" s="9"/>
      <c r="F127" s="9"/>
      <c r="G127" s="9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9"/>
      <c r="B128" s="9"/>
      <c r="C128" s="9"/>
      <c r="D128" s="9"/>
      <c r="E128" s="9"/>
      <c r="F128" s="9"/>
      <c r="G128" s="9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4" t="s">
        <v>6487</v>
      </c>
      <c r="D129" s="16"/>
      <c r="E129" s="16"/>
      <c r="F129" s="14" t="s">
        <v>6488</v>
      </c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9" t="s">
        <v>506</v>
      </c>
      <c r="B130" s="9" t="s">
        <v>6489</v>
      </c>
      <c r="C130" s="9" t="s">
        <v>6490</v>
      </c>
      <c r="D130" s="64" t="s">
        <v>6272</v>
      </c>
      <c r="E130" s="16"/>
      <c r="F130" s="9" t="s">
        <v>6491</v>
      </c>
      <c r="G130" s="9" t="s">
        <v>6492</v>
      </c>
      <c r="H130" s="9" t="s">
        <v>6489</v>
      </c>
      <c r="I130" s="9" t="s">
        <v>6490</v>
      </c>
      <c r="J130" s="64" t="s">
        <v>6272</v>
      </c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9" t="s">
        <v>6493</v>
      </c>
      <c r="B131" s="9" t="s">
        <v>5833</v>
      </c>
      <c r="C131" s="9" t="s">
        <v>5952</v>
      </c>
      <c r="D131" s="9" t="s">
        <v>6439</v>
      </c>
      <c r="E131" s="16"/>
      <c r="F131" s="9" t="s">
        <v>6494</v>
      </c>
      <c r="G131" s="9" t="s">
        <v>6475</v>
      </c>
      <c r="H131" s="9" t="s">
        <v>6495</v>
      </c>
      <c r="I131" s="9" t="s">
        <v>6496</v>
      </c>
      <c r="J131" s="9" t="s">
        <v>6497</v>
      </c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9" t="s">
        <v>6498</v>
      </c>
      <c r="B132" s="9" t="s">
        <v>6499</v>
      </c>
      <c r="C132" s="9" t="s">
        <v>6500</v>
      </c>
      <c r="D132" s="9" t="s">
        <v>6461</v>
      </c>
      <c r="E132" s="16"/>
      <c r="F132" s="9" t="s">
        <v>6501</v>
      </c>
      <c r="G132" s="9" t="s">
        <v>6475</v>
      </c>
      <c r="H132" s="9" t="s">
        <v>6495</v>
      </c>
      <c r="I132" s="9" t="s">
        <v>6496</v>
      </c>
      <c r="J132" s="9" t="s">
        <v>6497</v>
      </c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E133" s="16"/>
      <c r="F133" s="9" t="s">
        <v>6502</v>
      </c>
      <c r="G133" s="9" t="s">
        <v>6475</v>
      </c>
      <c r="H133" s="9" t="s">
        <v>6495</v>
      </c>
      <c r="I133" s="9" t="s">
        <v>6496</v>
      </c>
      <c r="J133" s="9" t="s">
        <v>6497</v>
      </c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6"/>
      <c r="B134" s="16"/>
      <c r="C134" s="16"/>
      <c r="D134" s="16"/>
      <c r="E134" s="16"/>
      <c r="F134" s="9" t="s">
        <v>6503</v>
      </c>
      <c r="G134" s="9" t="s">
        <v>6504</v>
      </c>
      <c r="H134" s="9" t="s">
        <v>6505</v>
      </c>
      <c r="I134" s="9" t="s">
        <v>6505</v>
      </c>
      <c r="J134" s="9" t="s">
        <v>6497</v>
      </c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F135" s="9" t="s">
        <v>6506</v>
      </c>
      <c r="G135" s="9" t="s">
        <v>6507</v>
      </c>
      <c r="H135" s="9" t="s">
        <v>6505</v>
      </c>
      <c r="I135" s="9" t="s">
        <v>6505</v>
      </c>
      <c r="J135" s="9" t="s">
        <v>6508</v>
      </c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  <row r="1001">
      <c r="A1001" s="16"/>
      <c r="B1001" s="16"/>
      <c r="C1001" s="16"/>
      <c r="D1001" s="16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</row>
    <row r="1002">
      <c r="A1002" s="16"/>
      <c r="B1002" s="16"/>
      <c r="C1002" s="16"/>
      <c r="D1002" s="16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</row>
    <row r="1003">
      <c r="A1003" s="16"/>
      <c r="B1003" s="16"/>
      <c r="C1003" s="16"/>
      <c r="D1003" s="16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</row>
    <row r="1004">
      <c r="A1004" s="16"/>
      <c r="B1004" s="16"/>
      <c r="C1004" s="16"/>
      <c r="D1004" s="16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</row>
    <row r="1005">
      <c r="A1005" s="16"/>
      <c r="B1005" s="16"/>
      <c r="C1005" s="16"/>
      <c r="D1005" s="16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</row>
    <row r="1006">
      <c r="A1006" s="16"/>
      <c r="B1006" s="16"/>
      <c r="C1006" s="16"/>
      <c r="D1006" s="16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</row>
    <row r="1007">
      <c r="A1007" s="16"/>
      <c r="B1007" s="16"/>
      <c r="C1007" s="16"/>
      <c r="D1007" s="16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</row>
    <row r="1008">
      <c r="A1008" s="16"/>
      <c r="B1008" s="16"/>
      <c r="C1008" s="16"/>
      <c r="D1008" s="16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</row>
    <row r="1009">
      <c r="A1009" s="16"/>
      <c r="B1009" s="16"/>
      <c r="C1009" s="16"/>
      <c r="D1009" s="16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</row>
  </sheetData>
  <mergeCells count="12">
    <mergeCell ref="A111:I111"/>
    <mergeCell ref="A119:I119"/>
    <mergeCell ref="A125:F125"/>
    <mergeCell ref="A129:C129"/>
    <mergeCell ref="F129:J129"/>
    <mergeCell ref="A1:H1"/>
    <mergeCell ref="A3:H3"/>
    <mergeCell ref="A32:H32"/>
    <mergeCell ref="A59:H59"/>
    <mergeCell ref="A69:H69"/>
    <mergeCell ref="A79:H79"/>
    <mergeCell ref="A97:I97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3" max="3" width="17.5"/>
    <col customWidth="1" min="4" max="4" width="18.0"/>
    <col customWidth="1" min="7" max="7" width="17.63"/>
    <col customWidth="1" min="8" max="8" width="19.63"/>
    <col customWidth="1" min="9" max="9" width="19.38"/>
  </cols>
  <sheetData>
    <row r="1">
      <c r="A1" s="14" t="s">
        <v>6509</v>
      </c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4" t="s">
        <v>6485</v>
      </c>
      <c r="B2" s="14" t="s">
        <v>3269</v>
      </c>
      <c r="C2" s="14" t="s">
        <v>6267</v>
      </c>
      <c r="D2" s="14" t="s">
        <v>6268</v>
      </c>
      <c r="E2" s="14" t="s">
        <v>6486</v>
      </c>
      <c r="F2" s="14" t="s">
        <v>6271</v>
      </c>
      <c r="G2" s="14" t="s">
        <v>3051</v>
      </c>
      <c r="H2" s="14" t="s">
        <v>587</v>
      </c>
      <c r="I2" s="14" t="s">
        <v>579</v>
      </c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9" t="s">
        <v>6510</v>
      </c>
      <c r="B3" s="9" t="s">
        <v>23</v>
      </c>
      <c r="C3" s="9" t="s">
        <v>11</v>
      </c>
      <c r="D3" s="9" t="s">
        <v>6511</v>
      </c>
      <c r="E3" s="9" t="s">
        <v>23</v>
      </c>
      <c r="F3" s="9">
        <v>6000.0</v>
      </c>
      <c r="G3" s="9" t="s">
        <v>6512</v>
      </c>
      <c r="H3" s="9" t="s">
        <v>6513</v>
      </c>
      <c r="I3" s="9" t="s">
        <v>6514</v>
      </c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9" t="s">
        <v>6515</v>
      </c>
      <c r="B4" s="9" t="s">
        <v>11</v>
      </c>
      <c r="C4" s="9" t="s">
        <v>23</v>
      </c>
      <c r="D4" s="9" t="s">
        <v>6516</v>
      </c>
      <c r="E4" s="9" t="s">
        <v>23</v>
      </c>
      <c r="F4" s="9">
        <v>6000.0</v>
      </c>
      <c r="G4" s="9" t="s">
        <v>6517</v>
      </c>
      <c r="H4" s="9" t="s">
        <v>6512</v>
      </c>
      <c r="I4" s="9" t="s">
        <v>6518</v>
      </c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9" t="s">
        <v>6519</v>
      </c>
      <c r="B5" s="9" t="s">
        <v>19</v>
      </c>
      <c r="C5" s="9" t="s">
        <v>23</v>
      </c>
      <c r="D5" s="9" t="s">
        <v>6372</v>
      </c>
      <c r="E5" s="9" t="s">
        <v>23</v>
      </c>
      <c r="F5" s="9">
        <v>5000.0</v>
      </c>
      <c r="G5" s="9" t="s">
        <v>6520</v>
      </c>
      <c r="H5" s="9" t="s">
        <v>6521</v>
      </c>
      <c r="I5" s="9" t="s">
        <v>6522</v>
      </c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9" t="s">
        <v>6523</v>
      </c>
      <c r="B6" s="9" t="s">
        <v>23</v>
      </c>
      <c r="C6" s="9" t="s">
        <v>19</v>
      </c>
      <c r="D6" s="9" t="s">
        <v>6375</v>
      </c>
      <c r="E6" s="9" t="s">
        <v>19</v>
      </c>
      <c r="F6" s="9">
        <v>5000.0</v>
      </c>
      <c r="G6" s="9" t="s">
        <v>6524</v>
      </c>
      <c r="H6" s="9" t="s">
        <v>6525</v>
      </c>
      <c r="I6" s="9" t="s">
        <v>6524</v>
      </c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9" t="s">
        <v>6526</v>
      </c>
      <c r="B7" s="9" t="s">
        <v>14</v>
      </c>
      <c r="C7" s="9" t="s">
        <v>19</v>
      </c>
      <c r="D7" s="9" t="s">
        <v>6527</v>
      </c>
      <c r="E7" s="9" t="s">
        <v>19</v>
      </c>
      <c r="F7" s="9">
        <v>5000.0</v>
      </c>
      <c r="G7" s="9" t="s">
        <v>6521</v>
      </c>
      <c r="H7" s="9" t="s">
        <v>6528</v>
      </c>
      <c r="I7" s="9" t="s">
        <v>6521</v>
      </c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9" t="s">
        <v>6529</v>
      </c>
      <c r="B8" s="9" t="s">
        <v>549</v>
      </c>
      <c r="C8" s="9" t="s">
        <v>13</v>
      </c>
      <c r="D8" s="9" t="s">
        <v>6379</v>
      </c>
      <c r="E8" s="9" t="s">
        <v>549</v>
      </c>
      <c r="F8" s="9">
        <v>7000.0</v>
      </c>
      <c r="G8" s="9" t="s">
        <v>6530</v>
      </c>
      <c r="H8" s="9" t="s">
        <v>6531</v>
      </c>
      <c r="I8" s="9" t="s">
        <v>6532</v>
      </c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9" t="s">
        <v>6533</v>
      </c>
      <c r="B9" s="9" t="s">
        <v>12</v>
      </c>
      <c r="C9" s="9" t="s">
        <v>23</v>
      </c>
      <c r="D9" s="9" t="s">
        <v>6534</v>
      </c>
      <c r="E9" s="9" t="s">
        <v>23</v>
      </c>
      <c r="F9" s="9">
        <v>6000.0</v>
      </c>
      <c r="G9" s="9" t="s">
        <v>6535</v>
      </c>
      <c r="H9" s="9" t="s">
        <v>6536</v>
      </c>
      <c r="I9" s="9" t="s">
        <v>6535</v>
      </c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9" t="s">
        <v>6537</v>
      </c>
      <c r="B10" s="9" t="s">
        <v>12</v>
      </c>
      <c r="C10" s="9" t="s">
        <v>14</v>
      </c>
      <c r="D10" s="9" t="s">
        <v>6538</v>
      </c>
      <c r="E10" s="9" t="s">
        <v>12</v>
      </c>
      <c r="F10" s="9">
        <v>5000.0</v>
      </c>
      <c r="G10" s="9" t="s">
        <v>6539</v>
      </c>
      <c r="H10" s="9" t="s">
        <v>6540</v>
      </c>
      <c r="I10" s="9" t="s">
        <v>6539</v>
      </c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9" t="s">
        <v>6541</v>
      </c>
      <c r="B11" s="9" t="s">
        <v>9</v>
      </c>
      <c r="C11" s="9" t="s">
        <v>17</v>
      </c>
      <c r="D11" s="9" t="s">
        <v>6542</v>
      </c>
      <c r="E11" s="9" t="s">
        <v>9</v>
      </c>
      <c r="F11" s="9">
        <v>5000.0</v>
      </c>
      <c r="G11" s="9" t="s">
        <v>6543</v>
      </c>
      <c r="H11" s="9" t="s">
        <v>6544</v>
      </c>
      <c r="I11" s="9" t="s">
        <v>6543</v>
      </c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9" t="s">
        <v>6545</v>
      </c>
      <c r="B12" s="9" t="s">
        <v>16</v>
      </c>
      <c r="C12" s="9" t="s">
        <v>19</v>
      </c>
      <c r="D12" s="9" t="s">
        <v>6542</v>
      </c>
      <c r="E12" s="9" t="s">
        <v>19</v>
      </c>
      <c r="F12" s="9">
        <v>5000.0</v>
      </c>
      <c r="G12" s="9" t="s">
        <v>6546</v>
      </c>
      <c r="H12" s="9" t="s">
        <v>6528</v>
      </c>
      <c r="I12" s="9" t="s">
        <v>6547</v>
      </c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9" t="s">
        <v>6548</v>
      </c>
      <c r="B13" s="9" t="s">
        <v>15</v>
      </c>
      <c r="C13" s="9" t="s">
        <v>13</v>
      </c>
      <c r="D13" s="9" t="s">
        <v>6542</v>
      </c>
      <c r="E13" s="9" t="s">
        <v>13</v>
      </c>
      <c r="F13" s="9">
        <v>2500.0</v>
      </c>
      <c r="G13" s="9" t="s">
        <v>6549</v>
      </c>
      <c r="H13" s="9" t="s">
        <v>6549</v>
      </c>
      <c r="I13" s="9" t="s">
        <v>6550</v>
      </c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9" t="s">
        <v>6551</v>
      </c>
      <c r="B14" s="9" t="s">
        <v>12</v>
      </c>
      <c r="C14" s="9" t="s">
        <v>11</v>
      </c>
      <c r="D14" s="9" t="s">
        <v>6552</v>
      </c>
      <c r="E14" s="9" t="s">
        <v>11</v>
      </c>
      <c r="F14" s="9">
        <v>10000.0</v>
      </c>
      <c r="G14" s="9" t="s">
        <v>6553</v>
      </c>
      <c r="H14" s="9" t="s">
        <v>6554</v>
      </c>
      <c r="I14" s="9" t="s">
        <v>6553</v>
      </c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9" t="s">
        <v>6555</v>
      </c>
      <c r="B15" s="9" t="s">
        <v>21</v>
      </c>
      <c r="C15" s="9" t="s">
        <v>549</v>
      </c>
      <c r="D15" s="9" t="s">
        <v>6552</v>
      </c>
      <c r="E15" s="9" t="s">
        <v>549</v>
      </c>
      <c r="F15" s="9">
        <v>10000.0</v>
      </c>
      <c r="G15" s="9" t="s">
        <v>6556</v>
      </c>
      <c r="H15" s="9" t="s">
        <v>6557</v>
      </c>
      <c r="I15" s="9" t="s">
        <v>6556</v>
      </c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9" t="s">
        <v>6558</v>
      </c>
      <c r="B16" s="9" t="s">
        <v>19</v>
      </c>
      <c r="C16" s="9" t="s">
        <v>16</v>
      </c>
      <c r="D16" s="9" t="s">
        <v>6559</v>
      </c>
      <c r="E16" s="9" t="s">
        <v>19</v>
      </c>
      <c r="F16" s="9">
        <v>5000.0</v>
      </c>
      <c r="G16" s="9" t="s">
        <v>6521</v>
      </c>
      <c r="H16" s="9" t="s">
        <v>6560</v>
      </c>
      <c r="I16" s="9" t="s">
        <v>6561</v>
      </c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9" t="s">
        <v>6562</v>
      </c>
      <c r="B17" s="9" t="s">
        <v>13</v>
      </c>
      <c r="C17" s="9" t="s">
        <v>15</v>
      </c>
      <c r="D17" s="9" t="s">
        <v>6559</v>
      </c>
      <c r="E17" s="9" t="s">
        <v>15</v>
      </c>
      <c r="F17" s="9">
        <v>2500.0</v>
      </c>
      <c r="G17" s="9" t="s">
        <v>6563</v>
      </c>
      <c r="H17" s="9" t="s">
        <v>6564</v>
      </c>
      <c r="I17" s="9" t="s">
        <v>6563</v>
      </c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9" t="s">
        <v>6565</v>
      </c>
      <c r="B18" s="9" t="s">
        <v>17</v>
      </c>
      <c r="C18" s="9" t="s">
        <v>9</v>
      </c>
      <c r="D18" s="9" t="s">
        <v>6566</v>
      </c>
      <c r="E18" s="9" t="s">
        <v>9</v>
      </c>
      <c r="F18" s="9">
        <v>5000.0</v>
      </c>
      <c r="G18" s="9" t="s">
        <v>6567</v>
      </c>
      <c r="H18" s="9" t="s">
        <v>6568</v>
      </c>
      <c r="I18" s="9" t="s">
        <v>6567</v>
      </c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9" t="s">
        <v>6569</v>
      </c>
      <c r="B19" s="9" t="s">
        <v>11</v>
      </c>
      <c r="C19" s="9" t="s">
        <v>19</v>
      </c>
      <c r="D19" s="9" t="s">
        <v>6395</v>
      </c>
      <c r="E19" s="9" t="s">
        <v>11</v>
      </c>
      <c r="F19" s="9">
        <v>5000.0</v>
      </c>
      <c r="G19" s="9" t="s">
        <v>6570</v>
      </c>
      <c r="H19" s="9" t="s">
        <v>6571</v>
      </c>
      <c r="I19" s="9" t="s">
        <v>6570</v>
      </c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9" t="s">
        <v>6572</v>
      </c>
      <c r="B20" s="9" t="s">
        <v>549</v>
      </c>
      <c r="C20" s="9" t="s">
        <v>21</v>
      </c>
      <c r="D20" s="9" t="s">
        <v>6395</v>
      </c>
      <c r="E20" s="9" t="s">
        <v>549</v>
      </c>
      <c r="F20" s="9">
        <v>10000.0</v>
      </c>
      <c r="G20" s="9" t="s">
        <v>6573</v>
      </c>
      <c r="H20" s="9" t="s">
        <v>6573</v>
      </c>
      <c r="I20" s="9" t="s">
        <v>6574</v>
      </c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9" t="s">
        <v>6575</v>
      </c>
      <c r="B21" s="9" t="s">
        <v>12</v>
      </c>
      <c r="C21" s="9" t="s">
        <v>17</v>
      </c>
      <c r="D21" s="9" t="s">
        <v>6576</v>
      </c>
      <c r="E21" s="9" t="s">
        <v>12</v>
      </c>
      <c r="F21" s="9">
        <v>10000.0</v>
      </c>
      <c r="G21" s="9" t="s">
        <v>6577</v>
      </c>
      <c r="H21" s="9" t="s">
        <v>6578</v>
      </c>
      <c r="I21" s="9" t="s">
        <v>6577</v>
      </c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9" t="s">
        <v>6579</v>
      </c>
      <c r="B22" s="9" t="s">
        <v>19</v>
      </c>
      <c r="C22" s="9" t="s">
        <v>11</v>
      </c>
      <c r="D22" s="9" t="s">
        <v>6398</v>
      </c>
      <c r="E22" s="9" t="s">
        <v>19</v>
      </c>
      <c r="F22" s="9">
        <v>5000.0</v>
      </c>
      <c r="G22" s="9" t="s">
        <v>6521</v>
      </c>
      <c r="H22" s="9" t="s">
        <v>6580</v>
      </c>
      <c r="I22" s="9" t="s">
        <v>6518</v>
      </c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9" t="s">
        <v>6581</v>
      </c>
      <c r="B23" s="9" t="s">
        <v>15</v>
      </c>
      <c r="C23" s="9" t="s">
        <v>21</v>
      </c>
      <c r="D23" s="9" t="s">
        <v>6398</v>
      </c>
      <c r="E23" s="9" t="s">
        <v>21</v>
      </c>
      <c r="F23" s="9">
        <v>5000.0</v>
      </c>
      <c r="G23" s="9" t="s">
        <v>6582</v>
      </c>
      <c r="H23" s="9" t="s">
        <v>6583</v>
      </c>
      <c r="I23" s="9" t="s">
        <v>6582</v>
      </c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9" t="s">
        <v>6584</v>
      </c>
      <c r="B24" s="9" t="s">
        <v>12</v>
      </c>
      <c r="C24" s="9" t="s">
        <v>13</v>
      </c>
      <c r="D24" s="9" t="s">
        <v>6398</v>
      </c>
      <c r="E24" s="9" t="s">
        <v>12</v>
      </c>
      <c r="F24" s="9">
        <v>5000.0</v>
      </c>
      <c r="G24" s="9" t="s">
        <v>6539</v>
      </c>
      <c r="H24" s="9" t="s">
        <v>6578</v>
      </c>
      <c r="I24" s="9" t="s">
        <v>6539</v>
      </c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9" t="s">
        <v>6585</v>
      </c>
      <c r="B25" s="9" t="s">
        <v>549</v>
      </c>
      <c r="C25" s="9" t="s">
        <v>14</v>
      </c>
      <c r="D25" s="9" t="s">
        <v>6398</v>
      </c>
      <c r="E25" s="9" t="s">
        <v>549</v>
      </c>
      <c r="F25" s="9">
        <v>5000.0</v>
      </c>
      <c r="G25" s="9" t="s">
        <v>6586</v>
      </c>
      <c r="H25" s="9" t="s">
        <v>6586</v>
      </c>
      <c r="I25" s="9" t="s">
        <v>6557</v>
      </c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9" t="s">
        <v>6587</v>
      </c>
      <c r="B26" s="9" t="s">
        <v>23</v>
      </c>
      <c r="C26" s="9" t="s">
        <v>17</v>
      </c>
      <c r="D26" s="9" t="s">
        <v>6398</v>
      </c>
      <c r="E26" s="9" t="s">
        <v>17</v>
      </c>
      <c r="F26" s="9">
        <v>5000.0</v>
      </c>
      <c r="G26" s="9" t="s">
        <v>6588</v>
      </c>
      <c r="H26" s="9" t="s">
        <v>6589</v>
      </c>
      <c r="I26" s="9" t="s">
        <v>6588</v>
      </c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9" t="s">
        <v>6590</v>
      </c>
      <c r="B27" s="9" t="s">
        <v>15</v>
      </c>
      <c r="C27" s="9" t="s">
        <v>19</v>
      </c>
      <c r="D27" s="9" t="s">
        <v>6591</v>
      </c>
      <c r="E27" s="9" t="s">
        <v>15</v>
      </c>
      <c r="F27" s="9">
        <v>3000.0</v>
      </c>
      <c r="G27" s="9" t="s">
        <v>6592</v>
      </c>
      <c r="H27" s="9" t="s">
        <v>6592</v>
      </c>
      <c r="I27" s="9" t="s">
        <v>6592</v>
      </c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9" t="s">
        <v>6593</v>
      </c>
      <c r="B28" s="9" t="s">
        <v>21</v>
      </c>
      <c r="C28" s="9" t="s">
        <v>23</v>
      </c>
      <c r="D28" s="9" t="s">
        <v>6594</v>
      </c>
      <c r="E28" s="9" t="s">
        <v>21</v>
      </c>
      <c r="F28" s="9">
        <v>10000.0</v>
      </c>
      <c r="G28" s="9" t="s">
        <v>6595</v>
      </c>
      <c r="H28" s="9" t="s">
        <v>6595</v>
      </c>
      <c r="I28" s="9" t="s">
        <v>6596</v>
      </c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9" t="s">
        <v>6597</v>
      </c>
      <c r="B29" s="9" t="s">
        <v>16</v>
      </c>
      <c r="C29" s="9" t="s">
        <v>12</v>
      </c>
      <c r="D29" s="9" t="s">
        <v>6594</v>
      </c>
      <c r="E29" s="9" t="s">
        <v>16</v>
      </c>
      <c r="F29" s="9">
        <v>5000.0</v>
      </c>
      <c r="G29" s="9" t="s">
        <v>6598</v>
      </c>
      <c r="H29" s="9" t="s">
        <v>6599</v>
      </c>
      <c r="I29" s="9" t="s">
        <v>6577</v>
      </c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9" t="s">
        <v>6600</v>
      </c>
      <c r="B30" s="9" t="s">
        <v>11</v>
      </c>
      <c r="C30" s="9" t="s">
        <v>17</v>
      </c>
      <c r="D30" s="9" t="s">
        <v>6594</v>
      </c>
      <c r="E30" s="9" t="s">
        <v>17</v>
      </c>
      <c r="F30" s="9">
        <v>5000.0</v>
      </c>
      <c r="G30" s="9" t="s">
        <v>6601</v>
      </c>
      <c r="H30" s="9" t="s">
        <v>6588</v>
      </c>
      <c r="I30" s="9" t="s">
        <v>6601</v>
      </c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9" t="s">
        <v>6602</v>
      </c>
      <c r="B31" s="9" t="s">
        <v>19</v>
      </c>
      <c r="C31" s="9" t="s">
        <v>14</v>
      </c>
      <c r="D31" s="9" t="s">
        <v>6603</v>
      </c>
      <c r="E31" s="9" t="s">
        <v>19</v>
      </c>
      <c r="F31" s="9">
        <v>5000.0</v>
      </c>
      <c r="G31" s="9" t="s">
        <v>6604</v>
      </c>
      <c r="H31" s="9" t="s">
        <v>6605</v>
      </c>
      <c r="I31" s="9" t="s">
        <v>6604</v>
      </c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9" t="s">
        <v>6606</v>
      </c>
      <c r="B32" s="9" t="s">
        <v>549</v>
      </c>
      <c r="C32" s="9" t="s">
        <v>23</v>
      </c>
      <c r="D32" s="9" t="s">
        <v>6607</v>
      </c>
      <c r="E32" s="9" t="s">
        <v>23</v>
      </c>
      <c r="F32" s="9">
        <v>5000.0</v>
      </c>
      <c r="G32" s="9" t="s">
        <v>6535</v>
      </c>
      <c r="H32" s="9" t="s">
        <v>6596</v>
      </c>
      <c r="I32" s="9" t="s">
        <v>6535</v>
      </c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9" t="s">
        <v>6608</v>
      </c>
      <c r="B33" s="9" t="s">
        <v>19</v>
      </c>
      <c r="C33" s="9" t="s">
        <v>9</v>
      </c>
      <c r="D33" s="9" t="s">
        <v>6607</v>
      </c>
      <c r="E33" s="9" t="s">
        <v>9</v>
      </c>
      <c r="F33" s="9">
        <v>5000.0</v>
      </c>
      <c r="G33" s="9" t="s">
        <v>6568</v>
      </c>
      <c r="H33" s="9" t="s">
        <v>6609</v>
      </c>
      <c r="I33" s="9" t="s">
        <v>6568</v>
      </c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9" t="s">
        <v>6610</v>
      </c>
      <c r="B34" s="9" t="s">
        <v>11</v>
      </c>
      <c r="C34" s="9" t="s">
        <v>15</v>
      </c>
      <c r="D34" s="9" t="s">
        <v>6611</v>
      </c>
      <c r="E34" s="9" t="s">
        <v>11</v>
      </c>
      <c r="F34" s="9">
        <v>4000.0</v>
      </c>
      <c r="G34" s="9" t="s">
        <v>6612</v>
      </c>
      <c r="H34" s="9" t="s">
        <v>6554</v>
      </c>
      <c r="I34" s="9" t="s">
        <v>6612</v>
      </c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9" t="s">
        <v>6613</v>
      </c>
      <c r="B35" s="9" t="s">
        <v>12</v>
      </c>
      <c r="C35" s="9" t="s">
        <v>21</v>
      </c>
      <c r="D35" s="9" t="s">
        <v>6611</v>
      </c>
      <c r="E35" s="9" t="s">
        <v>21</v>
      </c>
      <c r="F35" s="9">
        <v>5000.0</v>
      </c>
      <c r="G35" s="9" t="s">
        <v>6614</v>
      </c>
      <c r="H35" s="9" t="s">
        <v>6615</v>
      </c>
      <c r="I35" s="9" t="s">
        <v>6614</v>
      </c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9" t="s">
        <v>6616</v>
      </c>
      <c r="B36" s="9" t="s">
        <v>16</v>
      </c>
      <c r="C36" s="9" t="s">
        <v>13</v>
      </c>
      <c r="D36" s="9" t="s">
        <v>6611</v>
      </c>
      <c r="E36" s="9" t="s">
        <v>16</v>
      </c>
      <c r="F36" s="9">
        <v>6000.0</v>
      </c>
      <c r="G36" s="9" t="s">
        <v>6617</v>
      </c>
      <c r="H36" s="9" t="s">
        <v>6618</v>
      </c>
      <c r="I36" s="9" t="s">
        <v>6617</v>
      </c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9" t="s">
        <v>6619</v>
      </c>
      <c r="B37" s="9" t="s">
        <v>20</v>
      </c>
      <c r="C37" s="9" t="s">
        <v>14</v>
      </c>
      <c r="D37" s="9" t="s">
        <v>6611</v>
      </c>
      <c r="E37" s="9" t="s">
        <v>14</v>
      </c>
      <c r="F37" s="9">
        <v>5000.0</v>
      </c>
      <c r="G37" s="9" t="s">
        <v>6620</v>
      </c>
      <c r="H37" s="9" t="s">
        <v>6621</v>
      </c>
      <c r="I37" s="9" t="s">
        <v>6620</v>
      </c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9" t="s">
        <v>6622</v>
      </c>
      <c r="B38" s="9" t="s">
        <v>9</v>
      </c>
      <c r="C38" s="9" t="s">
        <v>19</v>
      </c>
      <c r="D38" s="9" t="s">
        <v>6623</v>
      </c>
      <c r="E38" s="9" t="s">
        <v>9</v>
      </c>
      <c r="F38" s="9">
        <v>5000.0</v>
      </c>
      <c r="G38" s="9" t="s">
        <v>6543</v>
      </c>
      <c r="H38" s="9" t="s">
        <v>6624</v>
      </c>
      <c r="I38" s="9" t="s">
        <v>6604</v>
      </c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9" t="s">
        <v>6625</v>
      </c>
      <c r="B39" s="9" t="s">
        <v>16</v>
      </c>
      <c r="C39" s="9" t="s">
        <v>11</v>
      </c>
      <c r="D39" s="9" t="s">
        <v>6626</v>
      </c>
      <c r="E39" s="9" t="s">
        <v>16</v>
      </c>
      <c r="F39" s="9">
        <v>6000.0</v>
      </c>
      <c r="G39" s="9" t="s">
        <v>6617</v>
      </c>
      <c r="H39" s="9" t="s">
        <v>6627</v>
      </c>
      <c r="I39" s="9" t="s">
        <v>6617</v>
      </c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9" t="s">
        <v>6629</v>
      </c>
      <c r="B40" s="9" t="s">
        <v>9</v>
      </c>
      <c r="C40" s="9" t="s">
        <v>12</v>
      </c>
      <c r="D40" s="9" t="s">
        <v>6630</v>
      </c>
      <c r="E40" s="9" t="s">
        <v>12</v>
      </c>
      <c r="F40" s="9">
        <v>5000.0</v>
      </c>
      <c r="G40" s="9" t="s">
        <v>6539</v>
      </c>
      <c r="H40" s="9" t="s">
        <v>6631</v>
      </c>
      <c r="I40" s="9" t="s">
        <v>6539</v>
      </c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9" t="s">
        <v>6634</v>
      </c>
      <c r="B41" s="9" t="s">
        <v>18</v>
      </c>
      <c r="C41" s="9" t="s">
        <v>15</v>
      </c>
      <c r="D41" s="9" t="s">
        <v>6636</v>
      </c>
      <c r="E41" s="9" t="s">
        <v>18</v>
      </c>
      <c r="F41" s="9">
        <v>5000.0</v>
      </c>
      <c r="G41" s="9" t="s">
        <v>6637</v>
      </c>
      <c r="H41" s="9" t="s">
        <v>6583</v>
      </c>
      <c r="I41" s="9" t="s">
        <v>6637</v>
      </c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9" t="s">
        <v>6640</v>
      </c>
      <c r="B42" s="9" t="s">
        <v>11</v>
      </c>
      <c r="C42" s="9" t="s">
        <v>16</v>
      </c>
      <c r="D42" s="9" t="s">
        <v>6636</v>
      </c>
      <c r="E42" s="9" t="s">
        <v>16</v>
      </c>
      <c r="F42" s="9">
        <v>5000.0</v>
      </c>
      <c r="G42" s="9" t="s">
        <v>6560</v>
      </c>
      <c r="H42" s="9" t="s">
        <v>6560</v>
      </c>
      <c r="I42" s="9" t="s">
        <v>6553</v>
      </c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9" t="s">
        <v>6642</v>
      </c>
      <c r="B43" s="9" t="s">
        <v>20</v>
      </c>
      <c r="C43" s="9" t="s">
        <v>23</v>
      </c>
      <c r="D43" s="9" t="s">
        <v>6636</v>
      </c>
      <c r="E43" s="9" t="s">
        <v>20</v>
      </c>
      <c r="F43" s="9">
        <v>5000.0</v>
      </c>
      <c r="G43" s="9" t="s">
        <v>6644</v>
      </c>
      <c r="H43" s="9" t="s">
        <v>6645</v>
      </c>
      <c r="I43" s="9" t="s">
        <v>6644</v>
      </c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9" t="s">
        <v>6648</v>
      </c>
      <c r="B44" s="9" t="s">
        <v>13</v>
      </c>
      <c r="C44" s="9" t="s">
        <v>17</v>
      </c>
      <c r="D44" s="9" t="s">
        <v>6636</v>
      </c>
      <c r="E44" s="9" t="s">
        <v>13</v>
      </c>
      <c r="F44" s="9">
        <v>5000.0</v>
      </c>
      <c r="G44" s="9" t="s">
        <v>6649</v>
      </c>
      <c r="H44" s="9" t="s">
        <v>6651</v>
      </c>
      <c r="I44" s="9" t="s">
        <v>6649</v>
      </c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9" t="s">
        <v>6412</v>
      </c>
      <c r="B45" s="9" t="s">
        <v>12</v>
      </c>
      <c r="C45" s="9" t="s">
        <v>9</v>
      </c>
      <c r="D45" s="9" t="s">
        <v>6654</v>
      </c>
      <c r="E45" s="9" t="s">
        <v>12</v>
      </c>
      <c r="F45" s="9">
        <v>5000.0</v>
      </c>
      <c r="G45" s="9" t="s">
        <v>6539</v>
      </c>
      <c r="H45" s="9" t="s">
        <v>6656</v>
      </c>
      <c r="I45" s="9" t="s">
        <v>6539</v>
      </c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9" t="s">
        <v>6659</v>
      </c>
      <c r="B46" s="9" t="s">
        <v>21</v>
      </c>
      <c r="C46" s="9" t="s">
        <v>19</v>
      </c>
      <c r="D46" s="9" t="s">
        <v>6660</v>
      </c>
      <c r="E46" s="9" t="s">
        <v>19</v>
      </c>
      <c r="F46" s="9">
        <v>6000.0</v>
      </c>
      <c r="G46" s="9" t="s">
        <v>6662</v>
      </c>
      <c r="H46" s="9" t="s">
        <v>6663</v>
      </c>
      <c r="I46" s="9" t="s">
        <v>6662</v>
      </c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9" t="s">
        <v>6665</v>
      </c>
      <c r="B47" s="9" t="s">
        <v>14</v>
      </c>
      <c r="C47" s="9" t="s">
        <v>16</v>
      </c>
      <c r="D47" s="9" t="s">
        <v>6660</v>
      </c>
      <c r="E47" s="9" t="s">
        <v>16</v>
      </c>
      <c r="F47" s="9">
        <v>5000.0</v>
      </c>
      <c r="G47" s="9" t="s">
        <v>6666</v>
      </c>
      <c r="H47" s="9" t="s">
        <v>6560</v>
      </c>
      <c r="I47" s="9" t="s">
        <v>6668</v>
      </c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9" t="s">
        <v>6670</v>
      </c>
      <c r="B48" s="9" t="s">
        <v>23</v>
      </c>
      <c r="C48" s="9" t="s">
        <v>20</v>
      </c>
      <c r="D48" s="9" t="s">
        <v>6660</v>
      </c>
      <c r="E48" s="9" t="s">
        <v>20</v>
      </c>
      <c r="F48" s="9">
        <v>5000.0</v>
      </c>
      <c r="G48" s="9" t="s">
        <v>6644</v>
      </c>
      <c r="H48" s="9" t="s">
        <v>6671</v>
      </c>
      <c r="I48" s="9" t="s">
        <v>6672</v>
      </c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9" t="s">
        <v>6675</v>
      </c>
      <c r="B49" s="9" t="s">
        <v>17</v>
      </c>
      <c r="C49" s="9" t="s">
        <v>11</v>
      </c>
      <c r="D49" s="9" t="s">
        <v>6446</v>
      </c>
      <c r="E49" s="9" t="s">
        <v>11</v>
      </c>
      <c r="F49" s="9">
        <v>5000.0</v>
      </c>
      <c r="G49" s="9" t="s">
        <v>6553</v>
      </c>
      <c r="H49" s="9" t="s">
        <v>6677</v>
      </c>
      <c r="I49" s="9" t="s">
        <v>6553</v>
      </c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9" t="s">
        <v>6680</v>
      </c>
      <c r="B50" s="9" t="s">
        <v>15</v>
      </c>
      <c r="C50" s="9" t="s">
        <v>18</v>
      </c>
      <c r="D50" s="9" t="s">
        <v>6446</v>
      </c>
      <c r="E50" s="9" t="s">
        <v>15</v>
      </c>
      <c r="F50" s="9">
        <v>5000.0</v>
      </c>
      <c r="G50" s="9" t="s">
        <v>6681</v>
      </c>
      <c r="H50" s="9" t="s">
        <v>6682</v>
      </c>
      <c r="I50" s="9" t="s">
        <v>6683</v>
      </c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9" t="s">
        <v>6686</v>
      </c>
      <c r="B51" s="9" t="s">
        <v>22</v>
      </c>
      <c r="C51" s="9" t="s">
        <v>19</v>
      </c>
      <c r="D51" s="9" t="s">
        <v>6688</v>
      </c>
      <c r="E51" s="9" t="s">
        <v>19</v>
      </c>
      <c r="F51" s="9">
        <v>5000.0</v>
      </c>
      <c r="G51" s="9" t="s">
        <v>6604</v>
      </c>
      <c r="H51" s="9" t="s">
        <v>6689</v>
      </c>
      <c r="I51" s="9" t="s">
        <v>6604</v>
      </c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9" t="s">
        <v>6691</v>
      </c>
      <c r="B52" s="9" t="s">
        <v>20</v>
      </c>
      <c r="C52" s="9" t="s">
        <v>13</v>
      </c>
      <c r="D52" s="9" t="s">
        <v>6692</v>
      </c>
      <c r="E52" s="9" t="s">
        <v>20</v>
      </c>
      <c r="F52" s="9">
        <v>5000.0</v>
      </c>
      <c r="G52" s="9" t="s">
        <v>6644</v>
      </c>
      <c r="H52" s="9" t="s">
        <v>6693</v>
      </c>
      <c r="I52" s="9" t="s">
        <v>6694</v>
      </c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9" t="s">
        <v>201</v>
      </c>
      <c r="B53" s="9" t="s">
        <v>9</v>
      </c>
      <c r="C53" s="9" t="s">
        <v>11</v>
      </c>
      <c r="D53" s="9" t="s">
        <v>6692</v>
      </c>
      <c r="E53" s="9" t="s">
        <v>9</v>
      </c>
      <c r="F53" s="9">
        <v>5000.0</v>
      </c>
      <c r="G53" s="9" t="s">
        <v>6695</v>
      </c>
      <c r="H53" s="9" t="s">
        <v>6695</v>
      </c>
      <c r="I53" s="9" t="s">
        <v>6695</v>
      </c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9" t="s">
        <v>6696</v>
      </c>
      <c r="B54" s="9" t="s">
        <v>17</v>
      </c>
      <c r="C54" s="9" t="s">
        <v>16</v>
      </c>
      <c r="D54" s="9" t="s">
        <v>6692</v>
      </c>
      <c r="E54" s="9" t="s">
        <v>16</v>
      </c>
      <c r="F54" s="9">
        <v>5000.0</v>
      </c>
      <c r="G54" s="9" t="s">
        <v>6666</v>
      </c>
      <c r="H54" s="9" t="s">
        <v>6697</v>
      </c>
      <c r="I54" s="9" t="s">
        <v>6698</v>
      </c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9" t="s">
        <v>6699</v>
      </c>
      <c r="B55" s="9" t="s">
        <v>18</v>
      </c>
      <c r="C55" s="9" t="s">
        <v>12</v>
      </c>
      <c r="D55" s="9" t="s">
        <v>6692</v>
      </c>
      <c r="E55" s="9" t="s">
        <v>18</v>
      </c>
      <c r="F55" s="9">
        <v>5000.0</v>
      </c>
      <c r="G55" s="9" t="s">
        <v>6700</v>
      </c>
      <c r="H55" s="9" t="s">
        <v>6701</v>
      </c>
      <c r="I55" s="9" t="s">
        <v>6700</v>
      </c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9" t="s">
        <v>6702</v>
      </c>
      <c r="B56" s="9" t="s">
        <v>19</v>
      </c>
      <c r="C56" s="9" t="s">
        <v>22</v>
      </c>
      <c r="D56" s="9" t="s">
        <v>6703</v>
      </c>
      <c r="E56" s="9" t="s">
        <v>19</v>
      </c>
      <c r="F56" s="9">
        <v>5000.0</v>
      </c>
      <c r="G56" s="9" t="s">
        <v>6521</v>
      </c>
      <c r="H56" s="9" t="s">
        <v>6704</v>
      </c>
      <c r="I56" s="9" t="s">
        <v>6705</v>
      </c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9" t="s">
        <v>236</v>
      </c>
      <c r="B57" s="9" t="s">
        <v>11</v>
      </c>
      <c r="C57" s="9" t="s">
        <v>9</v>
      </c>
      <c r="D57" s="9" t="s">
        <v>6706</v>
      </c>
      <c r="E57" s="9" t="s">
        <v>9</v>
      </c>
      <c r="F57" s="9">
        <v>5000.0</v>
      </c>
      <c r="G57" s="9" t="s">
        <v>6568</v>
      </c>
      <c r="H57" s="9" t="s">
        <v>6707</v>
      </c>
      <c r="I57" s="9" t="s">
        <v>6568</v>
      </c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9" t="s">
        <v>6708</v>
      </c>
      <c r="B58" s="9" t="s">
        <v>23</v>
      </c>
      <c r="C58" s="9" t="s">
        <v>21</v>
      </c>
      <c r="D58" s="9" t="s">
        <v>6706</v>
      </c>
      <c r="E58" s="9" t="s">
        <v>23</v>
      </c>
      <c r="F58" s="9">
        <v>6000.0</v>
      </c>
      <c r="G58" s="9" t="s">
        <v>6709</v>
      </c>
      <c r="H58" s="9" t="s">
        <v>3134</v>
      </c>
      <c r="I58" s="9" t="s">
        <v>6709</v>
      </c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9" t="s">
        <v>6710</v>
      </c>
      <c r="B59" s="9" t="s">
        <v>18</v>
      </c>
      <c r="C59" s="9" t="s">
        <v>16</v>
      </c>
      <c r="D59" s="9" t="s">
        <v>6706</v>
      </c>
      <c r="E59" s="9" t="s">
        <v>16</v>
      </c>
      <c r="F59" s="9">
        <v>5000.0</v>
      </c>
      <c r="G59" s="9" t="s">
        <v>6617</v>
      </c>
      <c r="H59" s="9" t="s">
        <v>6598</v>
      </c>
      <c r="I59" s="9" t="s">
        <v>6683</v>
      </c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9" t="s">
        <v>6711</v>
      </c>
      <c r="B60" s="9" t="s">
        <v>12</v>
      </c>
      <c r="C60" s="9" t="s">
        <v>15</v>
      </c>
      <c r="D60" s="9" t="s">
        <v>6706</v>
      </c>
      <c r="E60" s="9" t="s">
        <v>12</v>
      </c>
      <c r="F60" s="9">
        <v>5000.0</v>
      </c>
      <c r="G60" s="9" t="s">
        <v>6712</v>
      </c>
      <c r="H60" s="9" t="s">
        <v>6713</v>
      </c>
      <c r="I60" s="9" t="s">
        <v>6712</v>
      </c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9" t="s">
        <v>6714</v>
      </c>
      <c r="B61" s="9" t="s">
        <v>13</v>
      </c>
      <c r="C61" s="9" t="s">
        <v>20</v>
      </c>
      <c r="D61" s="9" t="s">
        <v>6706</v>
      </c>
      <c r="E61" s="9" t="s">
        <v>20</v>
      </c>
      <c r="F61" s="9">
        <v>5000.0</v>
      </c>
      <c r="G61" s="9" t="s">
        <v>6644</v>
      </c>
      <c r="H61" s="9" t="s">
        <v>6715</v>
      </c>
      <c r="I61" s="9" t="s">
        <v>6644</v>
      </c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9" t="s">
        <v>6716</v>
      </c>
      <c r="B62" s="9" t="s">
        <v>9</v>
      </c>
      <c r="C62" s="9" t="s">
        <v>15</v>
      </c>
      <c r="D62" s="9" t="s">
        <v>6717</v>
      </c>
      <c r="E62" s="9" t="s">
        <v>15</v>
      </c>
      <c r="F62" s="9">
        <v>5000.0</v>
      </c>
      <c r="G62" s="9" t="s">
        <v>6681</v>
      </c>
      <c r="H62" s="9" t="s">
        <v>6718</v>
      </c>
      <c r="I62" s="9" t="s">
        <v>6681</v>
      </c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9" t="s">
        <v>6719</v>
      </c>
      <c r="B63" s="9" t="s">
        <v>11</v>
      </c>
      <c r="C63" s="9" t="s">
        <v>12</v>
      </c>
      <c r="D63" s="9" t="s">
        <v>6720</v>
      </c>
      <c r="E63" s="9" t="s">
        <v>12</v>
      </c>
      <c r="F63" s="9">
        <v>5000.0</v>
      </c>
      <c r="G63" s="9" t="s">
        <v>6712</v>
      </c>
      <c r="H63" s="9" t="s">
        <v>6713</v>
      </c>
      <c r="I63" s="9" t="s">
        <v>6553</v>
      </c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9" t="s">
        <v>271</v>
      </c>
      <c r="B64" s="9" t="s">
        <v>15</v>
      </c>
      <c r="C64" s="9" t="s">
        <v>9</v>
      </c>
      <c r="D64" s="9" t="s">
        <v>6721</v>
      </c>
      <c r="E64" s="9" t="s">
        <v>9</v>
      </c>
      <c r="F64" s="9">
        <v>5000.0</v>
      </c>
      <c r="G64" s="9" t="s">
        <v>6568</v>
      </c>
      <c r="H64" s="9" t="s">
        <v>6583</v>
      </c>
      <c r="I64" s="9" t="s">
        <v>6722</v>
      </c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G66" s="64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4" t="s">
        <v>6484</v>
      </c>
      <c r="G67" s="9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4" t="s">
        <v>6485</v>
      </c>
      <c r="B68" s="14" t="s">
        <v>3269</v>
      </c>
      <c r="C68" s="14" t="s">
        <v>6267</v>
      </c>
      <c r="D68" s="14" t="s">
        <v>6268</v>
      </c>
      <c r="E68" s="14" t="s">
        <v>6486</v>
      </c>
      <c r="F68" s="14" t="s">
        <v>6271</v>
      </c>
      <c r="G68" s="9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6"/>
      <c r="B70" s="16"/>
      <c r="C70" s="16"/>
      <c r="D70" s="16"/>
      <c r="E70" s="16"/>
      <c r="F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6"/>
      <c r="B71" s="16"/>
      <c r="C71" s="16"/>
      <c r="D71" s="16"/>
      <c r="E71" s="16"/>
      <c r="F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6"/>
      <c r="B72" s="16"/>
      <c r="C72" s="16"/>
      <c r="D72" s="16"/>
      <c r="E72" s="16"/>
      <c r="F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4" t="s">
        <v>6723</v>
      </c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4" t="s">
        <v>3269</v>
      </c>
      <c r="B75" s="14" t="s">
        <v>6267</v>
      </c>
      <c r="C75" s="14" t="s">
        <v>6724</v>
      </c>
      <c r="D75" s="14" t="s">
        <v>6489</v>
      </c>
      <c r="E75" s="16"/>
      <c r="F75" s="14" t="s">
        <v>3269</v>
      </c>
      <c r="G75" s="14" t="s">
        <v>6267</v>
      </c>
      <c r="H75" s="14" t="s">
        <v>6724</v>
      </c>
      <c r="I75" s="14" t="s">
        <v>6489</v>
      </c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9" t="s">
        <v>18</v>
      </c>
      <c r="B76" s="9" t="s">
        <v>12</v>
      </c>
      <c r="C76" s="9" t="s">
        <v>6725</v>
      </c>
      <c r="D76" s="16"/>
      <c r="E76" s="16"/>
      <c r="F76" s="9" t="s">
        <v>16</v>
      </c>
      <c r="G76" s="9" t="s">
        <v>18</v>
      </c>
      <c r="H76" s="9" t="s">
        <v>6726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9" t="s">
        <v>18</v>
      </c>
      <c r="B77" s="9" t="s">
        <v>9</v>
      </c>
      <c r="C77" s="9" t="s">
        <v>6726</v>
      </c>
      <c r="D77" s="16"/>
      <c r="E77" s="16"/>
      <c r="F77" s="9" t="s">
        <v>16</v>
      </c>
      <c r="G77" s="9" t="s">
        <v>12</v>
      </c>
      <c r="H77" s="9" t="s">
        <v>6725</v>
      </c>
      <c r="I77" s="9" t="s">
        <v>3141</v>
      </c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9" t="s">
        <v>18</v>
      </c>
      <c r="B78" s="9" t="s">
        <v>21</v>
      </c>
      <c r="C78" s="9" t="s">
        <v>6725</v>
      </c>
      <c r="D78" s="9" t="s">
        <v>6727</v>
      </c>
      <c r="E78" s="16"/>
      <c r="F78" s="9" t="s">
        <v>16</v>
      </c>
      <c r="G78" s="9" t="s">
        <v>9</v>
      </c>
      <c r="H78" s="9" t="s">
        <v>6726</v>
      </c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9" t="s">
        <v>18</v>
      </c>
      <c r="B79" s="9" t="s">
        <v>17</v>
      </c>
      <c r="C79" s="9" t="s">
        <v>6726</v>
      </c>
      <c r="D79" s="16"/>
      <c r="E79" s="16"/>
      <c r="F79" s="9" t="s">
        <v>16</v>
      </c>
      <c r="G79" s="9" t="s">
        <v>21</v>
      </c>
      <c r="H79" s="9" t="s">
        <v>6726</v>
      </c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9" t="s">
        <v>18</v>
      </c>
      <c r="B80" s="9" t="s">
        <v>23</v>
      </c>
      <c r="C80" s="9" t="s">
        <v>6725</v>
      </c>
      <c r="D80" s="9" t="s">
        <v>6436</v>
      </c>
      <c r="E80" s="16"/>
      <c r="F80" s="9" t="s">
        <v>16</v>
      </c>
      <c r="G80" s="9" t="s">
        <v>17</v>
      </c>
      <c r="H80" s="9" t="s">
        <v>6726</v>
      </c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9" t="s">
        <v>18</v>
      </c>
      <c r="B81" s="9" t="s">
        <v>13</v>
      </c>
      <c r="C81" s="9" t="s">
        <v>6725</v>
      </c>
      <c r="D81" s="9" t="s">
        <v>6728</v>
      </c>
      <c r="E81" s="16"/>
      <c r="F81" s="9" t="s">
        <v>16</v>
      </c>
      <c r="G81" s="9" t="s">
        <v>23</v>
      </c>
      <c r="H81" s="9" t="s">
        <v>6726</v>
      </c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9" t="s">
        <v>18</v>
      </c>
      <c r="B82" s="9" t="s">
        <v>16</v>
      </c>
      <c r="C82" s="9" t="s">
        <v>6725</v>
      </c>
      <c r="D82" s="16"/>
      <c r="E82" s="16"/>
      <c r="F82" s="9" t="s">
        <v>16</v>
      </c>
      <c r="G82" s="9" t="s">
        <v>13</v>
      </c>
      <c r="H82" s="9" t="s">
        <v>6725</v>
      </c>
      <c r="I82" s="9" t="s">
        <v>6729</v>
      </c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9" t="s">
        <v>18</v>
      </c>
      <c r="B83" s="9" t="s">
        <v>19</v>
      </c>
      <c r="C83" s="9" t="s">
        <v>6726</v>
      </c>
      <c r="D83" s="16"/>
      <c r="E83" s="16"/>
      <c r="F83" s="9" t="s">
        <v>16</v>
      </c>
      <c r="G83" s="9" t="s">
        <v>19</v>
      </c>
      <c r="H83" s="9" t="s">
        <v>6725</v>
      </c>
      <c r="I83" s="9" t="s">
        <v>6733</v>
      </c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9" t="s">
        <v>18</v>
      </c>
      <c r="B84" s="9" t="s">
        <v>15</v>
      </c>
      <c r="C84" s="9" t="s">
        <v>6725</v>
      </c>
      <c r="D84" s="9" t="s">
        <v>3133</v>
      </c>
      <c r="E84" s="16"/>
      <c r="F84" s="9" t="s">
        <v>16</v>
      </c>
      <c r="G84" s="9" t="s">
        <v>15</v>
      </c>
      <c r="H84" s="9" t="s">
        <v>6726</v>
      </c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9" t="s">
        <v>18</v>
      </c>
      <c r="B85" s="9" t="s">
        <v>14</v>
      </c>
      <c r="C85" s="9" t="s">
        <v>6725</v>
      </c>
      <c r="D85" s="9" t="s">
        <v>6736</v>
      </c>
      <c r="E85" s="16"/>
      <c r="F85" s="9" t="s">
        <v>16</v>
      </c>
      <c r="G85" s="9" t="s">
        <v>14</v>
      </c>
      <c r="H85" s="9" t="s">
        <v>6726</v>
      </c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9" t="s">
        <v>18</v>
      </c>
      <c r="B86" s="9" t="s">
        <v>11</v>
      </c>
      <c r="C86" s="9" t="s">
        <v>6726</v>
      </c>
      <c r="D86" s="16"/>
      <c r="E86" s="16"/>
      <c r="F86" s="9" t="s">
        <v>16</v>
      </c>
      <c r="G86" s="9" t="s">
        <v>11</v>
      </c>
      <c r="H86" s="9" t="s">
        <v>6725</v>
      </c>
      <c r="I86" s="9" t="s">
        <v>6438</v>
      </c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9" t="s">
        <v>18</v>
      </c>
      <c r="B87" s="9" t="s">
        <v>22</v>
      </c>
      <c r="C87" s="9" t="s">
        <v>6726</v>
      </c>
      <c r="D87" s="16"/>
      <c r="E87" s="16"/>
      <c r="F87" s="9" t="s">
        <v>16</v>
      </c>
      <c r="G87" s="9" t="s">
        <v>22</v>
      </c>
      <c r="H87" s="9" t="s">
        <v>6726</v>
      </c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9" t="s">
        <v>18</v>
      </c>
      <c r="B88" s="9" t="s">
        <v>20</v>
      </c>
      <c r="C88" s="9" t="s">
        <v>6726</v>
      </c>
      <c r="D88" s="16"/>
      <c r="E88" s="16"/>
      <c r="F88" s="9" t="s">
        <v>16</v>
      </c>
      <c r="G88" s="9" t="s">
        <v>20</v>
      </c>
      <c r="H88" s="9" t="s">
        <v>6726</v>
      </c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9" t="s">
        <v>12</v>
      </c>
      <c r="B89" s="9" t="s">
        <v>18</v>
      </c>
      <c r="C89" s="9" t="s">
        <v>6726</v>
      </c>
      <c r="D89" s="16"/>
      <c r="E89" s="16"/>
      <c r="F89" s="9" t="s">
        <v>19</v>
      </c>
      <c r="G89" s="9" t="s">
        <v>18</v>
      </c>
      <c r="H89" s="9" t="s">
        <v>6726</v>
      </c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9" t="s">
        <v>12</v>
      </c>
      <c r="B90" s="9" t="s">
        <v>9</v>
      </c>
      <c r="C90" s="9" t="s">
        <v>6725</v>
      </c>
      <c r="D90" s="9" t="s">
        <v>3140</v>
      </c>
      <c r="E90" s="16"/>
      <c r="F90" s="9" t="s">
        <v>19</v>
      </c>
      <c r="G90" s="9" t="s">
        <v>12</v>
      </c>
      <c r="H90" s="9" t="s">
        <v>6726</v>
      </c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9" t="s">
        <v>12</v>
      </c>
      <c r="B91" s="9" t="s">
        <v>21</v>
      </c>
      <c r="C91" s="9" t="s">
        <v>6725</v>
      </c>
      <c r="D91" s="9" t="s">
        <v>6749</v>
      </c>
      <c r="E91" s="16"/>
      <c r="F91" s="9" t="s">
        <v>19</v>
      </c>
      <c r="G91" s="9" t="s">
        <v>9</v>
      </c>
      <c r="H91" s="9" t="s">
        <v>6725</v>
      </c>
      <c r="I91" s="9" t="s">
        <v>6436</v>
      </c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9" t="s">
        <v>12</v>
      </c>
      <c r="B92" s="9" t="s">
        <v>17</v>
      </c>
      <c r="C92" s="9" t="s">
        <v>6725</v>
      </c>
      <c r="D92" s="9" t="s">
        <v>6391</v>
      </c>
      <c r="E92" s="16"/>
      <c r="F92" s="9" t="s">
        <v>19</v>
      </c>
      <c r="G92" s="9" t="s">
        <v>21</v>
      </c>
      <c r="H92" s="9" t="s">
        <v>6726</v>
      </c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9" t="s">
        <v>12</v>
      </c>
      <c r="B93" s="9" t="s">
        <v>23</v>
      </c>
      <c r="C93" s="9" t="s">
        <v>6725</v>
      </c>
      <c r="D93" s="9" t="s">
        <v>3799</v>
      </c>
      <c r="E93" s="16"/>
      <c r="F93" s="9" t="s">
        <v>19</v>
      </c>
      <c r="G93" s="9" t="s">
        <v>17</v>
      </c>
      <c r="H93" s="9" t="s">
        <v>6726</v>
      </c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9" t="s">
        <v>12</v>
      </c>
      <c r="B94" s="9" t="s">
        <v>13</v>
      </c>
      <c r="C94" s="9" t="s">
        <v>6725</v>
      </c>
      <c r="D94" s="9" t="s">
        <v>6736</v>
      </c>
      <c r="E94" s="16"/>
      <c r="F94" s="9" t="s">
        <v>19</v>
      </c>
      <c r="G94" s="9" t="s">
        <v>23</v>
      </c>
      <c r="H94" s="9" t="s">
        <v>6725</v>
      </c>
      <c r="I94" s="9" t="s">
        <v>3614</v>
      </c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9" t="s">
        <v>12</v>
      </c>
      <c r="B95" s="9" t="s">
        <v>16</v>
      </c>
      <c r="C95" s="9" t="s">
        <v>6726</v>
      </c>
      <c r="D95" s="16"/>
      <c r="E95" s="16"/>
      <c r="F95" s="9" t="s">
        <v>19</v>
      </c>
      <c r="G95" s="9" t="s">
        <v>13</v>
      </c>
      <c r="H95" s="9" t="s">
        <v>6726</v>
      </c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9" t="s">
        <v>12</v>
      </c>
      <c r="B96" s="9" t="s">
        <v>19</v>
      </c>
      <c r="C96" s="9" t="s">
        <v>6726</v>
      </c>
      <c r="D96" s="16"/>
      <c r="E96" s="16"/>
      <c r="F96" s="9" t="s">
        <v>19</v>
      </c>
      <c r="G96" s="9" t="s">
        <v>16</v>
      </c>
      <c r="H96" s="9" t="s">
        <v>6725</v>
      </c>
      <c r="I96" s="9" t="s">
        <v>6750</v>
      </c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9" t="s">
        <v>12</v>
      </c>
      <c r="B97" s="9" t="s">
        <v>15</v>
      </c>
      <c r="C97" s="9" t="s">
        <v>6725</v>
      </c>
      <c r="D97" s="16"/>
      <c r="E97" s="16"/>
      <c r="F97" s="9" t="s">
        <v>19</v>
      </c>
      <c r="G97" s="9" t="s">
        <v>15</v>
      </c>
      <c r="H97" s="9" t="s">
        <v>6726</v>
      </c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9" t="s">
        <v>12</v>
      </c>
      <c r="B98" s="9" t="s">
        <v>14</v>
      </c>
      <c r="C98" s="9" t="s">
        <v>6725</v>
      </c>
      <c r="D98" s="9" t="s">
        <v>3840</v>
      </c>
      <c r="E98" s="16"/>
      <c r="F98" s="9" t="s">
        <v>19</v>
      </c>
      <c r="G98" s="9" t="s">
        <v>14</v>
      </c>
      <c r="H98" s="9" t="s">
        <v>6725</v>
      </c>
      <c r="I98" s="9" t="s">
        <v>3180</v>
      </c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9" t="s">
        <v>12</v>
      </c>
      <c r="B99" s="9" t="s">
        <v>11</v>
      </c>
      <c r="C99" s="9" t="s">
        <v>6725</v>
      </c>
      <c r="D99" s="9" t="s">
        <v>6751</v>
      </c>
      <c r="E99" s="16"/>
      <c r="F99" s="9" t="s">
        <v>19</v>
      </c>
      <c r="G99" s="9" t="s">
        <v>11</v>
      </c>
      <c r="H99" s="9" t="s">
        <v>6725</v>
      </c>
      <c r="I99" s="9" t="s">
        <v>6736</v>
      </c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9" t="s">
        <v>12</v>
      </c>
      <c r="B100" s="9" t="s">
        <v>22</v>
      </c>
      <c r="C100" s="9" t="s">
        <v>6726</v>
      </c>
      <c r="D100" s="16"/>
      <c r="E100" s="16"/>
      <c r="F100" s="9" t="s">
        <v>19</v>
      </c>
      <c r="G100" s="9" t="s">
        <v>22</v>
      </c>
      <c r="H100" s="9" t="s">
        <v>6725</v>
      </c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9" t="s">
        <v>12</v>
      </c>
      <c r="B101" s="9" t="s">
        <v>20</v>
      </c>
      <c r="C101" s="9" t="s">
        <v>6726</v>
      </c>
      <c r="D101" s="16"/>
      <c r="E101" s="16"/>
      <c r="F101" s="9" t="s">
        <v>19</v>
      </c>
      <c r="G101" s="9" t="s">
        <v>20</v>
      </c>
      <c r="H101" s="9" t="s">
        <v>6726</v>
      </c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9" t="s">
        <v>9</v>
      </c>
      <c r="B102" s="9" t="s">
        <v>18</v>
      </c>
      <c r="C102" s="9" t="s">
        <v>6726</v>
      </c>
      <c r="D102" s="16"/>
      <c r="E102" s="16"/>
      <c r="F102" s="9" t="s">
        <v>15</v>
      </c>
      <c r="G102" s="9" t="s">
        <v>18</v>
      </c>
      <c r="H102" s="9" t="s">
        <v>6725</v>
      </c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9" t="s">
        <v>9</v>
      </c>
      <c r="B103" s="9" t="s">
        <v>12</v>
      </c>
      <c r="C103" s="9" t="s">
        <v>6725</v>
      </c>
      <c r="D103" s="9" t="s">
        <v>3115</v>
      </c>
      <c r="E103" s="16"/>
      <c r="F103" s="9" t="s">
        <v>15</v>
      </c>
      <c r="G103" s="9" t="s">
        <v>12</v>
      </c>
      <c r="H103" s="9" t="s">
        <v>6726</v>
      </c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9" t="s">
        <v>9</v>
      </c>
      <c r="B104" s="9" t="s">
        <v>21</v>
      </c>
      <c r="C104" s="9" t="s">
        <v>6726</v>
      </c>
      <c r="D104" s="16"/>
      <c r="E104" s="16"/>
      <c r="F104" s="9" t="s">
        <v>15</v>
      </c>
      <c r="G104" s="9" t="s">
        <v>9</v>
      </c>
      <c r="H104" s="9" t="s">
        <v>6725</v>
      </c>
      <c r="I104" s="9" t="s">
        <v>5904</v>
      </c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9" t="s">
        <v>9</v>
      </c>
      <c r="B105" s="9" t="s">
        <v>17</v>
      </c>
      <c r="C105" s="9" t="s">
        <v>6725</v>
      </c>
      <c r="D105" s="9" t="s">
        <v>6733</v>
      </c>
      <c r="E105" s="16"/>
      <c r="F105" s="9" t="s">
        <v>15</v>
      </c>
      <c r="G105" s="9" t="s">
        <v>21</v>
      </c>
      <c r="H105" s="9" t="s">
        <v>6725</v>
      </c>
      <c r="I105" s="9" t="s">
        <v>6736</v>
      </c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9" t="s">
        <v>9</v>
      </c>
      <c r="B106" s="9" t="s">
        <v>23</v>
      </c>
      <c r="C106" s="9" t="s">
        <v>6726</v>
      </c>
      <c r="D106" s="16"/>
      <c r="E106" s="16"/>
      <c r="F106" s="9" t="s">
        <v>15</v>
      </c>
      <c r="G106" s="9" t="s">
        <v>17</v>
      </c>
      <c r="H106" s="9" t="s">
        <v>6726</v>
      </c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9" t="s">
        <v>9</v>
      </c>
      <c r="B107" s="9" t="s">
        <v>13</v>
      </c>
      <c r="C107" s="9" t="s">
        <v>6726</v>
      </c>
      <c r="D107" s="16"/>
      <c r="E107" s="16"/>
      <c r="F107" s="9" t="s">
        <v>15</v>
      </c>
      <c r="G107" s="9" t="s">
        <v>23</v>
      </c>
      <c r="H107" s="9" t="s">
        <v>6726</v>
      </c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9" t="s">
        <v>9</v>
      </c>
      <c r="B108" s="9" t="s">
        <v>16</v>
      </c>
      <c r="C108" s="9" t="s">
        <v>6726</v>
      </c>
      <c r="D108" s="16"/>
      <c r="E108" s="16"/>
      <c r="F108" s="9" t="s">
        <v>15</v>
      </c>
      <c r="G108" s="9" t="s">
        <v>13</v>
      </c>
      <c r="H108" s="9" t="s">
        <v>6725</v>
      </c>
      <c r="I108" s="9" t="s">
        <v>6733</v>
      </c>
      <c r="J108" s="16"/>
      <c r="K108" s="9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9" t="s">
        <v>9</v>
      </c>
      <c r="B109" s="9" t="s">
        <v>19</v>
      </c>
      <c r="C109" s="9" t="s">
        <v>6725</v>
      </c>
      <c r="D109" s="9" t="s">
        <v>6757</v>
      </c>
      <c r="E109" s="16"/>
      <c r="F109" s="9" t="s">
        <v>15</v>
      </c>
      <c r="G109" s="9" t="s">
        <v>19</v>
      </c>
      <c r="H109" s="9" t="s">
        <v>6725</v>
      </c>
      <c r="I109" s="9" t="s">
        <v>4380</v>
      </c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9" t="s">
        <v>9</v>
      </c>
      <c r="B110" s="9" t="s">
        <v>15</v>
      </c>
      <c r="C110" s="9" t="s">
        <v>6725</v>
      </c>
      <c r="D110" s="9" t="s">
        <v>5880</v>
      </c>
      <c r="E110" s="16"/>
      <c r="F110" s="9" t="s">
        <v>15</v>
      </c>
      <c r="G110" s="9" t="s">
        <v>16</v>
      </c>
      <c r="H110" s="9" t="s">
        <v>6726</v>
      </c>
      <c r="I110" s="16"/>
      <c r="J110" s="16"/>
      <c r="K110" s="14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9" t="s">
        <v>9</v>
      </c>
      <c r="B111" s="9" t="s">
        <v>14</v>
      </c>
      <c r="C111" s="9" t="s">
        <v>6726</v>
      </c>
      <c r="D111" s="16"/>
      <c r="E111" s="16"/>
      <c r="F111" s="9" t="s">
        <v>15</v>
      </c>
      <c r="G111" s="9" t="s">
        <v>14</v>
      </c>
      <c r="H111" s="9" t="s">
        <v>6726</v>
      </c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9" t="s">
        <v>9</v>
      </c>
      <c r="B112" s="9" t="s">
        <v>11</v>
      </c>
      <c r="C112" s="9" t="s">
        <v>6725</v>
      </c>
      <c r="D112" s="16"/>
      <c r="E112" s="16"/>
      <c r="F112" s="9" t="s">
        <v>15</v>
      </c>
      <c r="G112" s="9" t="s">
        <v>11</v>
      </c>
      <c r="H112" s="9" t="s">
        <v>6726</v>
      </c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9" t="s">
        <v>9</v>
      </c>
      <c r="B113" s="9" t="s">
        <v>22</v>
      </c>
      <c r="C113" s="9" t="s">
        <v>6726</v>
      </c>
      <c r="D113" s="16"/>
      <c r="E113" s="16"/>
      <c r="F113" s="9" t="s">
        <v>15</v>
      </c>
      <c r="G113" s="9" t="s">
        <v>22</v>
      </c>
      <c r="H113" s="9" t="s">
        <v>6726</v>
      </c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9" t="s">
        <v>9</v>
      </c>
      <c r="B114" s="9" t="s">
        <v>20</v>
      </c>
      <c r="C114" s="9" t="s">
        <v>6726</v>
      </c>
      <c r="D114" s="16"/>
      <c r="E114" s="16"/>
      <c r="F114" s="9" t="s">
        <v>15</v>
      </c>
      <c r="G114" s="9" t="s">
        <v>20</v>
      </c>
      <c r="H114" s="9" t="s">
        <v>6726</v>
      </c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9" t="s">
        <v>21</v>
      </c>
      <c r="B115" s="9" t="s">
        <v>18</v>
      </c>
      <c r="C115" s="9" t="s">
        <v>6725</v>
      </c>
      <c r="D115" s="9" t="s">
        <v>6751</v>
      </c>
      <c r="E115" s="16"/>
      <c r="F115" s="9" t="s">
        <v>14</v>
      </c>
      <c r="G115" s="9" t="s">
        <v>18</v>
      </c>
      <c r="H115" s="9" t="s">
        <v>6726</v>
      </c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9" t="s">
        <v>21</v>
      </c>
      <c r="B116" s="9" t="s">
        <v>12</v>
      </c>
      <c r="C116" s="9" t="s">
        <v>6726</v>
      </c>
      <c r="D116" s="16"/>
      <c r="E116" s="16"/>
      <c r="F116" s="9" t="s">
        <v>14</v>
      </c>
      <c r="G116" s="9" t="s">
        <v>12</v>
      </c>
      <c r="H116" s="9" t="s">
        <v>6726</v>
      </c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9" t="s">
        <v>21</v>
      </c>
      <c r="B117" s="9" t="s">
        <v>9</v>
      </c>
      <c r="C117" s="9" t="s">
        <v>6726</v>
      </c>
      <c r="D117" s="16"/>
      <c r="E117" s="16"/>
      <c r="F117" s="9" t="s">
        <v>14</v>
      </c>
      <c r="G117" s="9" t="s">
        <v>9</v>
      </c>
      <c r="H117" s="9" t="s">
        <v>6726</v>
      </c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9" t="s">
        <v>21</v>
      </c>
      <c r="B118" s="9" t="s">
        <v>17</v>
      </c>
      <c r="C118" s="9" t="s">
        <v>6726</v>
      </c>
      <c r="D118" s="16"/>
      <c r="E118" s="16"/>
      <c r="F118" s="9" t="s">
        <v>14</v>
      </c>
      <c r="G118" s="9" t="s">
        <v>21</v>
      </c>
      <c r="H118" s="9" t="s">
        <v>6726</v>
      </c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9" t="s">
        <v>21</v>
      </c>
      <c r="B119" s="9" t="s">
        <v>23</v>
      </c>
      <c r="C119" s="9" t="s">
        <v>6725</v>
      </c>
      <c r="D119" s="9" t="s">
        <v>3141</v>
      </c>
      <c r="E119" s="16"/>
      <c r="F119" s="9" t="s">
        <v>14</v>
      </c>
      <c r="G119" s="9" t="s">
        <v>17</v>
      </c>
      <c r="H119" s="9" t="s">
        <v>6726</v>
      </c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9" t="s">
        <v>21</v>
      </c>
      <c r="B120" s="9" t="s">
        <v>13</v>
      </c>
      <c r="C120" s="9" t="s">
        <v>6726</v>
      </c>
      <c r="D120" s="16"/>
      <c r="E120" s="16"/>
      <c r="F120" s="9" t="s">
        <v>14</v>
      </c>
      <c r="G120" s="9" t="s">
        <v>23</v>
      </c>
      <c r="H120" s="9" t="s">
        <v>6726</v>
      </c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9" t="s">
        <v>21</v>
      </c>
      <c r="B121" s="9" t="s">
        <v>16</v>
      </c>
      <c r="C121" s="9" t="s">
        <v>6726</v>
      </c>
      <c r="D121" s="16"/>
      <c r="E121" s="16"/>
      <c r="F121" s="9" t="s">
        <v>14</v>
      </c>
      <c r="G121" s="9" t="s">
        <v>13</v>
      </c>
      <c r="H121" s="9" t="s">
        <v>6726</v>
      </c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9" t="s">
        <v>21</v>
      </c>
      <c r="B122" s="9" t="s">
        <v>19</v>
      </c>
      <c r="C122" s="9" t="s">
        <v>6725</v>
      </c>
      <c r="D122" s="9" t="s">
        <v>4527</v>
      </c>
      <c r="E122" s="16"/>
      <c r="F122" s="9" t="s">
        <v>14</v>
      </c>
      <c r="G122" s="9" t="s">
        <v>19</v>
      </c>
      <c r="H122" s="9" t="s">
        <v>6725</v>
      </c>
      <c r="I122" s="9" t="s">
        <v>3686</v>
      </c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9" t="s">
        <v>21</v>
      </c>
      <c r="B123" s="9" t="s">
        <v>15</v>
      </c>
      <c r="C123" s="9" t="s">
        <v>6726</v>
      </c>
      <c r="D123" s="16"/>
      <c r="E123" s="16"/>
      <c r="F123" s="9" t="s">
        <v>14</v>
      </c>
      <c r="G123" s="9" t="s">
        <v>15</v>
      </c>
      <c r="H123" s="9" t="s">
        <v>6726</v>
      </c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9" t="s">
        <v>21</v>
      </c>
      <c r="B124" s="9" t="s">
        <v>14</v>
      </c>
      <c r="C124" s="9" t="s">
        <v>6726</v>
      </c>
      <c r="D124" s="16"/>
      <c r="E124" s="16"/>
      <c r="F124" s="9" t="s">
        <v>14</v>
      </c>
      <c r="G124" s="9" t="s">
        <v>16</v>
      </c>
      <c r="H124" s="9" t="s">
        <v>6725</v>
      </c>
      <c r="I124" s="9" t="s">
        <v>4527</v>
      </c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9" t="s">
        <v>21</v>
      </c>
      <c r="B125" s="9" t="s">
        <v>11</v>
      </c>
      <c r="C125" s="9" t="s">
        <v>6726</v>
      </c>
      <c r="D125" s="16"/>
      <c r="E125" s="16"/>
      <c r="F125" s="9" t="s">
        <v>14</v>
      </c>
      <c r="G125" s="9" t="s">
        <v>11</v>
      </c>
      <c r="H125" s="9" t="s">
        <v>6726</v>
      </c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9" t="s">
        <v>21</v>
      </c>
      <c r="B126" s="9" t="s">
        <v>22</v>
      </c>
      <c r="C126" s="9" t="s">
        <v>6726</v>
      </c>
      <c r="D126" s="16"/>
      <c r="E126" s="16"/>
      <c r="F126" s="9" t="s">
        <v>14</v>
      </c>
      <c r="G126" s="9" t="s">
        <v>22</v>
      </c>
      <c r="H126" s="9" t="s">
        <v>6726</v>
      </c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9" t="s">
        <v>21</v>
      </c>
      <c r="B127" s="9" t="s">
        <v>20</v>
      </c>
      <c r="C127" s="9" t="s">
        <v>6726</v>
      </c>
      <c r="D127" s="16"/>
      <c r="E127" s="16"/>
      <c r="F127" s="9" t="s">
        <v>14</v>
      </c>
      <c r="G127" s="9" t="s">
        <v>20</v>
      </c>
      <c r="H127" s="9" t="s">
        <v>6726</v>
      </c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9" t="s">
        <v>17</v>
      </c>
      <c r="B128" s="9" t="s">
        <v>18</v>
      </c>
      <c r="C128" s="9" t="s">
        <v>6726</v>
      </c>
      <c r="D128" s="16"/>
      <c r="E128" s="16"/>
      <c r="F128" s="9" t="s">
        <v>11</v>
      </c>
      <c r="G128" s="9" t="s">
        <v>18</v>
      </c>
      <c r="H128" s="9" t="s">
        <v>6726</v>
      </c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9" t="s">
        <v>17</v>
      </c>
      <c r="B129" s="9" t="s">
        <v>12</v>
      </c>
      <c r="C129" s="9" t="s">
        <v>6726</v>
      </c>
      <c r="D129" s="16"/>
      <c r="E129" s="16"/>
      <c r="F129" s="9" t="s">
        <v>11</v>
      </c>
      <c r="G129" s="9" t="s">
        <v>12</v>
      </c>
      <c r="H129" s="9" t="s">
        <v>6725</v>
      </c>
      <c r="I129" s="9" t="s">
        <v>5889</v>
      </c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9" t="s">
        <v>17</v>
      </c>
      <c r="B130" s="9" t="s">
        <v>9</v>
      </c>
      <c r="C130" s="9" t="s">
        <v>6725</v>
      </c>
      <c r="D130" s="9" t="s">
        <v>6764</v>
      </c>
      <c r="E130" s="16"/>
      <c r="F130" s="9" t="s">
        <v>11</v>
      </c>
      <c r="G130" s="9" t="s">
        <v>9</v>
      </c>
      <c r="H130" s="9" t="s">
        <v>6725</v>
      </c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9" t="s">
        <v>17</v>
      </c>
      <c r="B131" s="9" t="s">
        <v>21</v>
      </c>
      <c r="C131" s="9" t="s">
        <v>6726</v>
      </c>
      <c r="D131" s="16"/>
      <c r="E131" s="16"/>
      <c r="F131" s="9" t="s">
        <v>11</v>
      </c>
      <c r="G131" s="9" t="s">
        <v>21</v>
      </c>
      <c r="H131" s="9" t="s">
        <v>6726</v>
      </c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9" t="s">
        <v>17</v>
      </c>
      <c r="B132" s="9" t="s">
        <v>23</v>
      </c>
      <c r="C132" s="9" t="s">
        <v>6726</v>
      </c>
      <c r="D132" s="16"/>
      <c r="E132" s="16"/>
      <c r="F132" s="9" t="s">
        <v>11</v>
      </c>
      <c r="G132" s="9" t="s">
        <v>17</v>
      </c>
      <c r="H132" s="9" t="s">
        <v>6725</v>
      </c>
      <c r="I132" s="9" t="s">
        <v>3141</v>
      </c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9" t="s">
        <v>17</v>
      </c>
      <c r="B133" s="9" t="s">
        <v>13</v>
      </c>
      <c r="C133" s="9" t="s">
        <v>6726</v>
      </c>
      <c r="D133" s="16"/>
      <c r="E133" s="16"/>
      <c r="F133" s="9" t="s">
        <v>11</v>
      </c>
      <c r="G133" s="9" t="s">
        <v>23</v>
      </c>
      <c r="H133" s="9" t="s">
        <v>6725</v>
      </c>
      <c r="I133" s="9" t="s">
        <v>3589</v>
      </c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9" t="s">
        <v>17</v>
      </c>
      <c r="B134" s="9" t="s">
        <v>16</v>
      </c>
      <c r="C134" s="9" t="s">
        <v>6725</v>
      </c>
      <c r="D134" s="16"/>
      <c r="E134" s="16"/>
      <c r="F134" s="9" t="s">
        <v>11</v>
      </c>
      <c r="G134" s="9" t="s">
        <v>13</v>
      </c>
      <c r="H134" s="9" t="s">
        <v>6726</v>
      </c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9" t="s">
        <v>17</v>
      </c>
      <c r="B135" s="9" t="s">
        <v>19</v>
      </c>
      <c r="C135" s="9" t="s">
        <v>6726</v>
      </c>
      <c r="D135" s="16"/>
      <c r="E135" s="16"/>
      <c r="F135" s="9" t="s">
        <v>11</v>
      </c>
      <c r="G135" s="9" t="s">
        <v>19</v>
      </c>
      <c r="H135" s="9" t="s">
        <v>6725</v>
      </c>
      <c r="I135" s="9" t="s">
        <v>6727</v>
      </c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9" t="s">
        <v>17</v>
      </c>
      <c r="B136" s="9" t="s">
        <v>15</v>
      </c>
      <c r="C136" s="9" t="s">
        <v>6726</v>
      </c>
      <c r="D136" s="16"/>
      <c r="E136" s="16"/>
      <c r="F136" s="9" t="s">
        <v>11</v>
      </c>
      <c r="G136" s="9" t="s">
        <v>15</v>
      </c>
      <c r="H136" s="9" t="s">
        <v>6725</v>
      </c>
      <c r="I136" s="9" t="s">
        <v>6729</v>
      </c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9" t="s">
        <v>17</v>
      </c>
      <c r="B137" s="9" t="s">
        <v>14</v>
      </c>
      <c r="C137" s="9" t="s">
        <v>6726</v>
      </c>
      <c r="D137" s="16"/>
      <c r="E137" s="16"/>
      <c r="F137" s="9" t="s">
        <v>11</v>
      </c>
      <c r="G137" s="9" t="s">
        <v>16</v>
      </c>
      <c r="H137" s="9" t="s">
        <v>6725</v>
      </c>
      <c r="I137" s="9" t="s">
        <v>3133</v>
      </c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9" t="s">
        <v>17</v>
      </c>
      <c r="B138" s="9" t="s">
        <v>11</v>
      </c>
      <c r="C138" s="9" t="s">
        <v>6725</v>
      </c>
      <c r="D138" s="16"/>
      <c r="E138" s="16"/>
      <c r="F138" s="9" t="s">
        <v>11</v>
      </c>
      <c r="G138" s="9" t="s">
        <v>14</v>
      </c>
      <c r="H138" s="9" t="s">
        <v>6726</v>
      </c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9" t="s">
        <v>17</v>
      </c>
      <c r="B139" s="9" t="s">
        <v>22</v>
      </c>
      <c r="C139" s="9" t="s">
        <v>6726</v>
      </c>
      <c r="D139" s="16"/>
      <c r="E139" s="16"/>
      <c r="F139" s="9" t="s">
        <v>11</v>
      </c>
      <c r="G139" s="9" t="s">
        <v>22</v>
      </c>
      <c r="H139" s="9" t="s">
        <v>6726</v>
      </c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9" t="s">
        <v>17</v>
      </c>
      <c r="B140" s="9" t="s">
        <v>20</v>
      </c>
      <c r="C140" s="9" t="s">
        <v>6726</v>
      </c>
      <c r="D140" s="16"/>
      <c r="E140" s="16"/>
      <c r="F140" s="9" t="s">
        <v>11</v>
      </c>
      <c r="G140" s="9" t="s">
        <v>20</v>
      </c>
      <c r="H140" s="9" t="s">
        <v>6726</v>
      </c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9" t="s">
        <v>23</v>
      </c>
      <c r="B141" s="9" t="s">
        <v>18</v>
      </c>
      <c r="C141" s="9" t="s">
        <v>6726</v>
      </c>
      <c r="D141" s="16"/>
      <c r="E141" s="16"/>
      <c r="F141" s="9" t="s">
        <v>13</v>
      </c>
      <c r="G141" s="9" t="s">
        <v>18</v>
      </c>
      <c r="H141" s="9" t="s">
        <v>6726</v>
      </c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9" t="s">
        <v>23</v>
      </c>
      <c r="B142" s="9" t="s">
        <v>12</v>
      </c>
      <c r="C142" s="9" t="s">
        <v>6726</v>
      </c>
      <c r="D142" s="16"/>
      <c r="E142" s="16"/>
      <c r="F142" s="9" t="s">
        <v>13</v>
      </c>
      <c r="G142" s="9" t="s">
        <v>12</v>
      </c>
      <c r="H142" s="9" t="s">
        <v>6726</v>
      </c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9" t="s">
        <v>23</v>
      </c>
      <c r="B143" s="9" t="s">
        <v>9</v>
      </c>
      <c r="C143" s="9" t="s">
        <v>6726</v>
      </c>
      <c r="D143" s="16"/>
      <c r="E143" s="16"/>
      <c r="F143" s="9" t="s">
        <v>13</v>
      </c>
      <c r="G143" s="9" t="s">
        <v>9</v>
      </c>
      <c r="H143" s="9" t="s">
        <v>6726</v>
      </c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9" t="s">
        <v>23</v>
      </c>
      <c r="B144" s="9" t="s">
        <v>21</v>
      </c>
      <c r="C144" s="9" t="s">
        <v>6725</v>
      </c>
      <c r="D144" s="9" t="s">
        <v>6784</v>
      </c>
      <c r="E144" s="16"/>
      <c r="F144" s="9" t="s">
        <v>13</v>
      </c>
      <c r="G144" s="9" t="s">
        <v>21</v>
      </c>
      <c r="H144" s="9" t="s">
        <v>6726</v>
      </c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9" t="s">
        <v>23</v>
      </c>
      <c r="B145" s="9" t="s">
        <v>17</v>
      </c>
      <c r="C145" s="9" t="s">
        <v>6725</v>
      </c>
      <c r="D145" s="9" t="s">
        <v>6736</v>
      </c>
      <c r="E145" s="16"/>
      <c r="F145" s="9" t="s">
        <v>13</v>
      </c>
      <c r="G145" s="9" t="s">
        <v>17</v>
      </c>
      <c r="H145" s="9" t="s">
        <v>6725</v>
      </c>
      <c r="I145" s="9" t="s">
        <v>3133</v>
      </c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9" t="s">
        <v>23</v>
      </c>
      <c r="B146" s="9" t="s">
        <v>13</v>
      </c>
      <c r="C146" s="9" t="s">
        <v>6726</v>
      </c>
      <c r="D146" s="16"/>
      <c r="E146" s="16"/>
      <c r="F146" s="9" t="s">
        <v>13</v>
      </c>
      <c r="G146" s="9" t="s">
        <v>23</v>
      </c>
      <c r="H146" s="9" t="s">
        <v>6726</v>
      </c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9" t="s">
        <v>23</v>
      </c>
      <c r="B147" s="9" t="s">
        <v>16</v>
      </c>
      <c r="C147" s="9" t="s">
        <v>6726</v>
      </c>
      <c r="D147" s="16"/>
      <c r="E147" s="16"/>
      <c r="F147" s="9" t="s">
        <v>13</v>
      </c>
      <c r="G147" s="9" t="s">
        <v>16</v>
      </c>
      <c r="H147" s="9" t="s">
        <v>6726</v>
      </c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9" t="s">
        <v>23</v>
      </c>
      <c r="B148" s="9" t="s">
        <v>19</v>
      </c>
      <c r="C148" s="9" t="s">
        <v>6725</v>
      </c>
      <c r="D148" s="9" t="s">
        <v>3660</v>
      </c>
      <c r="E148" s="16"/>
      <c r="F148" s="9" t="s">
        <v>13</v>
      </c>
      <c r="G148" s="9" t="s">
        <v>19</v>
      </c>
      <c r="H148" s="9" t="s">
        <v>6726</v>
      </c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9" t="s">
        <v>23</v>
      </c>
      <c r="B149" s="9" t="s">
        <v>15</v>
      </c>
      <c r="C149" s="9" t="s">
        <v>6726</v>
      </c>
      <c r="D149" s="16"/>
      <c r="E149" s="16"/>
      <c r="F149" s="9" t="s">
        <v>13</v>
      </c>
      <c r="G149" s="9" t="s">
        <v>15</v>
      </c>
      <c r="H149" s="9" t="s">
        <v>6725</v>
      </c>
      <c r="I149" s="9" t="s">
        <v>6750</v>
      </c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9" t="s">
        <v>23</v>
      </c>
      <c r="B150" s="9" t="s">
        <v>14</v>
      </c>
      <c r="C150" s="9" t="s">
        <v>6726</v>
      </c>
      <c r="D150" s="16"/>
      <c r="E150" s="16"/>
      <c r="F150" s="9" t="s">
        <v>13</v>
      </c>
      <c r="G150" s="9" t="s">
        <v>14</v>
      </c>
      <c r="H150" s="9" t="s">
        <v>6726</v>
      </c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9" t="s">
        <v>23</v>
      </c>
      <c r="B151" s="9" t="s">
        <v>11</v>
      </c>
      <c r="C151" s="9" t="s">
        <v>6725</v>
      </c>
      <c r="D151" s="9" t="s">
        <v>3537</v>
      </c>
      <c r="E151" s="16"/>
      <c r="F151" s="9" t="s">
        <v>13</v>
      </c>
      <c r="G151" s="9" t="s">
        <v>11</v>
      </c>
      <c r="H151" s="9" t="s">
        <v>6726</v>
      </c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9" t="s">
        <v>23</v>
      </c>
      <c r="B152" s="9" t="s">
        <v>22</v>
      </c>
      <c r="C152" s="9" t="s">
        <v>6726</v>
      </c>
      <c r="D152" s="16"/>
      <c r="E152" s="16"/>
      <c r="F152" s="9" t="s">
        <v>13</v>
      </c>
      <c r="G152" s="9" t="s">
        <v>22</v>
      </c>
      <c r="H152" s="9" t="s">
        <v>6726</v>
      </c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9" t="s">
        <v>23</v>
      </c>
      <c r="B153" s="9" t="s">
        <v>20</v>
      </c>
      <c r="C153" s="9" t="s">
        <v>6725</v>
      </c>
      <c r="D153" s="9" t="s">
        <v>4527</v>
      </c>
      <c r="E153" s="16"/>
      <c r="F153" s="9" t="s">
        <v>13</v>
      </c>
      <c r="G153" s="9" t="s">
        <v>20</v>
      </c>
      <c r="H153" s="9" t="s">
        <v>6725</v>
      </c>
      <c r="I153" s="9" t="s">
        <v>6784</v>
      </c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9" t="s">
        <v>22</v>
      </c>
      <c r="B154" s="9" t="s">
        <v>18</v>
      </c>
      <c r="C154" s="9" t="s">
        <v>6726</v>
      </c>
      <c r="D154" s="16"/>
      <c r="E154" s="16"/>
      <c r="F154" s="9" t="s">
        <v>20</v>
      </c>
      <c r="G154" s="9" t="s">
        <v>18</v>
      </c>
      <c r="H154" s="9" t="s">
        <v>6726</v>
      </c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9" t="s">
        <v>22</v>
      </c>
      <c r="B155" s="9" t="s">
        <v>12</v>
      </c>
      <c r="C155" s="9" t="s">
        <v>6726</v>
      </c>
      <c r="D155" s="16"/>
      <c r="E155" s="16"/>
      <c r="F155" s="9" t="s">
        <v>20</v>
      </c>
      <c r="G155" s="9" t="s">
        <v>12</v>
      </c>
      <c r="H155" s="9" t="s">
        <v>6726</v>
      </c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9" t="s">
        <v>22</v>
      </c>
      <c r="B156" s="9" t="s">
        <v>9</v>
      </c>
      <c r="C156" s="9" t="s">
        <v>6726</v>
      </c>
      <c r="D156" s="16"/>
      <c r="E156" s="16"/>
      <c r="F156" s="9" t="s">
        <v>20</v>
      </c>
      <c r="G156" s="9" t="s">
        <v>9</v>
      </c>
      <c r="H156" s="9" t="s">
        <v>6726</v>
      </c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9" t="s">
        <v>22</v>
      </c>
      <c r="B157" s="9" t="s">
        <v>21</v>
      </c>
      <c r="C157" s="9" t="s">
        <v>6726</v>
      </c>
      <c r="D157" s="16"/>
      <c r="E157" s="16"/>
      <c r="F157" s="9" t="s">
        <v>20</v>
      </c>
      <c r="G157" s="9" t="s">
        <v>21</v>
      </c>
      <c r="H157" s="9" t="s">
        <v>6726</v>
      </c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9" t="s">
        <v>22</v>
      </c>
      <c r="B158" s="9" t="s">
        <v>17</v>
      </c>
      <c r="C158" s="9" t="s">
        <v>6726</v>
      </c>
      <c r="D158" s="16"/>
      <c r="E158" s="16"/>
      <c r="F158" s="9" t="s">
        <v>20</v>
      </c>
      <c r="G158" s="9" t="s">
        <v>17</v>
      </c>
      <c r="H158" s="9" t="s">
        <v>6726</v>
      </c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9" t="s">
        <v>22</v>
      </c>
      <c r="B159" s="9" t="s">
        <v>13</v>
      </c>
      <c r="C159" s="9" t="s">
        <v>6726</v>
      </c>
      <c r="D159" s="16"/>
      <c r="E159" s="16"/>
      <c r="F159" s="9" t="s">
        <v>20</v>
      </c>
      <c r="G159" s="9" t="s">
        <v>13</v>
      </c>
      <c r="H159" s="9" t="s">
        <v>6725</v>
      </c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9" t="s">
        <v>22</v>
      </c>
      <c r="B160" s="9" t="s">
        <v>16</v>
      </c>
      <c r="C160" s="9" t="s">
        <v>6726</v>
      </c>
      <c r="D160" s="16"/>
      <c r="E160" s="16"/>
      <c r="F160" s="9" t="s">
        <v>20</v>
      </c>
      <c r="G160" s="9" t="s">
        <v>16</v>
      </c>
      <c r="H160" s="9" t="s">
        <v>6726</v>
      </c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9" t="s">
        <v>22</v>
      </c>
      <c r="B161" s="9" t="s">
        <v>19</v>
      </c>
      <c r="C161" s="9" t="s">
        <v>6725</v>
      </c>
      <c r="D161" s="16"/>
      <c r="E161" s="16"/>
      <c r="F161" s="9" t="s">
        <v>20</v>
      </c>
      <c r="G161" s="9" t="s">
        <v>19</v>
      </c>
      <c r="H161" s="9" t="s">
        <v>6726</v>
      </c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9" t="s">
        <v>22</v>
      </c>
      <c r="B162" s="9" t="s">
        <v>15</v>
      </c>
      <c r="C162" s="9" t="s">
        <v>6726</v>
      </c>
      <c r="D162" s="16"/>
      <c r="E162" s="16"/>
      <c r="F162" s="9" t="s">
        <v>20</v>
      </c>
      <c r="G162" s="9" t="s">
        <v>15</v>
      </c>
      <c r="H162" s="9" t="s">
        <v>6726</v>
      </c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9" t="s">
        <v>22</v>
      </c>
      <c r="B163" s="9" t="s">
        <v>14</v>
      </c>
      <c r="C163" s="9" t="s">
        <v>6726</v>
      </c>
      <c r="D163" s="16"/>
      <c r="E163" s="16"/>
      <c r="F163" s="9" t="s">
        <v>20</v>
      </c>
      <c r="G163" s="9" t="s">
        <v>14</v>
      </c>
      <c r="H163" s="9" t="s">
        <v>6725</v>
      </c>
      <c r="I163" s="9" t="s">
        <v>6729</v>
      </c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9" t="s">
        <v>22</v>
      </c>
      <c r="B164" s="9" t="s">
        <v>11</v>
      </c>
      <c r="C164" s="9" t="s">
        <v>6726</v>
      </c>
      <c r="D164" s="16"/>
      <c r="E164" s="16"/>
      <c r="F164" s="9" t="s">
        <v>20</v>
      </c>
      <c r="G164" s="9" t="s">
        <v>11</v>
      </c>
      <c r="H164" s="9" t="s">
        <v>6726</v>
      </c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9" t="s">
        <v>22</v>
      </c>
      <c r="B165" s="9" t="s">
        <v>23</v>
      </c>
      <c r="C165" s="9" t="s">
        <v>6726</v>
      </c>
      <c r="D165" s="16"/>
      <c r="E165" s="16"/>
      <c r="F165" s="9" t="s">
        <v>20</v>
      </c>
      <c r="G165" s="9" t="s">
        <v>23</v>
      </c>
      <c r="H165" s="9" t="s">
        <v>6725</v>
      </c>
      <c r="I165" s="9" t="s">
        <v>3133</v>
      </c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9" t="s">
        <v>22</v>
      </c>
      <c r="B166" s="9" t="s">
        <v>20</v>
      </c>
      <c r="C166" s="9" t="s">
        <v>6726</v>
      </c>
      <c r="D166" s="16"/>
      <c r="E166" s="16"/>
      <c r="F166" s="9" t="s">
        <v>20</v>
      </c>
      <c r="G166" s="9" t="s">
        <v>22</v>
      </c>
      <c r="H166" s="9" t="s">
        <v>6726</v>
      </c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9" t="s">
        <v>6799</v>
      </c>
      <c r="B171" s="9">
        <v>182.0</v>
      </c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9" t="s">
        <v>6725</v>
      </c>
      <c r="B172" s="9">
        <v>32.0</v>
      </c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9" t="s">
        <v>6800</v>
      </c>
      <c r="B173" s="9">
        <v>12.0</v>
      </c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  <row r="1001">
      <c r="A1001" s="16"/>
      <c r="B1001" s="16"/>
      <c r="C1001" s="16"/>
      <c r="D1001" s="16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</row>
    <row r="1002">
      <c r="A1002" s="16"/>
      <c r="B1002" s="16"/>
      <c r="C1002" s="16"/>
      <c r="D1002" s="16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</row>
    <row r="1003">
      <c r="A1003" s="16"/>
      <c r="B1003" s="16"/>
      <c r="C1003" s="16"/>
      <c r="D1003" s="16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</row>
    <row r="1004">
      <c r="A1004" s="16"/>
      <c r="B1004" s="16"/>
      <c r="C1004" s="16"/>
      <c r="D1004" s="16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</row>
    <row r="1005">
      <c r="A1005" s="16"/>
      <c r="B1005" s="16"/>
      <c r="C1005" s="16"/>
      <c r="D1005" s="16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</row>
    <row r="1006">
      <c r="A1006" s="16"/>
      <c r="B1006" s="16"/>
      <c r="C1006" s="16"/>
      <c r="D1006" s="16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</row>
    <row r="1007">
      <c r="A1007" s="16"/>
      <c r="B1007" s="16"/>
      <c r="C1007" s="16"/>
      <c r="D1007" s="16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</row>
    <row r="1008">
      <c r="A1008" s="16"/>
      <c r="B1008" s="16"/>
      <c r="C1008" s="16"/>
      <c r="D1008" s="16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</row>
    <row r="1009">
      <c r="A1009" s="16"/>
      <c r="B1009" s="16"/>
      <c r="C1009" s="16"/>
      <c r="D1009" s="16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</row>
    <row r="1010">
      <c r="A1010" s="16"/>
      <c r="B1010" s="16"/>
      <c r="C1010" s="16"/>
      <c r="D1010" s="16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</row>
    <row r="1011">
      <c r="A1011" s="16"/>
      <c r="B1011" s="16"/>
      <c r="C1011" s="16"/>
      <c r="D1011" s="16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</row>
    <row r="1012">
      <c r="A1012" s="16"/>
      <c r="B1012" s="16"/>
      <c r="C1012" s="16"/>
      <c r="D1012" s="16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</row>
    <row r="1013">
      <c r="A1013" s="16"/>
      <c r="B1013" s="16"/>
      <c r="C1013" s="16"/>
      <c r="D1013" s="16"/>
      <c r="E1013" s="16"/>
      <c r="F1013" s="16"/>
      <c r="G1013" s="16"/>
      <c r="H1013" s="16"/>
      <c r="I1013" s="16"/>
      <c r="J1013" s="16"/>
      <c r="K1013" s="16"/>
      <c r="L1013" s="16"/>
      <c r="M1013" s="16"/>
      <c r="N1013" s="16"/>
      <c r="O1013" s="16"/>
      <c r="P1013" s="16"/>
      <c r="Q1013" s="16"/>
      <c r="R1013" s="16"/>
      <c r="S1013" s="16"/>
      <c r="T1013" s="16"/>
      <c r="U1013" s="16"/>
      <c r="V1013" s="16"/>
      <c r="W1013" s="16"/>
      <c r="X1013" s="16"/>
      <c r="Y1013" s="16"/>
      <c r="Z1013" s="16"/>
    </row>
    <row r="1014">
      <c r="A1014" s="16"/>
      <c r="B1014" s="16"/>
      <c r="C1014" s="16"/>
      <c r="D1014" s="16"/>
      <c r="E1014" s="16"/>
      <c r="F1014" s="16"/>
      <c r="G1014" s="16"/>
      <c r="H1014" s="16"/>
      <c r="I1014" s="16"/>
      <c r="J1014" s="16"/>
      <c r="K1014" s="16"/>
      <c r="L1014" s="16"/>
      <c r="M1014" s="16"/>
      <c r="N1014" s="16"/>
      <c r="O1014" s="16"/>
      <c r="P1014" s="16"/>
      <c r="Q1014" s="16"/>
      <c r="R1014" s="16"/>
      <c r="S1014" s="16"/>
      <c r="T1014" s="16"/>
      <c r="U1014" s="16"/>
      <c r="V1014" s="16"/>
      <c r="W1014" s="16"/>
      <c r="X1014" s="16"/>
      <c r="Y1014" s="16"/>
      <c r="Z1014" s="16"/>
    </row>
    <row r="1015">
      <c r="A1015" s="16"/>
      <c r="B1015" s="16"/>
      <c r="C1015" s="16"/>
      <c r="D1015" s="16"/>
      <c r="E1015" s="16"/>
      <c r="F1015" s="16"/>
      <c r="G1015" s="16"/>
      <c r="H1015" s="16"/>
      <c r="I1015" s="16"/>
      <c r="J1015" s="16"/>
      <c r="K1015" s="16"/>
      <c r="L1015" s="16"/>
      <c r="M1015" s="16"/>
      <c r="N1015" s="16"/>
      <c r="O1015" s="16"/>
      <c r="P1015" s="16"/>
      <c r="Q1015" s="16"/>
      <c r="R1015" s="16"/>
      <c r="S1015" s="16"/>
      <c r="T1015" s="16"/>
      <c r="U1015" s="16"/>
      <c r="V1015" s="16"/>
      <c r="W1015" s="16"/>
      <c r="X1015" s="16"/>
      <c r="Y1015" s="16"/>
      <c r="Z1015" s="16"/>
    </row>
    <row r="1016">
      <c r="A1016" s="16"/>
      <c r="B1016" s="16"/>
      <c r="C1016" s="16"/>
      <c r="D1016" s="16"/>
      <c r="E1016" s="16"/>
      <c r="F1016" s="16"/>
      <c r="G1016" s="16"/>
      <c r="H1016" s="16"/>
      <c r="I1016" s="16"/>
      <c r="J1016" s="16"/>
      <c r="K1016" s="16"/>
      <c r="L1016" s="16"/>
      <c r="M1016" s="16"/>
      <c r="N1016" s="16"/>
      <c r="O1016" s="16"/>
      <c r="P1016" s="16"/>
      <c r="Q1016" s="16"/>
      <c r="R1016" s="16"/>
      <c r="S1016" s="16"/>
      <c r="T1016" s="16"/>
      <c r="U1016" s="16"/>
      <c r="V1016" s="16"/>
      <c r="W1016" s="16"/>
      <c r="X1016" s="16"/>
      <c r="Y1016" s="16"/>
      <c r="Z1016" s="16"/>
    </row>
    <row r="1017">
      <c r="A1017" s="16"/>
      <c r="B1017" s="16"/>
      <c r="C1017" s="16"/>
      <c r="D1017" s="16"/>
      <c r="E1017" s="16"/>
      <c r="F1017" s="16"/>
      <c r="G1017" s="16"/>
      <c r="H1017" s="16"/>
      <c r="I1017" s="16"/>
      <c r="J1017" s="16"/>
      <c r="K1017" s="16"/>
      <c r="L1017" s="16"/>
      <c r="M1017" s="16"/>
      <c r="N1017" s="16"/>
      <c r="O1017" s="16"/>
      <c r="P1017" s="16"/>
      <c r="Q1017" s="16"/>
      <c r="R1017" s="16"/>
      <c r="S1017" s="16"/>
      <c r="T1017" s="16"/>
      <c r="U1017" s="16"/>
      <c r="V1017" s="16"/>
      <c r="W1017" s="16"/>
      <c r="X1017" s="16"/>
      <c r="Y1017" s="16"/>
      <c r="Z1017" s="16"/>
    </row>
    <row r="1018">
      <c r="A1018" s="16"/>
      <c r="B1018" s="16"/>
      <c r="C1018" s="16"/>
      <c r="D1018" s="16"/>
      <c r="E1018" s="16"/>
      <c r="F1018" s="16"/>
      <c r="G1018" s="16"/>
      <c r="H1018" s="16"/>
      <c r="I1018" s="16"/>
      <c r="J1018" s="16"/>
      <c r="K1018" s="16"/>
      <c r="L1018" s="16"/>
      <c r="M1018" s="16"/>
      <c r="N1018" s="16"/>
      <c r="O1018" s="16"/>
      <c r="P1018" s="16"/>
      <c r="Q1018" s="16"/>
      <c r="R1018" s="16"/>
      <c r="S1018" s="16"/>
      <c r="T1018" s="16"/>
      <c r="U1018" s="16"/>
      <c r="V1018" s="16"/>
      <c r="W1018" s="16"/>
      <c r="X1018" s="16"/>
      <c r="Y1018" s="16"/>
      <c r="Z1018" s="16"/>
    </row>
    <row r="1019">
      <c r="A1019" s="16"/>
      <c r="B1019" s="16"/>
      <c r="C1019" s="16"/>
      <c r="D1019" s="16"/>
      <c r="E1019" s="16"/>
      <c r="F1019" s="16"/>
      <c r="G1019" s="16"/>
      <c r="H1019" s="16"/>
      <c r="I1019" s="16"/>
      <c r="J1019" s="16"/>
      <c r="K1019" s="16"/>
      <c r="L1019" s="16"/>
      <c r="M1019" s="16"/>
      <c r="N1019" s="16"/>
      <c r="O1019" s="16"/>
      <c r="P1019" s="16"/>
      <c r="Q1019" s="16"/>
      <c r="R1019" s="16"/>
      <c r="S1019" s="16"/>
      <c r="T1019" s="16"/>
      <c r="U1019" s="16"/>
      <c r="V1019" s="16"/>
      <c r="W1019" s="16"/>
      <c r="X1019" s="16"/>
      <c r="Y1019" s="16"/>
      <c r="Z1019" s="16"/>
    </row>
    <row r="1020">
      <c r="A1020" s="16"/>
      <c r="B1020" s="16"/>
      <c r="C1020" s="16"/>
      <c r="D1020" s="16"/>
      <c r="E1020" s="16"/>
      <c r="F1020" s="16"/>
      <c r="G1020" s="16"/>
      <c r="H1020" s="16"/>
      <c r="I1020" s="16"/>
      <c r="J1020" s="16"/>
      <c r="K1020" s="16"/>
      <c r="L1020" s="16"/>
      <c r="M1020" s="16"/>
      <c r="N1020" s="16"/>
      <c r="O1020" s="16"/>
      <c r="P1020" s="16"/>
      <c r="Q1020" s="16"/>
      <c r="R1020" s="16"/>
      <c r="S1020" s="16"/>
      <c r="T1020" s="16"/>
      <c r="U1020" s="16"/>
      <c r="V1020" s="16"/>
      <c r="W1020" s="16"/>
      <c r="X1020" s="16"/>
      <c r="Y1020" s="16"/>
      <c r="Z1020" s="16"/>
    </row>
    <row r="1021">
      <c r="A1021" s="16"/>
      <c r="B1021" s="16"/>
      <c r="C1021" s="16"/>
      <c r="D1021" s="16"/>
      <c r="E1021" s="16"/>
      <c r="F1021" s="16"/>
      <c r="G1021" s="16"/>
      <c r="H1021" s="16"/>
      <c r="I1021" s="16"/>
      <c r="J1021" s="16"/>
      <c r="K1021" s="16"/>
      <c r="L1021" s="16"/>
      <c r="M1021" s="16"/>
      <c r="N1021" s="16"/>
      <c r="O1021" s="16"/>
      <c r="P1021" s="16"/>
      <c r="Q1021" s="16"/>
      <c r="R1021" s="16"/>
      <c r="S1021" s="16"/>
      <c r="T1021" s="16"/>
      <c r="U1021" s="16"/>
      <c r="V1021" s="16"/>
      <c r="W1021" s="16"/>
      <c r="X1021" s="16"/>
      <c r="Y1021" s="16"/>
      <c r="Z1021" s="16"/>
    </row>
    <row r="1022">
      <c r="A1022" s="16"/>
      <c r="B1022" s="16"/>
      <c r="C1022" s="16"/>
      <c r="D1022" s="16"/>
      <c r="E1022" s="16"/>
      <c r="F1022" s="16"/>
      <c r="G1022" s="16"/>
      <c r="H1022" s="16"/>
      <c r="I1022" s="16"/>
      <c r="J1022" s="16"/>
      <c r="K1022" s="16"/>
      <c r="L1022" s="16"/>
      <c r="M1022" s="16"/>
      <c r="N1022" s="16"/>
      <c r="O1022" s="16"/>
      <c r="P1022" s="16"/>
      <c r="Q1022" s="16"/>
      <c r="R1022" s="16"/>
      <c r="S1022" s="16"/>
      <c r="T1022" s="16"/>
      <c r="U1022" s="16"/>
      <c r="V1022" s="16"/>
      <c r="W1022" s="16"/>
      <c r="X1022" s="16"/>
      <c r="Y1022" s="16"/>
      <c r="Z1022" s="16"/>
    </row>
    <row r="1023">
      <c r="A1023" s="16"/>
      <c r="B1023" s="16"/>
      <c r="C1023" s="16"/>
      <c r="D1023" s="16"/>
      <c r="E1023" s="16"/>
      <c r="F1023" s="16"/>
      <c r="G1023" s="16"/>
      <c r="H1023" s="16"/>
      <c r="I1023" s="16"/>
      <c r="J1023" s="16"/>
      <c r="K1023" s="16"/>
      <c r="L1023" s="16"/>
      <c r="M1023" s="16"/>
      <c r="N1023" s="16"/>
      <c r="O1023" s="16"/>
      <c r="P1023" s="16"/>
      <c r="Q1023" s="16"/>
      <c r="R1023" s="16"/>
      <c r="S1023" s="16"/>
      <c r="T1023" s="16"/>
      <c r="U1023" s="16"/>
      <c r="V1023" s="16"/>
      <c r="W1023" s="16"/>
      <c r="X1023" s="16"/>
      <c r="Y1023" s="16"/>
      <c r="Z1023" s="16"/>
    </row>
    <row r="1024">
      <c r="A1024" s="16"/>
      <c r="B1024" s="16"/>
      <c r="C1024" s="16"/>
      <c r="D1024" s="16"/>
      <c r="E1024" s="16"/>
      <c r="F1024" s="16"/>
      <c r="G1024" s="16"/>
      <c r="H1024" s="16"/>
      <c r="I1024" s="16"/>
      <c r="J1024" s="16"/>
      <c r="K1024" s="16"/>
      <c r="L1024" s="16"/>
      <c r="M1024" s="16"/>
      <c r="N1024" s="16"/>
      <c r="O1024" s="16"/>
      <c r="P1024" s="16"/>
      <c r="Q1024" s="16"/>
      <c r="R1024" s="16"/>
      <c r="S1024" s="16"/>
      <c r="T1024" s="16"/>
      <c r="U1024" s="16"/>
      <c r="V1024" s="16"/>
      <c r="W1024" s="16"/>
      <c r="X1024" s="16"/>
      <c r="Y1024" s="16"/>
      <c r="Z1024" s="16"/>
    </row>
    <row r="1025">
      <c r="A1025" s="16"/>
      <c r="B1025" s="16"/>
      <c r="C1025" s="16"/>
      <c r="D1025" s="16"/>
      <c r="E1025" s="16"/>
      <c r="F1025" s="16"/>
      <c r="G1025" s="16"/>
      <c r="H1025" s="16"/>
      <c r="I1025" s="16"/>
      <c r="J1025" s="16"/>
      <c r="K1025" s="16"/>
      <c r="L1025" s="16"/>
      <c r="M1025" s="16"/>
      <c r="N1025" s="16"/>
      <c r="O1025" s="16"/>
      <c r="P1025" s="16"/>
      <c r="Q1025" s="16"/>
      <c r="R1025" s="16"/>
      <c r="S1025" s="16"/>
      <c r="T1025" s="16"/>
      <c r="U1025" s="16"/>
      <c r="V1025" s="16"/>
      <c r="W1025" s="16"/>
      <c r="X1025" s="16"/>
      <c r="Y1025" s="16"/>
      <c r="Z1025" s="16"/>
    </row>
    <row r="1026">
      <c r="A1026" s="16"/>
      <c r="B1026" s="16"/>
      <c r="C1026" s="16"/>
      <c r="D1026" s="16"/>
      <c r="E1026" s="16"/>
      <c r="F1026" s="16"/>
      <c r="G1026" s="16"/>
      <c r="H1026" s="16"/>
      <c r="I1026" s="16"/>
      <c r="J1026" s="16"/>
      <c r="K1026" s="16"/>
      <c r="L1026" s="16"/>
      <c r="M1026" s="16"/>
      <c r="N1026" s="16"/>
      <c r="O1026" s="16"/>
      <c r="P1026" s="16"/>
      <c r="Q1026" s="16"/>
      <c r="R1026" s="16"/>
      <c r="S1026" s="16"/>
      <c r="T1026" s="16"/>
      <c r="U1026" s="16"/>
      <c r="V1026" s="16"/>
      <c r="W1026" s="16"/>
      <c r="X1026" s="16"/>
      <c r="Y1026" s="16"/>
      <c r="Z1026" s="16"/>
    </row>
    <row r="1027">
      <c r="A1027" s="16"/>
      <c r="B1027" s="16"/>
      <c r="C1027" s="16"/>
      <c r="D1027" s="16"/>
      <c r="E1027" s="16"/>
      <c r="F1027" s="16"/>
      <c r="G1027" s="16"/>
      <c r="H1027" s="16"/>
      <c r="I1027" s="16"/>
      <c r="J1027" s="16"/>
      <c r="K1027" s="16"/>
      <c r="L1027" s="16"/>
      <c r="M1027" s="16"/>
      <c r="N1027" s="16"/>
      <c r="O1027" s="16"/>
      <c r="P1027" s="16"/>
      <c r="Q1027" s="16"/>
      <c r="R1027" s="16"/>
      <c r="S1027" s="16"/>
      <c r="T1027" s="16"/>
      <c r="U1027" s="16"/>
      <c r="V1027" s="16"/>
      <c r="W1027" s="16"/>
      <c r="X1027" s="16"/>
      <c r="Y1027" s="16"/>
      <c r="Z1027" s="16"/>
    </row>
    <row r="1028">
      <c r="A1028" s="16"/>
      <c r="B1028" s="16"/>
      <c r="C1028" s="16"/>
      <c r="D1028" s="16"/>
      <c r="E1028" s="16"/>
      <c r="F1028" s="16"/>
      <c r="G1028" s="16"/>
      <c r="H1028" s="16"/>
      <c r="I1028" s="16"/>
      <c r="J1028" s="16"/>
      <c r="K1028" s="16"/>
      <c r="L1028" s="16"/>
      <c r="M1028" s="16"/>
      <c r="N1028" s="16"/>
      <c r="O1028" s="16"/>
      <c r="P1028" s="16"/>
      <c r="Q1028" s="16"/>
      <c r="R1028" s="16"/>
      <c r="S1028" s="16"/>
      <c r="T1028" s="16"/>
      <c r="U1028" s="16"/>
      <c r="V1028" s="16"/>
      <c r="W1028" s="16"/>
      <c r="X1028" s="16"/>
      <c r="Y1028" s="16"/>
      <c r="Z1028" s="16"/>
    </row>
    <row r="1029">
      <c r="A1029" s="16"/>
      <c r="B1029" s="16"/>
      <c r="C1029" s="16"/>
      <c r="D1029" s="16"/>
      <c r="E1029" s="16"/>
      <c r="F1029" s="16"/>
      <c r="G1029" s="16"/>
      <c r="H1029" s="16"/>
      <c r="I1029" s="16"/>
      <c r="J1029" s="16"/>
      <c r="K1029" s="16"/>
      <c r="L1029" s="16"/>
      <c r="M1029" s="16"/>
      <c r="N1029" s="16"/>
      <c r="O1029" s="16"/>
      <c r="P1029" s="16"/>
      <c r="Q1029" s="16"/>
      <c r="R1029" s="16"/>
      <c r="S1029" s="16"/>
      <c r="T1029" s="16"/>
      <c r="U1029" s="16"/>
      <c r="V1029" s="16"/>
      <c r="W1029" s="16"/>
      <c r="X1029" s="16"/>
      <c r="Y1029" s="16"/>
      <c r="Z1029" s="16"/>
    </row>
    <row r="1030">
      <c r="A1030" s="16"/>
      <c r="B1030" s="16"/>
      <c r="C1030" s="16"/>
      <c r="D1030" s="16"/>
      <c r="E1030" s="16"/>
      <c r="F1030" s="16"/>
      <c r="G1030" s="16"/>
      <c r="H1030" s="16"/>
      <c r="I1030" s="16"/>
      <c r="J1030" s="16"/>
      <c r="K1030" s="16"/>
      <c r="L1030" s="16"/>
      <c r="M1030" s="16"/>
      <c r="N1030" s="16"/>
      <c r="O1030" s="16"/>
      <c r="P1030" s="16"/>
      <c r="Q1030" s="16"/>
      <c r="R1030" s="16"/>
      <c r="S1030" s="16"/>
      <c r="T1030" s="16"/>
      <c r="U1030" s="16"/>
      <c r="V1030" s="16"/>
      <c r="W1030" s="16"/>
      <c r="X1030" s="16"/>
      <c r="Y1030" s="16"/>
      <c r="Z1030" s="16"/>
    </row>
    <row r="1031">
      <c r="A1031" s="16"/>
      <c r="B1031" s="16"/>
      <c r="C1031" s="16"/>
      <c r="D1031" s="16"/>
      <c r="E1031" s="16"/>
      <c r="F1031" s="16"/>
      <c r="G1031" s="16"/>
      <c r="H1031" s="16"/>
      <c r="I1031" s="16"/>
      <c r="J1031" s="16"/>
      <c r="K1031" s="16"/>
      <c r="L1031" s="16"/>
      <c r="M1031" s="16"/>
      <c r="N1031" s="16"/>
      <c r="O1031" s="16"/>
      <c r="P1031" s="16"/>
      <c r="Q1031" s="16"/>
      <c r="R1031" s="16"/>
      <c r="S1031" s="16"/>
      <c r="T1031" s="16"/>
      <c r="U1031" s="16"/>
      <c r="V1031" s="16"/>
      <c r="W1031" s="16"/>
      <c r="X1031" s="16"/>
      <c r="Y1031" s="16"/>
      <c r="Z1031" s="16"/>
    </row>
  </sheetData>
  <mergeCells count="3">
    <mergeCell ref="A1:I1"/>
    <mergeCell ref="A67:F67"/>
    <mergeCell ref="A74:F74"/>
  </mergeCells>
  <dataValidations>
    <dataValidation type="list" allowBlank="1" showErrorMessage="1" sqref="C76:C166 H76:H166">
      <formula1>"Pending,Scheduled,Completed"</formula1>
    </dataValidation>
  </dataValidation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3" max="3" width="16.88"/>
    <col customWidth="1" min="6" max="6" width="16.0"/>
  </cols>
  <sheetData>
    <row r="1">
      <c r="A1" s="279" t="s">
        <v>6628</v>
      </c>
    </row>
    <row r="2">
      <c r="A2" s="19" t="s">
        <v>2856</v>
      </c>
    </row>
    <row r="3">
      <c r="A3" s="19" t="s">
        <v>6632</v>
      </c>
    </row>
    <row r="4">
      <c r="A4" s="19" t="s">
        <v>6633</v>
      </c>
    </row>
    <row r="5">
      <c r="A5" s="19" t="s">
        <v>6635</v>
      </c>
    </row>
    <row r="6">
      <c r="A6" s="19" t="s">
        <v>2874</v>
      </c>
    </row>
    <row r="7">
      <c r="A7" s="19" t="s">
        <v>6638</v>
      </c>
    </row>
    <row r="9">
      <c r="A9" s="211" t="s">
        <v>6639</v>
      </c>
    </row>
    <row r="10">
      <c r="A10" s="248" t="s">
        <v>2882</v>
      </c>
      <c r="B10" s="248" t="s">
        <v>3045</v>
      </c>
      <c r="C10" s="167" t="s">
        <v>3046</v>
      </c>
      <c r="D10" s="248" t="s">
        <v>2883</v>
      </c>
      <c r="E10" s="248" t="s">
        <v>64</v>
      </c>
      <c r="F10" s="248" t="s">
        <v>3051</v>
      </c>
      <c r="G10" s="248" t="s">
        <v>587</v>
      </c>
      <c r="H10" s="248" t="s">
        <v>579</v>
      </c>
    </row>
    <row r="11">
      <c r="A11" s="9" t="s">
        <v>6641</v>
      </c>
      <c r="B11" s="9" t="s">
        <v>6495</v>
      </c>
      <c r="C11" s="9" t="s">
        <v>6643</v>
      </c>
      <c r="D11" s="16"/>
      <c r="E11" s="16"/>
      <c r="F11" s="16"/>
      <c r="G11" s="16"/>
      <c r="H11" s="16"/>
    </row>
    <row r="12">
      <c r="A12" s="9" t="s">
        <v>6646</v>
      </c>
      <c r="B12" s="9" t="s">
        <v>6495</v>
      </c>
      <c r="C12" s="9" t="s">
        <v>6647</v>
      </c>
      <c r="D12" s="16"/>
      <c r="E12" s="16"/>
      <c r="F12" s="16"/>
      <c r="G12" s="16"/>
      <c r="H12" s="16"/>
    </row>
    <row r="13">
      <c r="A13" s="9" t="s">
        <v>2947</v>
      </c>
      <c r="B13" s="9" t="s">
        <v>6495</v>
      </c>
      <c r="C13" s="9" t="s">
        <v>6650</v>
      </c>
      <c r="D13" s="16"/>
      <c r="E13" s="16"/>
      <c r="F13" s="16"/>
      <c r="G13" s="16"/>
      <c r="H13" s="16"/>
    </row>
    <row r="14">
      <c r="A14" s="9" t="s">
        <v>6652</v>
      </c>
      <c r="B14" s="9" t="s">
        <v>6653</v>
      </c>
      <c r="C14" s="16"/>
      <c r="D14" s="16"/>
      <c r="E14" s="16"/>
      <c r="F14" s="16"/>
      <c r="G14" s="16"/>
      <c r="H14" s="16"/>
    </row>
    <row r="15">
      <c r="A15" s="9" t="s">
        <v>2899</v>
      </c>
      <c r="B15" s="9" t="s">
        <v>6653</v>
      </c>
      <c r="C15" s="16"/>
      <c r="D15" s="16"/>
      <c r="E15" s="16"/>
      <c r="F15" s="16"/>
      <c r="G15" s="16"/>
      <c r="H15" s="16"/>
    </row>
    <row r="16">
      <c r="A16" s="9" t="s">
        <v>6655</v>
      </c>
      <c r="B16" s="9" t="s">
        <v>6653</v>
      </c>
      <c r="C16" s="16"/>
      <c r="D16" s="16"/>
      <c r="E16" s="16"/>
      <c r="F16" s="16"/>
      <c r="G16" s="16"/>
      <c r="H16" s="16"/>
    </row>
    <row r="17">
      <c r="A17" s="9" t="s">
        <v>6657</v>
      </c>
      <c r="B17" s="9" t="s">
        <v>6658</v>
      </c>
      <c r="C17" s="16"/>
      <c r="D17" s="16"/>
      <c r="E17" s="16"/>
      <c r="F17" s="16"/>
      <c r="G17" s="16"/>
      <c r="H17" s="16"/>
    </row>
    <row r="18">
      <c r="A18" s="9" t="s">
        <v>6661</v>
      </c>
      <c r="B18" s="9" t="s">
        <v>6658</v>
      </c>
      <c r="C18" s="16"/>
      <c r="D18" s="16"/>
      <c r="E18" s="16"/>
      <c r="F18" s="16"/>
      <c r="G18" s="16"/>
      <c r="H18" s="16"/>
    </row>
    <row r="19">
      <c r="A19" s="9" t="s">
        <v>6664</v>
      </c>
      <c r="B19" s="9" t="s">
        <v>6658</v>
      </c>
      <c r="C19" s="16"/>
      <c r="D19" s="16"/>
      <c r="E19" s="16"/>
      <c r="F19" s="16"/>
      <c r="G19" s="16"/>
      <c r="H19" s="16"/>
    </row>
    <row r="20">
      <c r="A20" s="9" t="s">
        <v>6667</v>
      </c>
      <c r="B20" s="9" t="s">
        <v>6669</v>
      </c>
      <c r="C20" s="16"/>
      <c r="D20" s="16"/>
      <c r="E20" s="16"/>
      <c r="F20" s="16"/>
      <c r="G20" s="16"/>
      <c r="H20" s="16"/>
    </row>
    <row r="21">
      <c r="A21" s="9" t="s">
        <v>2896</v>
      </c>
      <c r="B21" s="9" t="s">
        <v>6669</v>
      </c>
      <c r="C21" s="16"/>
      <c r="D21" s="16"/>
      <c r="E21" s="16"/>
      <c r="F21" s="16"/>
      <c r="G21" s="16"/>
      <c r="H21" s="16"/>
    </row>
    <row r="22">
      <c r="A22" s="9" t="s">
        <v>6673</v>
      </c>
      <c r="B22" s="9" t="s">
        <v>6669</v>
      </c>
      <c r="C22" s="16"/>
      <c r="D22" s="16"/>
      <c r="E22" s="16"/>
      <c r="F22" s="16"/>
      <c r="G22" s="16"/>
      <c r="H22" s="16"/>
    </row>
    <row r="23">
      <c r="A23" s="9" t="s">
        <v>6674</v>
      </c>
      <c r="B23" s="9" t="s">
        <v>6676</v>
      </c>
      <c r="C23" s="16"/>
      <c r="D23" s="16"/>
      <c r="E23" s="16"/>
      <c r="F23" s="16"/>
      <c r="G23" s="16"/>
      <c r="H23" s="16"/>
    </row>
    <row r="24">
      <c r="A24" s="9" t="s">
        <v>6678</v>
      </c>
      <c r="B24" s="9" t="s">
        <v>6676</v>
      </c>
      <c r="C24" s="16"/>
      <c r="D24" s="16"/>
      <c r="E24" s="16"/>
      <c r="F24" s="16"/>
      <c r="G24" s="16"/>
      <c r="H24" s="16"/>
    </row>
    <row r="25">
      <c r="A25" s="9" t="s">
        <v>6679</v>
      </c>
      <c r="B25" s="9" t="s">
        <v>6676</v>
      </c>
      <c r="C25" s="16"/>
      <c r="D25" s="16"/>
      <c r="E25" s="16"/>
      <c r="F25" s="16"/>
      <c r="G25" s="16"/>
      <c r="H25" s="16"/>
    </row>
    <row r="26">
      <c r="A26" s="9" t="s">
        <v>6684</v>
      </c>
      <c r="B26" s="9" t="s">
        <v>6685</v>
      </c>
      <c r="C26" s="16"/>
      <c r="D26" s="16"/>
      <c r="E26" s="16"/>
      <c r="F26" s="16"/>
      <c r="G26" s="16"/>
      <c r="H26" s="16"/>
    </row>
    <row r="27">
      <c r="A27" s="9" t="s">
        <v>6687</v>
      </c>
      <c r="B27" s="9" t="s">
        <v>6685</v>
      </c>
      <c r="C27" s="16"/>
      <c r="D27" s="16"/>
      <c r="E27" s="16"/>
      <c r="F27" s="16"/>
      <c r="G27" s="16"/>
      <c r="H27" s="16"/>
    </row>
    <row r="28">
      <c r="A28" s="9" t="s">
        <v>3040</v>
      </c>
      <c r="B28" s="9" t="s">
        <v>6690</v>
      </c>
      <c r="C28" s="16"/>
      <c r="D28" s="16"/>
      <c r="E28" s="16"/>
      <c r="F28" s="16"/>
      <c r="G28" s="16"/>
      <c r="H28" s="16"/>
    </row>
  </sheetData>
  <mergeCells count="1">
    <mergeCell ref="A9:H9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6" max="6" width="14.63"/>
  </cols>
  <sheetData>
    <row r="1">
      <c r="A1" s="279" t="s">
        <v>6628</v>
      </c>
    </row>
    <row r="2">
      <c r="A2" s="19" t="s">
        <v>2859</v>
      </c>
    </row>
    <row r="3">
      <c r="A3" s="19" t="s">
        <v>6730</v>
      </c>
    </row>
    <row r="4">
      <c r="A4" s="19" t="s">
        <v>6731</v>
      </c>
    </row>
    <row r="5">
      <c r="A5" s="19" t="s">
        <v>6732</v>
      </c>
    </row>
    <row r="7">
      <c r="A7" s="211" t="s">
        <v>6639</v>
      </c>
    </row>
    <row r="8">
      <c r="A8" s="248" t="s">
        <v>2882</v>
      </c>
      <c r="B8" s="248" t="s">
        <v>3045</v>
      </c>
      <c r="C8" s="167" t="s">
        <v>3046</v>
      </c>
      <c r="D8" s="248" t="s">
        <v>2883</v>
      </c>
      <c r="E8" s="248" t="s">
        <v>64</v>
      </c>
      <c r="F8" s="248" t="s">
        <v>3051</v>
      </c>
      <c r="G8" s="248" t="s">
        <v>587</v>
      </c>
      <c r="H8" s="248" t="s">
        <v>579</v>
      </c>
    </row>
    <row r="9">
      <c r="A9" s="9" t="s">
        <v>6734</v>
      </c>
      <c r="B9" s="9" t="s">
        <v>6495</v>
      </c>
      <c r="C9" s="9" t="s">
        <v>6735</v>
      </c>
      <c r="D9" s="16"/>
      <c r="E9" s="16"/>
      <c r="F9" s="16"/>
      <c r="G9" s="16"/>
      <c r="H9" s="16"/>
    </row>
    <row r="10">
      <c r="A10" s="9" t="s">
        <v>6737</v>
      </c>
      <c r="B10" s="9" t="s">
        <v>6495</v>
      </c>
      <c r="C10" s="9" t="s">
        <v>6738</v>
      </c>
      <c r="D10" s="16"/>
      <c r="E10" s="16"/>
      <c r="F10" s="16"/>
      <c r="G10" s="16"/>
      <c r="H10" s="16"/>
    </row>
    <row r="11">
      <c r="A11" s="9" t="s">
        <v>6739</v>
      </c>
      <c r="B11" s="9" t="s">
        <v>6653</v>
      </c>
      <c r="C11" s="9" t="s">
        <v>6740</v>
      </c>
      <c r="D11" s="16"/>
      <c r="E11" s="16"/>
      <c r="F11" s="16"/>
      <c r="G11" s="16"/>
      <c r="H11" s="16"/>
    </row>
    <row r="12">
      <c r="A12" s="9" t="s">
        <v>6741</v>
      </c>
      <c r="B12" s="9" t="s">
        <v>6653</v>
      </c>
      <c r="C12" s="9" t="s">
        <v>6738</v>
      </c>
      <c r="D12" s="16"/>
      <c r="E12" s="16"/>
      <c r="F12" s="16"/>
      <c r="G12" s="16"/>
      <c r="H12" s="16"/>
    </row>
    <row r="13">
      <c r="A13" s="9" t="s">
        <v>6742</v>
      </c>
      <c r="B13" s="9" t="s">
        <v>6658</v>
      </c>
      <c r="C13" s="9" t="s">
        <v>6740</v>
      </c>
      <c r="D13" s="16"/>
      <c r="E13" s="16"/>
      <c r="F13" s="16"/>
      <c r="G13" s="16"/>
      <c r="H13" s="16"/>
    </row>
    <row r="14">
      <c r="A14" s="9" t="s">
        <v>6743</v>
      </c>
      <c r="B14" s="9" t="s">
        <v>6658</v>
      </c>
      <c r="C14" s="9" t="s">
        <v>6735</v>
      </c>
      <c r="D14" s="16"/>
      <c r="E14" s="16"/>
      <c r="F14" s="16"/>
      <c r="G14" s="16"/>
      <c r="H14" s="16"/>
    </row>
    <row r="15">
      <c r="A15" s="9" t="s">
        <v>6744</v>
      </c>
      <c r="B15" s="9" t="s">
        <v>6669</v>
      </c>
      <c r="C15" s="9" t="s">
        <v>6738</v>
      </c>
      <c r="D15" s="16"/>
      <c r="E15" s="16"/>
      <c r="F15" s="16"/>
      <c r="G15" s="16"/>
      <c r="H15" s="16"/>
    </row>
    <row r="16">
      <c r="A16" s="9" t="s">
        <v>6745</v>
      </c>
      <c r="B16" s="9" t="s">
        <v>6669</v>
      </c>
      <c r="C16" s="9" t="s">
        <v>6740</v>
      </c>
      <c r="D16" s="16"/>
      <c r="E16" s="16"/>
      <c r="F16" s="16"/>
      <c r="G16" s="16"/>
      <c r="H16" s="16"/>
    </row>
    <row r="17">
      <c r="A17" s="9" t="s">
        <v>6746</v>
      </c>
      <c r="B17" s="9" t="s">
        <v>6676</v>
      </c>
      <c r="C17" s="9" t="s">
        <v>6740</v>
      </c>
      <c r="D17" s="16"/>
      <c r="E17" s="16"/>
      <c r="F17" s="16"/>
      <c r="G17" s="16"/>
      <c r="H17" s="16"/>
    </row>
    <row r="18">
      <c r="A18" s="9" t="s">
        <v>2998</v>
      </c>
      <c r="B18" s="9" t="s">
        <v>6676</v>
      </c>
      <c r="C18" s="9" t="s">
        <v>6738</v>
      </c>
      <c r="D18" s="16"/>
      <c r="E18" s="16"/>
      <c r="F18" s="16"/>
      <c r="G18" s="16"/>
      <c r="H18" s="16"/>
    </row>
    <row r="19">
      <c r="A19" s="9" t="s">
        <v>6739</v>
      </c>
      <c r="B19" s="9" t="s">
        <v>6685</v>
      </c>
      <c r="C19" s="9" t="s">
        <v>6735</v>
      </c>
      <c r="D19" s="16"/>
      <c r="E19" s="16"/>
      <c r="F19" s="16"/>
      <c r="G19" s="16"/>
      <c r="H19" s="16"/>
      <c r="I19" s="16"/>
    </row>
    <row r="20">
      <c r="A20" s="9" t="s">
        <v>6747</v>
      </c>
      <c r="B20" s="9" t="s">
        <v>6685</v>
      </c>
      <c r="C20" s="9" t="s">
        <v>6740</v>
      </c>
      <c r="D20" s="16"/>
      <c r="E20" s="16"/>
      <c r="F20" s="16"/>
      <c r="G20" s="16"/>
      <c r="H20" s="16"/>
    </row>
    <row r="21">
      <c r="A21" s="9" t="s">
        <v>6748</v>
      </c>
      <c r="B21" s="9" t="s">
        <v>6690</v>
      </c>
      <c r="C21" s="9" t="s">
        <v>6735</v>
      </c>
      <c r="D21" s="16"/>
      <c r="E21" s="16"/>
      <c r="F21" s="16"/>
      <c r="G21" s="16"/>
      <c r="H21" s="16"/>
    </row>
  </sheetData>
  <mergeCells count="1">
    <mergeCell ref="A7:H7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25"/>
    <col customWidth="1" min="3" max="3" width="22.13"/>
    <col customWidth="1" min="6" max="6" width="15.13"/>
  </cols>
  <sheetData>
    <row r="1">
      <c r="A1" s="279" t="s">
        <v>6628</v>
      </c>
    </row>
    <row r="2">
      <c r="A2" s="19" t="s">
        <v>6752</v>
      </c>
    </row>
    <row r="3">
      <c r="A3" s="19" t="s">
        <v>6753</v>
      </c>
    </row>
    <row r="4">
      <c r="A4" s="19" t="s">
        <v>6754</v>
      </c>
    </row>
    <row r="5">
      <c r="A5" s="19" t="s">
        <v>6755</v>
      </c>
    </row>
    <row r="7">
      <c r="A7" s="211" t="s">
        <v>6639</v>
      </c>
    </row>
    <row r="8">
      <c r="A8" s="248" t="s">
        <v>2882</v>
      </c>
      <c r="B8" s="248" t="s">
        <v>3045</v>
      </c>
      <c r="C8" s="167" t="s">
        <v>3046</v>
      </c>
      <c r="D8" s="248" t="s">
        <v>2883</v>
      </c>
      <c r="E8" s="248" t="s">
        <v>64</v>
      </c>
      <c r="F8" s="248" t="s">
        <v>3051</v>
      </c>
      <c r="G8" s="248" t="s">
        <v>587</v>
      </c>
      <c r="H8" s="248" t="s">
        <v>579</v>
      </c>
    </row>
    <row r="9">
      <c r="A9" s="9" t="s">
        <v>6756</v>
      </c>
      <c r="B9" s="9" t="s">
        <v>6495</v>
      </c>
      <c r="C9" s="9" t="s">
        <v>243</v>
      </c>
      <c r="D9" s="16"/>
      <c r="E9" s="16"/>
      <c r="F9" s="16"/>
      <c r="G9" s="16"/>
      <c r="H9" s="16"/>
    </row>
    <row r="10">
      <c r="A10" s="9" t="s">
        <v>3031</v>
      </c>
      <c r="B10" s="9" t="s">
        <v>6495</v>
      </c>
      <c r="C10" s="9" t="s">
        <v>6758</v>
      </c>
      <c r="D10" s="16"/>
      <c r="E10" s="16"/>
      <c r="F10" s="16"/>
      <c r="G10" s="16"/>
      <c r="H10" s="16"/>
    </row>
    <row r="11">
      <c r="A11" s="9" t="s">
        <v>2890</v>
      </c>
      <c r="B11" s="9" t="s">
        <v>6653</v>
      </c>
      <c r="C11" s="9" t="s">
        <v>218</v>
      </c>
      <c r="D11" s="16"/>
      <c r="E11" s="16"/>
      <c r="F11" s="16"/>
      <c r="G11" s="16"/>
      <c r="H11" s="16"/>
    </row>
    <row r="12">
      <c r="A12" s="9" t="s">
        <v>2989</v>
      </c>
      <c r="B12" s="9" t="s">
        <v>6653</v>
      </c>
      <c r="C12" s="9" t="s">
        <v>3107</v>
      </c>
      <c r="D12" s="16"/>
      <c r="E12" s="16"/>
      <c r="F12" s="16"/>
      <c r="G12" s="16"/>
      <c r="H12" s="16"/>
    </row>
    <row r="13">
      <c r="A13" s="9" t="s">
        <v>6759</v>
      </c>
      <c r="B13" s="9" t="s">
        <v>6658</v>
      </c>
      <c r="C13" s="9" t="s">
        <v>243</v>
      </c>
      <c r="D13" s="16"/>
      <c r="E13" s="16"/>
      <c r="F13" s="16"/>
      <c r="G13" s="16"/>
      <c r="H13" s="16"/>
    </row>
    <row r="14">
      <c r="A14" s="9" t="s">
        <v>6760</v>
      </c>
      <c r="B14" s="9" t="s">
        <v>6658</v>
      </c>
      <c r="C14" s="9" t="s">
        <v>6758</v>
      </c>
      <c r="D14" s="16"/>
      <c r="E14" s="16"/>
      <c r="F14" s="16"/>
      <c r="G14" s="16"/>
      <c r="H14" s="16"/>
    </row>
    <row r="15">
      <c r="A15" s="9" t="s">
        <v>6756</v>
      </c>
      <c r="B15" s="9" t="s">
        <v>6669</v>
      </c>
      <c r="C15" s="9" t="s">
        <v>218</v>
      </c>
      <c r="D15" s="16"/>
      <c r="E15" s="16"/>
      <c r="F15" s="16"/>
      <c r="G15" s="16"/>
      <c r="H15" s="16"/>
    </row>
    <row r="16">
      <c r="A16" s="9" t="s">
        <v>6761</v>
      </c>
      <c r="B16" s="9" t="s">
        <v>6669</v>
      </c>
      <c r="C16" s="9" t="s">
        <v>3107</v>
      </c>
      <c r="D16" s="16"/>
      <c r="E16" s="16"/>
      <c r="F16" s="16"/>
      <c r="G16" s="16"/>
      <c r="H16" s="16"/>
    </row>
    <row r="17">
      <c r="A17" s="9" t="s">
        <v>2890</v>
      </c>
      <c r="B17" s="9" t="s">
        <v>6676</v>
      </c>
      <c r="C17" s="9" t="s">
        <v>243</v>
      </c>
      <c r="D17" s="16"/>
      <c r="E17" s="16"/>
      <c r="F17" s="16"/>
      <c r="G17" s="16"/>
      <c r="H17" s="16"/>
    </row>
    <row r="18">
      <c r="A18" s="9" t="s">
        <v>6762</v>
      </c>
      <c r="B18" s="9" t="s">
        <v>6676</v>
      </c>
      <c r="C18" s="9" t="s">
        <v>6758</v>
      </c>
      <c r="D18" s="16"/>
      <c r="E18" s="16"/>
      <c r="F18" s="16"/>
      <c r="G18" s="16"/>
      <c r="H18" s="16"/>
    </row>
    <row r="19">
      <c r="A19" s="9" t="s">
        <v>6759</v>
      </c>
      <c r="B19" s="9" t="s">
        <v>6685</v>
      </c>
      <c r="C19" s="9" t="s">
        <v>218</v>
      </c>
      <c r="D19" s="16"/>
      <c r="E19" s="16"/>
      <c r="F19" s="16"/>
      <c r="G19" s="16"/>
      <c r="H19" s="16"/>
    </row>
    <row r="20">
      <c r="A20" s="9" t="s">
        <v>6763</v>
      </c>
      <c r="B20" s="9" t="s">
        <v>6685</v>
      </c>
      <c r="C20" s="9" t="s">
        <v>3107</v>
      </c>
      <c r="D20" s="16"/>
      <c r="E20" s="16"/>
      <c r="F20" s="16"/>
      <c r="G20" s="16"/>
      <c r="H20" s="16"/>
    </row>
    <row r="21">
      <c r="A21" s="9" t="s">
        <v>3040</v>
      </c>
      <c r="B21" s="9" t="s">
        <v>6690</v>
      </c>
      <c r="C21" s="9" t="s">
        <v>243</v>
      </c>
      <c r="D21" s="16"/>
      <c r="E21" s="16"/>
      <c r="F21" s="16"/>
      <c r="G21" s="16"/>
      <c r="H21" s="16"/>
    </row>
    <row r="22">
      <c r="A22" s="16"/>
      <c r="B22" s="16"/>
      <c r="C22" s="16"/>
      <c r="D22" s="16"/>
      <c r="E22" s="16"/>
      <c r="F22" s="16"/>
      <c r="G22" s="16"/>
      <c r="H22" s="16"/>
    </row>
    <row r="23">
      <c r="A23" s="16"/>
      <c r="B23" s="16"/>
      <c r="C23" s="16"/>
      <c r="D23" s="16"/>
      <c r="E23" s="16"/>
      <c r="F23" s="16"/>
      <c r="G23" s="16"/>
      <c r="H23" s="16"/>
    </row>
    <row r="24">
      <c r="A24" s="16"/>
      <c r="B24" s="16"/>
      <c r="C24" s="16"/>
      <c r="D24" s="16"/>
      <c r="E24" s="16"/>
      <c r="F24" s="16"/>
      <c r="G24" s="16"/>
      <c r="H24" s="16"/>
    </row>
    <row r="25">
      <c r="A25" s="16"/>
      <c r="B25" s="16"/>
      <c r="C25" s="16"/>
      <c r="D25" s="16"/>
      <c r="E25" s="16"/>
      <c r="F25" s="16"/>
      <c r="G25" s="16"/>
      <c r="H25" s="16"/>
    </row>
    <row r="26">
      <c r="A26" s="16"/>
      <c r="B26" s="16"/>
      <c r="C26" s="16"/>
      <c r="D26" s="16"/>
      <c r="E26" s="16"/>
      <c r="F26" s="16"/>
      <c r="G26" s="16"/>
      <c r="H26" s="16"/>
    </row>
    <row r="27">
      <c r="A27" s="16"/>
      <c r="B27" s="16"/>
      <c r="C27" s="16"/>
      <c r="D27" s="16"/>
      <c r="E27" s="16"/>
      <c r="F27" s="16"/>
      <c r="G27" s="16"/>
      <c r="H27" s="16"/>
    </row>
    <row r="28">
      <c r="A28" s="16"/>
      <c r="B28" s="16"/>
      <c r="C28" s="16"/>
      <c r="D28" s="16"/>
      <c r="E28" s="16"/>
      <c r="F28" s="16"/>
      <c r="G28" s="16"/>
      <c r="H28" s="16"/>
    </row>
    <row r="29">
      <c r="A29" s="16"/>
      <c r="B29" s="16"/>
      <c r="C29" s="16"/>
      <c r="D29" s="16"/>
      <c r="E29" s="16"/>
      <c r="F29" s="16"/>
      <c r="G29" s="16"/>
      <c r="H29" s="16"/>
    </row>
  </sheetData>
  <mergeCells count="1">
    <mergeCell ref="A7:H7"/>
  </mergeCell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5"/>
    <col customWidth="1" min="4" max="4" width="90.63"/>
    <col customWidth="1" min="5" max="5" width="78.88"/>
    <col customWidth="1" min="6" max="6" width="16.0"/>
    <col customWidth="1" min="7" max="7" width="14.5"/>
    <col customWidth="1" min="8" max="8" width="15.5"/>
  </cols>
  <sheetData>
    <row r="1">
      <c r="A1" s="1" t="s">
        <v>6765</v>
      </c>
      <c r="D1" s="1" t="s">
        <v>6766</v>
      </c>
    </row>
    <row r="2">
      <c r="A2" s="280" t="s">
        <v>6767</v>
      </c>
      <c r="B2" s="188" t="s">
        <v>6461</v>
      </c>
      <c r="D2" s="188" t="s">
        <v>6768</v>
      </c>
      <c r="E2" s="188" t="s">
        <v>6769</v>
      </c>
    </row>
    <row r="3">
      <c r="B3" s="188" t="s">
        <v>6439</v>
      </c>
      <c r="D3" s="188" t="s">
        <v>6770</v>
      </c>
      <c r="E3" s="188" t="s">
        <v>6771</v>
      </c>
    </row>
    <row r="4">
      <c r="B4" s="188" t="s">
        <v>6772</v>
      </c>
      <c r="D4" s="281" t="s">
        <v>6773</v>
      </c>
      <c r="E4" s="281" t="s">
        <v>6774</v>
      </c>
    </row>
    <row r="5">
      <c r="B5" s="188" t="s">
        <v>6430</v>
      </c>
      <c r="D5" s="281" t="s">
        <v>6775</v>
      </c>
      <c r="E5" s="281" t="s">
        <v>6776</v>
      </c>
    </row>
    <row r="6">
      <c r="B6" s="188">
        <v>100.0</v>
      </c>
      <c r="D6" s="281" t="s">
        <v>6777</v>
      </c>
      <c r="E6" s="281" t="s">
        <v>6778</v>
      </c>
    </row>
    <row r="7">
      <c r="B7" s="188" t="s">
        <v>6779</v>
      </c>
      <c r="D7" s="282"/>
      <c r="E7" s="281" t="s">
        <v>6780</v>
      </c>
    </row>
    <row r="8">
      <c r="B8" s="188" t="s">
        <v>6781</v>
      </c>
      <c r="D8" s="282"/>
      <c r="E8" s="281" t="s">
        <v>6782</v>
      </c>
    </row>
    <row r="9">
      <c r="D9" s="282"/>
      <c r="E9" s="281" t="s">
        <v>6783</v>
      </c>
    </row>
    <row r="10">
      <c r="D10" s="282"/>
      <c r="E10" s="281" t="s">
        <v>6785</v>
      </c>
    </row>
    <row r="11">
      <c r="D11" s="188" t="s">
        <v>6786</v>
      </c>
    </row>
    <row r="12">
      <c r="D12" s="188" t="s">
        <v>6787</v>
      </c>
    </row>
    <row r="14">
      <c r="A14" s="283" t="s">
        <v>6788</v>
      </c>
      <c r="I14" s="193"/>
    </row>
    <row r="15">
      <c r="A15" s="188" t="s">
        <v>3083</v>
      </c>
      <c r="B15" s="188" t="s">
        <v>6789</v>
      </c>
      <c r="C15" s="188" t="s">
        <v>6790</v>
      </c>
      <c r="D15" s="188" t="s">
        <v>6791</v>
      </c>
      <c r="E15" s="188" t="s">
        <v>6792</v>
      </c>
      <c r="F15" s="188" t="s">
        <v>6793</v>
      </c>
      <c r="G15" s="188" t="s">
        <v>6794</v>
      </c>
      <c r="H15" s="188" t="s">
        <v>67</v>
      </c>
    </row>
    <row r="16">
      <c r="A16" s="9" t="s">
        <v>11</v>
      </c>
      <c r="B16" s="9">
        <v>14.0</v>
      </c>
      <c r="C16" s="9">
        <v>9.0</v>
      </c>
      <c r="D16" s="9" t="s">
        <v>6795</v>
      </c>
      <c r="E16" s="9">
        <f t="shared" ref="E16:E31" si="1">(C16/B16)*100</f>
        <v>64.28571429</v>
      </c>
      <c r="F16" s="9">
        <v>0.0</v>
      </c>
      <c r="G16" s="16">
        <f t="shared" ref="G16:G31" si="2">E16*6</f>
        <v>385.7142857</v>
      </c>
      <c r="H16" s="284">
        <f t="shared" ref="H16:H31" si="3">F16+G16</f>
        <v>385.7142857</v>
      </c>
    </row>
    <row r="17">
      <c r="A17" s="9" t="s">
        <v>12</v>
      </c>
      <c r="B17" s="9">
        <v>12.0</v>
      </c>
      <c r="C17" s="9">
        <v>7.0</v>
      </c>
      <c r="D17" s="9" t="s">
        <v>6795</v>
      </c>
      <c r="E17" s="9">
        <f t="shared" si="1"/>
        <v>58.33333333</v>
      </c>
      <c r="F17" s="9">
        <v>0.0</v>
      </c>
      <c r="G17" s="16">
        <f t="shared" si="2"/>
        <v>350</v>
      </c>
      <c r="H17" s="284">
        <f t="shared" si="3"/>
        <v>350</v>
      </c>
    </row>
    <row r="18">
      <c r="A18" s="9" t="s">
        <v>16</v>
      </c>
      <c r="B18" s="9">
        <v>6.0</v>
      </c>
      <c r="C18" s="9">
        <v>3.0</v>
      </c>
      <c r="D18" s="9" t="s">
        <v>6795</v>
      </c>
      <c r="E18" s="9">
        <f t="shared" si="1"/>
        <v>50</v>
      </c>
      <c r="F18" s="9">
        <v>0.0</v>
      </c>
      <c r="G18" s="16">
        <f t="shared" si="2"/>
        <v>300</v>
      </c>
      <c r="H18" s="284">
        <f t="shared" si="3"/>
        <v>300</v>
      </c>
    </row>
    <row r="19">
      <c r="A19" s="9" t="s">
        <v>23</v>
      </c>
      <c r="B19" s="9">
        <v>4.0</v>
      </c>
      <c r="C19" s="9">
        <v>2.0</v>
      </c>
      <c r="D19" s="9" t="s">
        <v>6795</v>
      </c>
      <c r="E19" s="9">
        <f t="shared" si="1"/>
        <v>50</v>
      </c>
      <c r="F19" s="9">
        <v>0.0</v>
      </c>
      <c r="G19" s="16">
        <f t="shared" si="2"/>
        <v>300</v>
      </c>
      <c r="H19" s="284">
        <f t="shared" si="3"/>
        <v>300</v>
      </c>
    </row>
    <row r="20">
      <c r="A20" s="9" t="s">
        <v>18</v>
      </c>
      <c r="B20" s="9">
        <v>10.0</v>
      </c>
      <c r="C20" s="9">
        <v>4.0</v>
      </c>
      <c r="D20" s="9" t="s">
        <v>6795</v>
      </c>
      <c r="E20" s="9">
        <f t="shared" si="1"/>
        <v>40</v>
      </c>
      <c r="F20" s="9">
        <v>0.0</v>
      </c>
      <c r="G20" s="16">
        <f t="shared" si="2"/>
        <v>240</v>
      </c>
      <c r="H20" s="284">
        <f t="shared" si="3"/>
        <v>240</v>
      </c>
    </row>
    <row r="21">
      <c r="A21" s="9" t="s">
        <v>15</v>
      </c>
      <c r="B21" s="9">
        <v>8.0</v>
      </c>
      <c r="C21" s="9">
        <v>3.0</v>
      </c>
      <c r="D21" s="9" t="s">
        <v>6795</v>
      </c>
      <c r="E21" s="9">
        <f t="shared" si="1"/>
        <v>37.5</v>
      </c>
      <c r="F21" s="9">
        <v>0.0</v>
      </c>
      <c r="G21" s="16">
        <f t="shared" si="2"/>
        <v>225</v>
      </c>
      <c r="H21" s="284">
        <f t="shared" si="3"/>
        <v>225</v>
      </c>
    </row>
    <row r="22">
      <c r="A22" s="9" t="s">
        <v>9</v>
      </c>
      <c r="B22" s="9">
        <v>3.0</v>
      </c>
      <c r="C22" s="9">
        <v>1.0</v>
      </c>
      <c r="D22" s="9" t="s">
        <v>6795</v>
      </c>
      <c r="E22" s="9">
        <f t="shared" si="1"/>
        <v>33.33333333</v>
      </c>
      <c r="F22" s="9">
        <v>0.0</v>
      </c>
      <c r="G22" s="16">
        <f t="shared" si="2"/>
        <v>200</v>
      </c>
      <c r="H22" s="284">
        <f t="shared" si="3"/>
        <v>200</v>
      </c>
    </row>
    <row r="23">
      <c r="A23" s="9" t="s">
        <v>20</v>
      </c>
      <c r="B23" s="9">
        <v>3.0</v>
      </c>
      <c r="C23" s="9">
        <v>1.0</v>
      </c>
      <c r="D23" s="9" t="s">
        <v>6795</v>
      </c>
      <c r="E23" s="9">
        <f t="shared" si="1"/>
        <v>33.33333333</v>
      </c>
      <c r="F23" s="9">
        <v>0.0</v>
      </c>
      <c r="G23" s="16">
        <f t="shared" si="2"/>
        <v>200</v>
      </c>
      <c r="H23" s="284">
        <f t="shared" si="3"/>
        <v>200</v>
      </c>
    </row>
    <row r="24">
      <c r="A24" s="9" t="s">
        <v>13</v>
      </c>
      <c r="B24" s="9">
        <v>0.0</v>
      </c>
      <c r="C24" s="9">
        <v>0.0</v>
      </c>
      <c r="D24" s="9" t="s">
        <v>6795</v>
      </c>
      <c r="E24" s="9" t="str">
        <f t="shared" si="1"/>
        <v>#DIV/0!</v>
      </c>
      <c r="F24" s="9">
        <v>0.0</v>
      </c>
      <c r="G24" s="16" t="str">
        <f t="shared" si="2"/>
        <v>#DIV/0!</v>
      </c>
      <c r="H24" s="284" t="str">
        <f t="shared" si="3"/>
        <v>#DIV/0!</v>
      </c>
    </row>
    <row r="25" ht="15.75" customHeight="1">
      <c r="A25" s="9" t="s">
        <v>14</v>
      </c>
      <c r="B25" s="9">
        <v>0.0</v>
      </c>
      <c r="C25" s="9">
        <v>0.0</v>
      </c>
      <c r="D25" s="9" t="s">
        <v>6795</v>
      </c>
      <c r="E25" s="9" t="str">
        <f t="shared" si="1"/>
        <v>#DIV/0!</v>
      </c>
      <c r="F25" s="9">
        <v>0.0</v>
      </c>
      <c r="G25" s="16" t="str">
        <f t="shared" si="2"/>
        <v>#DIV/0!</v>
      </c>
      <c r="H25" s="284" t="str">
        <f t="shared" si="3"/>
        <v>#DIV/0!</v>
      </c>
    </row>
    <row r="26">
      <c r="A26" s="9" t="s">
        <v>17</v>
      </c>
      <c r="B26" s="9">
        <v>0.0</v>
      </c>
      <c r="C26" s="9">
        <v>0.0</v>
      </c>
      <c r="D26" s="9" t="s">
        <v>6795</v>
      </c>
      <c r="E26" s="9" t="str">
        <f t="shared" si="1"/>
        <v>#DIV/0!</v>
      </c>
      <c r="F26" s="9">
        <v>0.0</v>
      </c>
      <c r="G26" s="16" t="str">
        <f t="shared" si="2"/>
        <v>#DIV/0!</v>
      </c>
      <c r="H26" s="284" t="str">
        <f t="shared" si="3"/>
        <v>#DIV/0!</v>
      </c>
    </row>
    <row r="27">
      <c r="A27" s="9" t="s">
        <v>19</v>
      </c>
      <c r="B27" s="9">
        <v>0.0</v>
      </c>
      <c r="C27" s="9">
        <v>0.0</v>
      </c>
      <c r="D27" s="9" t="s">
        <v>6795</v>
      </c>
      <c r="E27" s="9" t="str">
        <f t="shared" si="1"/>
        <v>#DIV/0!</v>
      </c>
      <c r="F27" s="9">
        <v>0.0</v>
      </c>
      <c r="G27" s="16" t="str">
        <f t="shared" si="2"/>
        <v>#DIV/0!</v>
      </c>
      <c r="H27" s="284" t="str">
        <f t="shared" si="3"/>
        <v>#DIV/0!</v>
      </c>
    </row>
    <row r="28">
      <c r="A28" s="9" t="s">
        <v>21</v>
      </c>
      <c r="B28" s="9">
        <v>0.0</v>
      </c>
      <c r="C28" s="9">
        <v>0.0</v>
      </c>
      <c r="D28" s="9" t="s">
        <v>6795</v>
      </c>
      <c r="E28" s="9" t="str">
        <f t="shared" si="1"/>
        <v>#DIV/0!</v>
      </c>
      <c r="F28" s="9">
        <v>0.0</v>
      </c>
      <c r="G28" s="16" t="str">
        <f t="shared" si="2"/>
        <v>#DIV/0!</v>
      </c>
      <c r="H28" s="284" t="str">
        <f t="shared" si="3"/>
        <v>#DIV/0!</v>
      </c>
    </row>
    <row r="29">
      <c r="A29" s="9" t="s">
        <v>22</v>
      </c>
      <c r="B29" s="9">
        <v>0.0</v>
      </c>
      <c r="C29" s="9">
        <v>0.0</v>
      </c>
      <c r="D29" s="9" t="s">
        <v>6795</v>
      </c>
      <c r="E29" s="9" t="str">
        <f t="shared" si="1"/>
        <v>#DIV/0!</v>
      </c>
      <c r="F29" s="9">
        <v>0.0</v>
      </c>
      <c r="G29" s="16" t="str">
        <f t="shared" si="2"/>
        <v>#DIV/0!</v>
      </c>
      <c r="H29" s="284" t="str">
        <f t="shared" si="3"/>
        <v>#DIV/0!</v>
      </c>
    </row>
    <row r="30">
      <c r="A30" s="9" t="s">
        <v>452</v>
      </c>
      <c r="B30" s="9">
        <v>0.0</v>
      </c>
      <c r="C30" s="9">
        <v>0.0</v>
      </c>
      <c r="D30" s="9" t="s">
        <v>6795</v>
      </c>
      <c r="E30" s="9" t="str">
        <f t="shared" si="1"/>
        <v>#DIV/0!</v>
      </c>
      <c r="F30" s="9">
        <v>0.0</v>
      </c>
      <c r="G30" s="16" t="str">
        <f t="shared" si="2"/>
        <v>#DIV/0!</v>
      </c>
      <c r="H30" s="284" t="str">
        <f t="shared" si="3"/>
        <v>#DIV/0!</v>
      </c>
    </row>
    <row r="31">
      <c r="A31" s="9" t="s">
        <v>457</v>
      </c>
      <c r="B31" s="9">
        <v>0.0</v>
      </c>
      <c r="C31" s="9">
        <v>0.0</v>
      </c>
      <c r="D31" s="9" t="s">
        <v>6795</v>
      </c>
      <c r="E31" s="9" t="str">
        <f t="shared" si="1"/>
        <v>#DIV/0!</v>
      </c>
      <c r="F31" s="9">
        <v>0.0</v>
      </c>
      <c r="G31" s="16" t="str">
        <f t="shared" si="2"/>
        <v>#DIV/0!</v>
      </c>
      <c r="H31" s="284" t="str">
        <f t="shared" si="3"/>
        <v>#DIV/0!</v>
      </c>
    </row>
    <row r="33">
      <c r="A33" s="283" t="s">
        <v>6796</v>
      </c>
      <c r="I33" s="193"/>
    </row>
    <row r="34">
      <c r="A34" s="188" t="s">
        <v>3083</v>
      </c>
      <c r="B34" s="188" t="s">
        <v>6789</v>
      </c>
      <c r="C34" s="188" t="s">
        <v>6790</v>
      </c>
      <c r="D34" s="188" t="s">
        <v>6791</v>
      </c>
      <c r="E34" s="188" t="s">
        <v>6792</v>
      </c>
      <c r="F34" s="188" t="s">
        <v>6793</v>
      </c>
      <c r="G34" s="188" t="s">
        <v>6794</v>
      </c>
      <c r="H34" s="188" t="s">
        <v>67</v>
      </c>
    </row>
    <row r="35">
      <c r="A35" s="9" t="s">
        <v>19</v>
      </c>
      <c r="B35" s="9">
        <v>9.0</v>
      </c>
      <c r="C35" s="9">
        <v>6.0</v>
      </c>
      <c r="D35" s="9" t="s">
        <v>6797</v>
      </c>
      <c r="E35" s="9">
        <f t="shared" ref="E35:E50" si="4">(C35/B35)*100</f>
        <v>66.66666667</v>
      </c>
      <c r="F35" s="9">
        <v>100.0</v>
      </c>
      <c r="G35" s="16">
        <f t="shared" ref="G35:G50" si="5">E35*6</f>
        <v>400</v>
      </c>
      <c r="H35" s="284">
        <f t="shared" ref="H35:H50" si="6">F35+G35</f>
        <v>500</v>
      </c>
    </row>
    <row r="36">
      <c r="A36" s="9" t="s">
        <v>23</v>
      </c>
      <c r="B36" s="9">
        <v>14.0</v>
      </c>
      <c r="C36" s="9">
        <v>10.0</v>
      </c>
      <c r="D36" s="9" t="s">
        <v>6795</v>
      </c>
      <c r="E36" s="9">
        <f t="shared" si="4"/>
        <v>71.42857143</v>
      </c>
      <c r="F36" s="9">
        <v>0.0</v>
      </c>
      <c r="G36" s="16">
        <f t="shared" si="5"/>
        <v>428.5714286</v>
      </c>
      <c r="H36" s="284">
        <f t="shared" si="6"/>
        <v>428.5714286</v>
      </c>
    </row>
    <row r="37">
      <c r="A37" s="9" t="s">
        <v>12</v>
      </c>
      <c r="B37" s="9">
        <v>28.0</v>
      </c>
      <c r="C37" s="9">
        <v>16.0</v>
      </c>
      <c r="D37" s="9" t="s">
        <v>6798</v>
      </c>
      <c r="E37" s="9">
        <f t="shared" si="4"/>
        <v>57.14285714</v>
      </c>
      <c r="F37" s="9">
        <v>70.0</v>
      </c>
      <c r="G37" s="16">
        <f t="shared" si="5"/>
        <v>342.8571429</v>
      </c>
      <c r="H37" s="284">
        <f t="shared" si="6"/>
        <v>412.8571429</v>
      </c>
    </row>
    <row r="38">
      <c r="A38" s="9" t="s">
        <v>14</v>
      </c>
      <c r="B38" s="9">
        <v>3.0</v>
      </c>
      <c r="C38" s="9">
        <v>2.0</v>
      </c>
      <c r="D38" s="9" t="s">
        <v>6795</v>
      </c>
      <c r="E38" s="9">
        <f t="shared" si="4"/>
        <v>66.66666667</v>
      </c>
      <c r="F38" s="9">
        <v>0.0</v>
      </c>
      <c r="G38" s="16">
        <f t="shared" si="5"/>
        <v>400</v>
      </c>
      <c r="H38" s="284">
        <f t="shared" si="6"/>
        <v>400</v>
      </c>
    </row>
    <row r="39">
      <c r="A39" s="9" t="s">
        <v>9</v>
      </c>
      <c r="B39" s="9">
        <v>16.0</v>
      </c>
      <c r="C39" s="9">
        <v>10.0</v>
      </c>
      <c r="D39" s="9" t="s">
        <v>6795</v>
      </c>
      <c r="E39" s="9">
        <f t="shared" si="4"/>
        <v>62.5</v>
      </c>
      <c r="F39" s="9">
        <v>0.0</v>
      </c>
      <c r="G39" s="16">
        <f t="shared" si="5"/>
        <v>375</v>
      </c>
      <c r="H39" s="284">
        <f t="shared" si="6"/>
        <v>375</v>
      </c>
    </row>
    <row r="40">
      <c r="A40" s="9" t="s">
        <v>11</v>
      </c>
      <c r="B40" s="9">
        <v>9.0</v>
      </c>
      <c r="C40" s="9">
        <v>4.0</v>
      </c>
      <c r="D40" s="9" t="s">
        <v>6795</v>
      </c>
      <c r="E40" s="9">
        <f t="shared" si="4"/>
        <v>44.44444444</v>
      </c>
      <c r="F40" s="9">
        <v>0.0</v>
      </c>
      <c r="G40" s="16">
        <f t="shared" si="5"/>
        <v>266.6666667</v>
      </c>
      <c r="H40" s="284">
        <f t="shared" si="6"/>
        <v>266.6666667</v>
      </c>
    </row>
    <row r="41">
      <c r="A41" s="9" t="s">
        <v>16</v>
      </c>
      <c r="B41" s="9">
        <v>7.0</v>
      </c>
      <c r="C41" s="9">
        <v>3.0</v>
      </c>
      <c r="D41" s="9" t="s">
        <v>6795</v>
      </c>
      <c r="E41" s="9">
        <f t="shared" si="4"/>
        <v>42.85714286</v>
      </c>
      <c r="F41" s="9">
        <v>0.0</v>
      </c>
      <c r="G41" s="16">
        <f t="shared" si="5"/>
        <v>257.1428571</v>
      </c>
      <c r="H41" s="284">
        <f t="shared" si="6"/>
        <v>257.1428571</v>
      </c>
    </row>
    <row r="42">
      <c r="A42" s="9" t="s">
        <v>13</v>
      </c>
      <c r="B42" s="9">
        <v>12.0</v>
      </c>
      <c r="C42" s="9">
        <v>5.0</v>
      </c>
      <c r="D42" s="9" t="s">
        <v>6795</v>
      </c>
      <c r="E42" s="9">
        <f t="shared" si="4"/>
        <v>41.66666667</v>
      </c>
      <c r="F42" s="9">
        <v>0.0</v>
      </c>
      <c r="G42" s="16">
        <f t="shared" si="5"/>
        <v>250</v>
      </c>
      <c r="H42" s="284">
        <f t="shared" si="6"/>
        <v>250</v>
      </c>
    </row>
    <row r="43">
      <c r="A43" s="9" t="s">
        <v>17</v>
      </c>
      <c r="B43" s="9">
        <v>8.0</v>
      </c>
      <c r="C43" s="9">
        <v>3.0</v>
      </c>
      <c r="D43" s="9" t="s">
        <v>6795</v>
      </c>
      <c r="E43" s="9">
        <f t="shared" si="4"/>
        <v>37.5</v>
      </c>
      <c r="F43" s="9">
        <v>0.0</v>
      </c>
      <c r="G43" s="16">
        <f t="shared" si="5"/>
        <v>225</v>
      </c>
      <c r="H43" s="284">
        <f t="shared" si="6"/>
        <v>225</v>
      </c>
    </row>
    <row r="44">
      <c r="A44" s="9" t="s">
        <v>18</v>
      </c>
      <c r="B44" s="9">
        <v>6.0</v>
      </c>
      <c r="C44" s="9">
        <v>2.0</v>
      </c>
      <c r="D44" s="9" t="s">
        <v>6795</v>
      </c>
      <c r="E44" s="9">
        <f t="shared" si="4"/>
        <v>33.33333333</v>
      </c>
      <c r="F44" s="9">
        <v>0.0</v>
      </c>
      <c r="G44" s="16">
        <f t="shared" si="5"/>
        <v>200</v>
      </c>
      <c r="H44" s="284">
        <f t="shared" si="6"/>
        <v>200</v>
      </c>
    </row>
    <row r="45">
      <c r="A45" s="9" t="s">
        <v>15</v>
      </c>
      <c r="B45" s="9">
        <v>5.0</v>
      </c>
      <c r="C45" s="9">
        <v>1.0</v>
      </c>
      <c r="D45" s="9" t="s">
        <v>6795</v>
      </c>
      <c r="E45" s="9">
        <f t="shared" si="4"/>
        <v>20</v>
      </c>
      <c r="F45" s="9">
        <v>0.0</v>
      </c>
      <c r="G45" s="16">
        <f t="shared" si="5"/>
        <v>120</v>
      </c>
      <c r="H45" s="284">
        <f t="shared" si="6"/>
        <v>120</v>
      </c>
    </row>
    <row r="46">
      <c r="A46" s="9" t="s">
        <v>21</v>
      </c>
      <c r="B46" s="9">
        <v>4.0</v>
      </c>
      <c r="C46" s="9">
        <v>1.0</v>
      </c>
      <c r="D46" s="9" t="s">
        <v>6795</v>
      </c>
      <c r="E46" s="9">
        <f t="shared" si="4"/>
        <v>25</v>
      </c>
      <c r="F46" s="9">
        <v>0.0</v>
      </c>
      <c r="G46" s="16">
        <f t="shared" si="5"/>
        <v>150</v>
      </c>
      <c r="H46" s="284">
        <f t="shared" si="6"/>
        <v>150</v>
      </c>
    </row>
    <row r="47">
      <c r="A47" s="9" t="s">
        <v>22</v>
      </c>
      <c r="B47" s="9">
        <v>2.0</v>
      </c>
      <c r="C47" s="9">
        <v>0.0</v>
      </c>
      <c r="D47" s="9" t="s">
        <v>6795</v>
      </c>
      <c r="E47" s="9">
        <f t="shared" si="4"/>
        <v>0</v>
      </c>
      <c r="F47" s="9">
        <v>0.0</v>
      </c>
      <c r="G47" s="16">
        <f t="shared" si="5"/>
        <v>0</v>
      </c>
      <c r="H47" s="284">
        <f t="shared" si="6"/>
        <v>0</v>
      </c>
    </row>
    <row r="48">
      <c r="A48" s="9" t="s">
        <v>20</v>
      </c>
      <c r="B48" s="9">
        <v>0.0</v>
      </c>
      <c r="C48" s="9">
        <v>0.0</v>
      </c>
      <c r="D48" s="9" t="s">
        <v>6795</v>
      </c>
      <c r="E48" s="9" t="str">
        <f t="shared" si="4"/>
        <v>#DIV/0!</v>
      </c>
      <c r="F48" s="9">
        <v>0.0</v>
      </c>
      <c r="G48" s="16" t="str">
        <f t="shared" si="5"/>
        <v>#DIV/0!</v>
      </c>
      <c r="H48" s="284" t="str">
        <f t="shared" si="6"/>
        <v>#DIV/0!</v>
      </c>
    </row>
    <row r="49">
      <c r="A49" s="9" t="s">
        <v>452</v>
      </c>
      <c r="B49" s="9">
        <v>0.0</v>
      </c>
      <c r="C49" s="9">
        <v>0.0</v>
      </c>
      <c r="D49" s="9" t="s">
        <v>6795</v>
      </c>
      <c r="E49" s="9" t="str">
        <f t="shared" si="4"/>
        <v>#DIV/0!</v>
      </c>
      <c r="F49" s="9">
        <v>0.0</v>
      </c>
      <c r="G49" s="16" t="str">
        <f t="shared" si="5"/>
        <v>#DIV/0!</v>
      </c>
      <c r="H49" s="284" t="str">
        <f t="shared" si="6"/>
        <v>#DIV/0!</v>
      </c>
    </row>
    <row r="50">
      <c r="A50" s="9" t="s">
        <v>457</v>
      </c>
      <c r="B50" s="9">
        <v>0.0</v>
      </c>
      <c r="C50" s="9">
        <v>0.0</v>
      </c>
      <c r="D50" s="9" t="s">
        <v>6795</v>
      </c>
      <c r="E50" s="9" t="str">
        <f t="shared" si="4"/>
        <v>#DIV/0!</v>
      </c>
      <c r="F50" s="9">
        <v>0.0</v>
      </c>
      <c r="G50" s="16" t="str">
        <f t="shared" si="5"/>
        <v>#DIV/0!</v>
      </c>
      <c r="H50" s="284" t="str">
        <f t="shared" si="6"/>
        <v>#DIV/0!</v>
      </c>
    </row>
    <row r="52">
      <c r="A52" s="283" t="s">
        <v>6801</v>
      </c>
    </row>
    <row r="53">
      <c r="A53" s="188" t="s">
        <v>3083</v>
      </c>
      <c r="B53" s="188" t="s">
        <v>6789</v>
      </c>
      <c r="C53" s="188" t="s">
        <v>6790</v>
      </c>
      <c r="D53" s="188" t="s">
        <v>6791</v>
      </c>
      <c r="E53" s="188" t="s">
        <v>6792</v>
      </c>
      <c r="F53" s="188" t="s">
        <v>6793</v>
      </c>
      <c r="G53" s="188" t="s">
        <v>6794</v>
      </c>
      <c r="H53" s="188" t="s">
        <v>67</v>
      </c>
    </row>
    <row r="54">
      <c r="A54" s="9" t="s">
        <v>12</v>
      </c>
      <c r="B54" s="9">
        <v>43.0</v>
      </c>
      <c r="C54" s="9">
        <v>25.0</v>
      </c>
      <c r="D54" s="9" t="s">
        <v>6802</v>
      </c>
      <c r="E54" s="9">
        <f t="shared" ref="E54:E69" si="7">(C54/B54)*100</f>
        <v>58.13953488</v>
      </c>
      <c r="F54" s="9">
        <f>70+50</f>
        <v>120</v>
      </c>
      <c r="G54" s="16">
        <f t="shared" ref="G54:G69" si="8">E54*6</f>
        <v>348.8372093</v>
      </c>
      <c r="H54" s="284">
        <f t="shared" ref="H54:H69" si="9">F54+G54</f>
        <v>468.8372093</v>
      </c>
    </row>
    <row r="55">
      <c r="A55" s="9" t="s">
        <v>19</v>
      </c>
      <c r="B55" s="9">
        <v>38.0</v>
      </c>
      <c r="C55" s="9">
        <v>19.0</v>
      </c>
      <c r="D55" s="9" t="s">
        <v>6803</v>
      </c>
      <c r="E55" s="9">
        <f t="shared" si="7"/>
        <v>50</v>
      </c>
      <c r="F55" s="9">
        <v>100.0</v>
      </c>
      <c r="G55" s="16">
        <f t="shared" si="8"/>
        <v>300</v>
      </c>
      <c r="H55" s="284">
        <f t="shared" si="9"/>
        <v>400</v>
      </c>
    </row>
    <row r="56">
      <c r="A56" s="9" t="s">
        <v>9</v>
      </c>
      <c r="B56" s="9">
        <v>35.0</v>
      </c>
      <c r="C56" s="9">
        <v>20.0</v>
      </c>
      <c r="D56" s="9" t="s">
        <v>6795</v>
      </c>
      <c r="E56" s="9">
        <f t="shared" si="7"/>
        <v>57.14285714</v>
      </c>
      <c r="F56" s="9">
        <v>0.0</v>
      </c>
      <c r="G56" s="16">
        <f t="shared" si="8"/>
        <v>342.8571429</v>
      </c>
      <c r="H56" s="284">
        <f t="shared" si="9"/>
        <v>342.8571429</v>
      </c>
    </row>
    <row r="57">
      <c r="A57" s="9" t="s">
        <v>17</v>
      </c>
      <c r="B57" s="9">
        <v>66.0</v>
      </c>
      <c r="C57" s="9">
        <v>35.0</v>
      </c>
      <c r="D57" s="9" t="s">
        <v>6804</v>
      </c>
      <c r="E57" s="9">
        <f t="shared" si="7"/>
        <v>53.03030303</v>
      </c>
      <c r="F57" s="9">
        <v>25.0</v>
      </c>
      <c r="G57" s="16">
        <f t="shared" si="8"/>
        <v>318.1818182</v>
      </c>
      <c r="H57" s="284">
        <f t="shared" si="9"/>
        <v>343.1818182</v>
      </c>
    </row>
    <row r="58">
      <c r="A58" s="9" t="s">
        <v>16</v>
      </c>
      <c r="B58" s="9">
        <v>44.0</v>
      </c>
      <c r="C58" s="9">
        <v>24.0</v>
      </c>
      <c r="D58" s="9" t="s">
        <v>6795</v>
      </c>
      <c r="E58" s="9">
        <f t="shared" si="7"/>
        <v>54.54545455</v>
      </c>
      <c r="F58" s="9">
        <v>0.0</v>
      </c>
      <c r="G58" s="16">
        <f t="shared" si="8"/>
        <v>327.2727273</v>
      </c>
      <c r="H58" s="284">
        <f t="shared" si="9"/>
        <v>327.2727273</v>
      </c>
    </row>
    <row r="59">
      <c r="A59" s="9" t="s">
        <v>13</v>
      </c>
      <c r="B59" s="9">
        <v>13.0</v>
      </c>
      <c r="C59" s="9">
        <v>7.0</v>
      </c>
      <c r="D59" s="9" t="s">
        <v>6795</v>
      </c>
      <c r="E59" s="9">
        <f t="shared" si="7"/>
        <v>53.84615385</v>
      </c>
      <c r="F59" s="9">
        <v>0.0</v>
      </c>
      <c r="G59" s="16">
        <f t="shared" si="8"/>
        <v>323.0769231</v>
      </c>
      <c r="H59" s="284">
        <f t="shared" si="9"/>
        <v>323.0769231</v>
      </c>
    </row>
    <row r="60">
      <c r="A60" s="9" t="s">
        <v>14</v>
      </c>
      <c r="B60" s="9">
        <v>13.0</v>
      </c>
      <c r="C60" s="9">
        <v>7.0</v>
      </c>
      <c r="D60" s="9" t="s">
        <v>6795</v>
      </c>
      <c r="E60" s="9">
        <f t="shared" si="7"/>
        <v>53.84615385</v>
      </c>
      <c r="F60" s="9">
        <v>0.0</v>
      </c>
      <c r="G60" s="16">
        <f t="shared" si="8"/>
        <v>323.0769231</v>
      </c>
      <c r="H60" s="284">
        <f t="shared" si="9"/>
        <v>323.0769231</v>
      </c>
    </row>
    <row r="61">
      <c r="A61" s="9" t="s">
        <v>23</v>
      </c>
      <c r="B61" s="9">
        <v>69.0</v>
      </c>
      <c r="C61" s="9">
        <v>37.0</v>
      </c>
      <c r="D61" s="9" t="s">
        <v>6795</v>
      </c>
      <c r="E61" s="9">
        <f t="shared" si="7"/>
        <v>53.62318841</v>
      </c>
      <c r="F61" s="9">
        <v>0.0</v>
      </c>
      <c r="G61" s="16">
        <f t="shared" si="8"/>
        <v>321.7391304</v>
      </c>
      <c r="H61" s="284">
        <f t="shared" si="9"/>
        <v>321.7391304</v>
      </c>
    </row>
    <row r="62">
      <c r="A62" s="9" t="s">
        <v>21</v>
      </c>
      <c r="B62" s="9">
        <v>32.0</v>
      </c>
      <c r="C62" s="9">
        <v>17.0</v>
      </c>
      <c r="D62" s="9" t="s">
        <v>6795</v>
      </c>
      <c r="E62" s="9">
        <f t="shared" si="7"/>
        <v>53.125</v>
      </c>
      <c r="F62" s="9">
        <v>0.0</v>
      </c>
      <c r="G62" s="16">
        <f t="shared" si="8"/>
        <v>318.75</v>
      </c>
      <c r="H62" s="284">
        <f t="shared" si="9"/>
        <v>318.75</v>
      </c>
    </row>
    <row r="63">
      <c r="A63" s="9" t="s">
        <v>18</v>
      </c>
      <c r="B63" s="9">
        <v>44.0</v>
      </c>
      <c r="C63" s="9">
        <v>20.0</v>
      </c>
      <c r="D63" s="9" t="s">
        <v>6795</v>
      </c>
      <c r="E63" s="9">
        <f t="shared" si="7"/>
        <v>45.45454545</v>
      </c>
      <c r="F63" s="9">
        <v>0.0</v>
      </c>
      <c r="G63" s="16">
        <f t="shared" si="8"/>
        <v>272.7272727</v>
      </c>
      <c r="H63" s="284">
        <f t="shared" si="9"/>
        <v>272.7272727</v>
      </c>
    </row>
    <row r="64">
      <c r="A64" s="9" t="s">
        <v>15</v>
      </c>
      <c r="B64" s="9">
        <v>46.0</v>
      </c>
      <c r="C64" s="9">
        <v>16.0</v>
      </c>
      <c r="D64" s="9" t="s">
        <v>6795</v>
      </c>
      <c r="E64" s="9">
        <f t="shared" si="7"/>
        <v>34.7826087</v>
      </c>
      <c r="F64" s="9">
        <v>0.0</v>
      </c>
      <c r="G64" s="16">
        <f t="shared" si="8"/>
        <v>208.6956522</v>
      </c>
      <c r="H64" s="284">
        <f t="shared" si="9"/>
        <v>208.6956522</v>
      </c>
    </row>
    <row r="65">
      <c r="A65" s="9" t="s">
        <v>22</v>
      </c>
      <c r="B65" s="9">
        <v>5.0</v>
      </c>
      <c r="C65" s="9">
        <v>1.0</v>
      </c>
      <c r="D65" s="9" t="s">
        <v>6795</v>
      </c>
      <c r="E65" s="9">
        <f t="shared" si="7"/>
        <v>20</v>
      </c>
      <c r="F65" s="9">
        <v>0.0</v>
      </c>
      <c r="G65" s="16">
        <f t="shared" si="8"/>
        <v>120</v>
      </c>
      <c r="H65" s="284">
        <f t="shared" si="9"/>
        <v>120</v>
      </c>
    </row>
    <row r="66">
      <c r="A66" s="9" t="s">
        <v>11</v>
      </c>
      <c r="B66" s="9">
        <v>17.0</v>
      </c>
      <c r="C66" s="9">
        <v>3.0</v>
      </c>
      <c r="D66" s="9" t="s">
        <v>6795</v>
      </c>
      <c r="E66" s="9">
        <f t="shared" si="7"/>
        <v>17.64705882</v>
      </c>
      <c r="F66" s="9">
        <v>0.0</v>
      </c>
      <c r="G66" s="16">
        <f t="shared" si="8"/>
        <v>105.8823529</v>
      </c>
      <c r="H66" s="284">
        <f t="shared" si="9"/>
        <v>105.8823529</v>
      </c>
    </row>
    <row r="67">
      <c r="A67" s="9" t="s">
        <v>20</v>
      </c>
      <c r="B67" s="9">
        <v>0.0</v>
      </c>
      <c r="C67" s="9">
        <v>0.0</v>
      </c>
      <c r="D67" s="9" t="s">
        <v>6795</v>
      </c>
      <c r="E67" s="9" t="str">
        <f t="shared" si="7"/>
        <v>#DIV/0!</v>
      </c>
      <c r="F67" s="9">
        <v>0.0</v>
      </c>
      <c r="G67" s="16" t="str">
        <f t="shared" si="8"/>
        <v>#DIV/0!</v>
      </c>
      <c r="H67" s="284" t="str">
        <f t="shared" si="9"/>
        <v>#DIV/0!</v>
      </c>
    </row>
    <row r="68">
      <c r="A68" s="9" t="s">
        <v>452</v>
      </c>
      <c r="B68" s="9">
        <v>0.0</v>
      </c>
      <c r="C68" s="9">
        <v>0.0</v>
      </c>
      <c r="D68" s="9" t="s">
        <v>6795</v>
      </c>
      <c r="E68" s="9" t="str">
        <f t="shared" si="7"/>
        <v>#DIV/0!</v>
      </c>
      <c r="F68" s="9">
        <v>0.0</v>
      </c>
      <c r="G68" s="16" t="str">
        <f t="shared" si="8"/>
        <v>#DIV/0!</v>
      </c>
      <c r="H68" s="284" t="str">
        <f t="shared" si="9"/>
        <v>#DIV/0!</v>
      </c>
    </row>
    <row r="69">
      <c r="A69" s="9" t="s">
        <v>457</v>
      </c>
      <c r="B69" s="9">
        <v>0.0</v>
      </c>
      <c r="C69" s="9">
        <v>0.0</v>
      </c>
      <c r="D69" s="9" t="s">
        <v>6795</v>
      </c>
      <c r="E69" s="9" t="str">
        <f t="shared" si="7"/>
        <v>#DIV/0!</v>
      </c>
      <c r="F69" s="9">
        <v>0.0</v>
      </c>
      <c r="G69" s="16" t="str">
        <f t="shared" si="8"/>
        <v>#DIV/0!</v>
      </c>
      <c r="H69" s="284" t="str">
        <f t="shared" si="9"/>
        <v>#DIV/0!</v>
      </c>
    </row>
    <row r="72">
      <c r="A72" s="283" t="s">
        <v>6805</v>
      </c>
    </row>
    <row r="73">
      <c r="A73" s="188" t="s">
        <v>3083</v>
      </c>
      <c r="B73" s="188" t="s">
        <v>6789</v>
      </c>
      <c r="C73" s="188" t="s">
        <v>6790</v>
      </c>
      <c r="D73" s="188" t="s">
        <v>6791</v>
      </c>
      <c r="E73" s="188" t="s">
        <v>6792</v>
      </c>
      <c r="F73" s="188" t="s">
        <v>6793</v>
      </c>
      <c r="G73" s="188" t="s">
        <v>6794</v>
      </c>
      <c r="H73" s="188" t="s">
        <v>67</v>
      </c>
    </row>
    <row r="74">
      <c r="A74" s="9" t="s">
        <v>17</v>
      </c>
      <c r="B74" s="9">
        <v>1.0</v>
      </c>
      <c r="C74" s="9">
        <v>1.0</v>
      </c>
      <c r="D74" s="9" t="s">
        <v>6795</v>
      </c>
      <c r="E74" s="9">
        <f t="shared" ref="E74:E89" si="10">(C74/B74)*100</f>
        <v>100</v>
      </c>
      <c r="F74" s="9">
        <v>0.0</v>
      </c>
      <c r="G74" s="16">
        <f t="shared" ref="G74:G89" si="11">E74*6</f>
        <v>600</v>
      </c>
      <c r="H74" s="284">
        <f t="shared" ref="H74:H89" si="12">F74+G74</f>
        <v>600</v>
      </c>
    </row>
    <row r="75">
      <c r="A75" s="9" t="s">
        <v>9</v>
      </c>
      <c r="B75" s="9">
        <v>11.0</v>
      </c>
      <c r="C75" s="9">
        <v>5.0</v>
      </c>
      <c r="D75" s="9" t="s">
        <v>6795</v>
      </c>
      <c r="E75" s="9">
        <f t="shared" si="10"/>
        <v>45.45454545</v>
      </c>
      <c r="F75" s="9">
        <v>0.0</v>
      </c>
      <c r="G75" s="16">
        <f t="shared" si="11"/>
        <v>272.7272727</v>
      </c>
      <c r="H75" s="284">
        <f t="shared" si="12"/>
        <v>272.7272727</v>
      </c>
    </row>
    <row r="76">
      <c r="A76" s="9" t="s">
        <v>15</v>
      </c>
      <c r="B76" s="9">
        <v>9.0</v>
      </c>
      <c r="C76" s="9">
        <v>4.0</v>
      </c>
      <c r="D76" s="9" t="s">
        <v>6795</v>
      </c>
      <c r="E76" s="9">
        <f t="shared" si="10"/>
        <v>44.44444444</v>
      </c>
      <c r="F76" s="9">
        <v>0.0</v>
      </c>
      <c r="G76" s="16">
        <f t="shared" si="11"/>
        <v>266.6666667</v>
      </c>
      <c r="H76" s="284">
        <f t="shared" si="12"/>
        <v>266.6666667</v>
      </c>
    </row>
    <row r="77">
      <c r="A77" s="9" t="s">
        <v>23</v>
      </c>
      <c r="B77" s="9">
        <v>7.0</v>
      </c>
      <c r="C77" s="9">
        <v>4.0</v>
      </c>
      <c r="D77" s="9" t="s">
        <v>6795</v>
      </c>
      <c r="E77" s="9">
        <f t="shared" si="10"/>
        <v>57.14285714</v>
      </c>
      <c r="F77" s="9">
        <v>0.0</v>
      </c>
      <c r="G77" s="16">
        <f t="shared" si="11"/>
        <v>342.8571429</v>
      </c>
      <c r="H77" s="284">
        <f t="shared" si="12"/>
        <v>342.8571429</v>
      </c>
    </row>
    <row r="78">
      <c r="A78" s="9" t="s">
        <v>21</v>
      </c>
      <c r="B78" s="9">
        <v>4.0</v>
      </c>
      <c r="C78" s="9">
        <v>2.0</v>
      </c>
      <c r="D78" s="9" t="s">
        <v>6795</v>
      </c>
      <c r="E78" s="9">
        <f t="shared" si="10"/>
        <v>50</v>
      </c>
      <c r="F78" s="9">
        <v>0.0</v>
      </c>
      <c r="G78" s="16">
        <f t="shared" si="11"/>
        <v>300</v>
      </c>
      <c r="H78" s="284">
        <f t="shared" si="12"/>
        <v>300</v>
      </c>
    </row>
    <row r="79">
      <c r="A79" s="9" t="s">
        <v>12</v>
      </c>
      <c r="B79" s="9">
        <v>13.0</v>
      </c>
      <c r="C79" s="9">
        <v>7.0</v>
      </c>
      <c r="D79" s="9" t="s">
        <v>6795</v>
      </c>
      <c r="E79" s="9">
        <f t="shared" si="10"/>
        <v>53.84615385</v>
      </c>
      <c r="F79" s="9">
        <v>0.0</v>
      </c>
      <c r="G79" s="16">
        <f t="shared" si="11"/>
        <v>323.0769231</v>
      </c>
      <c r="H79" s="284">
        <f t="shared" si="12"/>
        <v>323.0769231</v>
      </c>
    </row>
    <row r="80">
      <c r="A80" s="9" t="s">
        <v>13</v>
      </c>
      <c r="B80" s="9">
        <v>2.0</v>
      </c>
      <c r="C80" s="9">
        <v>1.0</v>
      </c>
      <c r="D80" s="9" t="s">
        <v>6795</v>
      </c>
      <c r="E80" s="9">
        <f t="shared" si="10"/>
        <v>50</v>
      </c>
      <c r="F80" s="9">
        <v>0.0</v>
      </c>
      <c r="G80" s="16">
        <f t="shared" si="11"/>
        <v>300</v>
      </c>
      <c r="H80" s="284">
        <f t="shared" si="12"/>
        <v>300</v>
      </c>
    </row>
    <row r="81">
      <c r="A81" s="9" t="s">
        <v>11</v>
      </c>
      <c r="B81" s="9">
        <v>12.0</v>
      </c>
      <c r="C81" s="9">
        <v>7.0</v>
      </c>
      <c r="D81" s="9" t="s">
        <v>6795</v>
      </c>
      <c r="E81" s="9">
        <f t="shared" si="10"/>
        <v>58.33333333</v>
      </c>
      <c r="F81" s="9">
        <v>0.0</v>
      </c>
      <c r="G81" s="16">
        <f t="shared" si="11"/>
        <v>350</v>
      </c>
      <c r="H81" s="284">
        <f t="shared" si="12"/>
        <v>350</v>
      </c>
    </row>
    <row r="82">
      <c r="A82" s="9" t="s">
        <v>16</v>
      </c>
      <c r="B82" s="9">
        <v>4.0</v>
      </c>
      <c r="C82" s="9">
        <v>0.0</v>
      </c>
      <c r="D82" s="9" t="s">
        <v>6795</v>
      </c>
      <c r="E82" s="9">
        <f t="shared" si="10"/>
        <v>0</v>
      </c>
      <c r="F82" s="9">
        <v>0.0</v>
      </c>
      <c r="G82" s="16">
        <f t="shared" si="11"/>
        <v>0</v>
      </c>
      <c r="H82" s="284">
        <f t="shared" si="12"/>
        <v>0</v>
      </c>
    </row>
    <row r="83">
      <c r="A83" s="9" t="s">
        <v>20</v>
      </c>
      <c r="B83" s="9">
        <v>2.0</v>
      </c>
      <c r="C83" s="9">
        <v>0.0</v>
      </c>
      <c r="D83" s="9" t="s">
        <v>6795</v>
      </c>
      <c r="E83" s="9">
        <f t="shared" si="10"/>
        <v>0</v>
      </c>
      <c r="F83" s="9">
        <v>0.0</v>
      </c>
      <c r="G83" s="16">
        <f t="shared" si="11"/>
        <v>0</v>
      </c>
      <c r="H83" s="284">
        <f t="shared" si="12"/>
        <v>0</v>
      </c>
    </row>
    <row r="84">
      <c r="A84" s="9" t="s">
        <v>22</v>
      </c>
      <c r="B84" s="9">
        <v>5.0</v>
      </c>
      <c r="C84" s="9">
        <v>4.0</v>
      </c>
      <c r="D84" s="9" t="s">
        <v>6795</v>
      </c>
      <c r="E84" s="9">
        <f t="shared" si="10"/>
        <v>80</v>
      </c>
      <c r="F84" s="9">
        <v>0.0</v>
      </c>
      <c r="G84" s="16">
        <f t="shared" si="11"/>
        <v>480</v>
      </c>
      <c r="H84" s="284">
        <f t="shared" si="12"/>
        <v>480</v>
      </c>
    </row>
    <row r="85">
      <c r="A85" s="9" t="s">
        <v>18</v>
      </c>
      <c r="B85" s="9">
        <v>0.0</v>
      </c>
      <c r="C85" s="9">
        <v>0.0</v>
      </c>
      <c r="D85" s="9" t="s">
        <v>6795</v>
      </c>
      <c r="E85" s="9" t="str">
        <f t="shared" si="10"/>
        <v>#DIV/0!</v>
      </c>
      <c r="F85" s="9">
        <v>0.0</v>
      </c>
      <c r="G85" s="16" t="str">
        <f t="shared" si="11"/>
        <v>#DIV/0!</v>
      </c>
      <c r="H85" s="284" t="str">
        <f t="shared" si="12"/>
        <v>#DIV/0!</v>
      </c>
    </row>
    <row r="86">
      <c r="A86" s="9" t="s">
        <v>14</v>
      </c>
      <c r="B86" s="9">
        <v>0.0</v>
      </c>
      <c r="C86" s="9">
        <v>0.0</v>
      </c>
      <c r="D86" s="9" t="s">
        <v>6795</v>
      </c>
      <c r="E86" s="9" t="str">
        <f t="shared" si="10"/>
        <v>#DIV/0!</v>
      </c>
      <c r="F86" s="9">
        <v>0.0</v>
      </c>
      <c r="G86" s="16" t="str">
        <f t="shared" si="11"/>
        <v>#DIV/0!</v>
      </c>
      <c r="H86" s="284" t="str">
        <f t="shared" si="12"/>
        <v>#DIV/0!</v>
      </c>
    </row>
    <row r="87">
      <c r="A87" s="9" t="s">
        <v>19</v>
      </c>
      <c r="B87" s="9">
        <v>0.0</v>
      </c>
      <c r="C87" s="9">
        <v>0.0</v>
      </c>
      <c r="D87" s="9" t="s">
        <v>6795</v>
      </c>
      <c r="E87" s="9" t="str">
        <f t="shared" si="10"/>
        <v>#DIV/0!</v>
      </c>
      <c r="F87" s="9">
        <v>0.0</v>
      </c>
      <c r="G87" s="16" t="str">
        <f t="shared" si="11"/>
        <v>#DIV/0!</v>
      </c>
      <c r="H87" s="284" t="str">
        <f t="shared" si="12"/>
        <v>#DIV/0!</v>
      </c>
    </row>
    <row r="88">
      <c r="A88" s="9" t="s">
        <v>452</v>
      </c>
      <c r="B88" s="9">
        <v>0.0</v>
      </c>
      <c r="C88" s="9">
        <v>0.0</v>
      </c>
      <c r="D88" s="9" t="s">
        <v>6795</v>
      </c>
      <c r="E88" s="9" t="str">
        <f t="shared" si="10"/>
        <v>#DIV/0!</v>
      </c>
      <c r="F88" s="9">
        <v>0.0</v>
      </c>
      <c r="G88" s="16" t="str">
        <f t="shared" si="11"/>
        <v>#DIV/0!</v>
      </c>
      <c r="H88" s="284" t="str">
        <f t="shared" si="12"/>
        <v>#DIV/0!</v>
      </c>
    </row>
    <row r="89">
      <c r="A89" s="9" t="s">
        <v>457</v>
      </c>
      <c r="B89" s="9">
        <v>0.0</v>
      </c>
      <c r="C89" s="9">
        <v>0.0</v>
      </c>
      <c r="D89" s="9" t="s">
        <v>6795</v>
      </c>
      <c r="E89" s="9" t="str">
        <f t="shared" si="10"/>
        <v>#DIV/0!</v>
      </c>
      <c r="F89" s="9">
        <v>0.0</v>
      </c>
      <c r="G89" s="16" t="str">
        <f t="shared" si="11"/>
        <v>#DIV/0!</v>
      </c>
      <c r="H89" s="284" t="str">
        <f t="shared" si="12"/>
        <v>#DIV/0!</v>
      </c>
    </row>
    <row r="91">
      <c r="A91" s="283" t="s">
        <v>6806</v>
      </c>
    </row>
    <row r="92">
      <c r="A92" s="188" t="s">
        <v>3083</v>
      </c>
      <c r="B92" s="188" t="s">
        <v>6789</v>
      </c>
      <c r="C92" s="188" t="s">
        <v>6790</v>
      </c>
      <c r="D92" s="188" t="s">
        <v>6791</v>
      </c>
      <c r="E92" s="188" t="s">
        <v>6792</v>
      </c>
      <c r="F92" s="188" t="s">
        <v>6793</v>
      </c>
      <c r="G92" s="188" t="s">
        <v>6794</v>
      </c>
      <c r="H92" s="188" t="s">
        <v>67</v>
      </c>
    </row>
    <row r="93">
      <c r="A93" s="9" t="s">
        <v>11</v>
      </c>
      <c r="B93" s="9">
        <v>0.0</v>
      </c>
      <c r="C93" s="9">
        <v>0.0</v>
      </c>
      <c r="D93" s="9" t="s">
        <v>6795</v>
      </c>
      <c r="E93" s="9" t="str">
        <f t="shared" ref="E93:E108" si="13">(C93/B93)*100</f>
        <v>#DIV/0!</v>
      </c>
      <c r="F93" s="9">
        <v>0.0</v>
      </c>
      <c r="G93" s="16" t="str">
        <f t="shared" ref="G93:G108" si="14">E93*6</f>
        <v>#DIV/0!</v>
      </c>
      <c r="H93" s="284" t="str">
        <f t="shared" ref="H93:H108" si="15">F93+G93</f>
        <v>#DIV/0!</v>
      </c>
    </row>
    <row r="94">
      <c r="A94" s="9" t="s">
        <v>12</v>
      </c>
      <c r="B94" s="9">
        <v>0.0</v>
      </c>
      <c r="C94" s="9">
        <v>0.0</v>
      </c>
      <c r="D94" s="9" t="s">
        <v>6795</v>
      </c>
      <c r="E94" s="9" t="str">
        <f t="shared" si="13"/>
        <v>#DIV/0!</v>
      </c>
      <c r="F94" s="9">
        <v>0.0</v>
      </c>
      <c r="G94" s="16" t="str">
        <f t="shared" si="14"/>
        <v>#DIV/0!</v>
      </c>
      <c r="H94" s="284" t="str">
        <f t="shared" si="15"/>
        <v>#DIV/0!</v>
      </c>
    </row>
    <row r="95">
      <c r="A95" s="9" t="s">
        <v>16</v>
      </c>
      <c r="B95" s="9">
        <v>0.0</v>
      </c>
      <c r="C95" s="9">
        <v>0.0</v>
      </c>
      <c r="D95" s="9" t="s">
        <v>6795</v>
      </c>
      <c r="E95" s="9" t="str">
        <f t="shared" si="13"/>
        <v>#DIV/0!</v>
      </c>
      <c r="F95" s="9">
        <v>0.0</v>
      </c>
      <c r="G95" s="16" t="str">
        <f t="shared" si="14"/>
        <v>#DIV/0!</v>
      </c>
      <c r="H95" s="284" t="str">
        <f t="shared" si="15"/>
        <v>#DIV/0!</v>
      </c>
    </row>
    <row r="96">
      <c r="A96" s="9" t="s">
        <v>23</v>
      </c>
      <c r="B96" s="9">
        <v>0.0</v>
      </c>
      <c r="C96" s="9">
        <v>0.0</v>
      </c>
      <c r="D96" s="9" t="s">
        <v>6795</v>
      </c>
      <c r="E96" s="9" t="str">
        <f t="shared" si="13"/>
        <v>#DIV/0!</v>
      </c>
      <c r="F96" s="9">
        <v>0.0</v>
      </c>
      <c r="G96" s="16" t="str">
        <f t="shared" si="14"/>
        <v>#DIV/0!</v>
      </c>
      <c r="H96" s="284" t="str">
        <f t="shared" si="15"/>
        <v>#DIV/0!</v>
      </c>
    </row>
    <row r="97">
      <c r="A97" s="9" t="s">
        <v>18</v>
      </c>
      <c r="B97" s="9">
        <v>0.0</v>
      </c>
      <c r="C97" s="9">
        <v>0.0</v>
      </c>
      <c r="D97" s="9" t="s">
        <v>6795</v>
      </c>
      <c r="E97" s="9" t="str">
        <f t="shared" si="13"/>
        <v>#DIV/0!</v>
      </c>
      <c r="F97" s="9">
        <v>0.0</v>
      </c>
      <c r="G97" s="16" t="str">
        <f t="shared" si="14"/>
        <v>#DIV/0!</v>
      </c>
      <c r="H97" s="284" t="str">
        <f t="shared" si="15"/>
        <v>#DIV/0!</v>
      </c>
    </row>
    <row r="98">
      <c r="A98" s="9" t="s">
        <v>15</v>
      </c>
      <c r="B98" s="9">
        <v>0.0</v>
      </c>
      <c r="C98" s="9">
        <v>0.0</v>
      </c>
      <c r="D98" s="9" t="s">
        <v>6795</v>
      </c>
      <c r="E98" s="9" t="str">
        <f t="shared" si="13"/>
        <v>#DIV/0!</v>
      </c>
      <c r="F98" s="9">
        <v>0.0</v>
      </c>
      <c r="G98" s="16" t="str">
        <f t="shared" si="14"/>
        <v>#DIV/0!</v>
      </c>
      <c r="H98" s="284" t="str">
        <f t="shared" si="15"/>
        <v>#DIV/0!</v>
      </c>
    </row>
    <row r="99">
      <c r="A99" s="9" t="s">
        <v>9</v>
      </c>
      <c r="B99" s="9">
        <v>0.0</v>
      </c>
      <c r="C99" s="9">
        <v>0.0</v>
      </c>
      <c r="D99" s="9" t="s">
        <v>6795</v>
      </c>
      <c r="E99" s="9" t="str">
        <f t="shared" si="13"/>
        <v>#DIV/0!</v>
      </c>
      <c r="F99" s="9">
        <v>0.0</v>
      </c>
      <c r="G99" s="16" t="str">
        <f t="shared" si="14"/>
        <v>#DIV/0!</v>
      </c>
      <c r="H99" s="284" t="str">
        <f t="shared" si="15"/>
        <v>#DIV/0!</v>
      </c>
    </row>
    <row r="100">
      <c r="A100" s="9" t="s">
        <v>20</v>
      </c>
      <c r="B100" s="9">
        <v>0.0</v>
      </c>
      <c r="C100" s="9">
        <v>0.0</v>
      </c>
      <c r="D100" s="9" t="s">
        <v>6795</v>
      </c>
      <c r="E100" s="9" t="str">
        <f t="shared" si="13"/>
        <v>#DIV/0!</v>
      </c>
      <c r="F100" s="9">
        <v>0.0</v>
      </c>
      <c r="G100" s="16" t="str">
        <f t="shared" si="14"/>
        <v>#DIV/0!</v>
      </c>
      <c r="H100" s="284" t="str">
        <f t="shared" si="15"/>
        <v>#DIV/0!</v>
      </c>
    </row>
    <row r="101">
      <c r="A101" s="9" t="s">
        <v>13</v>
      </c>
      <c r="B101" s="9">
        <v>0.0</v>
      </c>
      <c r="C101" s="9">
        <v>0.0</v>
      </c>
      <c r="D101" s="9" t="s">
        <v>6795</v>
      </c>
      <c r="E101" s="9" t="str">
        <f t="shared" si="13"/>
        <v>#DIV/0!</v>
      </c>
      <c r="F101" s="9">
        <v>0.0</v>
      </c>
      <c r="G101" s="16" t="str">
        <f t="shared" si="14"/>
        <v>#DIV/0!</v>
      </c>
      <c r="H101" s="284" t="str">
        <f t="shared" si="15"/>
        <v>#DIV/0!</v>
      </c>
    </row>
    <row r="102">
      <c r="A102" s="9" t="s">
        <v>14</v>
      </c>
      <c r="B102" s="9">
        <v>0.0</v>
      </c>
      <c r="C102" s="9">
        <v>0.0</v>
      </c>
      <c r="D102" s="9" t="s">
        <v>6795</v>
      </c>
      <c r="E102" s="9" t="str">
        <f t="shared" si="13"/>
        <v>#DIV/0!</v>
      </c>
      <c r="F102" s="9">
        <v>0.0</v>
      </c>
      <c r="G102" s="16" t="str">
        <f t="shared" si="14"/>
        <v>#DIV/0!</v>
      </c>
      <c r="H102" s="284" t="str">
        <f t="shared" si="15"/>
        <v>#DIV/0!</v>
      </c>
    </row>
    <row r="103">
      <c r="A103" s="9" t="s">
        <v>17</v>
      </c>
      <c r="B103" s="9">
        <v>0.0</v>
      </c>
      <c r="C103" s="9">
        <v>0.0</v>
      </c>
      <c r="D103" s="9" t="s">
        <v>6795</v>
      </c>
      <c r="E103" s="9" t="str">
        <f t="shared" si="13"/>
        <v>#DIV/0!</v>
      </c>
      <c r="F103" s="9">
        <v>0.0</v>
      </c>
      <c r="G103" s="16" t="str">
        <f t="shared" si="14"/>
        <v>#DIV/0!</v>
      </c>
      <c r="H103" s="284" t="str">
        <f t="shared" si="15"/>
        <v>#DIV/0!</v>
      </c>
    </row>
    <row r="104">
      <c r="A104" s="9" t="s">
        <v>19</v>
      </c>
      <c r="B104" s="9">
        <v>0.0</v>
      </c>
      <c r="C104" s="9">
        <v>0.0</v>
      </c>
      <c r="D104" s="9" t="s">
        <v>6795</v>
      </c>
      <c r="E104" s="9" t="str">
        <f t="shared" si="13"/>
        <v>#DIV/0!</v>
      </c>
      <c r="F104" s="9">
        <v>0.0</v>
      </c>
      <c r="G104" s="16" t="str">
        <f t="shared" si="14"/>
        <v>#DIV/0!</v>
      </c>
      <c r="H104" s="284" t="str">
        <f t="shared" si="15"/>
        <v>#DIV/0!</v>
      </c>
    </row>
    <row r="105">
      <c r="A105" s="9" t="s">
        <v>21</v>
      </c>
      <c r="B105" s="9">
        <v>0.0</v>
      </c>
      <c r="C105" s="9">
        <v>0.0</v>
      </c>
      <c r="D105" s="9" t="s">
        <v>6795</v>
      </c>
      <c r="E105" s="9" t="str">
        <f t="shared" si="13"/>
        <v>#DIV/0!</v>
      </c>
      <c r="F105" s="9">
        <v>0.0</v>
      </c>
      <c r="G105" s="16" t="str">
        <f t="shared" si="14"/>
        <v>#DIV/0!</v>
      </c>
      <c r="H105" s="284" t="str">
        <f t="shared" si="15"/>
        <v>#DIV/0!</v>
      </c>
    </row>
    <row r="106">
      <c r="A106" s="9" t="s">
        <v>22</v>
      </c>
      <c r="B106" s="9">
        <v>0.0</v>
      </c>
      <c r="C106" s="9">
        <v>0.0</v>
      </c>
      <c r="D106" s="9" t="s">
        <v>6795</v>
      </c>
      <c r="E106" s="9" t="str">
        <f t="shared" si="13"/>
        <v>#DIV/0!</v>
      </c>
      <c r="F106" s="9">
        <v>0.0</v>
      </c>
      <c r="G106" s="16" t="str">
        <f t="shared" si="14"/>
        <v>#DIV/0!</v>
      </c>
      <c r="H106" s="284" t="str">
        <f t="shared" si="15"/>
        <v>#DIV/0!</v>
      </c>
    </row>
    <row r="107">
      <c r="A107" s="9" t="s">
        <v>452</v>
      </c>
      <c r="B107" s="9">
        <v>0.0</v>
      </c>
      <c r="C107" s="9">
        <v>0.0</v>
      </c>
      <c r="D107" s="9" t="s">
        <v>6795</v>
      </c>
      <c r="E107" s="9" t="str">
        <f t="shared" si="13"/>
        <v>#DIV/0!</v>
      </c>
      <c r="F107" s="9">
        <v>0.0</v>
      </c>
      <c r="G107" s="16" t="str">
        <f t="shared" si="14"/>
        <v>#DIV/0!</v>
      </c>
      <c r="H107" s="284" t="str">
        <f t="shared" si="15"/>
        <v>#DIV/0!</v>
      </c>
    </row>
    <row r="108">
      <c r="A108" s="9" t="s">
        <v>457</v>
      </c>
      <c r="B108" s="9">
        <v>0.0</v>
      </c>
      <c r="C108" s="9">
        <v>0.0</v>
      </c>
      <c r="D108" s="9" t="s">
        <v>6795</v>
      </c>
      <c r="E108" s="9" t="str">
        <f t="shared" si="13"/>
        <v>#DIV/0!</v>
      </c>
      <c r="F108" s="9">
        <v>0.0</v>
      </c>
      <c r="G108" s="16" t="str">
        <f t="shared" si="14"/>
        <v>#DIV/0!</v>
      </c>
      <c r="H108" s="284" t="str">
        <f t="shared" si="15"/>
        <v>#DIV/0!</v>
      </c>
    </row>
    <row r="110">
      <c r="A110" s="283" t="s">
        <v>6807</v>
      </c>
    </row>
    <row r="111">
      <c r="A111" s="188" t="s">
        <v>3083</v>
      </c>
      <c r="B111" s="188" t="s">
        <v>6789</v>
      </c>
      <c r="C111" s="188" t="s">
        <v>6790</v>
      </c>
      <c r="D111" s="188" t="s">
        <v>6791</v>
      </c>
      <c r="E111" s="188" t="s">
        <v>6792</v>
      </c>
      <c r="F111" s="188" t="s">
        <v>6793</v>
      </c>
      <c r="G111" s="188" t="s">
        <v>6794</v>
      </c>
      <c r="H111" s="188" t="s">
        <v>67</v>
      </c>
    </row>
    <row r="112">
      <c r="A112" s="9" t="s">
        <v>9</v>
      </c>
      <c r="B112" s="9">
        <v>13.0</v>
      </c>
      <c r="C112" s="9">
        <v>10.0</v>
      </c>
      <c r="D112" s="9" t="s">
        <v>6795</v>
      </c>
      <c r="E112" s="9">
        <f t="shared" ref="E112:E127" si="16">(C112/B112)*100</f>
        <v>76.92307692</v>
      </c>
      <c r="F112" s="9">
        <v>0.0</v>
      </c>
      <c r="G112" s="16">
        <f t="shared" ref="G112:G127" si="17">E112*6</f>
        <v>461.5384615</v>
      </c>
      <c r="H112" s="284">
        <f t="shared" ref="H112:H127" si="18">F112+G112</f>
        <v>461.5384615</v>
      </c>
    </row>
    <row r="113">
      <c r="A113" s="9" t="s">
        <v>20</v>
      </c>
      <c r="B113" s="9">
        <v>5.0</v>
      </c>
      <c r="C113" s="9">
        <v>4.0</v>
      </c>
      <c r="D113" s="9" t="s">
        <v>6795</v>
      </c>
      <c r="E113" s="9">
        <f t="shared" si="16"/>
        <v>80</v>
      </c>
      <c r="F113" s="9">
        <v>0.0</v>
      </c>
      <c r="G113" s="16">
        <f t="shared" si="17"/>
        <v>480</v>
      </c>
      <c r="H113" s="284">
        <f t="shared" si="18"/>
        <v>480</v>
      </c>
    </row>
    <row r="114">
      <c r="A114" s="9" t="s">
        <v>16</v>
      </c>
      <c r="B114" s="9">
        <v>9.0</v>
      </c>
      <c r="C114" s="9">
        <v>6.0</v>
      </c>
      <c r="D114" s="9" t="s">
        <v>6795</v>
      </c>
      <c r="E114" s="9">
        <f t="shared" si="16"/>
        <v>66.66666667</v>
      </c>
      <c r="F114" s="9">
        <v>0.0</v>
      </c>
      <c r="G114" s="16">
        <f t="shared" si="17"/>
        <v>400</v>
      </c>
      <c r="H114" s="284">
        <f t="shared" si="18"/>
        <v>400</v>
      </c>
    </row>
    <row r="115">
      <c r="A115" s="9" t="s">
        <v>18</v>
      </c>
      <c r="B115" s="9">
        <v>9.0</v>
      </c>
      <c r="C115" s="9">
        <v>6.0</v>
      </c>
      <c r="D115" s="9" t="s">
        <v>6795</v>
      </c>
      <c r="E115" s="9">
        <f t="shared" si="16"/>
        <v>66.66666667</v>
      </c>
      <c r="F115" s="9">
        <v>0.0</v>
      </c>
      <c r="G115" s="16">
        <f t="shared" si="17"/>
        <v>400</v>
      </c>
      <c r="H115" s="284">
        <f t="shared" si="18"/>
        <v>400</v>
      </c>
    </row>
    <row r="116">
      <c r="A116" s="9" t="s">
        <v>19</v>
      </c>
      <c r="B116" s="9">
        <v>14.0</v>
      </c>
      <c r="C116" s="9">
        <v>9.0</v>
      </c>
      <c r="D116" s="9" t="s">
        <v>6795</v>
      </c>
      <c r="E116" s="9">
        <f t="shared" si="16"/>
        <v>64.28571429</v>
      </c>
      <c r="F116" s="9">
        <v>0.0</v>
      </c>
      <c r="G116" s="16">
        <f t="shared" si="17"/>
        <v>385.7142857</v>
      </c>
      <c r="H116" s="284">
        <f t="shared" si="18"/>
        <v>385.7142857</v>
      </c>
    </row>
    <row r="117">
      <c r="A117" s="9" t="s">
        <v>23</v>
      </c>
      <c r="B117" s="9">
        <v>11.0</v>
      </c>
      <c r="C117" s="9">
        <v>6.0</v>
      </c>
      <c r="D117" s="9" t="s">
        <v>6795</v>
      </c>
      <c r="E117" s="9">
        <f t="shared" si="16"/>
        <v>54.54545455</v>
      </c>
      <c r="F117" s="9">
        <v>0.0</v>
      </c>
      <c r="G117" s="16">
        <f t="shared" si="17"/>
        <v>327.2727273</v>
      </c>
      <c r="H117" s="284">
        <f t="shared" si="18"/>
        <v>327.2727273</v>
      </c>
    </row>
    <row r="118">
      <c r="A118" s="9" t="s">
        <v>12</v>
      </c>
      <c r="B118" s="9">
        <v>15.0</v>
      </c>
      <c r="C118" s="9">
        <v>7.0</v>
      </c>
      <c r="D118" s="9" t="s">
        <v>6795</v>
      </c>
      <c r="E118" s="9">
        <f t="shared" si="16"/>
        <v>46.66666667</v>
      </c>
      <c r="F118" s="9">
        <v>0.0</v>
      </c>
      <c r="G118" s="16">
        <f t="shared" si="17"/>
        <v>280</v>
      </c>
      <c r="H118" s="284">
        <f t="shared" si="18"/>
        <v>280</v>
      </c>
    </row>
    <row r="119">
      <c r="A119" s="9" t="s">
        <v>21</v>
      </c>
      <c r="B119" s="9">
        <v>7.0</v>
      </c>
      <c r="C119" s="9">
        <v>3.0</v>
      </c>
      <c r="D119" s="9" t="s">
        <v>6795</v>
      </c>
      <c r="E119" s="9">
        <f t="shared" si="16"/>
        <v>42.85714286</v>
      </c>
      <c r="F119" s="9">
        <v>0.0</v>
      </c>
      <c r="G119" s="16">
        <f t="shared" si="17"/>
        <v>257.1428571</v>
      </c>
      <c r="H119" s="284">
        <f t="shared" si="18"/>
        <v>257.1428571</v>
      </c>
    </row>
    <row r="120">
      <c r="A120" s="9" t="s">
        <v>15</v>
      </c>
      <c r="B120" s="9">
        <v>10.0</v>
      </c>
      <c r="C120" s="9">
        <v>4.0</v>
      </c>
      <c r="D120" s="9" t="s">
        <v>6795</v>
      </c>
      <c r="E120" s="9">
        <f t="shared" si="16"/>
        <v>40</v>
      </c>
      <c r="F120" s="9">
        <v>0.0</v>
      </c>
      <c r="G120" s="16">
        <f t="shared" si="17"/>
        <v>240</v>
      </c>
      <c r="H120" s="284">
        <f t="shared" si="18"/>
        <v>240</v>
      </c>
    </row>
    <row r="121">
      <c r="A121" s="9" t="s">
        <v>11</v>
      </c>
      <c r="B121" s="9">
        <v>13.0</v>
      </c>
      <c r="C121" s="9">
        <v>4.0</v>
      </c>
      <c r="D121" s="9" t="s">
        <v>6795</v>
      </c>
      <c r="E121" s="9">
        <f t="shared" si="16"/>
        <v>30.76923077</v>
      </c>
      <c r="F121" s="9">
        <v>0.0</v>
      </c>
      <c r="G121" s="16">
        <f t="shared" si="17"/>
        <v>184.6153846</v>
      </c>
      <c r="H121" s="284">
        <f t="shared" si="18"/>
        <v>184.6153846</v>
      </c>
    </row>
    <row r="122">
      <c r="A122" s="9" t="s">
        <v>13</v>
      </c>
      <c r="B122" s="9">
        <v>8.0</v>
      </c>
      <c r="C122" s="9">
        <v>2.0</v>
      </c>
      <c r="D122" s="9" t="s">
        <v>6795</v>
      </c>
      <c r="E122" s="9">
        <f t="shared" si="16"/>
        <v>25</v>
      </c>
      <c r="F122" s="9">
        <v>0.0</v>
      </c>
      <c r="G122" s="16">
        <f t="shared" si="17"/>
        <v>150</v>
      </c>
      <c r="H122" s="284">
        <f t="shared" si="18"/>
        <v>150</v>
      </c>
    </row>
    <row r="123">
      <c r="A123" s="9" t="s">
        <v>17</v>
      </c>
      <c r="B123" s="9">
        <v>8.0</v>
      </c>
      <c r="C123" s="9">
        <v>2.0</v>
      </c>
      <c r="D123" s="9" t="s">
        <v>6795</v>
      </c>
      <c r="E123" s="9">
        <f t="shared" si="16"/>
        <v>25</v>
      </c>
      <c r="F123" s="9">
        <v>0.0</v>
      </c>
      <c r="G123" s="16">
        <f t="shared" si="17"/>
        <v>150</v>
      </c>
      <c r="H123" s="284">
        <f t="shared" si="18"/>
        <v>150</v>
      </c>
    </row>
    <row r="124">
      <c r="A124" s="9" t="s">
        <v>14</v>
      </c>
      <c r="B124" s="9">
        <v>6.0</v>
      </c>
      <c r="C124" s="9">
        <v>1.0</v>
      </c>
      <c r="D124" s="9" t="s">
        <v>6795</v>
      </c>
      <c r="E124" s="9">
        <f t="shared" si="16"/>
        <v>16.66666667</v>
      </c>
      <c r="F124" s="9">
        <v>0.0</v>
      </c>
      <c r="G124" s="16">
        <f t="shared" si="17"/>
        <v>100</v>
      </c>
      <c r="H124" s="284">
        <f t="shared" si="18"/>
        <v>100</v>
      </c>
    </row>
    <row r="125">
      <c r="A125" s="9" t="s">
        <v>22</v>
      </c>
      <c r="B125" s="9">
        <v>2.0</v>
      </c>
      <c r="C125" s="9">
        <v>0.0</v>
      </c>
      <c r="D125" s="9" t="s">
        <v>6795</v>
      </c>
      <c r="E125" s="9">
        <f t="shared" si="16"/>
        <v>0</v>
      </c>
      <c r="F125" s="9">
        <v>0.0</v>
      </c>
      <c r="G125" s="16">
        <f t="shared" si="17"/>
        <v>0</v>
      </c>
      <c r="H125" s="284">
        <f t="shared" si="18"/>
        <v>0</v>
      </c>
    </row>
    <row r="126">
      <c r="A126" s="9" t="s">
        <v>452</v>
      </c>
      <c r="B126" s="9">
        <v>0.0</v>
      </c>
      <c r="C126" s="9">
        <v>0.0</v>
      </c>
      <c r="D126" s="9" t="s">
        <v>6795</v>
      </c>
      <c r="E126" s="9" t="str">
        <f t="shared" si="16"/>
        <v>#DIV/0!</v>
      </c>
      <c r="F126" s="9">
        <v>0.0</v>
      </c>
      <c r="G126" s="16" t="str">
        <f t="shared" si="17"/>
        <v>#DIV/0!</v>
      </c>
      <c r="H126" s="284" t="str">
        <f t="shared" si="18"/>
        <v>#DIV/0!</v>
      </c>
    </row>
    <row r="127">
      <c r="A127" s="9" t="s">
        <v>457</v>
      </c>
      <c r="B127" s="9">
        <v>0.0</v>
      </c>
      <c r="C127" s="9">
        <v>0.0</v>
      </c>
      <c r="D127" s="9" t="s">
        <v>6795</v>
      </c>
      <c r="E127" s="9" t="str">
        <f t="shared" si="16"/>
        <v>#DIV/0!</v>
      </c>
      <c r="F127" s="9">
        <v>0.0</v>
      </c>
      <c r="G127" s="16" t="str">
        <f t="shared" si="17"/>
        <v>#DIV/0!</v>
      </c>
      <c r="H127" s="284" t="str">
        <f t="shared" si="18"/>
        <v>#DIV/0!</v>
      </c>
    </row>
    <row r="129">
      <c r="A129" s="283" t="s">
        <v>6808</v>
      </c>
    </row>
    <row r="130">
      <c r="A130" s="188" t="s">
        <v>3083</v>
      </c>
      <c r="B130" s="188" t="s">
        <v>6789</v>
      </c>
      <c r="C130" s="188" t="s">
        <v>6790</v>
      </c>
      <c r="D130" s="188" t="s">
        <v>6791</v>
      </c>
      <c r="E130" s="188" t="s">
        <v>6792</v>
      </c>
      <c r="F130" s="188" t="s">
        <v>6793</v>
      </c>
      <c r="G130" s="188" t="s">
        <v>6794</v>
      </c>
      <c r="H130" s="188" t="s">
        <v>67</v>
      </c>
    </row>
    <row r="131">
      <c r="A131" s="9" t="s">
        <v>9</v>
      </c>
      <c r="B131" s="9">
        <f t="shared" ref="B131:C131" si="19">B22+B39+B56+B75+B99+B112</f>
        <v>78</v>
      </c>
      <c r="C131" s="9">
        <f t="shared" si="19"/>
        <v>46</v>
      </c>
      <c r="D131" s="9" t="s">
        <v>6795</v>
      </c>
      <c r="E131" s="9">
        <f t="shared" ref="E131:E146" si="21">(C131/B131)*100</f>
        <v>58.97435897</v>
      </c>
      <c r="F131" s="9">
        <v>0.0</v>
      </c>
      <c r="G131" s="16">
        <f t="shared" ref="G131:G146" si="22">E131*6</f>
        <v>353.8461538</v>
      </c>
      <c r="H131" s="284">
        <f t="shared" ref="H131:H146" si="23">F131+G131</f>
        <v>353.8461538</v>
      </c>
    </row>
    <row r="132">
      <c r="A132" s="9" t="s">
        <v>23</v>
      </c>
      <c r="B132" s="9">
        <f t="shared" ref="B132:C132" si="20">B19+B36+B61+B77+B96+B117</f>
        <v>105</v>
      </c>
      <c r="C132" s="9">
        <f t="shared" si="20"/>
        <v>59</v>
      </c>
      <c r="D132" s="9" t="s">
        <v>6795</v>
      </c>
      <c r="E132" s="9">
        <f t="shared" si="21"/>
        <v>56.19047619</v>
      </c>
      <c r="F132" s="9">
        <v>0.0</v>
      </c>
      <c r="G132" s="16">
        <f t="shared" si="22"/>
        <v>337.1428571</v>
      </c>
      <c r="H132" s="284">
        <f t="shared" si="23"/>
        <v>337.1428571</v>
      </c>
    </row>
    <row r="133">
      <c r="A133" s="9" t="s">
        <v>19</v>
      </c>
      <c r="B133" s="9">
        <f t="shared" ref="B133:C133" si="24">B27+B35+B55+B87+B104+B116</f>
        <v>61</v>
      </c>
      <c r="C133" s="9">
        <f t="shared" si="24"/>
        <v>34</v>
      </c>
      <c r="D133" s="9" t="s">
        <v>6809</v>
      </c>
      <c r="E133" s="9">
        <f t="shared" si="21"/>
        <v>55.73770492</v>
      </c>
      <c r="F133" s="9">
        <v>200.0</v>
      </c>
      <c r="G133" s="16">
        <f t="shared" si="22"/>
        <v>334.4262295</v>
      </c>
      <c r="H133" s="284">
        <f t="shared" si="23"/>
        <v>534.4262295</v>
      </c>
    </row>
    <row r="134">
      <c r="A134" s="9" t="s">
        <v>12</v>
      </c>
      <c r="B134" s="9">
        <f t="shared" ref="B134:C134" si="25">B17+B37+B54+B79+B94+B118</f>
        <v>111</v>
      </c>
      <c r="C134" s="9">
        <f t="shared" si="25"/>
        <v>62</v>
      </c>
      <c r="D134" s="9" t="s">
        <v>6810</v>
      </c>
      <c r="E134" s="9">
        <f t="shared" si="21"/>
        <v>55.85585586</v>
      </c>
      <c r="F134" s="9">
        <v>190.0</v>
      </c>
      <c r="G134" s="16">
        <f t="shared" si="22"/>
        <v>335.1351351</v>
      </c>
      <c r="H134" s="284">
        <f t="shared" si="23"/>
        <v>525.1351351</v>
      </c>
    </row>
    <row r="135">
      <c r="A135" s="9" t="s">
        <v>16</v>
      </c>
      <c r="B135" s="9">
        <f t="shared" ref="B135:C135" si="26">B18+B41+B58+B82+B95+B114</f>
        <v>70</v>
      </c>
      <c r="C135" s="9">
        <f t="shared" si="26"/>
        <v>36</v>
      </c>
      <c r="D135" s="9" t="s">
        <v>6795</v>
      </c>
      <c r="E135" s="9">
        <f t="shared" si="21"/>
        <v>51.42857143</v>
      </c>
      <c r="F135" s="9">
        <v>0.0</v>
      </c>
      <c r="G135" s="16">
        <f t="shared" si="22"/>
        <v>308.5714286</v>
      </c>
      <c r="H135" s="284">
        <f t="shared" si="23"/>
        <v>308.5714286</v>
      </c>
    </row>
    <row r="136">
      <c r="A136" s="9" t="s">
        <v>20</v>
      </c>
      <c r="B136" s="9">
        <f t="shared" ref="B136:C136" si="27">B23+B48+B67+B83+B100+B113</f>
        <v>10</v>
      </c>
      <c r="C136" s="9">
        <f t="shared" si="27"/>
        <v>5</v>
      </c>
      <c r="D136" s="9" t="s">
        <v>6795</v>
      </c>
      <c r="E136" s="9">
        <f t="shared" si="21"/>
        <v>50</v>
      </c>
      <c r="F136" s="9">
        <v>0.0</v>
      </c>
      <c r="G136" s="16">
        <f t="shared" si="22"/>
        <v>300</v>
      </c>
      <c r="H136" s="284">
        <f t="shared" si="23"/>
        <v>300</v>
      </c>
    </row>
    <row r="137">
      <c r="A137" s="9" t="s">
        <v>17</v>
      </c>
      <c r="B137" s="9">
        <f t="shared" ref="B137:C137" si="28">B26+B43+B57+B74+B103+B123</f>
        <v>83</v>
      </c>
      <c r="C137" s="9">
        <f t="shared" si="28"/>
        <v>41</v>
      </c>
      <c r="D137" s="9" t="s">
        <v>6804</v>
      </c>
      <c r="E137" s="9">
        <f t="shared" si="21"/>
        <v>49.39759036</v>
      </c>
      <c r="F137" s="9">
        <v>25.0</v>
      </c>
      <c r="G137" s="16">
        <f t="shared" si="22"/>
        <v>296.3855422</v>
      </c>
      <c r="H137" s="284">
        <f t="shared" si="23"/>
        <v>321.3855422</v>
      </c>
    </row>
    <row r="138">
      <c r="A138" s="9" t="s">
        <v>21</v>
      </c>
      <c r="B138" s="9">
        <f t="shared" ref="B138:C138" si="29">B28+B46+B62+B78+B105+B119</f>
        <v>47</v>
      </c>
      <c r="C138" s="9">
        <f t="shared" si="29"/>
        <v>23</v>
      </c>
      <c r="D138" s="9" t="s">
        <v>6795</v>
      </c>
      <c r="E138" s="9">
        <f t="shared" si="21"/>
        <v>48.93617021</v>
      </c>
      <c r="F138" s="9">
        <v>0.0</v>
      </c>
      <c r="G138" s="16">
        <f t="shared" si="22"/>
        <v>293.6170213</v>
      </c>
      <c r="H138" s="284">
        <f t="shared" si="23"/>
        <v>293.6170213</v>
      </c>
    </row>
    <row r="139">
      <c r="A139" s="9" t="s">
        <v>18</v>
      </c>
      <c r="B139" s="9">
        <f t="shared" ref="B139:C139" si="30">B20+B44+B63+B85+B97+B115</f>
        <v>69</v>
      </c>
      <c r="C139" s="9">
        <f t="shared" si="30"/>
        <v>32</v>
      </c>
      <c r="D139" s="9" t="s">
        <v>6795</v>
      </c>
      <c r="E139" s="9">
        <f t="shared" si="21"/>
        <v>46.37681159</v>
      </c>
      <c r="F139" s="9">
        <v>0.0</v>
      </c>
      <c r="G139" s="16">
        <f t="shared" si="22"/>
        <v>278.2608696</v>
      </c>
      <c r="H139" s="284">
        <f t="shared" si="23"/>
        <v>278.2608696</v>
      </c>
    </row>
    <row r="140">
      <c r="A140" s="9" t="s">
        <v>14</v>
      </c>
      <c r="B140" s="9">
        <f t="shared" ref="B140:C140" si="31">B25+B38+B60+B86+B102+B124</f>
        <v>22</v>
      </c>
      <c r="C140" s="9">
        <f t="shared" si="31"/>
        <v>10</v>
      </c>
      <c r="D140" s="9" t="s">
        <v>6795</v>
      </c>
      <c r="E140" s="9">
        <f t="shared" si="21"/>
        <v>45.45454545</v>
      </c>
      <c r="F140" s="9">
        <v>0.0</v>
      </c>
      <c r="G140" s="16">
        <f t="shared" si="22"/>
        <v>272.7272727</v>
      </c>
      <c r="H140" s="284">
        <f t="shared" si="23"/>
        <v>272.7272727</v>
      </c>
    </row>
    <row r="141">
      <c r="A141" s="9" t="s">
        <v>13</v>
      </c>
      <c r="B141" s="9">
        <f>B24+B42+B59+B80+B101+B122</f>
        <v>35</v>
      </c>
      <c r="C141" s="9">
        <f>C24+C42+C59+C80+C122+C101</f>
        <v>15</v>
      </c>
      <c r="D141" s="9" t="s">
        <v>6795</v>
      </c>
      <c r="E141" s="9">
        <f t="shared" si="21"/>
        <v>42.85714286</v>
      </c>
      <c r="F141" s="9">
        <v>0.0</v>
      </c>
      <c r="G141" s="16">
        <f t="shared" si="22"/>
        <v>257.1428571</v>
      </c>
      <c r="H141" s="284">
        <f t="shared" si="23"/>
        <v>257.1428571</v>
      </c>
    </row>
    <row r="142">
      <c r="A142" s="9" t="s">
        <v>11</v>
      </c>
      <c r="B142" s="9">
        <f t="shared" ref="B142:C142" si="32">B16+B40+B66+B81+B93+B121</f>
        <v>65</v>
      </c>
      <c r="C142" s="9">
        <f t="shared" si="32"/>
        <v>27</v>
      </c>
      <c r="D142" s="9" t="s">
        <v>6795</v>
      </c>
      <c r="E142" s="9">
        <f t="shared" si="21"/>
        <v>41.53846154</v>
      </c>
      <c r="F142" s="9">
        <v>0.0</v>
      </c>
      <c r="G142" s="16">
        <f t="shared" si="22"/>
        <v>249.2307692</v>
      </c>
      <c r="H142" s="284">
        <f t="shared" si="23"/>
        <v>249.2307692</v>
      </c>
    </row>
    <row r="143">
      <c r="A143" s="9" t="s">
        <v>15</v>
      </c>
      <c r="B143" s="9">
        <f t="shared" ref="B143:C143" si="33">B21+B45+B64+B76+B98+B120</f>
        <v>78</v>
      </c>
      <c r="C143" s="9">
        <f t="shared" si="33"/>
        <v>28</v>
      </c>
      <c r="D143" s="9" t="s">
        <v>6795</v>
      </c>
      <c r="E143" s="9">
        <f t="shared" si="21"/>
        <v>35.8974359</v>
      </c>
      <c r="F143" s="9">
        <v>0.0</v>
      </c>
      <c r="G143" s="16">
        <f t="shared" si="22"/>
        <v>215.3846154</v>
      </c>
      <c r="H143" s="284">
        <f t="shared" si="23"/>
        <v>215.3846154</v>
      </c>
    </row>
    <row r="144">
      <c r="A144" s="9" t="s">
        <v>22</v>
      </c>
      <c r="B144" s="9">
        <f t="shared" ref="B144:C144" si="34">B29+B47+B65+B84+B106+B125</f>
        <v>14</v>
      </c>
      <c r="C144" s="9">
        <f t="shared" si="34"/>
        <v>5</v>
      </c>
      <c r="D144" s="9" t="s">
        <v>6795</v>
      </c>
      <c r="E144" s="9">
        <f t="shared" si="21"/>
        <v>35.71428571</v>
      </c>
      <c r="F144" s="9">
        <v>0.0</v>
      </c>
      <c r="G144" s="16">
        <f t="shared" si="22"/>
        <v>214.2857143</v>
      </c>
      <c r="H144" s="284">
        <f t="shared" si="23"/>
        <v>214.2857143</v>
      </c>
    </row>
    <row r="145">
      <c r="A145" s="9" t="s">
        <v>452</v>
      </c>
      <c r="B145" s="9">
        <f t="shared" ref="B145:C145" si="35">B30+B49+B68+B88+B107+B126</f>
        <v>0</v>
      </c>
      <c r="C145" s="9">
        <f t="shared" si="35"/>
        <v>0</v>
      </c>
      <c r="D145" s="9" t="s">
        <v>6795</v>
      </c>
      <c r="E145" s="9" t="str">
        <f t="shared" si="21"/>
        <v>#DIV/0!</v>
      </c>
      <c r="F145" s="9">
        <v>0.0</v>
      </c>
      <c r="G145" s="16" t="str">
        <f t="shared" si="22"/>
        <v>#DIV/0!</v>
      </c>
      <c r="H145" s="284" t="str">
        <f t="shared" si="23"/>
        <v>#DIV/0!</v>
      </c>
    </row>
    <row r="146">
      <c r="A146" s="9" t="s">
        <v>457</v>
      </c>
      <c r="B146" s="9">
        <f t="shared" ref="B146:C146" si="36">B31+B50+B69+B89+B108+B127</f>
        <v>0</v>
      </c>
      <c r="C146" s="9">
        <f t="shared" si="36"/>
        <v>0</v>
      </c>
      <c r="D146" s="9" t="s">
        <v>6795</v>
      </c>
      <c r="E146" s="9" t="str">
        <f t="shared" si="21"/>
        <v>#DIV/0!</v>
      </c>
      <c r="F146" s="9">
        <v>0.0</v>
      </c>
      <c r="G146" s="16" t="str">
        <f t="shared" si="22"/>
        <v>#DIV/0!</v>
      </c>
      <c r="H146" s="284" t="str">
        <f t="shared" si="23"/>
        <v>#DIV/0!</v>
      </c>
    </row>
  </sheetData>
  <mergeCells count="12">
    <mergeCell ref="A52:H52"/>
    <mergeCell ref="A72:H72"/>
    <mergeCell ref="A91:H91"/>
    <mergeCell ref="A110:H110"/>
    <mergeCell ref="A129:H129"/>
    <mergeCell ref="A1:B1"/>
    <mergeCell ref="D1:E1"/>
    <mergeCell ref="A2:A8"/>
    <mergeCell ref="D11:E11"/>
    <mergeCell ref="D12:E12"/>
    <mergeCell ref="A14:H14"/>
    <mergeCell ref="A33:H33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21.5"/>
    <col customWidth="1" min="3" max="3" width="47.0"/>
    <col customWidth="1" min="4" max="5" width="32.0"/>
    <col customWidth="1" min="6" max="6" width="23.5"/>
    <col customWidth="1" min="7" max="7" width="27.38"/>
  </cols>
  <sheetData>
    <row r="1">
      <c r="A1" s="14" t="s">
        <v>2503</v>
      </c>
    </row>
    <row r="2">
      <c r="A2" s="14" t="s">
        <v>6811</v>
      </c>
    </row>
    <row r="3">
      <c r="A3" s="9" t="s">
        <v>6812</v>
      </c>
    </row>
    <row r="4">
      <c r="A4" s="14" t="s">
        <v>24</v>
      </c>
      <c r="B4" s="14" t="s">
        <v>6813</v>
      </c>
      <c r="C4" s="14" t="s">
        <v>6814</v>
      </c>
      <c r="D4" s="14" t="s">
        <v>6815</v>
      </c>
      <c r="E4" s="14" t="s">
        <v>28</v>
      </c>
      <c r="F4" s="14" t="s">
        <v>6816</v>
      </c>
      <c r="G4" s="14" t="s">
        <v>30</v>
      </c>
    </row>
    <row r="5">
      <c r="A5" s="19" t="s">
        <v>6817</v>
      </c>
      <c r="B5" s="19" t="s">
        <v>6818</v>
      </c>
      <c r="C5" s="63" t="s">
        <v>6819</v>
      </c>
      <c r="D5" s="19" t="s">
        <v>1904</v>
      </c>
      <c r="E5" s="19" t="s">
        <v>6820</v>
      </c>
      <c r="F5" s="19" t="s">
        <v>6821</v>
      </c>
      <c r="G5" s="19" t="s">
        <v>62</v>
      </c>
    </row>
    <row r="6">
      <c r="A6" s="19" t="s">
        <v>6822</v>
      </c>
      <c r="B6" s="19" t="s">
        <v>6823</v>
      </c>
      <c r="C6" s="63" t="s">
        <v>6824</v>
      </c>
      <c r="D6" s="19" t="s">
        <v>2103</v>
      </c>
      <c r="E6" s="19" t="s">
        <v>6825</v>
      </c>
      <c r="F6" s="19" t="s">
        <v>6826</v>
      </c>
    </row>
    <row r="7">
      <c r="A7" s="19" t="s">
        <v>6827</v>
      </c>
      <c r="C7" s="63" t="s">
        <v>6828</v>
      </c>
      <c r="D7" s="19" t="s">
        <v>1929</v>
      </c>
      <c r="E7" s="19" t="s">
        <v>6829</v>
      </c>
      <c r="F7" s="19" t="s">
        <v>6830</v>
      </c>
    </row>
    <row r="8">
      <c r="A8" s="19" t="s">
        <v>6831</v>
      </c>
      <c r="C8" s="63" t="s">
        <v>6832</v>
      </c>
      <c r="D8" s="19" t="s">
        <v>472</v>
      </c>
      <c r="E8" s="19" t="s">
        <v>6833</v>
      </c>
      <c r="F8" s="19" t="s">
        <v>6834</v>
      </c>
    </row>
    <row r="9">
      <c r="A9" s="19" t="s">
        <v>6835</v>
      </c>
      <c r="F9" s="19" t="s">
        <v>6836</v>
      </c>
    </row>
    <row r="10">
      <c r="A10" s="19" t="s">
        <v>6837</v>
      </c>
      <c r="F10" s="19" t="s">
        <v>6838</v>
      </c>
    </row>
    <row r="11">
      <c r="A11" s="19" t="s">
        <v>6839</v>
      </c>
      <c r="F11" s="19" t="s">
        <v>6840</v>
      </c>
    </row>
    <row r="12">
      <c r="A12" s="19" t="s">
        <v>6001</v>
      </c>
      <c r="F12" s="19" t="s">
        <v>6841</v>
      </c>
    </row>
    <row r="13">
      <c r="A13" s="19" t="s">
        <v>6842</v>
      </c>
      <c r="F13" s="19" t="s">
        <v>6843</v>
      </c>
    </row>
    <row r="14">
      <c r="A14" s="19" t="s">
        <v>6844</v>
      </c>
      <c r="F14" s="19" t="s">
        <v>6845</v>
      </c>
    </row>
    <row r="15">
      <c r="A15" s="19" t="s">
        <v>6846</v>
      </c>
      <c r="F15" s="19" t="s">
        <v>6847</v>
      </c>
    </row>
    <row r="16">
      <c r="A16" s="19" t="s">
        <v>6848</v>
      </c>
    </row>
    <row r="17">
      <c r="A17" s="19" t="s">
        <v>6849</v>
      </c>
    </row>
    <row r="18">
      <c r="A18" s="19" t="s">
        <v>6850</v>
      </c>
    </row>
    <row r="19">
      <c r="A19" s="19" t="s">
        <v>6851</v>
      </c>
    </row>
    <row r="20">
      <c r="A20" s="19" t="s">
        <v>6852</v>
      </c>
    </row>
    <row r="21">
      <c r="A21" s="19" t="s">
        <v>6853</v>
      </c>
    </row>
    <row r="22">
      <c r="A22" s="19" t="s">
        <v>6854</v>
      </c>
    </row>
    <row r="23">
      <c r="A23" s="19" t="s">
        <v>6855</v>
      </c>
    </row>
    <row r="24">
      <c r="A24" s="19" t="s">
        <v>6856</v>
      </c>
    </row>
    <row r="28">
      <c r="A28" s="81" t="s">
        <v>6857</v>
      </c>
    </row>
    <row r="29">
      <c r="A29" s="84" t="s">
        <v>6858</v>
      </c>
    </row>
    <row r="30">
      <c r="A30" s="84">
        <v>2026.0</v>
      </c>
    </row>
    <row r="31">
      <c r="A31" s="86" t="s">
        <v>526</v>
      </c>
      <c r="B31" s="86" t="s">
        <v>528</v>
      </c>
      <c r="C31" s="86" t="s">
        <v>529</v>
      </c>
      <c r="D31" s="86" t="s">
        <v>531</v>
      </c>
      <c r="E31" s="86" t="s">
        <v>533</v>
      </c>
    </row>
    <row r="32">
      <c r="A32" s="63" t="s">
        <v>6859</v>
      </c>
      <c r="B32" s="63" t="s">
        <v>668</v>
      </c>
      <c r="C32" s="63" t="s">
        <v>1591</v>
      </c>
      <c r="D32" s="63" t="s">
        <v>561</v>
      </c>
    </row>
    <row r="33">
      <c r="A33" s="19" t="s">
        <v>6860</v>
      </c>
      <c r="B33" s="19" t="s">
        <v>3518</v>
      </c>
      <c r="C33" s="19" t="s">
        <v>848</v>
      </c>
      <c r="D33" s="19" t="s">
        <v>6861</v>
      </c>
    </row>
    <row r="34">
      <c r="A34" s="19" t="s">
        <v>1027</v>
      </c>
      <c r="B34" s="19" t="s">
        <v>683</v>
      </c>
      <c r="C34" s="19" t="s">
        <v>683</v>
      </c>
      <c r="D34" s="19" t="s">
        <v>1364</v>
      </c>
    </row>
    <row r="35">
      <c r="C35" s="19" t="s">
        <v>6862</v>
      </c>
    </row>
    <row r="36">
      <c r="C36" s="19" t="s">
        <v>6863</v>
      </c>
    </row>
    <row r="37">
      <c r="C37" s="19" t="s">
        <v>999</v>
      </c>
    </row>
    <row r="42">
      <c r="A42" s="88" t="s">
        <v>6864</v>
      </c>
    </row>
    <row r="43">
      <c r="A43" s="89">
        <v>2026.0</v>
      </c>
    </row>
    <row r="44">
      <c r="A44" s="86" t="s">
        <v>550</v>
      </c>
      <c r="B44" s="86" t="s">
        <v>551</v>
      </c>
      <c r="C44" s="86" t="s">
        <v>552</v>
      </c>
      <c r="D44" s="86" t="s">
        <v>554</v>
      </c>
      <c r="E44" s="86" t="s">
        <v>555</v>
      </c>
      <c r="F44" s="86" t="s">
        <v>557</v>
      </c>
    </row>
    <row r="45">
      <c r="A45" s="63" t="s">
        <v>6865</v>
      </c>
      <c r="B45" s="63" t="s">
        <v>6866</v>
      </c>
    </row>
    <row r="46">
      <c r="A46" s="19" t="s">
        <v>995</v>
      </c>
      <c r="B46" s="19" t="s">
        <v>6860</v>
      </c>
    </row>
    <row r="47">
      <c r="A47" s="19" t="s">
        <v>996</v>
      </c>
      <c r="B47" s="19" t="s">
        <v>1043</v>
      </c>
    </row>
    <row r="48">
      <c r="A48" s="19" t="s">
        <v>2402</v>
      </c>
    </row>
    <row r="49">
      <c r="A49" s="19" t="s">
        <v>1008</v>
      </c>
    </row>
    <row r="50">
      <c r="A50" s="19" t="s">
        <v>6867</v>
      </c>
    </row>
    <row r="51">
      <c r="A51" s="19" t="s">
        <v>870</v>
      </c>
    </row>
    <row r="52">
      <c r="A52" s="19" t="s">
        <v>6831</v>
      </c>
    </row>
    <row r="53">
      <c r="A53" s="19" t="s">
        <v>573</v>
      </c>
    </row>
    <row r="54">
      <c r="A54" s="19" t="s">
        <v>6868</v>
      </c>
    </row>
    <row r="55">
      <c r="A55" s="19" t="s">
        <v>572</v>
      </c>
    </row>
  </sheetData>
  <mergeCells count="8">
    <mergeCell ref="A1:I1"/>
    <mergeCell ref="A2:I2"/>
    <mergeCell ref="A3:I3"/>
    <mergeCell ref="A28:E28"/>
    <mergeCell ref="A29:E29"/>
    <mergeCell ref="A30:E30"/>
    <mergeCell ref="A42:F42"/>
    <mergeCell ref="A43:F43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3.5"/>
    <col customWidth="1" min="2" max="2" width="18.75"/>
    <col customWidth="1" min="3" max="3" width="20.88"/>
    <col customWidth="1" min="4" max="4" width="34.5"/>
    <col customWidth="1" min="5" max="5" width="16.63"/>
    <col customWidth="1" min="6" max="6" width="26.13"/>
  </cols>
  <sheetData>
    <row r="1">
      <c r="A1" s="14" t="s">
        <v>6869</v>
      </c>
    </row>
    <row r="2">
      <c r="A2" s="14" t="s">
        <v>6870</v>
      </c>
    </row>
    <row r="3">
      <c r="A3" s="9" t="s">
        <v>6871</v>
      </c>
    </row>
    <row r="4">
      <c r="A4" s="14" t="s">
        <v>24</v>
      </c>
      <c r="B4" s="14" t="s">
        <v>6872</v>
      </c>
      <c r="C4" s="14" t="s">
        <v>6873</v>
      </c>
      <c r="D4" s="14" t="s">
        <v>6874</v>
      </c>
      <c r="E4" s="79" t="s">
        <v>6875</v>
      </c>
      <c r="F4" s="79" t="s">
        <v>6876</v>
      </c>
    </row>
    <row r="5">
      <c r="A5" s="19" t="s">
        <v>6877</v>
      </c>
      <c r="B5" s="19" t="s">
        <v>6878</v>
      </c>
      <c r="C5" s="19" t="s">
        <v>6879</v>
      </c>
      <c r="D5" s="19" t="s">
        <v>6880</v>
      </c>
      <c r="E5" s="19" t="s">
        <v>6881</v>
      </c>
      <c r="F5" s="19" t="s">
        <v>6882</v>
      </c>
    </row>
    <row r="6">
      <c r="A6" s="19" t="s">
        <v>6883</v>
      </c>
      <c r="C6" s="19" t="s">
        <v>6884</v>
      </c>
      <c r="D6" s="19" t="s">
        <v>6885</v>
      </c>
      <c r="E6" s="19" t="s">
        <v>6886</v>
      </c>
      <c r="F6" s="19" t="s">
        <v>6887</v>
      </c>
    </row>
    <row r="7">
      <c r="A7" s="19" t="s">
        <v>6888</v>
      </c>
      <c r="D7" s="19" t="s">
        <v>6889</v>
      </c>
    </row>
    <row r="8">
      <c r="A8" s="19" t="s">
        <v>6890</v>
      </c>
      <c r="D8" s="19" t="s">
        <v>6891</v>
      </c>
    </row>
    <row r="9">
      <c r="A9" s="19" t="s">
        <v>2069</v>
      </c>
    </row>
    <row r="10">
      <c r="A10" s="19" t="s">
        <v>6892</v>
      </c>
    </row>
    <row r="11">
      <c r="A11" s="19" t="s">
        <v>6893</v>
      </c>
    </row>
    <row r="12">
      <c r="A12" s="19" t="s">
        <v>6894</v>
      </c>
    </row>
    <row r="13">
      <c r="A13" s="19" t="s">
        <v>6895</v>
      </c>
    </row>
    <row r="14">
      <c r="A14" s="19" t="s">
        <v>6896</v>
      </c>
    </row>
    <row r="15">
      <c r="A15" s="19" t="s">
        <v>6897</v>
      </c>
    </row>
    <row r="16">
      <c r="A16" s="19" t="s">
        <v>3593</v>
      </c>
    </row>
    <row r="17">
      <c r="A17" s="19" t="s">
        <v>6898</v>
      </c>
    </row>
    <row r="18">
      <c r="A18" s="19" t="s">
        <v>6899</v>
      </c>
    </row>
    <row r="19">
      <c r="A19" s="19" t="s">
        <v>6900</v>
      </c>
    </row>
    <row r="26">
      <c r="A26" s="81" t="s">
        <v>6901</v>
      </c>
    </row>
    <row r="27">
      <c r="A27" s="84" t="s">
        <v>6902</v>
      </c>
    </row>
    <row r="28">
      <c r="A28" s="84">
        <v>2026.0</v>
      </c>
    </row>
    <row r="29">
      <c r="A29" s="86" t="s">
        <v>526</v>
      </c>
      <c r="B29" s="86" t="s">
        <v>528</v>
      </c>
      <c r="C29" s="86" t="s">
        <v>529</v>
      </c>
      <c r="D29" s="86" t="s">
        <v>531</v>
      </c>
      <c r="E29" s="86" t="s">
        <v>533</v>
      </c>
    </row>
    <row r="30">
      <c r="D30" s="19" t="s">
        <v>847</v>
      </c>
    </row>
    <row r="31">
      <c r="D31" s="19" t="s">
        <v>573</v>
      </c>
    </row>
    <row r="40">
      <c r="A40" s="88" t="s">
        <v>1295</v>
      </c>
    </row>
    <row r="41">
      <c r="A41" s="89">
        <v>2026.0</v>
      </c>
    </row>
    <row r="42">
      <c r="A42" s="86" t="s">
        <v>550</v>
      </c>
      <c r="B42" s="86" t="s">
        <v>551</v>
      </c>
      <c r="C42" s="86" t="s">
        <v>552</v>
      </c>
      <c r="D42" s="86" t="s">
        <v>554</v>
      </c>
      <c r="E42" s="86" t="s">
        <v>555</v>
      </c>
      <c r="F42" s="86" t="s">
        <v>557</v>
      </c>
    </row>
  </sheetData>
  <mergeCells count="8">
    <mergeCell ref="A1:I1"/>
    <mergeCell ref="A2:I2"/>
    <mergeCell ref="A3:I3"/>
    <mergeCell ref="A26:E26"/>
    <mergeCell ref="A27:E27"/>
    <mergeCell ref="A28:E28"/>
    <mergeCell ref="A40:F40"/>
    <mergeCell ref="A41:F4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1.5"/>
    <col customWidth="1" min="3" max="3" width="30.25"/>
    <col customWidth="1" min="4" max="4" width="31.88"/>
    <col customWidth="1" min="5" max="5" width="20.63"/>
    <col customWidth="1" min="6" max="6" width="20.75"/>
    <col customWidth="1" min="7" max="7" width="25.0"/>
    <col customWidth="1" min="8" max="8" width="28.38"/>
  </cols>
  <sheetData>
    <row r="1">
      <c r="A1" s="14" t="s">
        <v>6903</v>
      </c>
    </row>
    <row r="2">
      <c r="A2" s="9" t="s">
        <v>6904</v>
      </c>
    </row>
    <row r="3">
      <c r="A3" s="9" t="s">
        <v>6905</v>
      </c>
    </row>
    <row r="4">
      <c r="A4" s="14" t="s">
        <v>24</v>
      </c>
      <c r="B4" s="14" t="s">
        <v>6813</v>
      </c>
      <c r="C4" s="14" t="s">
        <v>6906</v>
      </c>
      <c r="D4" s="14" t="s">
        <v>37</v>
      </c>
      <c r="E4" s="14" t="s">
        <v>6907</v>
      </c>
      <c r="F4" s="14" t="s">
        <v>6908</v>
      </c>
      <c r="G4" s="14" t="s">
        <v>6909</v>
      </c>
      <c r="H4" s="14" t="s">
        <v>6910</v>
      </c>
    </row>
    <row r="5">
      <c r="A5" s="19" t="s">
        <v>6911</v>
      </c>
      <c r="B5" s="19" t="s">
        <v>6912</v>
      </c>
      <c r="C5" s="19" t="s">
        <v>6913</v>
      </c>
      <c r="D5" s="19" t="s">
        <v>6914</v>
      </c>
      <c r="E5" s="19" t="s">
        <v>6915</v>
      </c>
      <c r="F5" s="19" t="s">
        <v>1611</v>
      </c>
      <c r="G5" s="19" t="s">
        <v>6916</v>
      </c>
      <c r="H5" s="19" t="s">
        <v>59</v>
      </c>
    </row>
    <row r="6">
      <c r="A6" s="19" t="s">
        <v>6917</v>
      </c>
      <c r="B6" s="19" t="s">
        <v>6918</v>
      </c>
      <c r="C6" s="19" t="s">
        <v>6919</v>
      </c>
      <c r="D6" s="19" t="s">
        <v>6920</v>
      </c>
      <c r="F6" s="19" t="s">
        <v>6884</v>
      </c>
      <c r="G6" s="19" t="s">
        <v>6921</v>
      </c>
      <c r="H6" s="19" t="s">
        <v>6922</v>
      </c>
    </row>
    <row r="7">
      <c r="A7" s="19" t="s">
        <v>6923</v>
      </c>
      <c r="C7" s="19" t="s">
        <v>6924</v>
      </c>
      <c r="D7" s="19" t="s">
        <v>6925</v>
      </c>
      <c r="F7" s="19" t="s">
        <v>1617</v>
      </c>
      <c r="G7" s="19" t="s">
        <v>6926</v>
      </c>
      <c r="H7" s="19" t="s">
        <v>6927</v>
      </c>
    </row>
    <row r="8">
      <c r="A8" s="19" t="s">
        <v>6928</v>
      </c>
      <c r="C8" s="19" t="s">
        <v>6929</v>
      </c>
      <c r="F8" s="19" t="s">
        <v>6843</v>
      </c>
      <c r="G8" s="19" t="s">
        <v>6930</v>
      </c>
      <c r="H8" s="19" t="s">
        <v>445</v>
      </c>
    </row>
    <row r="9">
      <c r="A9" s="19" t="s">
        <v>1501</v>
      </c>
      <c r="C9" s="19" t="s">
        <v>6931</v>
      </c>
      <c r="F9" s="19" t="s">
        <v>6932</v>
      </c>
      <c r="G9" s="19" t="s">
        <v>6933</v>
      </c>
      <c r="H9" s="19" t="s">
        <v>458</v>
      </c>
    </row>
    <row r="10">
      <c r="A10" s="19" t="s">
        <v>6934</v>
      </c>
      <c r="F10" s="19" t="s">
        <v>6884</v>
      </c>
      <c r="G10" s="19" t="s">
        <v>6935</v>
      </c>
      <c r="H10" s="19" t="s">
        <v>6936</v>
      </c>
    </row>
    <row r="11">
      <c r="A11" s="19" t="s">
        <v>6937</v>
      </c>
      <c r="G11" s="19" t="s">
        <v>6938</v>
      </c>
      <c r="H11" s="19" t="s">
        <v>193</v>
      </c>
    </row>
    <row r="12">
      <c r="A12" s="19" t="s">
        <v>6939</v>
      </c>
      <c r="G12" s="19" t="s">
        <v>6940</v>
      </c>
      <c r="H12" s="19" t="s">
        <v>1189</v>
      </c>
    </row>
    <row r="13">
      <c r="A13" s="19" t="s">
        <v>6941</v>
      </c>
      <c r="G13" s="19" t="s">
        <v>6942</v>
      </c>
      <c r="H13" s="19" t="s">
        <v>6943</v>
      </c>
    </row>
    <row r="14">
      <c r="A14" s="19" t="s">
        <v>6944</v>
      </c>
      <c r="G14" s="19" t="s">
        <v>6945</v>
      </c>
      <c r="H14" s="19" t="s">
        <v>6946</v>
      </c>
    </row>
    <row r="15">
      <c r="A15" s="19" t="s">
        <v>6947</v>
      </c>
      <c r="G15" s="19" t="s">
        <v>6948</v>
      </c>
      <c r="H15" s="19" t="s">
        <v>1222</v>
      </c>
    </row>
    <row r="16">
      <c r="A16" s="19" t="s">
        <v>6949</v>
      </c>
      <c r="H16" s="19" t="s">
        <v>1345</v>
      </c>
    </row>
    <row r="17">
      <c r="A17" s="19" t="s">
        <v>6950</v>
      </c>
      <c r="G17" s="14" t="s">
        <v>6951</v>
      </c>
      <c r="H17" s="19" t="s">
        <v>6952</v>
      </c>
    </row>
    <row r="18">
      <c r="A18" s="19" t="s">
        <v>6953</v>
      </c>
      <c r="G18" s="19" t="s">
        <v>6954</v>
      </c>
      <c r="H18" s="19" t="s">
        <v>193</v>
      </c>
    </row>
    <row r="19">
      <c r="A19" s="19" t="s">
        <v>4912</v>
      </c>
      <c r="G19" s="19" t="s">
        <v>6936</v>
      </c>
      <c r="H19" s="19" t="s">
        <v>1282</v>
      </c>
    </row>
    <row r="20">
      <c r="A20" s="19" t="s">
        <v>6955</v>
      </c>
      <c r="G20" s="19" t="s">
        <v>6841</v>
      </c>
      <c r="H20" s="19" t="s">
        <v>1285</v>
      </c>
    </row>
    <row r="21">
      <c r="A21" s="19" t="s">
        <v>6956</v>
      </c>
      <c r="G21" s="19" t="s">
        <v>6957</v>
      </c>
      <c r="H21" s="19" t="s">
        <v>1307</v>
      </c>
    </row>
    <row r="22">
      <c r="A22" s="19" t="s">
        <v>6958</v>
      </c>
      <c r="G22" s="19" t="s">
        <v>6959</v>
      </c>
      <c r="H22" s="19" t="s">
        <v>6960</v>
      </c>
    </row>
    <row r="23">
      <c r="A23" s="19" t="s">
        <v>6961</v>
      </c>
      <c r="G23" s="19" t="s">
        <v>6962</v>
      </c>
      <c r="H23" s="19" t="s">
        <v>3347</v>
      </c>
    </row>
    <row r="24">
      <c r="G24" s="19" t="s">
        <v>6963</v>
      </c>
      <c r="H24" s="19" t="s">
        <v>266</v>
      </c>
    </row>
    <row r="25">
      <c r="G25" s="19" t="s">
        <v>6964</v>
      </c>
      <c r="H25" s="19" t="s">
        <v>1307</v>
      </c>
    </row>
    <row r="26">
      <c r="G26" s="19" t="s">
        <v>6965</v>
      </c>
      <c r="H26" s="19" t="s">
        <v>6966</v>
      </c>
    </row>
    <row r="27">
      <c r="G27" s="19" t="s">
        <v>6967</v>
      </c>
    </row>
    <row r="29">
      <c r="G29" s="14" t="s">
        <v>6968</v>
      </c>
    </row>
    <row r="30">
      <c r="G30" s="19" t="s">
        <v>6969</v>
      </c>
    </row>
  </sheetData>
  <mergeCells count="3">
    <mergeCell ref="A1:I1"/>
    <mergeCell ref="A2:I2"/>
    <mergeCell ref="A3:I3"/>
  </mergeCells>
  <drawing r:id="rId1"/>
</worksheet>
</file>
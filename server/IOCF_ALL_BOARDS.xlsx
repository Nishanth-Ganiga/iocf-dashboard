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reland" sheetId="7" r:id="rId11"/>
    <sheet state="visible" name="Italy" sheetId="8" r:id="rId12"/>
    <sheet state="visible" name="Netherlands" sheetId="9" r:id="rId13"/>
    <sheet state="visible" name="Newzealand" sheetId="10" r:id="rId14"/>
    <sheet state="visible" name="Pakistan" sheetId="11" r:id="rId15"/>
    <sheet state="visible" name="Qatar" sheetId="12" r:id="rId16"/>
    <sheet state="visible" name="Scotland" sheetId="13" r:id="rId17"/>
    <sheet state="visible" name="SA" sheetId="14" r:id="rId18"/>
    <sheet state="visible" name="Srilanka" sheetId="15" r:id="rId19"/>
    <sheet state="visible" name="UAE" sheetId="16" r:id="rId20"/>
    <sheet state="visible" name="Uganda" sheetId="17" r:id="rId21"/>
    <sheet state="visible" name="USA" sheetId="18" r:id="rId22"/>
    <sheet state="visible" name="WestIndies" sheetId="19" r:id="rId23"/>
    <sheet state="visible" name="Zimbabwe" sheetId="20" r:id="rId24"/>
    <sheet state="visible" name="T20 World Cup 2026" sheetId="21" r:id="rId25"/>
    <sheet state="visible" name="Emerging Talent League" sheetId="22" r:id="rId26"/>
    <sheet state="visible" name="IOCF Lone Warrior" sheetId="23" r:id="rId27"/>
    <sheet state="visible" name="IOCF Cards" sheetId="24" r:id="rId28"/>
    <sheet state="visible" name="100 2026" sheetId="25" r:id="rId29"/>
    <sheet state="visible" name="PSL 2026" sheetId="26" r:id="rId30"/>
    <sheet state="visible" name="BBL 2026" sheetId="27" r:id="rId31"/>
    <sheet state="visible" name="KCL 2026" sheetId="28" r:id="rId32"/>
    <sheet state="visible" name="BPL 2026" sheetId="29" r:id="rId33"/>
    <sheet state="visible" name="IPL 2026" sheetId="30" r:id="rId34"/>
    <sheet state="visible" name="CPL 2026" sheetId="31" r:id="rId35"/>
    <sheet state="visible" name="SPL 2026" sheetId="32" r:id="rId36"/>
    <sheet state="visible" name="Series Matches" sheetId="33" r:id="rId37"/>
    <sheet state="visible" name="WTC Matches" sheetId="34" r:id="rId38"/>
    <sheet state="visible" name="IOCF ASIA CUP" sheetId="35" r:id="rId39"/>
    <sheet state="visible" name="IOCF EURO CUP" sheetId="36" r:id="rId40"/>
    <sheet state="visible" name="IOCF OCEANIA CUP" sheetId="37" r:id="rId41"/>
    <sheet state="visible" name="Womens Global League" sheetId="38" r:id="rId42"/>
    <sheet state="visible" name="Board Rankings" sheetId="39" r:id="rId43"/>
    <sheet state="hidden" name="Dismantled UAE" sheetId="40" r:id="rId44"/>
    <sheet state="hidden" name="Dismantled USA" sheetId="41" r:id="rId45"/>
    <sheet state="hidden" name="Dismantled South Africa " sheetId="42" r:id="rId46"/>
  </sheets>
  <definedNames/>
  <calcPr/>
</workbook>
</file>

<file path=xl/sharedStrings.xml><?xml version="1.0" encoding="utf-8"?>
<sst xmlns="http://schemas.openxmlformats.org/spreadsheetml/2006/main" count="16982" uniqueCount="7303">
  <si>
    <t>Board: Canada</t>
  </si>
  <si>
    <t>Credits</t>
  </si>
  <si>
    <t>Board: Bangladesh</t>
  </si>
  <si>
    <t>Board: AUSTRALIA</t>
  </si>
  <si>
    <t>Chairman: Farhan Rizvi | CEO: Faraz Kapri</t>
  </si>
  <si>
    <t>Stadiums of all boards</t>
  </si>
  <si>
    <t>Credits left:</t>
  </si>
  <si>
    <t>Boards</t>
  </si>
  <si>
    <t>Available Credits</t>
  </si>
  <si>
    <t>Australia</t>
  </si>
  <si>
    <t>Chairman: Sai Naveen | CEO: Yasin Iqbal</t>
  </si>
  <si>
    <t>Bangladesh</t>
  </si>
  <si>
    <t>England</t>
  </si>
  <si>
    <t>Chairman: Arnab Sarkar | Ceo: Keshav Shah</t>
  </si>
  <si>
    <t>India</t>
  </si>
  <si>
    <t>Italy</t>
  </si>
  <si>
    <t>Netherlands</t>
  </si>
  <si>
    <t xml:space="preserve">Credits left: </t>
  </si>
  <si>
    <t>Newzealand</t>
  </si>
  <si>
    <t>Players</t>
  </si>
  <si>
    <t>Pakistan</t>
  </si>
  <si>
    <t>Qatar</t>
  </si>
  <si>
    <t>Stadium:</t>
  </si>
  <si>
    <t>Scotland</t>
  </si>
  <si>
    <t>International Series:</t>
  </si>
  <si>
    <t>South Africa</t>
  </si>
  <si>
    <t>Trophy Cabinet ( International series)</t>
  </si>
  <si>
    <t>Srilanka</t>
  </si>
  <si>
    <t>1. Akash Pol</t>
  </si>
  <si>
    <t>UAE</t>
  </si>
  <si>
    <t>West Indies</t>
  </si>
  <si>
    <t>Zimbabwe</t>
  </si>
  <si>
    <t>1. Croco-Owl Series ( Away )</t>
  </si>
  <si>
    <t>Canada</t>
  </si>
  <si>
    <t>2. Shanawaz MS</t>
  </si>
  <si>
    <t>Level 3 Stadiums</t>
  </si>
  <si>
    <t>Away( Zimbabwe ): 5000 bet ( Won )</t>
  </si>
  <si>
    <t>3. Aftab Ali</t>
  </si>
  <si>
    <t>CAA Centre</t>
  </si>
  <si>
    <t>4. Rehan</t>
  </si>
  <si>
    <t>Level 2 Stadiums</t>
  </si>
  <si>
    <t>5. Faizan Kapri</t>
  </si>
  <si>
    <t>None</t>
  </si>
  <si>
    <t>6. Mansoor Jan</t>
  </si>
  <si>
    <t>Level 1 Stadiums</t>
  </si>
  <si>
    <t>7. Ayaz Baloch</t>
  </si>
  <si>
    <t xml:space="preserve">Stadium: </t>
  </si>
  <si>
    <t xml:space="preserve">Traded Palyers: </t>
  </si>
  <si>
    <t>Whitewash:</t>
  </si>
  <si>
    <t>Trophy Cabinet ( International Series)</t>
  </si>
  <si>
    <t>IOCF WORLD TEST CHAMPIONSHIP 🏆:</t>
  </si>
  <si>
    <t xml:space="preserve">Traded Players: </t>
  </si>
  <si>
    <t>Player limit exceeded: -10000</t>
  </si>
  <si>
    <t>8. Safa Kapri</t>
  </si>
  <si>
    <t xml:space="preserve">IOCF T20 WORLD CUP 🏆: </t>
  </si>
  <si>
    <t>9. Shebin Johan</t>
  </si>
  <si>
    <t>CONTINENTAL CUP  🏆: ( ASIA )</t>
  </si>
  <si>
    <t>Player limit exceeded: -20000</t>
  </si>
  <si>
    <t>10. Blessy</t>
  </si>
  <si>
    <t xml:space="preserve">IOCF WORLD TEST CHAMPIONSHIP 🏆: </t>
  </si>
  <si>
    <t>Umpires Credits :</t>
  </si>
  <si>
    <t>11. Naveen Gupta</t>
  </si>
  <si>
    <t>12. Allahbux</t>
  </si>
  <si>
    <t>13. Neak Muhammad</t>
  </si>
  <si>
    <t>1. Abhishek Adhikary</t>
  </si>
  <si>
    <t>CONTINENTAL CUP  🏆: ( OCEANIA )</t>
  </si>
  <si>
    <t>14. Manjeet Yadav</t>
  </si>
  <si>
    <t>15. Vishesh</t>
  </si>
  <si>
    <t>1. Waqas Mughal</t>
  </si>
  <si>
    <t>1. Greater Asia Cup ( Home )</t>
  </si>
  <si>
    <t>1. Kangaroo Protea Cup ( Home )</t>
  </si>
  <si>
    <t>2. Princhi Pratim Bora</t>
  </si>
  <si>
    <t>2. Abrar Ali</t>
  </si>
  <si>
    <t>1. Yasin Iqbal - 5k</t>
  </si>
  <si>
    <t>Home ( Afghanistan ): 5000 bet ( Won )</t>
  </si>
  <si>
    <t>Home( Pakistan ): 5000 bet ( Lost )</t>
  </si>
  <si>
    <t>2. Boult Taskin ( Away )</t>
  </si>
  <si>
    <t>Entry: -5000</t>
  </si>
  <si>
    <t>Against South Africa: 1</t>
  </si>
  <si>
    <t>Match Bet credits: -20000</t>
  </si>
  <si>
    <t>2. Caribbean Tri Nation Series ( Away )</t>
  </si>
  <si>
    <t>Trophy Cabinet ( Test )</t>
  </si>
  <si>
    <t>Hosting Rights: -42000</t>
  </si>
  <si>
    <t>1. 20 to 25: 10000</t>
  </si>
  <si>
    <t>Hosting Amount: 60k</t>
  </si>
  <si>
    <t>Umpire</t>
  </si>
  <si>
    <t>Match Bet credits: 35000</t>
  </si>
  <si>
    <t>Details</t>
  </si>
  <si>
    <t>Total Matches</t>
  </si>
  <si>
    <t>Players &amp; Match Awards</t>
  </si>
  <si>
    <t>Points</t>
  </si>
  <si>
    <t>3. Chintu Saikia</t>
  </si>
  <si>
    <t>Padma - Meghna Cricket Arena</t>
  </si>
  <si>
    <t>2. Karan Kumar - 5k</t>
  </si>
  <si>
    <t>Away ( Newzealand ): 5000 bet ( Won )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</si>
  <si>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</si>
  <si>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</si>
  <si>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</si>
  <si>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</si>
  <si>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</si>
  <si>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3. Anand Ajikumar</t>
  </si>
  <si>
    <t xml:space="preserve">Melbourne Cricket Ground </t>
  </si>
  <si>
    <t>1. Vaibhav Batra</t>
  </si>
  <si>
    <t>Home( South Africa): 5000 bet ( Won )</t>
  </si>
  <si>
    <t>Against Afghanistan: 1</t>
  </si>
  <si>
    <t>3. Aus Afg Power series ( Home )</t>
  </si>
  <si>
    <t>Club Series</t>
  </si>
  <si>
    <t>Player Awards: 12000</t>
  </si>
  <si>
    <t>Home(Pakistan): 5000 ( Won )</t>
  </si>
  <si>
    <t xml:space="preserve">Benaud-Qadir </t>
  </si>
  <si>
    <t>4. Vaibhav Batra</t>
  </si>
  <si>
    <t>1. Yasin Iqbal</t>
  </si>
  <si>
    <t>Hilsha Heritage Stadium | Franchise League L1 | Upgraded</t>
  </si>
  <si>
    <t>3. Sai Naveen - 5k</t>
  </si>
  <si>
    <t>Home (West Indies): 7000 bet (Lost)</t>
  </si>
  <si>
    <t>4. Dutch Bangla Battle (Away)</t>
  </si>
  <si>
    <t>Home ( West Indies ): 6000 bet ( Lost )</t>
  </si>
  <si>
    <t>2. North Sea-Bay Challenge</t>
  </si>
  <si>
    <t>Total Credits</t>
  </si>
  <si>
    <t>4. Anik Dey Shanto</t>
  </si>
  <si>
    <t xml:space="preserve">Sydney Cricket Ground </t>
  </si>
  <si>
    <t>Away( West Indies/ Scotland ): 5000 ( Won )</t>
  </si>
  <si>
    <t>Against England(Test): 1</t>
  </si>
  <si>
    <t>4. The Ashes( Away )</t>
  </si>
  <si>
    <t>Players Awards: 2300</t>
  </si>
  <si>
    <t>1. Rizwan</t>
  </si>
  <si>
    <t>Away(Pakistan): 5000 (Won)</t>
  </si>
  <si>
    <t xml:space="preserve">Scottish Wall </t>
  </si>
  <si>
    <t>5. Abrar Ahmed</t>
  </si>
  <si>
    <t>Karnaphuli Cricket Park</t>
  </si>
  <si>
    <t>Player</t>
  </si>
  <si>
    <t>4. Bhavesh B - 5k</t>
  </si>
  <si>
    <t>Away (England): 10000 bet ( Won )</t>
  </si>
  <si>
    <t>5. Lords Clash (Away)</t>
  </si>
  <si>
    <t>Man of the match: 2</t>
  </si>
  <si>
    <t>Award</t>
  </si>
  <si>
    <t>Away (England): 10000 bet (Won)</t>
  </si>
  <si>
    <t>3. Tiger Tulip (Home)</t>
  </si>
  <si>
    <t>T20 Tournament</t>
  </si>
  <si>
    <t>2. Sai Naveen</t>
  </si>
  <si>
    <t>5. Anurag Raj</t>
  </si>
  <si>
    <t xml:space="preserve">Optus Stadium | Free T20 WC </t>
  </si>
  <si>
    <t>Home ( Newzealand) : 5000 bet ( Lost )</t>
  </si>
  <si>
    <t>Against Newzealand: 2</t>
  </si>
  <si>
    <t>5. Southee Cummins ( Away )</t>
  </si>
  <si>
    <t>1. Sai Naveen</t>
  </si>
  <si>
    <t>Man of the match: 2 (2000)</t>
  </si>
  <si>
    <t>Away(Scotland): 5000 (Won)</t>
  </si>
  <si>
    <t xml:space="preserve">Aussie Wall </t>
  </si>
  <si>
    <t>1. Abrar Ali</t>
  </si>
  <si>
    <t>Best Batsman(1000): 1</t>
  </si>
  <si>
    <t>6. Tansuri Datta</t>
  </si>
  <si>
    <t>Mango Fortress Stadium</t>
  </si>
  <si>
    <t>5. Vaibhav Batra - 5k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</si>
  <si>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</si>
  <si>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</si>
  <si>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</si>
  <si>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</si>
  <si>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</si>
  <si>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1. Bhargab Kashyap</t>
  </si>
  <si>
    <t>Man of the match(2000): 2</t>
  </si>
  <si>
    <t>T10 Series</t>
  </si>
  <si>
    <t>6. Arjun Akj</t>
  </si>
  <si>
    <t xml:space="preserve">Adelaide Oval </t>
  </si>
  <si>
    <t>Home ( West Indies): 5000 bet ( Lost )</t>
  </si>
  <si>
    <t>6. Southern Challenge (Away)</t>
  </si>
  <si>
    <t>Man of the match: 1</t>
  </si>
  <si>
    <t>vs Pakistan</t>
  </si>
  <si>
    <t>Home(Scotland): 5000 (Won)</t>
  </si>
  <si>
    <t>Sydney Cup</t>
  </si>
  <si>
    <t>2. Keshav Shah</t>
  </si>
  <si>
    <t>7. Partha Pratim Bora</t>
  </si>
  <si>
    <t>Sylhet Jewel Stadium</t>
  </si>
  <si>
    <t xml:space="preserve">Man of the match(2000): 1 </t>
  </si>
  <si>
    <t>6. Saketh Balne - 5k</t>
  </si>
  <si>
    <t>Home (Pakistan): 5000 bet (Lost)</t>
  </si>
  <si>
    <t>7. Anglo Bengal ODI Trophy (Away)</t>
  </si>
  <si>
    <t>2. Anurag Raj</t>
  </si>
  <si>
    <t>vs Pakistan: 1000</t>
  </si>
  <si>
    <t>Away (Scotland): 5000 bet (Lost)</t>
  </si>
  <si>
    <t>Best Batsman(1000): 3</t>
  </si>
  <si>
    <t>Test Tournament</t>
  </si>
  <si>
    <t>8. Asad KB</t>
  </si>
  <si>
    <t>7. Ashwini Verma</t>
  </si>
  <si>
    <t>Sundarbans Cricket Fortress</t>
  </si>
  <si>
    <t>Sydney Show Ground | Franchise League L1 | Upgraded</t>
  </si>
  <si>
    <t>Harsh  Dubey(Ban) - 20000</t>
  </si>
  <si>
    <t>Away( Scotland): 5000 bet ( Lost )</t>
  </si>
  <si>
    <t>7. Kiwi Kangaroo (Away)</t>
  </si>
  <si>
    <t>• vs Scotland: 500</t>
  </si>
  <si>
    <t>Away(England): 5000 bet (Won)</t>
  </si>
  <si>
    <t>vs Scotland</t>
  </si>
  <si>
    <t>8. Tiger Orange Cup (Home)</t>
  </si>
  <si>
    <t>Home (England): 5000 (Lost)</t>
  </si>
  <si>
    <t>Poker Cup</t>
  </si>
  <si>
    <t>Best Batsman: 1</t>
  </si>
  <si>
    <t>Best Bowler(1000): 1</t>
  </si>
  <si>
    <t>Board: England</t>
  </si>
  <si>
    <t>2. Ahsan Siddiqui</t>
  </si>
  <si>
    <t>ODI Series</t>
  </si>
  <si>
    <t>Chairman: Diljith Das | CEO: Jyothish S</t>
  </si>
  <si>
    <t>TITLE SPONSORS: Cricket Circle</t>
  </si>
  <si>
    <t>8. Chiranjibi Samal</t>
  </si>
  <si>
    <t xml:space="preserve">Marvel Cricket Stadium </t>
  </si>
  <si>
    <t>Home( Afghanistan): 7000 bet ( Won )</t>
  </si>
  <si>
    <t xml:space="preserve">Whitewash lose: </t>
  </si>
  <si>
    <t>8. Kingfisher Cup (Home)</t>
  </si>
  <si>
    <t>7. Summan Baig to Pak - 2k</t>
  </si>
  <si>
    <t>Most Sixes: 1</t>
  </si>
  <si>
    <t>Best Bowler: 1 (500)</t>
  </si>
  <si>
    <t>Away(England): 5000 (Lost)</t>
  </si>
  <si>
    <t>Orange - Yellow Trophy</t>
  </si>
  <si>
    <t>3. Waqas Mughal</t>
  </si>
  <si>
    <t xml:space="preserve">9. Bhagrab Kashyap </t>
  </si>
  <si>
    <t>Sonar Bangla Cricket Arena</t>
  </si>
  <si>
    <t>Franchise League</t>
  </si>
  <si>
    <t>8. Aashutosh from ND: 15000</t>
  </si>
  <si>
    <t>Away(Pakistan): 5000 bet (Lost)</t>
  </si>
  <si>
    <t>vs West Indies: 500</t>
  </si>
  <si>
    <t>9. Kashif Ramzan</t>
  </si>
  <si>
    <t>Home(Netherlands): 4000 bet (Won)</t>
  </si>
  <si>
    <t xml:space="preserve">The Gabba </t>
  </si>
  <si>
    <t>Away( England ): 10000 ( Won )</t>
  </si>
  <si>
    <t>ODI Tournament</t>
  </si>
  <si>
    <t>9. KFC T20 Cup (Home)</t>
  </si>
  <si>
    <t>8. Srinidhi (10k) - SA Chairman</t>
  </si>
  <si>
    <t>Whitewash lose:</t>
  </si>
  <si>
    <t>• vs Scotland: 300</t>
  </si>
  <si>
    <t>Traded Player:</t>
  </si>
  <si>
    <t xml:space="preserve">IOCF T20 WORLD CUP 🏆 : </t>
  </si>
  <si>
    <t>Home(Bangladesh): 5000 (Won)</t>
  </si>
  <si>
    <t>4. Arnab Sarkar</t>
  </si>
  <si>
    <t>EMERGING TALENTS LEAGUE:</t>
  </si>
  <si>
    <t>10. Ghamshad Kapri</t>
  </si>
  <si>
    <t>CONTINENTAL CUP  🏆: ( EURO )</t>
  </si>
  <si>
    <t>Sands cox's Bazar</t>
  </si>
  <si>
    <t>9. Bhavin to SA - 2500</t>
  </si>
  <si>
    <t>Home(South Africa): 5000 bet (Won)</t>
  </si>
  <si>
    <t>Best Bowler: 4</t>
  </si>
  <si>
    <t>Away(Newzeland): 6000 bet (Lost)</t>
  </si>
  <si>
    <t>3. Yasin Iqbal</t>
  </si>
  <si>
    <t>Man of the match(2000): 1</t>
  </si>
  <si>
    <t>1. Aash Muhammad</t>
  </si>
  <si>
    <t>1. Sir Vivian Richards Trophy ( Away )</t>
  </si>
  <si>
    <t>11. Siddiqui Ahsan</t>
  </si>
  <si>
    <t>10. Raksh to SA - 2500</t>
  </si>
  <si>
    <t>Away(England): 5000 bet (Lost)</t>
  </si>
  <si>
    <t>vs England: 500</t>
  </si>
  <si>
    <t>Home(Newzealand): 5000 bet (Lost)</t>
  </si>
  <si>
    <t>Best Bowler(1000): 2</t>
  </si>
  <si>
    <t>10. Muhammad Shahzad</t>
  </si>
  <si>
    <t>KCL</t>
  </si>
  <si>
    <t xml:space="preserve">Ninja Stadium Hobart </t>
  </si>
  <si>
    <t>Away ( England ): 5000 bet ( Lost )</t>
  </si>
  <si>
    <t>Against Newzealand: 1</t>
  </si>
  <si>
    <t>10. IPL Challenger Trophy (Away)</t>
  </si>
  <si>
    <t>9. Donald (10k) - SA Chairman</t>
  </si>
  <si>
    <t>2. Bhavesh B</t>
  </si>
  <si>
    <t>Away(Bangladesh): 5000 (Won)</t>
  </si>
  <si>
    <t>BBL</t>
  </si>
  <si>
    <t>12. Hafiz</t>
  </si>
  <si>
    <t>11. Saketh to SA - 2500</t>
  </si>
  <si>
    <t>Home(Netherlands/West Indies): 15000 (Lost)</t>
  </si>
  <si>
    <t>vs Newzealand: 500</t>
  </si>
  <si>
    <t>Away(Pakistan): 5000 bet (Won)</t>
  </si>
  <si>
    <t>4. Sai Naveen</t>
  </si>
  <si>
    <t>11. Lal Krishna</t>
  </si>
  <si>
    <t>2. Abhijith</t>
  </si>
  <si>
    <t>BPL</t>
  </si>
  <si>
    <t>Away ( UAE ): 5000 bet ( Lost )</t>
  </si>
  <si>
    <t>Against Scotland: 1</t>
  </si>
  <si>
    <t>Away( West Indies ): 10000 bet ( Won )</t>
  </si>
  <si>
    <t>11. Great Southern Dutch (Home)</t>
  </si>
  <si>
    <t>10. Noor from WI - 10000</t>
  </si>
  <si>
    <t>1. Anderson Tendulkar ( India )</t>
  </si>
  <si>
    <t>2. Anglo Scotish Trophy ( Home )</t>
  </si>
  <si>
    <t>Man of the match: 1 (1000)</t>
  </si>
  <si>
    <t>13. Ishita Sharma</t>
  </si>
  <si>
    <t>1. Subaida to SA : 7000</t>
  </si>
  <si>
    <t>Home(Netherlands): 5000 (Lost)</t>
  </si>
  <si>
    <t xml:space="preserve">Players Awards: 30000 </t>
  </si>
  <si>
    <t>12. Bhavesh to SA - 2500</t>
  </si>
  <si>
    <t>Golden Ball Award(25000)</t>
  </si>
  <si>
    <t>Match Bet credits: 24000</t>
  </si>
  <si>
    <t xml:space="preserve">Tournament Awards: </t>
  </si>
  <si>
    <t>Award Winners</t>
  </si>
  <si>
    <t>vs Pakistan: 500</t>
  </si>
  <si>
    <t>Away(Australia): 5000 bet (Lost)</t>
  </si>
  <si>
    <t>Runners-UP</t>
  </si>
  <si>
    <t>IPL</t>
  </si>
  <si>
    <t>12. Malaram Patel</t>
  </si>
  <si>
    <t>3. Achuz Sukumaran</t>
  </si>
  <si>
    <t>Lords International Stadium</t>
  </si>
  <si>
    <t>11. Mahi to SA - 2500</t>
  </si>
  <si>
    <t>Home( India ): 5000 bet ( Lost )</t>
  </si>
  <si>
    <t>• vs Afghanistan: 300</t>
  </si>
  <si>
    <t>14. Karan Kumar</t>
  </si>
  <si>
    <t>2. The Ashes ( Test - Australia )</t>
  </si>
  <si>
    <t>3. Commonwealth Crown ( Home )</t>
  </si>
  <si>
    <t>vs Bangadesh</t>
  </si>
  <si>
    <t>2. Hirak to Ned: 5000</t>
  </si>
  <si>
    <t>Away(Netherlands): 5000 (Won)</t>
  </si>
  <si>
    <t>13. Ahmed to Qatar - 2000</t>
  </si>
  <si>
    <t>Players Awards: 7600</t>
  </si>
  <si>
    <t>1. Toby Joseph</t>
  </si>
  <si>
    <t>Player of the Tournament(50000)</t>
  </si>
  <si>
    <t>Player Awards: 15500</t>
  </si>
  <si>
    <t>1. Sons &amp; Daughter (Pakistan) : Home</t>
  </si>
  <si>
    <t>Home(West Indies): 6000 bet (Lost)</t>
  </si>
  <si>
    <t>1. Royal Test</t>
  </si>
  <si>
    <t>Home(Australia): 5000 bet (Lost)</t>
  </si>
  <si>
    <t>3. Arnab Sarkar</t>
  </si>
  <si>
    <t>Match of the Tournament:</t>
  </si>
  <si>
    <t>Eng vs WI (15000)</t>
  </si>
  <si>
    <t>1. Diljith Das</t>
  </si>
  <si>
    <t>13. Adilur Rahman</t>
  </si>
  <si>
    <t>Away (Pakistan): 10000 bet (Won)</t>
  </si>
  <si>
    <t>15. Manan Irfan</t>
  </si>
  <si>
    <t>14. Ebad to Qatar - 2000</t>
  </si>
  <si>
    <t>Home(UAE): 5000 bet (Lost)</t>
  </si>
  <si>
    <t>12. K Rakesh to SA - 2500</t>
  </si>
  <si>
    <t>3. Anurag</t>
  </si>
  <si>
    <t>2. Karan Kumar</t>
  </si>
  <si>
    <t>Best Batsman: 2 (1000)</t>
  </si>
  <si>
    <t>Home( Bangladesh): 5000 bet (Lost)</t>
  </si>
  <si>
    <t>4. Sanoop</t>
  </si>
  <si>
    <t>WGG International Stadium</t>
  </si>
  <si>
    <t>5. Harsh Dubey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</si>
  <si>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</si>
  <si>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</si>
  <si>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</si>
  <si>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</si>
  <si>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</si>
  <si>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</si>
  <si>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</si>
  <si>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</si>
  <si>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</si>
  <si>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</si>
  <si>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>T20 Series</t>
  </si>
  <si>
    <t>Eternal Coliseum</t>
  </si>
  <si>
    <t>14. Manish Indoria</t>
  </si>
  <si>
    <t>Away (Newzealand): 5000 bet (Won)</t>
  </si>
  <si>
    <t>Vivian Richards Cricket Ground</t>
  </si>
  <si>
    <t>13. Harsh from Qatar - 60000</t>
  </si>
  <si>
    <t xml:space="preserve">Maya Stadium Amsterdam </t>
  </si>
  <si>
    <t xml:space="preserve">Eden Park </t>
  </si>
  <si>
    <t>5. Gowri Madhu</t>
  </si>
  <si>
    <t>Golden Bat Award(25000)</t>
  </si>
  <si>
    <t>Pindi International Stadium</t>
  </si>
  <si>
    <t>16. Manoj Kumar Chetry</t>
  </si>
  <si>
    <t xml:space="preserve">The Rose Bowl </t>
  </si>
  <si>
    <t>Away ( Afghanistan): 3000 bet ( Lost )</t>
  </si>
  <si>
    <t>15. Abdul to Qatar - 2000</t>
  </si>
  <si>
    <t>5. Yuvraj Flintoff ( Away )</t>
  </si>
  <si>
    <t xml:space="preserve">West End Park </t>
  </si>
  <si>
    <t>4. Subaida to Italy: 7000</t>
  </si>
  <si>
    <t>Home (Netherlands): 7000 bet (Won)</t>
  </si>
  <si>
    <t>Grange Cricket Stadium</t>
  </si>
  <si>
    <t>Best Bowler: 2</t>
  </si>
  <si>
    <t>2. Rejith Mohan</t>
  </si>
  <si>
    <t>Newlands Cricket Stadium</t>
  </si>
  <si>
    <t>Club Tournament</t>
  </si>
  <si>
    <t>Colombo International Stadium</t>
  </si>
  <si>
    <t>Home(Bangladesh): 10000 bet (Lost)</t>
  </si>
  <si>
    <t>Dubai International Stadium</t>
  </si>
  <si>
    <t>3. Great Subcontinent Clash</t>
  </si>
  <si>
    <t>ABD Georgetown Cricket Arena</t>
  </si>
  <si>
    <t>Fair Play:</t>
  </si>
  <si>
    <t>England(15000)</t>
  </si>
  <si>
    <t>15. Mohammad Noor</t>
  </si>
  <si>
    <t>Mosi-oa-Tunya ICS</t>
  </si>
  <si>
    <t>Home(Srilanka): 5000 bet (Won)</t>
  </si>
  <si>
    <t>14. Ashfak from BD - 23000</t>
  </si>
  <si>
    <t>1. Safeer Babu</t>
  </si>
  <si>
    <t>Man of the match(2000): 4</t>
  </si>
  <si>
    <t>6. Mohammaed Noor</t>
  </si>
  <si>
    <t>17. Ali Khan</t>
  </si>
  <si>
    <t>16. Ashutosh to NZ- 5000</t>
  </si>
  <si>
    <t>Sree Padmanaba Cricket Park</t>
  </si>
  <si>
    <t>16. Rahul Gadia</t>
  </si>
  <si>
    <t>Dutch Cricket Arena Hague</t>
  </si>
  <si>
    <t>Home (England): 10000 bet (Won)</t>
  </si>
  <si>
    <t>Sky International Stadium</t>
  </si>
  <si>
    <t>18. Rahees Ashiq</t>
  </si>
  <si>
    <t>15. Mohsin to USA - free</t>
  </si>
  <si>
    <t>17. Rao Abul to Qatar - 15000</t>
  </si>
  <si>
    <t>Economical bowler: 1</t>
  </si>
  <si>
    <t>Karachi International Stadium</t>
  </si>
  <si>
    <t>vs Scotland: 500</t>
  </si>
  <si>
    <t>Lusail International Stadium</t>
  </si>
  <si>
    <t>Seven Oaks Stadium</t>
  </si>
  <si>
    <t>6. Harshad Vanimal</t>
  </si>
  <si>
    <t>Wanderers International Stadium</t>
  </si>
  <si>
    <t>Trent Bridge | Franchise League L1 | Upgraded</t>
  </si>
  <si>
    <t>Home ( Srilanka): 5000 bet ( Lost)</t>
  </si>
  <si>
    <t>Kandy International Stadium</t>
  </si>
  <si>
    <t>6. Ashes Blitz ( Home )</t>
  </si>
  <si>
    <t>5. Vishnu to Italy: 3000</t>
  </si>
  <si>
    <t>• vs Australia: 500</t>
  </si>
  <si>
    <t>Malayalipuram International Stadium</t>
  </si>
  <si>
    <t>Fastest Century(24B): 5000</t>
  </si>
  <si>
    <t>Home (Pakistan): 10000 bet (Won)</t>
  </si>
  <si>
    <t>4. Fortress Cup</t>
  </si>
  <si>
    <t xml:space="preserve">Best Batsman: </t>
  </si>
  <si>
    <t>17. Rizwan Mansoori</t>
  </si>
  <si>
    <t>Shajahan (20000)</t>
  </si>
  <si>
    <t>Home(India): 5000 bet (Lost)</t>
  </si>
  <si>
    <t>Best Bowler(1000): 4</t>
  </si>
  <si>
    <t>• vs West Indies: 300</t>
  </si>
  <si>
    <t>19. Rajab Baloch</t>
  </si>
  <si>
    <t>7. Karthik Verma</t>
  </si>
  <si>
    <t>18. Harsh Dubey to Qatar - 15000</t>
  </si>
  <si>
    <t xml:space="preserve">The Oval </t>
  </si>
  <si>
    <t>7. Waqas Mughal</t>
  </si>
  <si>
    <t>3. Harsh Dubey</t>
  </si>
  <si>
    <t>Home ( Newzealand): 5000 bet ( Won )</t>
  </si>
  <si>
    <t>7. Dutch Anglo ( Away )</t>
  </si>
  <si>
    <t>6. Aneesh to WI: 20000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</si>
  <si>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</si>
  <si>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</si>
  <si>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</si>
  <si>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</si>
  <si>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</si>
  <si>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</si>
  <si>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</si>
  <si>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Jannat Wadi | Franchise League L1 | Upgraded</t>
  </si>
  <si>
    <t>Sovereign Crown Arena</t>
  </si>
  <si>
    <t>18. Rohit Patel</t>
  </si>
  <si>
    <t>Gaddafi Stadium Lahore | Franchise League L1 | Upgraded</t>
  </si>
  <si>
    <t>Away(India): 5000 bet (Won)</t>
  </si>
  <si>
    <t>4. Rizwan</t>
  </si>
  <si>
    <t>Scotba Cricket Stadium</t>
  </si>
  <si>
    <t>3. Saubhagya</t>
  </si>
  <si>
    <t>20. Hamza</t>
  </si>
  <si>
    <t>19. Adithya to RSA - 15000</t>
  </si>
  <si>
    <t>8. Rahul Gadia</t>
  </si>
  <si>
    <t>Best Batsman: 2</t>
  </si>
  <si>
    <t>Bridgetown Royal Cricket Arena | Franchise League L1 | Upgraded</t>
  </si>
  <si>
    <t>8. Molly Stephan</t>
  </si>
  <si>
    <t>19. Zeeshan Yaqoob</t>
  </si>
  <si>
    <t xml:space="preserve">Old Trafford </t>
  </si>
  <si>
    <t>Home(Netherlands): 10000 bet (Won)</t>
  </si>
  <si>
    <t>Home ( Pakistan): 5000 bet ( Won )</t>
  </si>
  <si>
    <t>8. Karachi London (Away )</t>
  </si>
  <si>
    <t>• vs Australia: 300</t>
  </si>
  <si>
    <t>Best Batsman: 10000</t>
  </si>
  <si>
    <t>Champions</t>
  </si>
  <si>
    <t>Man of the match: 4</t>
  </si>
  <si>
    <t>Away (Newzealand): 5000 bet (Lost)</t>
  </si>
  <si>
    <t>6. Imperial Lords</t>
  </si>
  <si>
    <t>Runners UP:</t>
  </si>
  <si>
    <t>2. Sanoop</t>
  </si>
  <si>
    <t xml:space="preserve">Best Batsman(1000): 1 </t>
  </si>
  <si>
    <t>21. Sajjad Kapri</t>
  </si>
  <si>
    <t>20. Ritik from Ned - 1000</t>
  </si>
  <si>
    <t>IOCF HALL OF FAME</t>
  </si>
  <si>
    <t xml:space="preserve">Thunder Dome </t>
  </si>
  <si>
    <t>100 ( Commentory )</t>
  </si>
  <si>
    <t>Multan International Stadium</t>
  </si>
  <si>
    <t>20. Anand Kumar</t>
  </si>
  <si>
    <t>Home(England): 10000 bet (Lost)</t>
  </si>
  <si>
    <t>Basseterre Patriots Cricket Ground</t>
  </si>
  <si>
    <t>9. Rahees</t>
  </si>
  <si>
    <t>Yorkshire Headingley</t>
  </si>
  <si>
    <t>Home ( Australia ): 10000 bet ( Lost )</t>
  </si>
  <si>
    <t>21. Harsh Dubey</t>
  </si>
  <si>
    <t>9. London Trophy (Home)</t>
  </si>
  <si>
    <t>Home(UAE): 3000 bet (Lost)</t>
  </si>
  <si>
    <t>21. Ashfak to Aus - 23000</t>
  </si>
  <si>
    <t>5. Abrar</t>
  </si>
  <si>
    <t xml:space="preserve">Player limit exceeded: </t>
  </si>
  <si>
    <t>3. Diljith Das</t>
  </si>
  <si>
    <t>vs Netherlands : 500</t>
  </si>
  <si>
    <t>vs Italy: 1000</t>
  </si>
  <si>
    <t>Away (Australia): 5000 bet (Won)</t>
  </si>
  <si>
    <t xml:space="preserve">7. Royal WTC Clash </t>
  </si>
  <si>
    <t>3. Rahees</t>
  </si>
  <si>
    <t>22. Rohan (10k) - USA Chairman</t>
  </si>
  <si>
    <t>22. Hur Ali</t>
  </si>
  <si>
    <t>Yasin Iqbal</t>
  </si>
  <si>
    <t>4. Siddiqui Ahsan</t>
  </si>
  <si>
    <t>Hyder Cricket Stadium</t>
  </si>
  <si>
    <t>KCL ( Commentory )</t>
  </si>
  <si>
    <t>23. Syed Aqi</t>
  </si>
  <si>
    <t>Kingstown Volcano Cricket Stdaium</t>
  </si>
  <si>
    <t>4. Arnab</t>
  </si>
  <si>
    <t>23. Gaurav to USA - 2000</t>
  </si>
  <si>
    <t>Ice in their Veins :  Top Wicket Taker</t>
  </si>
  <si>
    <t>10. Rashid</t>
  </si>
  <si>
    <t>Somerset County Ground</t>
  </si>
  <si>
    <t>24. Ashfak Hosain</t>
  </si>
  <si>
    <t>PSL</t>
  </si>
  <si>
    <t>Away ( India ): 10000 bet ( Won )</t>
  </si>
  <si>
    <t>Eliminated in Group Stage: 10k</t>
  </si>
  <si>
    <t>10. Northwave Trophy (Away)</t>
  </si>
  <si>
    <t>Man of the match: 3 (3000)</t>
  </si>
  <si>
    <t>• vs Newzealand: 300</t>
  </si>
  <si>
    <t>CPL ( Commentory )</t>
  </si>
  <si>
    <t>vs Scotland: 1000</t>
  </si>
  <si>
    <t>Fastest Fifty(10B): 5000</t>
  </si>
  <si>
    <t>Inferno Bay Arena</t>
  </si>
  <si>
    <t>vs India: 1000</t>
  </si>
  <si>
    <t>Quetta Cricket Arena</t>
  </si>
  <si>
    <t>25. Nidasha Romanoff</t>
  </si>
  <si>
    <t>Home (Australia): 5000 bet (Won)</t>
  </si>
  <si>
    <t>Best Bowler: 1</t>
  </si>
  <si>
    <t>Port of Spain Knights Arena</t>
  </si>
  <si>
    <t>2. Achuz</t>
  </si>
  <si>
    <t>5. Manan</t>
  </si>
  <si>
    <t>Prince's Arena</t>
  </si>
  <si>
    <t>Karakoram Stadium Skardu</t>
  </si>
  <si>
    <t xml:space="preserve">Players Awards: 15000 </t>
  </si>
  <si>
    <t>Kingston Kings Cricket Stadium</t>
  </si>
  <si>
    <t>4. Abrar Ali</t>
  </si>
  <si>
    <t>4. Harsh Dubey</t>
  </si>
  <si>
    <t>11. Sujith Kumar</t>
  </si>
  <si>
    <t>Home ( Australia ): 5000 bet ( Won )</t>
  </si>
  <si>
    <t>11. The Arabian Challenge (Home)</t>
  </si>
  <si>
    <t>1. Anurag Raj</t>
  </si>
  <si>
    <t>vs Australia: 1000</t>
  </si>
  <si>
    <t>vs Netherlands</t>
  </si>
  <si>
    <t>Lion's Citadel</t>
  </si>
  <si>
    <t>Away(Qatar): 5000 bet (Lost)</t>
  </si>
  <si>
    <t>Ironhold Park</t>
  </si>
  <si>
    <t xml:space="preserve">4. Diljith Das </t>
  </si>
  <si>
    <t>Khyber Stadium Peshawar</t>
  </si>
  <si>
    <t>Best Captain Award(15000)</t>
  </si>
  <si>
    <t>6. Adithya</t>
  </si>
  <si>
    <t>St. John's Falcon Cricket Arena</t>
  </si>
  <si>
    <t>Most Maidens(2): 5000</t>
  </si>
  <si>
    <t>12. Renjish</t>
  </si>
  <si>
    <t>Best Batsman: 1 (500)</t>
  </si>
  <si>
    <t>Middlesex Lords County Cricket Ground</t>
  </si>
  <si>
    <t>Away (England): 5000 bet (Won)</t>
  </si>
  <si>
    <t>12. Anz ODI Clash (Home)</t>
  </si>
  <si>
    <t>Runners Up: 40000</t>
  </si>
  <si>
    <t>vs Netherlands: 1000</t>
  </si>
  <si>
    <t>5. Keshav Shah</t>
  </si>
  <si>
    <t>Master's Arena</t>
  </si>
  <si>
    <t>Alpine Crown Arena</t>
  </si>
  <si>
    <t>Home(Netherlands): 5000 bet (Won)</t>
  </si>
  <si>
    <t>5. Sunaif</t>
  </si>
  <si>
    <t>Highest Individual Score(140): 5000</t>
  </si>
  <si>
    <t>5. Ahsan Siddiqui</t>
  </si>
  <si>
    <t>Best Bowler: 2 (1000)</t>
  </si>
  <si>
    <t>vs Netherlands: 500</t>
  </si>
  <si>
    <t>Titan Bay Coliseum | Franchise League L1</t>
  </si>
  <si>
    <t>7. Bhargab</t>
  </si>
  <si>
    <t>World cup operations Excellence: 5000</t>
  </si>
  <si>
    <t>13. Sachin P</t>
  </si>
  <si>
    <t>Durahm Riverside Ground</t>
  </si>
  <si>
    <t>Home ( West Indies): 6000 bet (Lost)</t>
  </si>
  <si>
    <t>5. Anand</t>
  </si>
  <si>
    <t>6. Princhi Bora</t>
  </si>
  <si>
    <t>Hosting Nation: 30000</t>
  </si>
  <si>
    <t>8. Ali Khan</t>
  </si>
  <si>
    <t>13. Royal Anglo Trophy (Home)</t>
  </si>
  <si>
    <t>2. Aneesh</t>
  </si>
  <si>
    <t>Best Batsman:</t>
  </si>
  <si>
    <t>vs Australia: 500</t>
  </si>
  <si>
    <t>Prediction 3rd Place: 5000</t>
  </si>
  <si>
    <t>6. Rahul Gadia</t>
  </si>
  <si>
    <t>Best Bowler: 3</t>
  </si>
  <si>
    <t>Away (Bangladesh): 5000 bet (Won)</t>
  </si>
  <si>
    <t>CPL</t>
  </si>
  <si>
    <t>6. Malaram Patel</t>
  </si>
  <si>
    <t>Ireland</t>
  </si>
  <si>
    <t xml:space="preserve">All Franchise League Credits Updates : </t>
  </si>
  <si>
    <t>14. Sadik</t>
  </si>
  <si>
    <t>Home (Italy): 5000 bet (Lost)</t>
  </si>
  <si>
    <t>14. Unity T20 Cup (Home)</t>
  </si>
  <si>
    <t>Most sixes: 1</t>
  </si>
  <si>
    <t>Prediction Winners: 20000</t>
  </si>
  <si>
    <t>vs Italy: 500</t>
  </si>
  <si>
    <t>Uganda</t>
  </si>
  <si>
    <t xml:space="preserve">THE HUNDRED : </t>
  </si>
  <si>
    <t>London Spirit</t>
  </si>
  <si>
    <t>Southern Brave</t>
  </si>
  <si>
    <t>Welsh Fire</t>
  </si>
  <si>
    <t>MI London</t>
  </si>
  <si>
    <t>Sunrisers Leeds</t>
  </si>
  <si>
    <t>USA</t>
  </si>
  <si>
    <t>No one is playing: They're new to IOCF</t>
  </si>
  <si>
    <t>Sai Naveen, Bhavesh &amp; Siddiqui called for national duty ( Bangladesh ) for 15k</t>
  </si>
  <si>
    <t>15. Safeer Babu</t>
  </si>
  <si>
    <t>Pakistan Super League : 51070</t>
  </si>
  <si>
    <t>Home (Bangladesh): 10000 bet ( Lost )</t>
  </si>
  <si>
    <t>15. Legacy Cup (Away)</t>
  </si>
  <si>
    <t>Sponsors</t>
  </si>
  <si>
    <t>7. Chiranjibi Samal</t>
  </si>
  <si>
    <t>vs India: 500</t>
  </si>
  <si>
    <t>3. Jyothish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</si>
  <si>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</si>
  <si>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</si>
  <si>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</si>
  <si>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</si>
  <si>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</si>
  <si>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</si>
  <si>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>Team Profit: 5490</t>
  </si>
  <si>
    <t>Team Profit: 1200</t>
  </si>
  <si>
    <t>Team Profit: 17400</t>
  </si>
  <si>
    <t>Team Profit: 21980</t>
  </si>
  <si>
    <t>1. Rajab Baloch</t>
  </si>
  <si>
    <t>International Tournament Updates</t>
  </si>
  <si>
    <t>Salary: 500</t>
  </si>
  <si>
    <t>Salary: 1000</t>
  </si>
  <si>
    <t>Direct Signing: 5000</t>
  </si>
  <si>
    <t>Direct Signing: 3000</t>
  </si>
  <si>
    <t>Franchise League Updates</t>
  </si>
  <si>
    <t>Champions: 4990</t>
  </si>
  <si>
    <t>16. Nisham</t>
  </si>
  <si>
    <t>Best Batsman: 1 (200)</t>
  </si>
  <si>
    <t>Away (Pakistan): 5000 bet (Won)</t>
  </si>
  <si>
    <t>Man of the match: 1 (500)</t>
  </si>
  <si>
    <t>IOCF LONE WARRIOR</t>
  </si>
  <si>
    <t>Best Bowler:1 (200)</t>
  </si>
  <si>
    <t>3. Toby</t>
  </si>
  <si>
    <t>Tournament Name</t>
  </si>
  <si>
    <t>Best Bowler: 2 (400)</t>
  </si>
  <si>
    <t>Awards</t>
  </si>
  <si>
    <t>Salary: 3000</t>
  </si>
  <si>
    <t>Runners up: 2480</t>
  </si>
  <si>
    <t>3. Siddiqui Ahsan</t>
  </si>
  <si>
    <t>Official Board</t>
  </si>
  <si>
    <t>2. Bhavesh</t>
  </si>
  <si>
    <t>League Name</t>
  </si>
  <si>
    <t>Salary: 1800</t>
  </si>
  <si>
    <t>Award Name</t>
  </si>
  <si>
    <t>8. K Srinidhi</t>
  </si>
  <si>
    <t>Award Winner</t>
  </si>
  <si>
    <t>Best Bowler:2 (400)</t>
  </si>
  <si>
    <t>Franchise Team</t>
  </si>
  <si>
    <t>3. Saketh</t>
  </si>
  <si>
    <t>National Board</t>
  </si>
  <si>
    <t>17. Sri Vishnu</t>
  </si>
  <si>
    <t>4. Harsh</t>
  </si>
  <si>
    <t>Home (West Indies): 5000 bet (Won)</t>
  </si>
  <si>
    <t>1. Cricket Circle (Title Sponsors)</t>
  </si>
  <si>
    <t>Salary: 1500</t>
  </si>
  <si>
    <t>5. Asad</t>
  </si>
  <si>
    <t>4. Sajjad Kapri</t>
  </si>
  <si>
    <t>T20 World CUP 2026</t>
  </si>
  <si>
    <t>6. Ghamshad</t>
  </si>
  <si>
    <t>Most Dot Balls</t>
  </si>
  <si>
    <t>Toby Joseph</t>
  </si>
  <si>
    <t>5. Ahsas</t>
  </si>
  <si>
    <t>7. Rahees</t>
  </si>
  <si>
    <t>THE HUNDRED 2026</t>
  </si>
  <si>
    <t>9. Waqas Mughal</t>
  </si>
  <si>
    <t>Emerging Player</t>
  </si>
  <si>
    <t>Vishnu CV</t>
  </si>
  <si>
    <t>8. Ahmed</t>
  </si>
  <si>
    <t>6. Neak M</t>
  </si>
  <si>
    <t>Salary: 2000</t>
  </si>
  <si>
    <t xml:space="preserve">9. Edad </t>
  </si>
  <si>
    <t>Most Maidens</t>
  </si>
  <si>
    <t>18. Sujith CS Ctr</t>
  </si>
  <si>
    <t>Anurag Raj</t>
  </si>
  <si>
    <t>Champion: Diljith Das</t>
  </si>
  <si>
    <t>Big Bash League :</t>
  </si>
  <si>
    <t>• vs Afghanistan: 500</t>
  </si>
  <si>
    <t>Economical Bowler</t>
  </si>
  <si>
    <t>3. Toby Joseph</t>
  </si>
  <si>
    <t>Waleed Khan</t>
  </si>
  <si>
    <t>Afghanistan</t>
  </si>
  <si>
    <t>All Team Profit: 145800</t>
  </si>
  <si>
    <t>Adelaide Strikers</t>
  </si>
  <si>
    <t>19. Ajin P Anil</t>
  </si>
  <si>
    <t>Brisbane Heat</t>
  </si>
  <si>
    <t>Best Economy</t>
  </si>
  <si>
    <t>Home(Bangladesh): 5000 bet(Lost)</t>
  </si>
  <si>
    <t>Hobart Hurricanes</t>
  </si>
  <si>
    <t>• vs South Africa: 500</t>
  </si>
  <si>
    <t xml:space="preserve">Virendra </t>
  </si>
  <si>
    <t>Melbourne Renegades</t>
  </si>
  <si>
    <t>Melbourne Stars</t>
  </si>
  <si>
    <t>Perth Scorchers</t>
  </si>
  <si>
    <t>Most Sixes</t>
  </si>
  <si>
    <t>Sydney Sixers</t>
  </si>
  <si>
    <t>Hasan Musabir</t>
  </si>
  <si>
    <t>Sydney Thunders</t>
  </si>
  <si>
    <t>Team Profit: 35500</t>
  </si>
  <si>
    <t>Team Profit: 29300</t>
  </si>
  <si>
    <t>Team Profit:</t>
  </si>
  <si>
    <t>Team Profit: 2500</t>
  </si>
  <si>
    <t>Team Profit: 9000</t>
  </si>
  <si>
    <t>Team Profit: 66000</t>
  </si>
  <si>
    <t>Team Profit: 2000</t>
  </si>
  <si>
    <t>20. Shajahan</t>
  </si>
  <si>
    <t>1. Bhavesh B</t>
  </si>
  <si>
    <t>Away (Netherlands): 5000 bet (Lost)</t>
  </si>
  <si>
    <t>Best Bat Average</t>
  </si>
  <si>
    <t>1. Karan</t>
  </si>
  <si>
    <t>Bhavin Kumar</t>
  </si>
  <si>
    <t>1. Bhavin</t>
  </si>
  <si>
    <t>1. Ebad</t>
  </si>
  <si>
    <t>Best Bowler</t>
  </si>
  <si>
    <t>Safeer Babu</t>
  </si>
  <si>
    <t>Salary: 14000</t>
  </si>
  <si>
    <t>Salary: 2500</t>
  </si>
  <si>
    <t>Salary: 7000</t>
  </si>
  <si>
    <t>Fastest Century</t>
  </si>
  <si>
    <t>Best Batsman: 1 ( 500 )</t>
  </si>
  <si>
    <t xml:space="preserve">Rejith Mohan </t>
  </si>
  <si>
    <t>Man of the match: 1 ( 1000)</t>
  </si>
  <si>
    <t>Best Batsman</t>
  </si>
  <si>
    <t>2. Harsh</t>
  </si>
  <si>
    <t>Fair Play Award: 3100</t>
  </si>
  <si>
    <t>Nirmal Baishya</t>
  </si>
  <si>
    <t>Best Bowler: 4 ( 2000 )</t>
  </si>
  <si>
    <t>Salary: 10000</t>
  </si>
  <si>
    <t>2. Ahmed</t>
  </si>
  <si>
    <t>THE HUNDRED : 42400</t>
  </si>
  <si>
    <t>Champions: 11000</t>
  </si>
  <si>
    <t>Fastest Fifty</t>
  </si>
  <si>
    <t>Man of the Match: 1 ( 1000 )</t>
  </si>
  <si>
    <t>Diljith Das</t>
  </si>
  <si>
    <t>Salary: 4500</t>
  </si>
  <si>
    <t>2. Ahsan</t>
  </si>
  <si>
    <t>21. Sunaif</t>
  </si>
  <si>
    <t>Player of the Tournament</t>
  </si>
  <si>
    <t>Home(Srilanka): 5000 bet (Lost)</t>
  </si>
  <si>
    <t>Shivaji Prakash</t>
  </si>
  <si>
    <t>4. Safeer</t>
  </si>
  <si>
    <t>Most Fours</t>
  </si>
  <si>
    <t>3. Ghamshad</t>
  </si>
  <si>
    <t>Runners Up</t>
  </si>
  <si>
    <t>4. Vaibhav</t>
  </si>
  <si>
    <t>Salary: 5000</t>
  </si>
  <si>
    <t>4. Sajjad</t>
  </si>
  <si>
    <t>Hashir</t>
  </si>
  <si>
    <t>5. Princhi</t>
  </si>
  <si>
    <t>22. Amith</t>
  </si>
  <si>
    <t>Home(UAE): 5000 bet (Won)</t>
  </si>
  <si>
    <t>Molly Stephan</t>
  </si>
  <si>
    <t>6. Bhargab</t>
  </si>
  <si>
    <t>• vs South Africa: 300</t>
  </si>
  <si>
    <t>Best Bowl Figure</t>
  </si>
  <si>
    <t>10. Noor</t>
  </si>
  <si>
    <t>Anshad</t>
  </si>
  <si>
    <t>Kiwi Crown League :</t>
  </si>
  <si>
    <t>PAKISTAN SUPER LEAGUE 2026</t>
  </si>
  <si>
    <t>Wajdan</t>
  </si>
  <si>
    <t>Lahore Qalandars</t>
  </si>
  <si>
    <t>Team Profit: 4800</t>
  </si>
  <si>
    <t>Team Profit: 3000</t>
  </si>
  <si>
    <t>Team Profit: 32300</t>
  </si>
  <si>
    <t>Highest Individual Score</t>
  </si>
  <si>
    <t>Away(Australia): 10000 bet (Lost)</t>
  </si>
  <si>
    <t>All Team Profit:</t>
  </si>
  <si>
    <t>Sai Naveen</t>
  </si>
  <si>
    <t>Ring of Fire :  Top Scorer</t>
  </si>
  <si>
    <t>• vs Scotland(Final): 500</t>
  </si>
  <si>
    <t>Muhammad Usman</t>
  </si>
  <si>
    <t>Home(Newzealand): 10000 bet (Won)</t>
  </si>
  <si>
    <t>Jyothish S</t>
  </si>
  <si>
    <t>Fastest Umpire</t>
  </si>
  <si>
    <t>4. Rejith</t>
  </si>
  <si>
    <t>1. Rahul Gadia</t>
  </si>
  <si>
    <t>Nasrullah Kapri</t>
  </si>
  <si>
    <t>1. Rizwan Mansoori</t>
  </si>
  <si>
    <t>1. Arnab Sarkar</t>
  </si>
  <si>
    <t xml:space="preserve">Wellington Warriors </t>
  </si>
  <si>
    <t xml:space="preserve">Best Bowler </t>
  </si>
  <si>
    <t>Auckland Aces</t>
  </si>
  <si>
    <t>Canterbury Kings</t>
  </si>
  <si>
    <t>Adithya Mahajan</t>
  </si>
  <si>
    <t>Otago Volts</t>
  </si>
  <si>
    <t>Northern Knights</t>
  </si>
  <si>
    <t>Home(Bangladesh): 5000 bet(Won)</t>
  </si>
  <si>
    <t>Ring of Fire :  Top Wicket Taker</t>
  </si>
  <si>
    <t>Central Stags</t>
  </si>
  <si>
    <t>Queenstown Royals</t>
  </si>
  <si>
    <t>Tauranga Titans</t>
  </si>
  <si>
    <t>World Cup Operaions Excellence</t>
  </si>
  <si>
    <t>Salary: 2800</t>
  </si>
  <si>
    <t xml:space="preserve">Team Profit: </t>
  </si>
  <si>
    <t>Salary: 3500</t>
  </si>
  <si>
    <t>Al Ameen</t>
  </si>
  <si>
    <t>Quetta Gladiators</t>
  </si>
  <si>
    <t>2. Anand Akj</t>
  </si>
  <si>
    <t>Best Captain</t>
  </si>
  <si>
    <t>Best Bowler:1 ( 200 )</t>
  </si>
  <si>
    <t>Best Batsman: 1 ( 200 )</t>
  </si>
  <si>
    <t>Midhun Manilal</t>
  </si>
  <si>
    <t>1. Muhammad Ahmed</t>
  </si>
  <si>
    <t>1. Princhi</t>
  </si>
  <si>
    <t>1. Saketh Balne</t>
  </si>
  <si>
    <t>Home(Bangladesh): 5000 bet (Won)</t>
  </si>
  <si>
    <t xml:space="preserve">Salary: 2000 </t>
  </si>
  <si>
    <t xml:space="preserve">Salary: 3000 </t>
  </si>
  <si>
    <t>• vs West Indies: 500</t>
  </si>
  <si>
    <t>Direct Signing: 20000</t>
  </si>
  <si>
    <t xml:space="preserve">Salary: 1000 </t>
  </si>
  <si>
    <t>Chappy</t>
  </si>
  <si>
    <t>Man of the match: 1 (1500)</t>
  </si>
  <si>
    <t>Best Bowler: 1 (750)</t>
  </si>
  <si>
    <t>Man of the match: 1 ( 500 )</t>
  </si>
  <si>
    <t>Fair Play Award</t>
  </si>
  <si>
    <t>Best Bowler: 2 (1500)</t>
  </si>
  <si>
    <t>Champions: 19900</t>
  </si>
  <si>
    <t xml:space="preserve">Salary: 12000 </t>
  </si>
  <si>
    <t>Runners Up: 9950</t>
  </si>
  <si>
    <t>Home(Bangladesh): 5000 bet (Lost)</t>
  </si>
  <si>
    <t>• vs Newzealand: 500</t>
  </si>
  <si>
    <t>2. Bhavin Kumar</t>
  </si>
  <si>
    <t>5. Rahees</t>
  </si>
  <si>
    <t>3. Rakshith Raksh</t>
  </si>
  <si>
    <t xml:space="preserve">Salary: 15000 </t>
  </si>
  <si>
    <t>Runners up</t>
  </si>
  <si>
    <t xml:space="preserve">Salary: 500 </t>
  </si>
  <si>
    <t>Hyderabad Kings</t>
  </si>
  <si>
    <t>Man of the Tournament</t>
  </si>
  <si>
    <t>3. Vaibhav Batra</t>
  </si>
  <si>
    <t>3. Bhavesh B</t>
  </si>
  <si>
    <t>Champions: 5300</t>
  </si>
  <si>
    <t>4. Aashutosh Jha</t>
  </si>
  <si>
    <t>No Salary (Traded)</t>
  </si>
  <si>
    <t>Bangladesh Premier League ( Own League )</t>
  </si>
  <si>
    <t>BIG BASH LEAGUE 2026</t>
  </si>
  <si>
    <t>Best Bowler: 2 ( 400 )</t>
  </si>
  <si>
    <t>Away(Australia): 10000 bet (Won)</t>
  </si>
  <si>
    <t>Best Young Player</t>
  </si>
  <si>
    <t>Anand Ajikumar</t>
  </si>
  <si>
    <t>3. Chiranjibi Samal</t>
  </si>
  <si>
    <t>Hosting Rights : 250000</t>
  </si>
  <si>
    <t>Salary: 1700</t>
  </si>
  <si>
    <t>Arnab Sarkar &amp; Nasrullah Kapri</t>
  </si>
  <si>
    <t>Fine from Afghanistan of 150000 for withdrawing from league</t>
  </si>
  <si>
    <t>Australia &amp; Pakistan</t>
  </si>
  <si>
    <t>EMERGING TALENTS LEAGUE 2026</t>
  </si>
  <si>
    <t>Amjith</t>
  </si>
  <si>
    <t>Best Bowler ( Golden Arm )</t>
  </si>
  <si>
    <t>Zarnish Saira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</si>
  <si>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</si>
  <si>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</si>
  <si>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</si>
  <si>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</si>
  <si>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</si>
  <si>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</si>
  <si>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 xml:space="preserve">Pakistan Super League : </t>
  </si>
  <si>
    <t>MAINAMATI TITANS</t>
  </si>
  <si>
    <t>Mowglee</t>
  </si>
  <si>
    <t>SONARGAON ROYALS</t>
  </si>
  <si>
    <t>Best Batsman ( Golden Bat )</t>
  </si>
  <si>
    <t xml:space="preserve">Arnab Sarkar  </t>
  </si>
  <si>
    <t>MYMENSINGH MAVERICKS</t>
  </si>
  <si>
    <t>CUMILA FALCONS</t>
  </si>
  <si>
    <t>Shajahan</t>
  </si>
  <si>
    <t>Team Profit: 10550</t>
  </si>
  <si>
    <t>5. Achuz</t>
  </si>
  <si>
    <t xml:space="preserve">1. Sai Naveen </t>
  </si>
  <si>
    <t>6. Molly</t>
  </si>
  <si>
    <t xml:space="preserve">1. Vaibhav Batra </t>
  </si>
  <si>
    <t>Team Profit: 15750</t>
  </si>
  <si>
    <t xml:space="preserve">1. Ahmed </t>
  </si>
  <si>
    <t>Match of the Tournament</t>
  </si>
  <si>
    <t>1. Princhi Bora</t>
  </si>
  <si>
    <t>Team Profit: 7300</t>
  </si>
  <si>
    <t xml:space="preserve">1. Ebad Malik </t>
  </si>
  <si>
    <t>England &amp; West Indies</t>
  </si>
  <si>
    <t>1. Ahsan Siddiqui</t>
  </si>
  <si>
    <t>4. Arjun AKJ</t>
  </si>
  <si>
    <t>1. Ashutosh Jha</t>
  </si>
  <si>
    <t>Team Profit: 13760</t>
  </si>
  <si>
    <t>1. Harsh Dubey</t>
  </si>
  <si>
    <t>Captain Salary: 80000</t>
  </si>
  <si>
    <t>1. Saubhagya Gupta</t>
  </si>
  <si>
    <t>Best Talent Discovery Board</t>
  </si>
  <si>
    <t>1. Anand AJK</t>
  </si>
  <si>
    <t>All four Boards</t>
  </si>
  <si>
    <t>1. Chiranjibi Samal</t>
  </si>
  <si>
    <t>Salary: 2200</t>
  </si>
  <si>
    <t>Man of the match: 1 (2000)</t>
  </si>
  <si>
    <t>2. Rakshith Raksh</t>
  </si>
  <si>
    <t>2. Abdul Haseeb Siddiq</t>
  </si>
  <si>
    <t>2. Manan Irfan</t>
  </si>
  <si>
    <t>Fair Play</t>
  </si>
  <si>
    <t>Salary: 4000</t>
  </si>
  <si>
    <t>Best Batsman: 1 (1000)</t>
  </si>
  <si>
    <t>England &amp; Scotland</t>
  </si>
  <si>
    <t>Best Bowler: 2 (2000)</t>
  </si>
  <si>
    <t>2. Gaurav Mittal</t>
  </si>
  <si>
    <t>KIWI CROWN LEAGUE 2026</t>
  </si>
  <si>
    <t>Marquee Salary: 30000</t>
  </si>
  <si>
    <t>Rise of the crown (Emerging Player)</t>
  </si>
  <si>
    <t>Best Batsman:2 (400)</t>
  </si>
  <si>
    <t>Karthik Devadiga</t>
  </si>
  <si>
    <t>2. Abrar Ahmed</t>
  </si>
  <si>
    <t>2. Bhargab Kashyap</t>
  </si>
  <si>
    <t>Wellington Warriors</t>
  </si>
  <si>
    <t>2. Ghamshad Kapri</t>
  </si>
  <si>
    <t>Salary: 2700</t>
  </si>
  <si>
    <t>Best Batsman: 2 (400)</t>
  </si>
  <si>
    <t>2. Rizwan Mansoori</t>
  </si>
  <si>
    <t>3. chintu</t>
  </si>
  <si>
    <t>Best Bowler: 1 (200)</t>
  </si>
  <si>
    <t>3. Anu</t>
  </si>
  <si>
    <t>3. Abrar Ali</t>
  </si>
  <si>
    <t>The Thunder Striker (Most Sixes)</t>
  </si>
  <si>
    <t>Vishnu Vijay</t>
  </si>
  <si>
    <t>Salary: 3300</t>
  </si>
  <si>
    <t>Best Bowler: 1 (1000)</t>
  </si>
  <si>
    <t>3. Meer</t>
  </si>
  <si>
    <t>3. Rahees Ashiq</t>
  </si>
  <si>
    <t>6. Diljith</t>
  </si>
  <si>
    <t>Salary: 3750</t>
  </si>
  <si>
    <t>3. Rajab</t>
  </si>
  <si>
    <t>7. Sujith Kumar</t>
  </si>
  <si>
    <t>5. Sujith CS Ctr</t>
  </si>
  <si>
    <t>3. Karan Kumar</t>
  </si>
  <si>
    <t>Salary: 1100</t>
  </si>
  <si>
    <t>Direct Signing: 25000</t>
  </si>
  <si>
    <t>The Shadow scepter (Best Bowler)</t>
  </si>
  <si>
    <t>Salary: 900</t>
  </si>
  <si>
    <t>4. M Huzaifa</t>
  </si>
  <si>
    <t>Waqas Mughal</t>
  </si>
  <si>
    <t>4. Asad</t>
  </si>
  <si>
    <t>2. K Rakesh</t>
  </si>
  <si>
    <t>LONE WARRIOR 2026</t>
  </si>
  <si>
    <t>5. Adithya</t>
  </si>
  <si>
    <t>Semifinalists</t>
  </si>
  <si>
    <t>Salary: 2850</t>
  </si>
  <si>
    <t>Salary: 1600</t>
  </si>
  <si>
    <t>Abhi &amp; Anshad</t>
  </si>
  <si>
    <t>Most Sixes:1</t>
  </si>
  <si>
    <t>Best Batsman:1 (200)</t>
  </si>
  <si>
    <t>Scotland &amp; India</t>
  </si>
  <si>
    <t>The Golden Crown (Best Batsman)</t>
  </si>
  <si>
    <t>5. Alapan Das</t>
  </si>
  <si>
    <t>Salary: 11000</t>
  </si>
  <si>
    <t>6. Rao Abul</t>
  </si>
  <si>
    <t>Runner Up</t>
  </si>
  <si>
    <t>Salary: 1300</t>
  </si>
  <si>
    <t>Shamroz</t>
  </si>
  <si>
    <t>Cancellation Fine: 125000</t>
  </si>
  <si>
    <t>4. Rahul Gadia</t>
  </si>
  <si>
    <t>Crowned Warrior (Player of the Tournament)</t>
  </si>
  <si>
    <t>Tournament Cancelled</t>
  </si>
  <si>
    <t xml:space="preserve">Champion </t>
  </si>
  <si>
    <t xml:space="preserve">Indian Premier League </t>
  </si>
  <si>
    <t>Spirit of Crown (Fair Play Award)</t>
  </si>
  <si>
    <t>3. Malaram Patel</t>
  </si>
  <si>
    <t>ASIA CUP 2026</t>
  </si>
  <si>
    <t>Fair play</t>
  </si>
  <si>
    <t>Salary: 3100</t>
  </si>
  <si>
    <t>7. Safeer Babu</t>
  </si>
  <si>
    <t>8. Karthik Verma</t>
  </si>
  <si>
    <t>Captain of the tournament</t>
  </si>
  <si>
    <t>4. K Srinidhi</t>
  </si>
  <si>
    <t>Ans Sheikh</t>
  </si>
  <si>
    <t>Sebin</t>
  </si>
  <si>
    <t>5. Lal Krishna</t>
  </si>
  <si>
    <t>INDIAN PREMIER LEAGUE 2026</t>
  </si>
  <si>
    <t>Asru KSD</t>
  </si>
  <si>
    <t>Kolkata Knight Riders</t>
  </si>
  <si>
    <t>6. Anik Dey</t>
  </si>
  <si>
    <t>Golden Ball</t>
  </si>
  <si>
    <t>Ahmed Mughal</t>
  </si>
  <si>
    <t>CHENNAI SUPER KINGS</t>
  </si>
  <si>
    <t>DELHI CAPITALS</t>
  </si>
  <si>
    <t>6. Aniket Gavit</t>
  </si>
  <si>
    <t>Salary: 700</t>
  </si>
  <si>
    <t>GUJRAT TITANS</t>
  </si>
  <si>
    <t>KOLKATA KNIGHT RIDERS</t>
  </si>
  <si>
    <t>Punjab Kings</t>
  </si>
  <si>
    <t>LUCKNOW SUPER GAINTS</t>
  </si>
  <si>
    <t>MUMBAI INDIANS</t>
  </si>
  <si>
    <t xml:space="preserve">7. Zeeshan </t>
  </si>
  <si>
    <t>PUNJAB KINGS</t>
  </si>
  <si>
    <t>Golden Bat</t>
  </si>
  <si>
    <t>Syed Raza</t>
  </si>
  <si>
    <t>RAJASTHAN ROYALS</t>
  </si>
  <si>
    <t>• vs West Indies(Semis): 500</t>
  </si>
  <si>
    <t>Purple Cap</t>
  </si>
  <si>
    <t>ROYAL CHALLENGERS BENGALURU</t>
  </si>
  <si>
    <t>SUNRISERS HYDERABAD</t>
  </si>
  <si>
    <t>Player of the tournament</t>
  </si>
  <si>
    <t>Orange Cap</t>
  </si>
  <si>
    <t>Shukoor</t>
  </si>
  <si>
    <t>Rahul Seenu</t>
  </si>
  <si>
    <t>Big Bash League ( Own League )</t>
  </si>
  <si>
    <t>Delhi Capitals</t>
  </si>
  <si>
    <t>1. Vaibhav</t>
  </si>
  <si>
    <t>1. Meer Kamran</t>
  </si>
  <si>
    <t>Direct Signing: 35000</t>
  </si>
  <si>
    <t>Chennai Super Kings</t>
  </si>
  <si>
    <t>Free Agent</t>
  </si>
  <si>
    <t>EURO CUP 2026</t>
  </si>
  <si>
    <t>Man of the match: 1 (3000)</t>
  </si>
  <si>
    <t>2. Adithya Mahajn</t>
  </si>
  <si>
    <t>9. Ajin</t>
  </si>
  <si>
    <t>2. Huzaifa</t>
  </si>
  <si>
    <t>Best Bowler : 1 (1500)</t>
  </si>
  <si>
    <t>Salary: 41000</t>
  </si>
  <si>
    <t>Hosting Rights : 100000</t>
  </si>
  <si>
    <t>2. Bhargab</t>
  </si>
  <si>
    <t>3. Gaurav</t>
  </si>
  <si>
    <t>All Team Profit: 522300</t>
  </si>
  <si>
    <t>Best Batsman: 1 (1500)</t>
  </si>
  <si>
    <t>3. Ahsan</t>
  </si>
  <si>
    <t>• vs West Indies(Semis): 300</t>
  </si>
  <si>
    <t>Salary: 30000</t>
  </si>
  <si>
    <t>Rajasthan Royals</t>
  </si>
  <si>
    <t>Salary: 29000</t>
  </si>
  <si>
    <t>Man of the match: 2 (6000)</t>
  </si>
  <si>
    <t>Best Bowler: 2 (3000)</t>
  </si>
  <si>
    <t>Jihan</t>
  </si>
  <si>
    <t>CARIBBEAN PREMIER LEAGUE 2026</t>
  </si>
  <si>
    <t>4. Princhi</t>
  </si>
  <si>
    <t>Abhishek Vava</t>
  </si>
  <si>
    <t>Salary: 8500</t>
  </si>
  <si>
    <t>8. Sujith CS Ctr</t>
  </si>
  <si>
    <t>Barbados Royals</t>
  </si>
  <si>
    <t>vs Qatar: 500</t>
  </si>
  <si>
    <t>Caribbean Premier League :</t>
  </si>
  <si>
    <t>Guyana Amazon Warriors</t>
  </si>
  <si>
    <t>Team Profit: 43000</t>
  </si>
  <si>
    <t>Sunaif</t>
  </si>
  <si>
    <t>Team Profit: 66800</t>
  </si>
  <si>
    <t>Team Profit: 51000</t>
  </si>
  <si>
    <t>Anish Babu</t>
  </si>
  <si>
    <t>Team Profit: 43500</t>
  </si>
  <si>
    <t>Jamaica Kingsmen</t>
  </si>
  <si>
    <t>Team Profit: 38700</t>
  </si>
  <si>
    <t>Team Profit: 20000</t>
  </si>
  <si>
    <t>10. Aash</t>
  </si>
  <si>
    <t>Team Profit: 183000</t>
  </si>
  <si>
    <t>Team Profit: 40000</t>
  </si>
  <si>
    <t>Subaida</t>
  </si>
  <si>
    <t>1. Donald Baghwar</t>
  </si>
  <si>
    <t>Rahul Suresh</t>
  </si>
  <si>
    <t>1. Keshav Shah</t>
  </si>
  <si>
    <t>Trinbago Knight Riders</t>
  </si>
  <si>
    <t>1. K Srinidhi</t>
  </si>
  <si>
    <t>Antigua &amp; Barbuda Falcons</t>
  </si>
  <si>
    <t>1. Malaram Patel</t>
  </si>
  <si>
    <t>St Kitts &amp; Nevis Patriots</t>
  </si>
  <si>
    <t>St Lucia Kings</t>
  </si>
  <si>
    <t>St Vincent Volcanoes</t>
  </si>
  <si>
    <t>vs Bangladesh: 1000</t>
  </si>
  <si>
    <t>Captain Salary: 20000</t>
  </si>
  <si>
    <t>OCEANIA CUP 2026</t>
  </si>
  <si>
    <t>Man of the Match: 1 (1000)</t>
  </si>
  <si>
    <t>2. Anik Dey Shanto</t>
  </si>
  <si>
    <t>Man of the Match: 3 (3000)</t>
  </si>
  <si>
    <t>2. K Rakesh CSK</t>
  </si>
  <si>
    <t>Man of the Match: 4 ( 4000 )</t>
  </si>
  <si>
    <t xml:space="preserve">Scottish Premier League </t>
  </si>
  <si>
    <t>2. Rahul Gadia</t>
  </si>
  <si>
    <t>2. Saubhagya Gupta</t>
  </si>
  <si>
    <t>Marquee Salary: 20000</t>
  </si>
  <si>
    <t>Best Batsman: 4 ( 2000 )</t>
  </si>
  <si>
    <t>Fair Play Award(Captain): 3500</t>
  </si>
  <si>
    <t>3. Arjun</t>
  </si>
  <si>
    <t>Kaushik &amp; Ajay</t>
  </si>
  <si>
    <t>3. Ankan Biswas</t>
  </si>
  <si>
    <t>South Africa &amp; West Indies</t>
  </si>
  <si>
    <t>3. Manish Indoria</t>
  </si>
  <si>
    <t>Arnab Sarkar</t>
  </si>
  <si>
    <t>2. Mahi Mahendra</t>
  </si>
  <si>
    <t>Runners up(Captain): 7000</t>
  </si>
  <si>
    <t>Salary: 6000</t>
  </si>
  <si>
    <t>Most Sixes: 10000</t>
  </si>
  <si>
    <t>Harsh Dubey</t>
  </si>
  <si>
    <t>3. Ajay</t>
  </si>
  <si>
    <t>ABERDEEN TITANS</t>
  </si>
  <si>
    <t>Golden Bat( Best Batsman): 20000</t>
  </si>
  <si>
    <t>DUNDEE WARRIORS</t>
  </si>
  <si>
    <t xml:space="preserve">EDINBURGH ROYALS </t>
  </si>
  <si>
    <t>GLASGOW GIANTS</t>
  </si>
  <si>
    <t>4. Nihas</t>
  </si>
  <si>
    <t>HIGHLAND HAWKS</t>
  </si>
  <si>
    <t>INVERNESS EAGLES</t>
  </si>
  <si>
    <t xml:space="preserve">LOTHIAN LIONS </t>
  </si>
  <si>
    <t>Player of the Tournament: 40000</t>
  </si>
  <si>
    <t>PERTH PANTHERS</t>
  </si>
  <si>
    <t>11. Diljith Das</t>
  </si>
  <si>
    <t>STIRLING KNIGHTS</t>
  </si>
  <si>
    <t>3. Zeeshan</t>
  </si>
  <si>
    <t>TARTAN STRIKERS</t>
  </si>
  <si>
    <t>4. Manish</t>
  </si>
  <si>
    <t>Champions(Captain): 13000</t>
  </si>
  <si>
    <t>Salary: 8000</t>
  </si>
  <si>
    <t>2. Anand AJK</t>
  </si>
  <si>
    <t>Runners up: 6200</t>
  </si>
  <si>
    <t>4. Kushagra</t>
  </si>
  <si>
    <t>1. Karan Kumar</t>
  </si>
  <si>
    <t>Best Young Player: 10000</t>
  </si>
  <si>
    <t xml:space="preserve">1. Partha </t>
  </si>
  <si>
    <t>1. Siddiqui Ahsan</t>
  </si>
  <si>
    <t>Rating By All Boards on BBL 2026(9 out of 10): 45000 credits</t>
  </si>
  <si>
    <t>Direct Signing: 100000</t>
  </si>
  <si>
    <t>Salary: 20000</t>
  </si>
  <si>
    <t>Salary: 32000</t>
  </si>
  <si>
    <t xml:space="preserve">Kiwi Crown League : </t>
  </si>
  <si>
    <t>2. Sajjad Kapri</t>
  </si>
  <si>
    <t>2. Vaibhav Batra</t>
  </si>
  <si>
    <t xml:space="preserve">3. Princhi </t>
  </si>
  <si>
    <t>vs Bangladesh: 500</t>
  </si>
  <si>
    <t>4. Ashfak</t>
  </si>
  <si>
    <t>5. Gaurav Mittal</t>
  </si>
  <si>
    <t>All Team Profit: 40000</t>
  </si>
  <si>
    <t>6. Ali Khan</t>
  </si>
  <si>
    <t>1. Anik Dey</t>
  </si>
  <si>
    <t>1. Donald</t>
  </si>
  <si>
    <t>1. Arjun Akj</t>
  </si>
  <si>
    <t xml:space="preserve">Salary: 20000 </t>
  </si>
  <si>
    <t xml:space="preserve">Salary: 11000 </t>
  </si>
  <si>
    <t xml:space="preserve">Salary: 8000 </t>
  </si>
  <si>
    <t>Man of the Match: 1 (1500)</t>
  </si>
  <si>
    <t>2. K Srinidhi</t>
  </si>
  <si>
    <t>Man of the match: 2 (3000)</t>
  </si>
  <si>
    <t>Best Batsman: 1 (750)</t>
  </si>
  <si>
    <t xml:space="preserve">Salary: 6500 </t>
  </si>
  <si>
    <t>Salary: 6500</t>
  </si>
  <si>
    <t>Best Batsman: 2 (1500)</t>
  </si>
  <si>
    <t>Fair Play: 5555</t>
  </si>
  <si>
    <t>2. Chiranjibi Samal</t>
  </si>
  <si>
    <t>Best Bowler of the Tournament: 40000</t>
  </si>
  <si>
    <t xml:space="preserve">Salary: 10000 </t>
  </si>
  <si>
    <t xml:space="preserve">Salary: 13000 </t>
  </si>
  <si>
    <t xml:space="preserve">Salary: 3500 </t>
  </si>
  <si>
    <t>4. Anand Ajk</t>
  </si>
  <si>
    <t xml:space="preserve">Salary: 4000 </t>
  </si>
  <si>
    <t>4. Ankan Biswas</t>
  </si>
  <si>
    <t>5. Manish Indoria</t>
  </si>
  <si>
    <t>5. Muhammad Noor</t>
  </si>
  <si>
    <t>No Salary(Traded)</t>
  </si>
  <si>
    <t>Bangladesh Premier League :</t>
  </si>
  <si>
    <t>All Franchise League Credits Updates :</t>
  </si>
  <si>
    <t>1. Ankan</t>
  </si>
  <si>
    <t>1. Donald Baghwar Dkhar</t>
  </si>
  <si>
    <t>1. Zeeshan</t>
  </si>
  <si>
    <t>1. Arjun</t>
  </si>
  <si>
    <t>Salary: 1400</t>
  </si>
  <si>
    <t>Salary: 9500</t>
  </si>
  <si>
    <t xml:space="preserve">THE HUNDRED ( Own League ) </t>
  </si>
  <si>
    <t>2. Manish</t>
  </si>
  <si>
    <t>2. Rohit</t>
  </si>
  <si>
    <t>2. Anik</t>
  </si>
  <si>
    <t>Man of the Match: 1 (2000)</t>
  </si>
  <si>
    <t>Hosting Rights : 40000</t>
  </si>
  <si>
    <t>2. Anand</t>
  </si>
  <si>
    <t>All Team Profit: 123200</t>
  </si>
  <si>
    <t>3. Kashif</t>
  </si>
  <si>
    <t>Marquee: 30000</t>
  </si>
  <si>
    <t>Salary: 600</t>
  </si>
  <si>
    <t>3. Anurag Raj</t>
  </si>
  <si>
    <t>4. Noor</t>
  </si>
  <si>
    <t>5. Ashwini</t>
  </si>
  <si>
    <t>Team Profit: 14500</t>
  </si>
  <si>
    <t>6. Waqas</t>
  </si>
  <si>
    <t>Team Profit: 26600</t>
  </si>
  <si>
    <t>Salary: 35000</t>
  </si>
  <si>
    <t>Team Profit: 32100</t>
  </si>
  <si>
    <t>7. Chiranjibi</t>
  </si>
  <si>
    <t>Team Profit: 42800</t>
  </si>
  <si>
    <t>Salary: 26000</t>
  </si>
  <si>
    <t>8. Malaram</t>
  </si>
  <si>
    <t>Salary: 19000</t>
  </si>
  <si>
    <t>9. Rahul Gadia</t>
  </si>
  <si>
    <t>1. Shibasis</t>
  </si>
  <si>
    <t xml:space="preserve">1. Rejith Mohan </t>
  </si>
  <si>
    <t>1. Aniket Gavit</t>
  </si>
  <si>
    <t>1. Achuz Sukumaran</t>
  </si>
  <si>
    <t>Captain Salary: 8000</t>
  </si>
  <si>
    <t>Best Batsman: 2 (2000)</t>
  </si>
  <si>
    <t>2. Toby Joseph</t>
  </si>
  <si>
    <t>2. Diljith Das</t>
  </si>
  <si>
    <t>Man of the match:1 ( 500 )</t>
  </si>
  <si>
    <t>Best Bowler: 1 ( 200 )</t>
  </si>
  <si>
    <t>Marquee Salary: 2000</t>
  </si>
  <si>
    <t>Champions: 5800</t>
  </si>
  <si>
    <t>Runners up: 2950</t>
  </si>
  <si>
    <t xml:space="preserve">3. Sujith Kumar </t>
  </si>
  <si>
    <t xml:space="preserve">3. Rahees </t>
  </si>
  <si>
    <t>2. Sujith CS Ctr</t>
  </si>
  <si>
    <t>2. Safeer Babu</t>
  </si>
  <si>
    <t xml:space="preserve">4. Nadirsha Nachu </t>
  </si>
  <si>
    <t xml:space="preserve">4. Sreeju </t>
  </si>
  <si>
    <t>Best Bowler: 3 ( 600 )</t>
  </si>
  <si>
    <t>3. Aash Muhammad</t>
  </si>
  <si>
    <t>Man of the match: 2 (1000)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</si>
  <si>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</si>
  <si>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</si>
  <si>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</si>
  <si>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</si>
  <si>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</si>
  <si>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>Emerging Player award: 5000</t>
  </si>
  <si>
    <t>1. Manish Indoria</t>
  </si>
  <si>
    <t xml:space="preserve">4. Sadik </t>
  </si>
  <si>
    <t>5. Sadik</t>
  </si>
  <si>
    <t xml:space="preserve">4. Aneesh </t>
  </si>
  <si>
    <t>Salary: 18000</t>
  </si>
  <si>
    <t>Salary: 9000</t>
  </si>
  <si>
    <t>Marquee Salary: 50000</t>
  </si>
  <si>
    <t>Fair Play: 11000</t>
  </si>
  <si>
    <t>2. Malaram</t>
  </si>
  <si>
    <t>Salary: 40000</t>
  </si>
  <si>
    <t>Best Batsman: 2 (3000)</t>
  </si>
  <si>
    <t>2. Waqas Mughal</t>
  </si>
  <si>
    <t xml:space="preserve">3. Keshav </t>
  </si>
  <si>
    <t>Salary: 49000</t>
  </si>
  <si>
    <t>Best Bowler: 1 (1500)</t>
  </si>
  <si>
    <t>Champions: 38800</t>
  </si>
  <si>
    <t>Board: INDIA</t>
  </si>
  <si>
    <t>Suman called for National Duty ( NZ ) for 1k</t>
  </si>
  <si>
    <t>4. Chiranjibi</t>
  </si>
  <si>
    <t>Chairman: Shivaji Prakash | CEO: Jana CP</t>
  </si>
  <si>
    <t>Salary: 27000</t>
  </si>
  <si>
    <t>Rating By All Boards on The Hundred 2026(8 out of 10): 40000 credits</t>
  </si>
  <si>
    <t xml:space="preserve">3. Abrar Ali </t>
  </si>
  <si>
    <t>5. Anand Kumar</t>
  </si>
  <si>
    <t xml:space="preserve">International Series: </t>
  </si>
  <si>
    <t>6. Rohit Patel</t>
  </si>
  <si>
    <t xml:space="preserve">Whitewash: </t>
  </si>
  <si>
    <t>4. Ashwini Verma</t>
  </si>
  <si>
    <t>Player limit Increased:</t>
  </si>
  <si>
    <t>Best Bowler: 3 (4500)</t>
  </si>
  <si>
    <t>1. Abhishek</t>
  </si>
  <si>
    <t>5. Noor</t>
  </si>
  <si>
    <t>Salary: 5500</t>
  </si>
  <si>
    <t>6. Zeeshan</t>
  </si>
  <si>
    <t>7. Anand Ajikumar</t>
  </si>
  <si>
    <t>Salary: 7500</t>
  </si>
  <si>
    <t>2. Abin</t>
  </si>
  <si>
    <t>Team Profit: 18080</t>
  </si>
  <si>
    <t>Away( England ): 5000 bet ( Won )</t>
  </si>
  <si>
    <t>1. Anderson Tendulkar ( England )</t>
  </si>
  <si>
    <t>Team Profit: 3400</t>
  </si>
  <si>
    <t>Match Bet credits: -17000</t>
  </si>
  <si>
    <t>3. Anshad P</t>
  </si>
  <si>
    <t>1. Subaida Subi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</si>
  <si>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</si>
  <si>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</si>
  <si>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</si>
  <si>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</si>
  <si>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</si>
  <si>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Salary: 6200</t>
  </si>
  <si>
    <t>1. Shivaji Prakash</t>
  </si>
  <si>
    <t>Salary: 3400</t>
  </si>
  <si>
    <t>4. Ashish Anandhu</t>
  </si>
  <si>
    <t>Home ( England): 10000 ( Lost )</t>
  </si>
  <si>
    <t>Man of the match: 2 ( 1000 )</t>
  </si>
  <si>
    <t>1. Anshad</t>
  </si>
  <si>
    <t>1. Rahul Seenu</t>
  </si>
  <si>
    <t>Away(Netherlands): 2500 bet (Won)</t>
  </si>
  <si>
    <t>2. Legacy Trophy</t>
  </si>
  <si>
    <t>5. Asru</t>
  </si>
  <si>
    <t>Away (Netherlands): 2000 (Lost)</t>
  </si>
  <si>
    <t>Away (England): 5000 bet (Lost)</t>
  </si>
  <si>
    <t>6. Athif Basheer K</t>
  </si>
  <si>
    <t>Away(Australia): 5000 (Won)</t>
  </si>
  <si>
    <t>• vs Pakistan: 500</t>
  </si>
  <si>
    <t>Players Trade</t>
  </si>
  <si>
    <t>vs Afghanistan: 500</t>
  </si>
  <si>
    <t>1. Noor</t>
  </si>
  <si>
    <t>Home (Pakistan): 5000 bet (Won)</t>
  </si>
  <si>
    <t>Salary: 50000</t>
  </si>
  <si>
    <t>Marquee Salary: 60000</t>
  </si>
  <si>
    <t>7. Farhaan</t>
  </si>
  <si>
    <t>Man of the match: 1 (3500)</t>
  </si>
  <si>
    <t>Home(Australia): 5000 (Lost)</t>
  </si>
  <si>
    <t>Economical Bowler: 2</t>
  </si>
  <si>
    <t>2. Farhan</t>
  </si>
  <si>
    <t>Runners up: 22000</t>
  </si>
  <si>
    <t>Away(South Africa): 5000 bet (Lost)</t>
  </si>
  <si>
    <t>2. Asru KSD</t>
  </si>
  <si>
    <t>Best Bowler: 2 (3500)</t>
  </si>
  <si>
    <t>8. Gopikrishnan SV</t>
  </si>
  <si>
    <t>2. Kashif</t>
  </si>
  <si>
    <t>• vs Pakistan: 300</t>
  </si>
  <si>
    <t>Player of the tournament: 180000</t>
  </si>
  <si>
    <t>1. Ajith from NZ: 10000</t>
  </si>
  <si>
    <t>Home(South Africa): 5000 bet (Lost)</t>
  </si>
  <si>
    <t>Best Batsman: 2 (3500)</t>
  </si>
  <si>
    <t>9. Harish Byndoor</t>
  </si>
  <si>
    <t>10. Ahmed Mahsoof</t>
  </si>
  <si>
    <t>2. Raheem</t>
  </si>
  <si>
    <t>4. Jana CP</t>
  </si>
  <si>
    <t>11. Peter John</t>
  </si>
  <si>
    <t>Trophy Cabinet</t>
  </si>
  <si>
    <t>2. Vishnu</t>
  </si>
  <si>
    <t>Board: Ireland</t>
  </si>
  <si>
    <t>Chairman: Ali Abbas Bangash | CEO: ---</t>
  </si>
  <si>
    <t>12. Pradeesh P</t>
  </si>
  <si>
    <t>King's Fortress</t>
  </si>
  <si>
    <t>1. Zain Gujjar</t>
  </si>
  <si>
    <t>1. Coca Cola Cup</t>
  </si>
  <si>
    <t>2. Sunny</t>
  </si>
  <si>
    <t>3. Zain-Ul-Hassan</t>
  </si>
  <si>
    <t>2. Jana CP</t>
  </si>
  <si>
    <t>4. Kranthi Smith</t>
  </si>
  <si>
    <t>5. Rahim Ullah</t>
  </si>
  <si>
    <t>13. Raheem K</t>
  </si>
  <si>
    <t>Marusthal Arena</t>
  </si>
  <si>
    <t>6. Seru Yuvi</t>
  </si>
  <si>
    <t>Semifinalit: Anshad</t>
  </si>
  <si>
    <t>3. Shivaji Prakash</t>
  </si>
  <si>
    <t>3. Jana</t>
  </si>
  <si>
    <t>14. Rahman SN</t>
  </si>
  <si>
    <t>All Team Profit: 38800</t>
  </si>
  <si>
    <t>Imperial Stadium</t>
  </si>
  <si>
    <t>15. Rahul Roy</t>
  </si>
  <si>
    <t>1. Arjun AKJ</t>
  </si>
  <si>
    <t>Dwarka Coliseum</t>
  </si>
  <si>
    <t>1. Lal Krishna</t>
  </si>
  <si>
    <t>• vs Srilanka: 500</t>
  </si>
  <si>
    <t>3. Abhishek</t>
  </si>
  <si>
    <t>16. Rahul Seenu</t>
  </si>
  <si>
    <t>Royal Deccan</t>
  </si>
  <si>
    <t>Salary: 25000</t>
  </si>
  <si>
    <t>Economical bowler: 2</t>
  </si>
  <si>
    <t>Team Profit: 500</t>
  </si>
  <si>
    <t>Team Profit: 8500</t>
  </si>
  <si>
    <t>Team Profit: 15800</t>
  </si>
  <si>
    <t>Team Profit: 12000</t>
  </si>
  <si>
    <t>17. Rajeev</t>
  </si>
  <si>
    <t>1. Sri Vishnu</t>
  </si>
  <si>
    <t>Eternal Aryavarta</t>
  </si>
  <si>
    <t>1. Diljith</t>
  </si>
  <si>
    <t>18. Robert John</t>
  </si>
  <si>
    <t>Sher-E-Punjab</t>
  </si>
  <si>
    <t>• vs Scotland(Semis): 300</t>
  </si>
  <si>
    <t>1. Sujith Ctr</t>
  </si>
  <si>
    <t>1. Achuz</t>
  </si>
  <si>
    <t>19. Sanjith</t>
  </si>
  <si>
    <t>4. Athif Basheer</t>
  </si>
  <si>
    <t>20. Ajith</t>
  </si>
  <si>
    <t>4. Asru</t>
  </si>
  <si>
    <t>4. Pradeesh</t>
  </si>
  <si>
    <t>Economical Bowler: 1</t>
  </si>
  <si>
    <t>vs South Africa: 500</t>
  </si>
  <si>
    <t>5. Robert John</t>
  </si>
  <si>
    <t>• vs Srilanka: 300</t>
  </si>
  <si>
    <t>5. Shivaji</t>
  </si>
  <si>
    <t>5. Jana</t>
  </si>
  <si>
    <t>2. Molly</t>
  </si>
  <si>
    <t>2. Aash</t>
  </si>
  <si>
    <t>6. Farhan</t>
  </si>
  <si>
    <t>6. Abin</t>
  </si>
  <si>
    <t>Best Bowler: 1 ( 500 )</t>
  </si>
  <si>
    <t>3. Aneesh</t>
  </si>
  <si>
    <t>IPL ( Commentator )</t>
  </si>
  <si>
    <t>3. Gowri</t>
  </si>
  <si>
    <t>7. Gopikrishnan</t>
  </si>
  <si>
    <t>• vs England: 500</t>
  </si>
  <si>
    <t>All Team Profit: 20000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</si>
  <si>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</si>
  <si>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</si>
  <si>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</si>
  <si>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</si>
  <si>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</si>
  <si>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</si>
  <si>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Board: Italy</t>
  </si>
  <si>
    <t>Chairman: Rince Thomas | CEO: Akhil Viratian</t>
  </si>
  <si>
    <t>Team Profit: 5400</t>
  </si>
  <si>
    <t>Team Profit: 31400</t>
  </si>
  <si>
    <t>Team Profit: 7750</t>
  </si>
  <si>
    <t>1. Gopikrishnan SV</t>
  </si>
  <si>
    <t>2. Athif Basheer K</t>
  </si>
  <si>
    <t>Best Batsman:2 ( 400 )</t>
  </si>
  <si>
    <t>Player trade:</t>
  </si>
  <si>
    <t>Salary: 1200</t>
  </si>
  <si>
    <t>1. Abhishek Anil</t>
  </si>
  <si>
    <t>Player of the tournament: 20000</t>
  </si>
  <si>
    <t>1. Romo Carribbean ( Home )</t>
  </si>
  <si>
    <t>3. Rahul Seenu</t>
  </si>
  <si>
    <t>Salary: 2300</t>
  </si>
  <si>
    <t>2. Vishnu Vijay</t>
  </si>
  <si>
    <t>Vipin Venu from Italy: -20000</t>
  </si>
  <si>
    <t>4. Farhaan</t>
  </si>
  <si>
    <t>Home ( West Indies ): 5000 bet ( Won )</t>
  </si>
  <si>
    <t>2. Zeus Trophy (Away)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</si>
  <si>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</si>
  <si>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</si>
  <si>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</si>
  <si>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</si>
  <si>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</si>
  <si>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</si>
  <si>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</si>
  <si>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</si>
  <si>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Afsal</t>
  </si>
  <si>
    <t>Vishnu from England: 3000</t>
  </si>
  <si>
    <t>1. Rince</t>
  </si>
  <si>
    <t>Away (Italy): 5000 bet (Lost)</t>
  </si>
  <si>
    <t>Team Profit: 3050</t>
  </si>
  <si>
    <t>Team Profit: 21790</t>
  </si>
  <si>
    <t>5. Akshay</t>
  </si>
  <si>
    <t>Team Profit: 8660</t>
  </si>
  <si>
    <t>1. Athif Basheer</t>
  </si>
  <si>
    <t>Away (Afghanistan): 5000 bet (Lost)</t>
  </si>
  <si>
    <t>1. Akshay</t>
  </si>
  <si>
    <t>1. Farhaan</t>
  </si>
  <si>
    <t>6. Albin</t>
  </si>
  <si>
    <t>vs South Africa: 1000</t>
  </si>
  <si>
    <t>2. Subaida Subi</t>
  </si>
  <si>
    <t>Man of the match(2000): 3</t>
  </si>
  <si>
    <t>7. Anandhu Reddy</t>
  </si>
  <si>
    <t>Away (South Africa): 5000 bet (Won)</t>
  </si>
  <si>
    <t>Board: Netherlands</t>
  </si>
  <si>
    <t>8. Appu</t>
  </si>
  <si>
    <t>Fair Play: 1380</t>
  </si>
  <si>
    <t>2. Rahul Seenu</t>
  </si>
  <si>
    <t>9. Arathy</t>
  </si>
  <si>
    <t>2. Shuhaib</t>
  </si>
  <si>
    <t>10. Aravind</t>
  </si>
  <si>
    <t>Chairman: Debajit Borthakur | CEO: Nirmal</t>
  </si>
  <si>
    <t>3. Huzain</t>
  </si>
  <si>
    <t>Salary: 7400</t>
  </si>
  <si>
    <t>11. Arjun</t>
  </si>
  <si>
    <t>Best Batsman(1000): 2</t>
  </si>
  <si>
    <t>1. Sujith CS Ctr</t>
  </si>
  <si>
    <t>12. Tom</t>
  </si>
  <si>
    <t>3. Anshad</t>
  </si>
  <si>
    <t>13. Haseeb</t>
  </si>
  <si>
    <t>4. Rince Thomas</t>
  </si>
  <si>
    <t>Salary: 6750</t>
  </si>
  <si>
    <t>14. Huzain</t>
  </si>
  <si>
    <t>1. Jyothish S</t>
  </si>
  <si>
    <t>15. Hybi Anil</t>
  </si>
  <si>
    <t>16. Krishnadev</t>
  </si>
  <si>
    <t>17. Sanazil</t>
  </si>
  <si>
    <t xml:space="preserve">Player trade: </t>
  </si>
  <si>
    <t xml:space="preserve">Big Bash League : </t>
  </si>
  <si>
    <t>18. Shuhaib</t>
  </si>
  <si>
    <t>19. Subaida Subi</t>
  </si>
  <si>
    <t>Player limit increased: -10000</t>
  </si>
  <si>
    <t>20. Thaneem</t>
  </si>
  <si>
    <t>21. Vipin Venu</t>
  </si>
  <si>
    <t>22. Vishnu CV</t>
  </si>
  <si>
    <t>All Team Profit: 34800</t>
  </si>
  <si>
    <t>1. Ali Akbor Ahmed</t>
  </si>
  <si>
    <t>1. Atlantic Smash ( Home )</t>
  </si>
  <si>
    <t>Team Profit: 6000</t>
  </si>
  <si>
    <t>2. Achuz Sukumaran</t>
  </si>
  <si>
    <t>THE HUNDRED : 000</t>
  </si>
  <si>
    <t>2. Biki</t>
  </si>
  <si>
    <t>Team Profit: 8300</t>
  </si>
  <si>
    <t>1. Hirak From Eng: 5000</t>
  </si>
  <si>
    <t>Team Profit: 21000</t>
  </si>
  <si>
    <t>Home ( Afghanistan) : 5000 ( Lost )</t>
  </si>
  <si>
    <t>1. Dutch Carribbean ( Home )</t>
  </si>
  <si>
    <t>2. Zubeen Garg Rhine ODI (Home)</t>
  </si>
  <si>
    <t>1. Athif</t>
  </si>
  <si>
    <t>Match Bet credits: -4000</t>
  </si>
  <si>
    <t>1. Anshad Parakkadan</t>
  </si>
  <si>
    <t>No Players Sold</t>
  </si>
  <si>
    <t>Pakistan Super League : 000</t>
  </si>
  <si>
    <t>3. Bimal Baral</t>
  </si>
  <si>
    <t>2. Ashutoh from Eng: 5000</t>
  </si>
  <si>
    <t>Man of the match:1 (1000)</t>
  </si>
  <si>
    <t>Home ( UAE ): 5000 bet ( Lost )</t>
  </si>
  <si>
    <t>3. Dutch Caribbean 2 ODI (Home)</t>
  </si>
  <si>
    <t>2. 26 to 30: 10000</t>
  </si>
  <si>
    <t>Players Awards: 9500</t>
  </si>
  <si>
    <t>Home(India): 2500 bet (Lost)</t>
  </si>
  <si>
    <t>2. Abhishek</t>
  </si>
  <si>
    <t>1. Zubeen Gard Rhine B</t>
  </si>
  <si>
    <t>2. Farhaan</t>
  </si>
  <si>
    <t>1. Debajit</t>
  </si>
  <si>
    <t>All Team Profit: 19100</t>
  </si>
  <si>
    <t>Salary: 2400</t>
  </si>
  <si>
    <t>3. Rahul Roy</t>
  </si>
  <si>
    <t>Team Profit: 6600</t>
  </si>
  <si>
    <t>Team Profit: 1000</t>
  </si>
  <si>
    <t>4. Biswajit Dutta</t>
  </si>
  <si>
    <t>Team Profit: 9500</t>
  </si>
  <si>
    <t>3. Aashutosh to Ban: 15000</t>
  </si>
  <si>
    <t>Home ( Newzealand ): 5000 bet ( Lost )</t>
  </si>
  <si>
    <t>Team Profit: 1500</t>
  </si>
  <si>
    <t>4. European Beaver-Hedgehog Trophy (Home)</t>
  </si>
  <si>
    <t>1. Marami Ahmed</t>
  </si>
  <si>
    <t>Away (India): 2500 bet (Won)</t>
  </si>
  <si>
    <t>1. Hybi Anil</t>
  </si>
  <si>
    <t>2. Northern Heritage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</si>
  <si>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</si>
  <si>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</si>
  <si>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</si>
  <si>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</si>
  <si>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</si>
  <si>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</si>
  <si>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</si>
  <si>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 xml:space="preserve">All Team Profit: </t>
  </si>
  <si>
    <t>5. Bitupan</t>
  </si>
  <si>
    <t>4. Veer to Qatar: 10000</t>
  </si>
  <si>
    <t>Home ( West Indies ): 5000 bet ( Lost )</t>
  </si>
  <si>
    <t>3. Vishnu Vijay</t>
  </si>
  <si>
    <t>Home (Srilanka): 5000 bet (Lost)</t>
  </si>
  <si>
    <t>3. Tulip Desert</t>
  </si>
  <si>
    <t>1. Bimal Baral</t>
  </si>
  <si>
    <t>1. Aash</t>
  </si>
  <si>
    <t>1. Sujith</t>
  </si>
  <si>
    <t>1. Safeer</t>
  </si>
  <si>
    <t>6. Deepjyoti</t>
  </si>
  <si>
    <t>1. Karthik</t>
  </si>
  <si>
    <t>1. Jyothish</t>
  </si>
  <si>
    <t>5. Ritik to Ban: 1000</t>
  </si>
  <si>
    <t>Home ( USA ): 5000 bet ( Won )</t>
  </si>
  <si>
    <t>Home(Scotland): 3000 bet (Won)</t>
  </si>
  <si>
    <t>4. Yellow - Orange Trophy</t>
  </si>
  <si>
    <t>2. Nirmal Baishya</t>
  </si>
  <si>
    <t>Salary: 23000</t>
  </si>
  <si>
    <t>2. Diljith</t>
  </si>
  <si>
    <t>7. Devasish</t>
  </si>
  <si>
    <t>2. Sachin</t>
  </si>
  <si>
    <t>6. Kartik to Zim: 5000</t>
  </si>
  <si>
    <t>Home ( Scotland ): 5000 bet ( Lost )</t>
  </si>
  <si>
    <t>2. Renjish</t>
  </si>
  <si>
    <t>2. Nirmal</t>
  </si>
  <si>
    <t>Home(Bangladesh): 4000 bet (Won)</t>
  </si>
  <si>
    <t xml:space="preserve">Best Bowler(1000): 1 </t>
  </si>
  <si>
    <t>8. Prince Gogoi</t>
  </si>
  <si>
    <t>1. Farhan</t>
  </si>
  <si>
    <t>7. Dhurbo to Zim: 5000</t>
  </si>
  <si>
    <t>Home ( Pakistan ): 3000 bet ( Lost )</t>
  </si>
  <si>
    <t>3. Pinku</t>
  </si>
  <si>
    <t>Man of the match:1 (1500)</t>
  </si>
  <si>
    <t>1. Vishnu Vijay</t>
  </si>
  <si>
    <t>1. Sanazil</t>
  </si>
  <si>
    <t>Salary: 12000</t>
  </si>
  <si>
    <t>9. Dipankar</t>
  </si>
  <si>
    <t>Home (England): 5000 bet (Lost)</t>
  </si>
  <si>
    <t>Home (Qatar): 5000 bet (Won)</t>
  </si>
  <si>
    <t>4. Rahul Sharma</t>
  </si>
  <si>
    <t>2. Rince Thomas</t>
  </si>
  <si>
    <t>Most Sixes: 20000</t>
  </si>
  <si>
    <t>Best Batsman of the tournament: 40000</t>
  </si>
  <si>
    <t>10. Hirak</t>
  </si>
  <si>
    <t>Home (India): 2000 bet (Won)</t>
  </si>
  <si>
    <t>5. Jihan</t>
  </si>
  <si>
    <t>Emerging Player Award</t>
  </si>
  <si>
    <t>11. Jahirul</t>
  </si>
  <si>
    <t>Away (Afghanistan): 4000 bet (Lost)</t>
  </si>
  <si>
    <t>12. Jihan</t>
  </si>
  <si>
    <t>Home (West Indies): 4000 bet (Won)</t>
  </si>
  <si>
    <t>3. Rahul Sharma</t>
  </si>
  <si>
    <t>13. Kiran</t>
  </si>
  <si>
    <t>Home (Bangladesh): 4000 bet (Lost)</t>
  </si>
  <si>
    <t>14. Marami</t>
  </si>
  <si>
    <t>Home (England): 4000 bet (Lost)</t>
  </si>
  <si>
    <t>1. Rajeev</t>
  </si>
  <si>
    <t>1. Gopi</t>
  </si>
  <si>
    <t>1. Jana CP</t>
  </si>
  <si>
    <t>1. Renjish</t>
  </si>
  <si>
    <t>15. Mayank</t>
  </si>
  <si>
    <t>1. Rahul Roy</t>
  </si>
  <si>
    <t>Away(West Indies): 5000 bet (Lost)</t>
  </si>
  <si>
    <t>1. Shajahan</t>
  </si>
  <si>
    <t>4. Hirak</t>
  </si>
  <si>
    <t>1. Sunaif</t>
  </si>
  <si>
    <t>Salary: 2100</t>
  </si>
  <si>
    <t>Salary: 24000</t>
  </si>
  <si>
    <t>16. Anamika</t>
  </si>
  <si>
    <t>Home (England): 5000 bet (Won)</t>
  </si>
  <si>
    <t>Best Batsman: 3</t>
  </si>
  <si>
    <t>Salary: 22000</t>
  </si>
  <si>
    <t>PSL ( Commentory )</t>
  </si>
  <si>
    <t>Salary: 16000</t>
  </si>
  <si>
    <t>2. Peter</t>
  </si>
  <si>
    <t>2. Robert</t>
  </si>
  <si>
    <t>2. Shivaji</t>
  </si>
  <si>
    <t>1. Haseeb</t>
  </si>
  <si>
    <t>1. Akhil</t>
  </si>
  <si>
    <t>2. Rahees</t>
  </si>
  <si>
    <t>17. Pinku</t>
  </si>
  <si>
    <t>1. Shubaib</t>
  </si>
  <si>
    <t>Away(Bangladesh/West Indies): 15000 (Lost)</t>
  </si>
  <si>
    <t>Salary: 31000</t>
  </si>
  <si>
    <t>vs Srilanka: 500</t>
  </si>
  <si>
    <t>1. Thaneem</t>
  </si>
  <si>
    <t>3. Asru</t>
  </si>
  <si>
    <t>18. Prabal</t>
  </si>
  <si>
    <t>Away(Australia): 10000 (Lost)</t>
  </si>
  <si>
    <t>19. Rahul</t>
  </si>
  <si>
    <t>3. Karthik Verma</t>
  </si>
  <si>
    <t>Away(Bangladesh): 7000 (Lost)</t>
  </si>
  <si>
    <t>2. Ahmed Mahsoof</t>
  </si>
  <si>
    <t>3. Farhan</t>
  </si>
  <si>
    <t>20. Rishi Raj</t>
  </si>
  <si>
    <t>5. Debajit</t>
  </si>
  <si>
    <t>21. Sagar</t>
  </si>
  <si>
    <t>2. Hybi Anil</t>
  </si>
  <si>
    <t>22. Shabir Alam</t>
  </si>
  <si>
    <t>2. Huzain</t>
  </si>
  <si>
    <t>2. Sanzail</t>
  </si>
  <si>
    <t>23. Shon</t>
  </si>
  <si>
    <t>3. Sri Vishnu</t>
  </si>
  <si>
    <t>2. Vipin</t>
  </si>
  <si>
    <t>24. Bikram Saikia</t>
  </si>
  <si>
    <t>Salary: 800</t>
  </si>
  <si>
    <t>25. Jack Dipu</t>
  </si>
  <si>
    <t>26. Surashri C</t>
  </si>
  <si>
    <t>Indian Premier League ( Own League )</t>
  </si>
  <si>
    <t>27. Manuranjan Deka</t>
  </si>
  <si>
    <t>6. Devasish</t>
  </si>
  <si>
    <t>3. Afsal</t>
  </si>
  <si>
    <t>28. Kritartha Kalita</t>
  </si>
  <si>
    <t>29. Khagen Saikia</t>
  </si>
  <si>
    <t>vs Qatar: 1000</t>
  </si>
  <si>
    <t>4. Albin</t>
  </si>
  <si>
    <t>30. Niyor J Kashyap</t>
  </si>
  <si>
    <t>31. Deepak Das</t>
  </si>
  <si>
    <t>7. Bimal</t>
  </si>
  <si>
    <t>Hosting Rights : 350000</t>
  </si>
  <si>
    <t>8. Rishiraj</t>
  </si>
  <si>
    <t>Team Profit: 4500</t>
  </si>
  <si>
    <t>Team Profit: 24650</t>
  </si>
  <si>
    <t>1. Mayank Das ( Replacement )</t>
  </si>
  <si>
    <t>1. Hirak Jyothi</t>
  </si>
  <si>
    <t>1. Nirmal Baishya</t>
  </si>
  <si>
    <t>1. Amith</t>
  </si>
  <si>
    <t>Best Batsman of the Tournament: 10000</t>
  </si>
  <si>
    <t>2. Marami Ahmed</t>
  </si>
  <si>
    <t>Best Batsman: 1 (1750)</t>
  </si>
  <si>
    <t>Champion: 44400</t>
  </si>
  <si>
    <t>3. Debajit Borthakur</t>
  </si>
  <si>
    <t>Team Profit: 30860</t>
  </si>
  <si>
    <t>Team Profit: 2150</t>
  </si>
  <si>
    <t>Team Profit: 3680</t>
  </si>
  <si>
    <t>1. Biswajit Dutta</t>
  </si>
  <si>
    <t>1. Nirmal</t>
  </si>
  <si>
    <t>1. Rahul Sharma</t>
  </si>
  <si>
    <t>Salary: 1950</t>
  </si>
  <si>
    <t>2. Debajit</t>
  </si>
  <si>
    <t>Salary: 3900</t>
  </si>
  <si>
    <t>3. Kiran Nath</t>
  </si>
  <si>
    <t xml:space="preserve">1. Sachin </t>
  </si>
  <si>
    <t>1. Rince Thomas</t>
  </si>
  <si>
    <t>1. Athif Basheer K</t>
  </si>
  <si>
    <t>Big Bash League : 0</t>
  </si>
  <si>
    <t>1. Anshad P</t>
  </si>
  <si>
    <t>1. Afsal</t>
  </si>
  <si>
    <t>Salary: 15000</t>
  </si>
  <si>
    <t>All Team Profit: 0</t>
  </si>
  <si>
    <t>2. Ajin</t>
  </si>
  <si>
    <t>2. Rashid</t>
  </si>
  <si>
    <t>2. Jyothish</t>
  </si>
  <si>
    <t>1. Harish Byndoor</t>
  </si>
  <si>
    <t xml:space="preserve">1. Farhan </t>
  </si>
  <si>
    <t>Salary: 46000</t>
  </si>
  <si>
    <t>3. Sanoop</t>
  </si>
  <si>
    <t>3. Safeer</t>
  </si>
  <si>
    <t>3. Renjish</t>
  </si>
  <si>
    <t>3. Amith</t>
  </si>
  <si>
    <t>Runners Up: 19400</t>
  </si>
  <si>
    <t>Salary: 90000</t>
  </si>
  <si>
    <t>Salary: 36000</t>
  </si>
  <si>
    <t>4. Aneesh</t>
  </si>
  <si>
    <t>4. Karthik</t>
  </si>
  <si>
    <t>Captain Salary: 90000</t>
  </si>
  <si>
    <t>6. Shajahan</t>
  </si>
  <si>
    <t>3. Hybi Anil</t>
  </si>
  <si>
    <t>4. Akhil</t>
  </si>
  <si>
    <t>Champion(Captain): 40400</t>
  </si>
  <si>
    <t>5. Shuhaib</t>
  </si>
  <si>
    <t>1. Aashutosh Jha</t>
  </si>
  <si>
    <t>Fair Play(Captain): 13000</t>
  </si>
  <si>
    <t>2. Sanjith</t>
  </si>
  <si>
    <t>2. Hirakjyothi</t>
  </si>
  <si>
    <t>3. Mayank Das</t>
  </si>
  <si>
    <t>2. Peter John</t>
  </si>
  <si>
    <t>Salary: 21000</t>
  </si>
  <si>
    <t>Player of the tournament: 160000</t>
  </si>
  <si>
    <t>3. Ashish</t>
  </si>
  <si>
    <t>Runners Up(Captain): 20200</t>
  </si>
  <si>
    <t>2. Gopikrishnan SV</t>
  </si>
  <si>
    <t>Salary: 28500</t>
  </si>
  <si>
    <t xml:space="preserve">2. Rajeev </t>
  </si>
  <si>
    <t>1. Mayank</t>
  </si>
  <si>
    <t>1. Hirak</t>
  </si>
  <si>
    <t>1. Marami</t>
  </si>
  <si>
    <t>1. Dipankar</t>
  </si>
  <si>
    <t>1. Biswajit</t>
  </si>
  <si>
    <t>2. Veer</t>
  </si>
  <si>
    <t xml:space="preserve">1. Rince </t>
  </si>
  <si>
    <t>2. Kiran</t>
  </si>
  <si>
    <t>2. Bimal</t>
  </si>
  <si>
    <t>1. Albin</t>
  </si>
  <si>
    <t>2. Anamika</t>
  </si>
  <si>
    <t>2. Deepjyothi</t>
  </si>
  <si>
    <t>2. Dhurbo</t>
  </si>
  <si>
    <t>3. Rahul</t>
  </si>
  <si>
    <t>3. Bimal</t>
  </si>
  <si>
    <t>2. Akhil</t>
  </si>
  <si>
    <t>3. Jiha</t>
  </si>
  <si>
    <t>2. Haseeb</t>
  </si>
  <si>
    <t>Fair Play: 12400</t>
  </si>
  <si>
    <t>2. Anandhu R</t>
  </si>
  <si>
    <t>4. Jahirul</t>
  </si>
  <si>
    <t xml:space="preserve">3. Robert John </t>
  </si>
  <si>
    <t>4. Pinku</t>
  </si>
  <si>
    <t>3. Akshay</t>
  </si>
  <si>
    <t>4. Shuhaib</t>
  </si>
  <si>
    <t xml:space="preserve">3. Vipin </t>
  </si>
  <si>
    <t>3. Subaida Subi</t>
  </si>
  <si>
    <t>4. Abin</t>
  </si>
  <si>
    <t>Best Bowler: 1 (1750)</t>
  </si>
  <si>
    <t>4. Aravind</t>
  </si>
  <si>
    <t>Emerging Player: 40000</t>
  </si>
  <si>
    <t>1. Deepjyoti</t>
  </si>
  <si>
    <t xml:space="preserve">5. Raheem </t>
  </si>
  <si>
    <t>4. Mahsoof</t>
  </si>
  <si>
    <t xml:space="preserve">2. Rahul </t>
  </si>
  <si>
    <t>3. Hirak</t>
  </si>
  <si>
    <t>Salary: 17000</t>
  </si>
  <si>
    <t xml:space="preserve">6. Pradeesh </t>
  </si>
  <si>
    <t>5. Rahman</t>
  </si>
  <si>
    <t>1. Appu</t>
  </si>
  <si>
    <t>1. Vipin Venu</t>
  </si>
  <si>
    <t>1. Krishnadev</t>
  </si>
  <si>
    <t xml:space="preserve">1. Rahul </t>
  </si>
  <si>
    <t>1. Shuhaib</t>
  </si>
  <si>
    <t>1. Akhil Viratian</t>
  </si>
  <si>
    <t>Best Bowler: 3 (5250)</t>
  </si>
  <si>
    <t>2. Deepjyoti</t>
  </si>
  <si>
    <t>Salary: 100000</t>
  </si>
  <si>
    <t>3. Sagar</t>
  </si>
  <si>
    <t xml:space="preserve">2. Albin </t>
  </si>
  <si>
    <t>2. Anandhu</t>
  </si>
  <si>
    <t>3. Vishnu CV</t>
  </si>
  <si>
    <t>4. Hybi Anil</t>
  </si>
  <si>
    <t>1. Asru</t>
  </si>
  <si>
    <t>1. Shivaji</t>
  </si>
  <si>
    <t>Salary: 45000</t>
  </si>
  <si>
    <t>Salary: 75000</t>
  </si>
  <si>
    <t>Direct Signing: 40000</t>
  </si>
  <si>
    <t>Man of the match: 2 (7000)</t>
  </si>
  <si>
    <t>2. Rahman</t>
  </si>
  <si>
    <t xml:space="preserve">3. Harish </t>
  </si>
  <si>
    <t>4. Peter</t>
  </si>
  <si>
    <t>3. Ahmed Mahsoof</t>
  </si>
  <si>
    <t>Salary: 60000</t>
  </si>
  <si>
    <t>4. Athif</t>
  </si>
  <si>
    <t>4. Pradeesh P Nair</t>
  </si>
  <si>
    <t>5. Rahul Roy</t>
  </si>
  <si>
    <t xml:space="preserve">6. Raheem </t>
  </si>
  <si>
    <t>1. Ahmed Mahsoof</t>
  </si>
  <si>
    <t xml:space="preserve">1. Abin </t>
  </si>
  <si>
    <t>1. Rahman SN</t>
  </si>
  <si>
    <t>1. Peter John</t>
  </si>
  <si>
    <t>Salary: 55000</t>
  </si>
  <si>
    <t>Salary: 42000</t>
  </si>
  <si>
    <t>Salary: 155000</t>
  </si>
  <si>
    <t>2. Shivaji Prakash</t>
  </si>
  <si>
    <t>Salary: 38000</t>
  </si>
  <si>
    <t>4. Asru KSD</t>
  </si>
  <si>
    <t>Salary: 34000</t>
  </si>
  <si>
    <t>Board: Newzealand</t>
  </si>
  <si>
    <t>Board: Pakistan</t>
  </si>
  <si>
    <t>Chairman: Shamroz | CEO: Nasrullah Kapri</t>
  </si>
  <si>
    <t>Chairman: Srajan Poojari | CEO: Aniket Gavit</t>
  </si>
  <si>
    <t xml:space="preserve">Whitewash win: </t>
  </si>
  <si>
    <t>Player limit exceeded:</t>
  </si>
  <si>
    <t>1. Muhammad Ahmad</t>
  </si>
  <si>
    <t>1. Pointing - Inzamam ( Away )</t>
  </si>
  <si>
    <t>IOCF T20 WORLD CUP 🏆 :</t>
  </si>
  <si>
    <t>Player limit increased:</t>
  </si>
  <si>
    <t>1. Abu Shazan</t>
  </si>
  <si>
    <t>2. Aaiz Khan</t>
  </si>
  <si>
    <t>Away( Australia ): 5000 bet ( Won )</t>
  </si>
  <si>
    <t>2. Thistle Shaheen ( Away )</t>
  </si>
  <si>
    <t>1. Thistle Shaheen ( Away )</t>
  </si>
  <si>
    <t>1. Crowe Nabi ( Home )</t>
  </si>
  <si>
    <t>Match Bet credits: -10000</t>
  </si>
  <si>
    <t>3. Afaq Warraich</t>
  </si>
  <si>
    <t>Away( Srilanka ): 6000 bet ( Lost )</t>
  </si>
  <si>
    <t>3. Crecsent Carnage ( Away )</t>
  </si>
  <si>
    <t>2. Crecsent Carnage ( Away )</t>
  </si>
  <si>
    <t>Player Awards: 4500</t>
  </si>
  <si>
    <t>Away(Australia): 5000 (Lost)</t>
  </si>
  <si>
    <t>1. Mallu Pak</t>
  </si>
  <si>
    <t>1. Nasrullah Kapri</t>
  </si>
  <si>
    <t>4. Zarnish Saira</t>
  </si>
  <si>
    <t>2. Adarsh</t>
  </si>
  <si>
    <t>Away( Newzealand): 3000 bet ( Lost )</t>
  </si>
  <si>
    <t>4. Rhine Indus ( Away )</t>
  </si>
  <si>
    <t>3. Sons &amp; Daughter (Away)</t>
  </si>
  <si>
    <t>Home( Afghanistan ): 3000 bet ( Won )</t>
  </si>
  <si>
    <t>3. 30 to 35: 10000</t>
  </si>
  <si>
    <t>2. Silk Steel ( Home )</t>
  </si>
  <si>
    <t>1. Nasrullah</t>
  </si>
  <si>
    <t>1. Silk Steel ( Pakistan )</t>
  </si>
  <si>
    <t>Away (West Indies): 5000 (Won)</t>
  </si>
  <si>
    <t>2. Bangladesh Shaheen</t>
  </si>
  <si>
    <t>1. Wajdan</t>
  </si>
  <si>
    <t>Hosting Amount: 100k</t>
  </si>
  <si>
    <t>5. Ali Abbas Bangash</t>
  </si>
  <si>
    <t>Home( West Indies): 5000 bet ( Lost )</t>
  </si>
  <si>
    <t>5. Khyber Cup (Away )</t>
  </si>
  <si>
    <t>4. 36 to 40: 10000</t>
  </si>
  <si>
    <t>Away (Bangladesh): 5000 (Won)</t>
  </si>
  <si>
    <t>2. Ayaan Sheikh</t>
  </si>
  <si>
    <t>3. Gokul G</t>
  </si>
  <si>
    <t>Home( Pakistan ): 3000 bet ( Won )</t>
  </si>
  <si>
    <t>3. Fleming Lara ( Home )</t>
  </si>
  <si>
    <t>2. Trans Tasman( Australia)</t>
  </si>
  <si>
    <t>6. Arslan Ali Shani</t>
  </si>
  <si>
    <t>Players Awards: 4200</t>
  </si>
  <si>
    <t>Away( Scotland): 5000 bet ( Won )</t>
  </si>
  <si>
    <t>6. Pollard Akhter (Away)</t>
  </si>
  <si>
    <t>Players Awards: 10500</t>
  </si>
  <si>
    <t>• vs India: 300</t>
  </si>
  <si>
    <t>vs West Indies: 1000</t>
  </si>
  <si>
    <t>Match Bet credits: 27000</t>
  </si>
  <si>
    <t>Away(India): 5000 bet (Lost)</t>
  </si>
  <si>
    <t>3. Zarnish Saira</t>
  </si>
  <si>
    <t>Test Series</t>
  </si>
  <si>
    <t>Newzealand (5000)</t>
  </si>
  <si>
    <t>1. Srajan Poojari</t>
  </si>
  <si>
    <t>7. Ayaan Sheikh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</si>
  <si>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</si>
  <si>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</si>
  <si>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</si>
  <si>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</si>
  <si>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</si>
  <si>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4. Shamroz</t>
  </si>
  <si>
    <t>Board: Qatar</t>
  </si>
  <si>
    <t>8. Ayat</t>
  </si>
  <si>
    <t>Away( England): 5000 bet ( Lost)</t>
  </si>
  <si>
    <t>Chairman: Ans Sheikh | CEO: Ebad Malik</t>
  </si>
  <si>
    <t>7. BANK AL-HABIB (Home)</t>
  </si>
  <si>
    <t>1. Silk Steel ( Newzealand)</t>
  </si>
  <si>
    <t>Home(Newzealand): 5000 (Lost)</t>
  </si>
  <si>
    <t>4. Naveen</t>
  </si>
  <si>
    <t>5. Muhammad Ahmed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</si>
  <si>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</si>
  <si>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</si>
  <si>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</si>
  <si>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</si>
  <si>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</si>
  <si>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</si>
  <si>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9. Daniyal Sheikh</t>
  </si>
  <si>
    <t>Away( Scotland): 10000 bet ( Won )</t>
  </si>
  <si>
    <t>8. Summer Series (Home)</t>
  </si>
  <si>
    <t>1. Summan Baig from Aus - 2k</t>
  </si>
  <si>
    <t>2. Zarnish</t>
  </si>
  <si>
    <t>5. Yeshwanth Chinni</t>
  </si>
  <si>
    <t>Away( Australia): 5000 bet ( Won )</t>
  </si>
  <si>
    <t>5. Orange Black ( Away )</t>
  </si>
  <si>
    <t>2. Kiwi Elephant</t>
  </si>
  <si>
    <t>10. Farhan Mohammad</t>
  </si>
  <si>
    <t>2. Engr to Afg( Comp for Chairman): 10000</t>
  </si>
  <si>
    <t>1. Adnan Khalid</t>
  </si>
  <si>
    <t>6. Gautam Shankara Ram</t>
  </si>
  <si>
    <t>Home ( South Africa ): 5000 bet ( Lost)</t>
  </si>
  <si>
    <t>6. Silver Emerald ( Home )</t>
  </si>
  <si>
    <t>1. Freedom Trophy ( Home )</t>
  </si>
  <si>
    <t>1. Mccullum Graveney ( Scotland)</t>
  </si>
  <si>
    <t>Home(England): 5000 bet (Won)</t>
  </si>
  <si>
    <t>3. Kiwi Tiger</t>
  </si>
  <si>
    <t>2. Hrushikesh HD</t>
  </si>
  <si>
    <t>11. Ganesh Chunduru</t>
  </si>
  <si>
    <t>Away ( Afghanistan ): 5000 bet ( Lost )</t>
  </si>
  <si>
    <t>3. Ali Abbas to Ireland(Compt for Chairman): 10000</t>
  </si>
  <si>
    <t>7. Hasan Musabir</t>
  </si>
  <si>
    <t>7. Taylor Nabi ( Home )</t>
  </si>
  <si>
    <t>2. Southee Cummins( Australia )</t>
  </si>
  <si>
    <t>• vs India: 500</t>
  </si>
  <si>
    <t>2. Nithin</t>
  </si>
  <si>
    <t>12. Ghamshad Baloch</t>
  </si>
  <si>
    <t>Home(India): 6000 bet (Won)</t>
  </si>
  <si>
    <t>4. Italio Kiwi</t>
  </si>
  <si>
    <t>Away ( Netherlands): 3000 bet ( Won )</t>
  </si>
  <si>
    <t>3. Nasrullah</t>
  </si>
  <si>
    <t>2. Huzaifa Imran</t>
  </si>
  <si>
    <t>Away( Newzealand ): 3000 bet ( Lost )</t>
  </si>
  <si>
    <t>1. Against Australia: 1</t>
  </si>
  <si>
    <t>2. Van Ghani ( Away )</t>
  </si>
  <si>
    <t>1. Jishnu to Scotland - 1000</t>
  </si>
  <si>
    <t>Match Bet credits: 37000</t>
  </si>
  <si>
    <t>8. Hrushikesh HD</t>
  </si>
  <si>
    <t>Away ( England): 5000 bet ( Lost )</t>
  </si>
  <si>
    <t>8. Archipelago Series (Home)</t>
  </si>
  <si>
    <t>13. Taniya</t>
  </si>
  <si>
    <t>Home(Bangladesh): 6000 bet (Won)</t>
  </si>
  <si>
    <t>5. Tasman Indus</t>
  </si>
  <si>
    <t>Home (Australia): 10000 bet (Lost)</t>
  </si>
  <si>
    <t>3. Muzammil Zafar</t>
  </si>
  <si>
    <t>Runners Up: Shamroz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</si>
  <si>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</si>
  <si>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</si>
  <si>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</si>
  <si>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</si>
  <si>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</si>
  <si>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PSL ( Commentator )</t>
  </si>
  <si>
    <t>Home (India): 7000 bet (Won)</t>
  </si>
  <si>
    <t>1. Valley Trophy A (Away)</t>
  </si>
  <si>
    <t>14. Iqra Batool</t>
  </si>
  <si>
    <t>Away ( Afghanistan ): 5000 bet ( Won )</t>
  </si>
  <si>
    <t>9. Huzaifa Kaukawala</t>
  </si>
  <si>
    <t>Away ( Netherlands ): 5000 bet ( Won )</t>
  </si>
  <si>
    <t>1. Malik Zubair</t>
  </si>
  <si>
    <t>9. Vellas Trophy (Away)</t>
  </si>
  <si>
    <t>6. Desert Kiwis</t>
  </si>
  <si>
    <t>3. Gautam Shankara Ram</t>
  </si>
  <si>
    <t>15. Hizbullah Sahito</t>
  </si>
  <si>
    <t>Away (West Indies): 5000 bet (Won)</t>
  </si>
  <si>
    <t>4. Ans Sheikh</t>
  </si>
  <si>
    <t>2. Kishore Gowda</t>
  </si>
  <si>
    <t>16. Jalal Jalu</t>
  </si>
  <si>
    <t>Home (Afghanistan): 5000 bet (Lost)</t>
  </si>
  <si>
    <t>3. Iqra</t>
  </si>
  <si>
    <t>4. Zohaib Khan Tareen</t>
  </si>
  <si>
    <t>10. Karthik Devadiga</t>
  </si>
  <si>
    <t>Home ( England): 3000 bet ( Won )</t>
  </si>
  <si>
    <t>Home ( Srilanka): 5000 bet ( Won )</t>
  </si>
  <si>
    <t>17. Khan Mahar</t>
  </si>
  <si>
    <t>4. Khyber Dutch (Home)</t>
  </si>
  <si>
    <t>1. Farhan Mallick</t>
  </si>
  <si>
    <t>3. Ebad from Qatar - 2000</t>
  </si>
  <si>
    <t>Away (Italy): 5000 bet (Won)</t>
  </si>
  <si>
    <t>Away (Srilanka): 10000 bet (Won)</t>
  </si>
  <si>
    <t>2. Valley Trophy B (Home)</t>
  </si>
  <si>
    <t>18. Masrifa Munni</t>
  </si>
  <si>
    <t>5. Talha</t>
  </si>
  <si>
    <t>5. Sufyan Gujjar</t>
  </si>
  <si>
    <t>Away ( South Africa): 6000 bet ( Lost )</t>
  </si>
  <si>
    <t>5. Clash of the Neighbours  (Away)</t>
  </si>
  <si>
    <t>4. Abdul from Qatar - 2000</t>
  </si>
  <si>
    <t>11. Kishore Gowda</t>
  </si>
  <si>
    <t>Home (Srilanka): 10000 bet (Won)</t>
  </si>
  <si>
    <t>3. Kabul Trophy</t>
  </si>
  <si>
    <t>1. Umar Shahzad</t>
  </si>
  <si>
    <t>4. Azeem</t>
  </si>
  <si>
    <t>19. Mian Bilal</t>
  </si>
  <si>
    <t>Home (Newzealand): 5000 bet (Lost)</t>
  </si>
  <si>
    <t>4. Ahmed</t>
  </si>
  <si>
    <t>6. Suhyl Muhammad</t>
  </si>
  <si>
    <t>2. Shamroz</t>
  </si>
  <si>
    <t>Away ( Australia): 7000 bet ( Lost )</t>
  </si>
  <si>
    <t>6. Freedom Jalebi Trophy (Away)</t>
  </si>
  <si>
    <t>5. Abul from BD - 15000</t>
  </si>
  <si>
    <t>12. Mahesh Margol</t>
  </si>
  <si>
    <t>Home ( Bangladesh ): 5000 bet ( Lost )</t>
  </si>
  <si>
    <t>4. Desert Tulip</t>
  </si>
  <si>
    <t>Away(Qatar): 5000 bet (Won)</t>
  </si>
  <si>
    <t>20. Moiz Mohsin</t>
  </si>
  <si>
    <t>7. Anas Asim</t>
  </si>
  <si>
    <t>Away ( Netherlands): 5000 bet ( Won )</t>
  </si>
  <si>
    <t>7. Desert Derby (Away)</t>
  </si>
  <si>
    <t>6. Harsh from BD - 15000</t>
  </si>
  <si>
    <t>2. Anas Asim</t>
  </si>
  <si>
    <t>13. Nithin Poojary</t>
  </si>
  <si>
    <t>Home (West Indies): 5000 bet (Lost)</t>
  </si>
  <si>
    <t>21. Muhammad Ali</t>
  </si>
  <si>
    <t>5. Dunes Cup</t>
  </si>
  <si>
    <t>Home(Qatar): 5000 bet (Won)</t>
  </si>
  <si>
    <t>Eliminated In Group Stage: 10k</t>
  </si>
  <si>
    <t>vs Newzeland: 500</t>
  </si>
  <si>
    <t>2. Adithya Mahajan</t>
  </si>
  <si>
    <t>5. Toby Joseph</t>
  </si>
  <si>
    <t>22. Muhammad Huzaifa</t>
  </si>
  <si>
    <t>14. Pratyush Mishra</t>
  </si>
  <si>
    <t>Home ( Australia ): 5000 bet ( Lost )</t>
  </si>
  <si>
    <t>3. Ram</t>
  </si>
  <si>
    <t>Official Host</t>
  </si>
  <si>
    <t>8. Mudasir Ali</t>
  </si>
  <si>
    <t>23. Wajdan</t>
  </si>
  <si>
    <t xml:space="preserve">Players Awards: 10000 </t>
  </si>
  <si>
    <t>Away ( West Indies): 3000 bet ( Lost )</t>
  </si>
  <si>
    <t>7. Harsh to Aus - 60000</t>
  </si>
  <si>
    <t>Home (Netherlands): 5000 bet (Won)</t>
  </si>
  <si>
    <t>2. Syed Raza</t>
  </si>
  <si>
    <t>15. Ram Thakkar</t>
  </si>
  <si>
    <t>3. Mahesh</t>
  </si>
  <si>
    <t>24. Nouraiz</t>
  </si>
  <si>
    <t>1. Bhavin Kumar</t>
  </si>
  <si>
    <t>3. Ganesh Chunduru</t>
  </si>
  <si>
    <t>9. Suman Pradhan</t>
  </si>
  <si>
    <t>Away ( Bangladesh ): 5000 bet ( Lost )</t>
  </si>
  <si>
    <t>2. Malik Zubair</t>
  </si>
  <si>
    <t>8. Veer from ND: 10000</t>
  </si>
  <si>
    <t>Best Batsman(1000): 4</t>
  </si>
  <si>
    <t>3. Saad Rizwan</t>
  </si>
  <si>
    <t>25. Rima Naskar Sona</t>
  </si>
  <si>
    <t>Best Bat Average(65.5): 5000</t>
  </si>
  <si>
    <t>16.  Ramith Acharya</t>
  </si>
  <si>
    <t>Traded Players:</t>
  </si>
  <si>
    <t>10. SV</t>
  </si>
  <si>
    <t>Home (Australia): 5000 bet (Lost)</t>
  </si>
  <si>
    <t>Home ( Pakistan ): 5000 bet ( Won )</t>
  </si>
  <si>
    <t>• Most Sixes: 300</t>
  </si>
  <si>
    <t>9. Abul (10k) - USA CEO</t>
  </si>
  <si>
    <t>3. Huzaifa</t>
  </si>
  <si>
    <t>26. Sanjana</t>
  </si>
  <si>
    <t>2. Nasrullah</t>
  </si>
  <si>
    <t xml:space="preserve">3. Aniket Gavit </t>
  </si>
  <si>
    <t>11. Abdullah Ishtiaq</t>
  </si>
  <si>
    <t>27. Sheikh Arhum</t>
  </si>
  <si>
    <t>Away ( Newzealand ): 5000 bet ( Lost )</t>
  </si>
  <si>
    <t>Fastest Host of IOCF: 5000</t>
  </si>
  <si>
    <t>Eliminated in group stage: 10k</t>
  </si>
  <si>
    <t>4. Ebad Malik</t>
  </si>
  <si>
    <t>17. Salar Shah</t>
  </si>
  <si>
    <t>28. Shumaila</t>
  </si>
  <si>
    <t>4. Hasan</t>
  </si>
  <si>
    <t>12. Muhammad Ahmed Mughal</t>
  </si>
  <si>
    <t>vs Srilanka: 1000</t>
  </si>
  <si>
    <t>3. Ahmed Mughal</t>
  </si>
  <si>
    <t>29. Sidra</t>
  </si>
  <si>
    <t>18. Sanan Abrar</t>
  </si>
  <si>
    <t>1. Shibasis to SA: 5000</t>
  </si>
  <si>
    <t>Away(England): 10000 bet (Lost)</t>
  </si>
  <si>
    <t>4. Gautam</t>
  </si>
  <si>
    <t>13. Saad Rizwan</t>
  </si>
  <si>
    <t>Home (Netherlands): 4000 bet (Won)</t>
  </si>
  <si>
    <t>Fantasy League Winner</t>
  </si>
  <si>
    <t>5. Ahmed Mughal</t>
  </si>
  <si>
    <t>30. Summan Baig</t>
  </si>
  <si>
    <t>19. Toby Joseph</t>
  </si>
  <si>
    <t>2. Ashutoh from BD: 5000</t>
  </si>
  <si>
    <t>31. Suranja Deepal</t>
  </si>
  <si>
    <t>14. Abdul Haseeb</t>
  </si>
  <si>
    <t>Malik Zubair: 30000</t>
  </si>
  <si>
    <t>32. Wafa Baloch</t>
  </si>
  <si>
    <t>20. Tukaram Parabat</t>
  </si>
  <si>
    <t>3. Ajith to India: 10000</t>
  </si>
  <si>
    <t>15. Aman Raj Singh</t>
  </si>
  <si>
    <t>Away(South Africa): 5000 bet (Won)</t>
  </si>
  <si>
    <t>33. Talha D'Crewz</t>
  </si>
  <si>
    <t>21. Vikas Acharya</t>
  </si>
  <si>
    <t>4. Adithya</t>
  </si>
  <si>
    <t>16. Waleed Khan</t>
  </si>
  <si>
    <t>34. Umar Abbas</t>
  </si>
  <si>
    <t>Away(UAE): 3000 bet (Won)</t>
  </si>
  <si>
    <t>35. Usman</t>
  </si>
  <si>
    <t>36. Aena Khan</t>
  </si>
  <si>
    <t>17. Suleman Haider</t>
  </si>
  <si>
    <t>22. Yashwanth Yash</t>
  </si>
  <si>
    <t>5. Toby</t>
  </si>
  <si>
    <t>BBL ( Commentator )</t>
  </si>
  <si>
    <t>23. Ashwini</t>
  </si>
  <si>
    <t>Man of the match: 3</t>
  </si>
  <si>
    <t>18. Syed Raza</t>
  </si>
  <si>
    <t>24. Azeem</t>
  </si>
  <si>
    <t>25. Ashutosh Sha</t>
  </si>
  <si>
    <t>5. Harish</t>
  </si>
  <si>
    <t>19. Umar Shahzad</t>
  </si>
  <si>
    <t>4. Muhammad Ahmed</t>
  </si>
  <si>
    <t>5. Farhan</t>
  </si>
  <si>
    <t>Most sixes: 2</t>
  </si>
  <si>
    <t>6. Mudasir Ali</t>
  </si>
  <si>
    <t>7. Ahmed</t>
  </si>
  <si>
    <t>6. Yashwanth</t>
  </si>
  <si>
    <t>8. Ans Sheikh</t>
  </si>
  <si>
    <t>6. Srajan</t>
  </si>
  <si>
    <t>Eliminated in Super Six: 15000</t>
  </si>
  <si>
    <t>7. Gautam</t>
  </si>
  <si>
    <t>8. Kishore</t>
  </si>
  <si>
    <t>5. Hizbullah Sahito</t>
  </si>
  <si>
    <t>Best Batsman : 1</t>
  </si>
  <si>
    <t>1. Anas Asim</t>
  </si>
  <si>
    <t>1. Dr Waleed Khan</t>
  </si>
  <si>
    <t>Economical Bowler Award: 5000</t>
  </si>
  <si>
    <t>2. Farhan Mallick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</si>
  <si>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</si>
  <si>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</si>
  <si>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</si>
  <si>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</si>
  <si>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</si>
  <si>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</si>
  <si>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</si>
  <si>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</si>
  <si>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</si>
  <si>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</si>
  <si>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</si>
  <si>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</si>
  <si>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Best Batsman: 2 ( 400 )</t>
  </si>
  <si>
    <t>Best Batsman:1 ( 200 )</t>
  </si>
  <si>
    <t>3. Umar Khan</t>
  </si>
  <si>
    <t>3. Sufyan</t>
  </si>
  <si>
    <t>2. Yashwanth Yash</t>
  </si>
  <si>
    <t>2. Gautam Shankara Ram</t>
  </si>
  <si>
    <t>2. Saad Rizwan</t>
  </si>
  <si>
    <t>2. Suman</t>
  </si>
  <si>
    <t>3. Adithya Mahajan</t>
  </si>
  <si>
    <t>3. Mahesh Margol</t>
  </si>
  <si>
    <t>Best Bowler: 3 (600)</t>
  </si>
  <si>
    <t>3. Hasan Musabbir</t>
  </si>
  <si>
    <t>Team Profit: 5000</t>
  </si>
  <si>
    <t>Best Bowler of the Tournament: 10000</t>
  </si>
  <si>
    <t>Player of the Tournament: 20000</t>
  </si>
  <si>
    <t>Team Profit: 11000</t>
  </si>
  <si>
    <t>Most Sixes Tournament Award: 5000</t>
  </si>
  <si>
    <t>1. Zarnish Saira</t>
  </si>
  <si>
    <t>1. Ans Sheikh</t>
  </si>
  <si>
    <t>1. Shamroz</t>
  </si>
  <si>
    <t>Salary(Replacement Player): 1000</t>
  </si>
  <si>
    <t>4. Harish</t>
  </si>
  <si>
    <t xml:space="preserve">Big Bash League </t>
  </si>
  <si>
    <t>Runners Up: 2850</t>
  </si>
  <si>
    <t>Pakistan Super League ( Own League )</t>
  </si>
  <si>
    <t>Team Profit: 18300</t>
  </si>
  <si>
    <t>Team Profit: 18400</t>
  </si>
  <si>
    <t>Team Profit: 3700</t>
  </si>
  <si>
    <t>Team Profit: 15000</t>
  </si>
  <si>
    <t>Hosting Rights : 50000</t>
  </si>
  <si>
    <t>1. Adithya</t>
  </si>
  <si>
    <t>1. Waleed</t>
  </si>
  <si>
    <t>1. Anas</t>
  </si>
  <si>
    <t>1. Touqeer</t>
  </si>
  <si>
    <t>All Team Profit: 142880</t>
  </si>
  <si>
    <t>Team Profit: 9100</t>
  </si>
  <si>
    <t>Team Profit: 5850</t>
  </si>
  <si>
    <t>Team Profit: 5160</t>
  </si>
  <si>
    <t>2. Mudasir</t>
  </si>
  <si>
    <t>Team Profit: 11460</t>
  </si>
  <si>
    <t>Team Profit: 61340</t>
  </si>
  <si>
    <t>2. Adnan Abbas</t>
  </si>
  <si>
    <t>Team Profit: 14100</t>
  </si>
  <si>
    <t>2. Saad</t>
  </si>
  <si>
    <t>Team Profit: 14400</t>
  </si>
  <si>
    <t>Team Profit: 13900</t>
  </si>
  <si>
    <t>Team Profit: 21080</t>
  </si>
  <si>
    <t>1. Mahesh Margol</t>
  </si>
  <si>
    <t>Team Profit: 24160</t>
  </si>
  <si>
    <t>1. Gautam</t>
  </si>
  <si>
    <t>1. Muhammad Usman</t>
  </si>
  <si>
    <t>1. Engr Ans Sheikh</t>
  </si>
  <si>
    <t>Direct Signing: 4500</t>
  </si>
  <si>
    <t>Salary: 5200</t>
  </si>
  <si>
    <t>Salary: 5250</t>
  </si>
  <si>
    <t>Salary: 3200</t>
  </si>
  <si>
    <t>Captain Salary: 7000</t>
  </si>
  <si>
    <t xml:space="preserve">Kiwi Crown League : 000 </t>
  </si>
  <si>
    <t>2. Gowri Madhu</t>
  </si>
  <si>
    <t>Man of the Match: 1 (500)</t>
  </si>
  <si>
    <t>Man of the Match: 3 ( 1500 )</t>
  </si>
  <si>
    <t>2. Tukaram Parabat</t>
  </si>
  <si>
    <t>2. Hizbullah Sahito</t>
  </si>
  <si>
    <t>Fair Play(Captain): 1540</t>
  </si>
  <si>
    <t>All Team Profit: 0000</t>
  </si>
  <si>
    <t>3. Hrushikesh HD</t>
  </si>
  <si>
    <t>3. Harish</t>
  </si>
  <si>
    <t>Icon Salary: 4000</t>
  </si>
  <si>
    <t>2. Arslan Ali Shani</t>
  </si>
  <si>
    <t>Most Sixes: 5000</t>
  </si>
  <si>
    <t>2. Hasan</t>
  </si>
  <si>
    <t>Runners up ( Captain ): 2880</t>
  </si>
  <si>
    <t>Champions ( Captain ) : 5190</t>
  </si>
  <si>
    <t>3. M Huzaifa</t>
  </si>
  <si>
    <t>Salary: 2600</t>
  </si>
  <si>
    <t>2. Ganesh Chunduru</t>
  </si>
  <si>
    <t>3. Moiz Mohsin</t>
  </si>
  <si>
    <t>4. Aniket Gavi</t>
  </si>
  <si>
    <t>3. Ghamshad Baloch</t>
  </si>
  <si>
    <t>3. Talha</t>
  </si>
  <si>
    <t>4. Khan Mahar</t>
  </si>
  <si>
    <t>3. Masrifa Munni</t>
  </si>
  <si>
    <t>3. Wafa Baloch</t>
  </si>
  <si>
    <t>1. Huzaifa Imran</t>
  </si>
  <si>
    <t>1. Saad Rizwan</t>
  </si>
  <si>
    <t>4. Suranja</t>
  </si>
  <si>
    <t>1. Adithya Mahajan</t>
  </si>
  <si>
    <t>1. Waleed Khan</t>
  </si>
  <si>
    <t>4. Ayat</t>
  </si>
  <si>
    <t xml:space="preserve">Salary: 19000 </t>
  </si>
  <si>
    <t>4. Ahmed Mahsoof</t>
  </si>
  <si>
    <t>2. SK Haseeb Ali</t>
  </si>
  <si>
    <t>5. Mian Bilal</t>
  </si>
  <si>
    <t>All Team Profit: 118800</t>
  </si>
  <si>
    <t>2. Zuhair</t>
  </si>
  <si>
    <t>6. Wajdan</t>
  </si>
  <si>
    <t>2. Touqeer</t>
  </si>
  <si>
    <t xml:space="preserve">Salary: 2500 </t>
  </si>
  <si>
    <t>Emerging Player: 5000</t>
  </si>
  <si>
    <t>3. Mudasir Ali</t>
  </si>
  <si>
    <t>Player of the Tournament: 80000</t>
  </si>
  <si>
    <t>Rating By All Boards on PSL 2026(9 out of 10): 45000 credits</t>
  </si>
  <si>
    <t>4. Abdullah Ishtiaq</t>
  </si>
  <si>
    <t>3. Rao Abul</t>
  </si>
  <si>
    <t>2. Umar Khan</t>
  </si>
  <si>
    <t>Team Profit: 7000</t>
  </si>
  <si>
    <t>Team Profit: 7600</t>
  </si>
  <si>
    <t>Team Profit: 25500</t>
  </si>
  <si>
    <t>All Team Profit: 185700</t>
  </si>
  <si>
    <t>Team Profit: 24500</t>
  </si>
  <si>
    <t>Team Profit: 17700</t>
  </si>
  <si>
    <t>Team Profit: 31000</t>
  </si>
  <si>
    <t>1. Harish</t>
  </si>
  <si>
    <t>5. Adnan Khalid</t>
  </si>
  <si>
    <t>1. Hasan</t>
  </si>
  <si>
    <t>1. Mahesh</t>
  </si>
  <si>
    <t>Team Profit: 2900</t>
  </si>
  <si>
    <t>1. Aniket</t>
  </si>
  <si>
    <t>Team Profit: 90400</t>
  </si>
  <si>
    <t>1. Kishore</t>
  </si>
  <si>
    <t>Team Profit: 55500</t>
  </si>
  <si>
    <t>Team Profit: 4000</t>
  </si>
  <si>
    <t>6. Sufyan Gujjar</t>
  </si>
  <si>
    <t>1. Ganesh</t>
  </si>
  <si>
    <t>1. Ahmad</t>
  </si>
  <si>
    <t>1. Ayaan</t>
  </si>
  <si>
    <t>7. Muzamil</t>
  </si>
  <si>
    <t>1. Hizbullah</t>
  </si>
  <si>
    <t>2. Hrushikesh</t>
  </si>
  <si>
    <t>Best Bowler: 4 (2000 )</t>
  </si>
  <si>
    <t>2. Arslan</t>
  </si>
  <si>
    <t>Golden Arm(Best Bowler): 20000</t>
  </si>
  <si>
    <t>2. Tukaram</t>
  </si>
  <si>
    <t>Man of the match: 1 ( 1000 )</t>
  </si>
  <si>
    <t>Most Sixers: 10000</t>
  </si>
  <si>
    <t>(AFG)Withdrawn from BPL: 150000 Fine</t>
  </si>
  <si>
    <t xml:space="preserve"> Best Batsman: 1 (500)</t>
  </si>
  <si>
    <t>3. Usman</t>
  </si>
  <si>
    <t>2. Munni</t>
  </si>
  <si>
    <t>Best Bowler: 2 ( 1000 )</t>
  </si>
  <si>
    <t>2. Shibasis</t>
  </si>
  <si>
    <t>Man of the Match: 2 ( 2000 )</t>
  </si>
  <si>
    <t>2. Gautam</t>
  </si>
  <si>
    <t>3. Engr</t>
  </si>
  <si>
    <t>4. Aaiz</t>
  </si>
  <si>
    <t>4. Sameer</t>
  </si>
  <si>
    <t>5. Wajdan</t>
  </si>
  <si>
    <t>4. Yashwanth</t>
  </si>
  <si>
    <t>5. Salar Shah</t>
  </si>
  <si>
    <t>Kiwi Crown League ( Own League )</t>
  </si>
  <si>
    <t>1. Ans</t>
  </si>
  <si>
    <t>1. Mudasir Ali</t>
  </si>
  <si>
    <t>Man of the match: 3 (6000)</t>
  </si>
  <si>
    <t>Hosting Rights : 160000</t>
  </si>
  <si>
    <t>Best Bowler: 3 (3000)</t>
  </si>
  <si>
    <t>2. Abdullah Ishtiaq</t>
  </si>
  <si>
    <t>All Team Profit: 560000</t>
  </si>
  <si>
    <t>1. Ganesh Chunduru</t>
  </si>
  <si>
    <t>1. Summan Baig</t>
  </si>
  <si>
    <t>1. Aaiz Khan</t>
  </si>
  <si>
    <t>3. Suman Pradhan</t>
  </si>
  <si>
    <t>2. Muhammad Usman</t>
  </si>
  <si>
    <t>2. Nouraiz</t>
  </si>
  <si>
    <t>3. Ali Abbas Bangesh</t>
  </si>
  <si>
    <t>4. Zohaib</t>
  </si>
  <si>
    <t>4. Muhammad Ali</t>
  </si>
  <si>
    <t>1. Gautam Shankara Ram</t>
  </si>
  <si>
    <t>1. Hrushikesh HD</t>
  </si>
  <si>
    <t>1. Shibasis Nayak</t>
  </si>
  <si>
    <t xml:space="preserve">1. Ram Thakkar </t>
  </si>
  <si>
    <t>Captain Salary: 40000</t>
  </si>
  <si>
    <t>2. Karthik Devadiga</t>
  </si>
  <si>
    <t>2. Suman Byndoor</t>
  </si>
  <si>
    <t>Fair Play(Captain): 5565</t>
  </si>
  <si>
    <t>5. Muzamil</t>
  </si>
  <si>
    <t>2. Srajan Poojary</t>
  </si>
  <si>
    <t>Champions(Captain): 21500</t>
  </si>
  <si>
    <t>Board: Scotland</t>
  </si>
  <si>
    <t>2. Adarsh Byndoor</t>
  </si>
  <si>
    <t>6. Sufyan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</si>
  <si>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</si>
  <si>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</si>
  <si>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</si>
  <si>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</si>
  <si>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</si>
  <si>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</si>
  <si>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Chairman: Ajaykumar Sajeev | CEO: Jishnu</t>
  </si>
  <si>
    <t>3. Huzaifa Kaukawala</t>
  </si>
  <si>
    <t>1. Aaiz</t>
  </si>
  <si>
    <t>1. Ahmed</t>
  </si>
  <si>
    <t>4. Toby Joseph</t>
  </si>
  <si>
    <t>4. Manish Poojary</t>
  </si>
  <si>
    <t>3. Vijeth Devadiga</t>
  </si>
  <si>
    <t>4. Naveen J</t>
  </si>
  <si>
    <t>4. Kavya</t>
  </si>
  <si>
    <t>Best Batsman:1 (1000)</t>
  </si>
  <si>
    <t>2. Usman</t>
  </si>
  <si>
    <t>3. Ganesh</t>
  </si>
  <si>
    <t>5. Samir</t>
  </si>
  <si>
    <t>3. Mian</t>
  </si>
  <si>
    <t>5. Vikas Acharya</t>
  </si>
  <si>
    <t>3. Umar Abbas</t>
  </si>
  <si>
    <t>4. Wafa</t>
  </si>
  <si>
    <t>5. Summan</t>
  </si>
  <si>
    <t>Rating By All Boards on The Hundred 2026(9 out of 10): 45000 credits</t>
  </si>
  <si>
    <t>6. Ali Bangesh</t>
  </si>
  <si>
    <t>1. Abhinand</t>
  </si>
  <si>
    <t xml:space="preserve">1. Saad </t>
  </si>
  <si>
    <t>1. Suhyl Muhammad</t>
  </si>
  <si>
    <t>1. Huzaifa</t>
  </si>
  <si>
    <t>1. Mccullum Graveney ( Away )</t>
  </si>
  <si>
    <t>Salary:15000</t>
  </si>
  <si>
    <t>2. Ebad</t>
  </si>
  <si>
    <t>2. Rao</t>
  </si>
  <si>
    <t>3. SV</t>
  </si>
  <si>
    <t>1. Mian</t>
  </si>
  <si>
    <t>2. Ganesh</t>
  </si>
  <si>
    <t>Jishnu from Afghanistan</t>
  </si>
  <si>
    <t>2. Haniya</t>
  </si>
  <si>
    <t xml:space="preserve">3. Nasrullah </t>
  </si>
  <si>
    <t>Away( Westindies/Scotland): 5000 ( Lost )</t>
  </si>
  <si>
    <t>2. Macleod Bardman ( Home )</t>
  </si>
  <si>
    <t>Salary: 13000</t>
  </si>
  <si>
    <t>1. Mcculim Graveney ( Away )</t>
  </si>
  <si>
    <t>2. Aaiz</t>
  </si>
  <si>
    <t xml:space="preserve">1. Hrushikesh </t>
  </si>
  <si>
    <t>Best Bowler: 4 (6000)</t>
  </si>
  <si>
    <t xml:space="preserve">1. Tukaram </t>
  </si>
  <si>
    <t xml:space="preserve">Players Awards: 35000 </t>
  </si>
  <si>
    <t xml:space="preserve">1. Huzaifa </t>
  </si>
  <si>
    <t>Purple Cap Award: 80000</t>
  </si>
  <si>
    <t xml:space="preserve">1. Aniket </t>
  </si>
  <si>
    <t>Match Bet credits: 28000</t>
  </si>
  <si>
    <t xml:space="preserve">1. Adarsh </t>
  </si>
  <si>
    <t>1. Sanan</t>
  </si>
  <si>
    <t>Hosting Amount: 101k</t>
  </si>
  <si>
    <t>4. Sidra</t>
  </si>
  <si>
    <t>6. Ali</t>
  </si>
  <si>
    <t xml:space="preserve">2. Srajan </t>
  </si>
  <si>
    <t>2. Pratyush</t>
  </si>
  <si>
    <t xml:space="preserve">2. Mahesh </t>
  </si>
  <si>
    <t>3. Afsal OCA</t>
  </si>
  <si>
    <t xml:space="preserve">2. Vikas </t>
  </si>
  <si>
    <t xml:space="preserve">Player limit increased: </t>
  </si>
  <si>
    <t>2. Ramith</t>
  </si>
  <si>
    <t xml:space="preserve">2. Toby </t>
  </si>
  <si>
    <t>Away( England ): 5000 ( Lost )</t>
  </si>
  <si>
    <t>1. Mudasir</t>
  </si>
  <si>
    <t>1. Suhyl</t>
  </si>
  <si>
    <t>3. Coca Cola Series ( Away )</t>
  </si>
  <si>
    <t xml:space="preserve">1. Ahmed Mughal </t>
  </si>
  <si>
    <t>1. Ebad Malik</t>
  </si>
  <si>
    <t>Players Awards: 6700</t>
  </si>
  <si>
    <t>1. Veer Gupta</t>
  </si>
  <si>
    <t>1. Hashir</t>
  </si>
  <si>
    <t>Player Awards: 16000</t>
  </si>
  <si>
    <t>Home (West Indies): 5000 bet ( Lost )</t>
  </si>
  <si>
    <t>1. Palmyra Trophy</t>
  </si>
  <si>
    <t>3. Hasan</t>
  </si>
  <si>
    <t>Scotland (10000)</t>
  </si>
  <si>
    <t>3. Karthik</t>
  </si>
  <si>
    <t>2. Ans Sheikh</t>
  </si>
  <si>
    <t>3. Nithin</t>
  </si>
  <si>
    <t xml:space="preserve">1. Jishnu </t>
  </si>
  <si>
    <t>4. Akshay Varnam</t>
  </si>
  <si>
    <t xml:space="preserve">4. Naveen </t>
  </si>
  <si>
    <t>Home ( pakistan): 5000 ( Lost )</t>
  </si>
  <si>
    <t>4. Euro Cup ( Away )</t>
  </si>
  <si>
    <t>1. Jishnu</t>
  </si>
  <si>
    <t xml:space="preserve">5. Yeshwanth </t>
  </si>
  <si>
    <t>Most Sixes(18): 5000</t>
  </si>
  <si>
    <t>1.  Irshad</t>
  </si>
  <si>
    <t>Away ( West Indies ): 5000 bet ( Won )</t>
  </si>
  <si>
    <t>2. Mediterranean Saltire</t>
  </si>
  <si>
    <t>Scotland(15000)</t>
  </si>
  <si>
    <t>2. Zarnish Saira</t>
  </si>
  <si>
    <t>1. Eng Ans Sheikh</t>
  </si>
  <si>
    <t>5. Amal</t>
  </si>
  <si>
    <t>1. Raza</t>
  </si>
  <si>
    <t>Away( Newzealand): 5000 ( Won )</t>
  </si>
  <si>
    <t>Man of the match : 1</t>
  </si>
  <si>
    <t>2. Ahmed Mughal</t>
  </si>
  <si>
    <t>2. Mudasir Ali</t>
  </si>
  <si>
    <t>2. Shafi</t>
  </si>
  <si>
    <t>3. Kiwi Thistle</t>
  </si>
  <si>
    <t>Best Captain:</t>
  </si>
  <si>
    <t>Amjith (20000)</t>
  </si>
  <si>
    <t>4. Huzaifa Imran</t>
  </si>
  <si>
    <t>5. Abdul Muqeeth</t>
  </si>
  <si>
    <t>6. Aman Raj Singh</t>
  </si>
  <si>
    <t>6. Amjith</t>
  </si>
  <si>
    <t>Home ( Australia): 5000 ( Won )</t>
  </si>
  <si>
    <t>1. Muhammad Ali</t>
  </si>
  <si>
    <t>1. Ayaan Sheikh</t>
  </si>
  <si>
    <t>1. Thistle shaheen ( Home )</t>
  </si>
  <si>
    <t>1. Umar Abbas</t>
  </si>
  <si>
    <t>Best Bowler: 10000</t>
  </si>
  <si>
    <t>Salary: 28000</t>
  </si>
  <si>
    <t>Away (Newzealand): 5000 bet ( Won )</t>
  </si>
  <si>
    <t>4. Celtic Kiwi</t>
  </si>
  <si>
    <t>Champions:</t>
  </si>
  <si>
    <t>2. Kebin</t>
  </si>
  <si>
    <t>3. Muhammad Ahmed</t>
  </si>
  <si>
    <t>3. Summan Baig</t>
  </si>
  <si>
    <t>1. Azeem</t>
  </si>
  <si>
    <t>4. Aaiz Khan</t>
  </si>
  <si>
    <t>5. Sidra</t>
  </si>
  <si>
    <t>1. Hasan Musabir</t>
  </si>
  <si>
    <t>6. Iqra</t>
  </si>
  <si>
    <t>7. Ali Abbas</t>
  </si>
  <si>
    <t>8. Wafa Baloch</t>
  </si>
  <si>
    <t>7. Anandhu</t>
  </si>
  <si>
    <t>Man of the Match: 1 (3000)</t>
  </si>
  <si>
    <t>Away ( SL, Pak, WI): 6000 ( Won )</t>
  </si>
  <si>
    <t>World T20 Champions 2026</t>
  </si>
  <si>
    <t>2. Crescent Carnage ( Home )</t>
  </si>
  <si>
    <t>Best Bowler:1 (1500)</t>
  </si>
  <si>
    <t>Man of the Tournament: 20000</t>
  </si>
  <si>
    <t>Man of the Match: 4</t>
  </si>
  <si>
    <t>Most Sixes Award: 40000</t>
  </si>
  <si>
    <t>Home (Newzealand): 5000  bet (Won)</t>
  </si>
  <si>
    <t>5. Highland Tigers</t>
  </si>
  <si>
    <t>2. Shukoor</t>
  </si>
  <si>
    <t>3. Ashutosh</t>
  </si>
  <si>
    <t xml:space="preserve">2. Ajith </t>
  </si>
  <si>
    <t>2. Mahesh Margol</t>
  </si>
  <si>
    <t>3. Yeshwanth</t>
  </si>
  <si>
    <t>8. Ansar</t>
  </si>
  <si>
    <t>Home ( Pakistan ): 10000 ( Lost )</t>
  </si>
  <si>
    <t>3. Hrushikesh</t>
  </si>
  <si>
    <t>Away (Bangladesh): 5000 bet (Lost)</t>
  </si>
  <si>
    <t>6. Madsen Berrington</t>
  </si>
  <si>
    <t>Salary: 37000</t>
  </si>
  <si>
    <t>3. Tukaram Parabat</t>
  </si>
  <si>
    <t>4. Adarsh Byndoor</t>
  </si>
  <si>
    <t>4. Nithin</t>
  </si>
  <si>
    <t>Salary: 47000</t>
  </si>
  <si>
    <t>4. Ashwini</t>
  </si>
  <si>
    <t>9. Arshad</t>
  </si>
  <si>
    <t>Away ( Srilanka ): 5000 ( Lost )</t>
  </si>
  <si>
    <t>Champions: 80000</t>
  </si>
  <si>
    <t>vs Newzealand: 1000</t>
  </si>
  <si>
    <t>Home (Bangladesh): 5000 bet (Won)</t>
  </si>
  <si>
    <t>7. The Ravana Cup</t>
  </si>
  <si>
    <t>3. Kebin</t>
  </si>
  <si>
    <t>5. Karthik Devadiga</t>
  </si>
  <si>
    <t>Best Batsman: 3 (4500)</t>
  </si>
  <si>
    <t>10. Arshad N</t>
  </si>
  <si>
    <t>Away ( Netherlands ): 5000 ( Won )</t>
  </si>
  <si>
    <t>Away(Scotland): 3000 bet (Lost)</t>
  </si>
  <si>
    <t>8. Latitude Clash</t>
  </si>
  <si>
    <t>4. Ashiqui Ashi</t>
  </si>
  <si>
    <t>11. Ashiqui Ashi</t>
  </si>
  <si>
    <t>Prediction 4th Place: 5000</t>
  </si>
  <si>
    <t>vs UAE: 1000</t>
  </si>
  <si>
    <t>9. Highland Falcons</t>
  </si>
  <si>
    <t>3. Resham Das</t>
  </si>
  <si>
    <t>12. Ashith S</t>
  </si>
  <si>
    <t>Semifinalit: Abhinand</t>
  </si>
  <si>
    <t>Man of the match : 4</t>
  </si>
  <si>
    <t>13. Asthu Mohammad</t>
  </si>
  <si>
    <t>1. Ashwini</t>
  </si>
  <si>
    <t>1. Hrushikesh</t>
  </si>
  <si>
    <t>4. Akshay</t>
  </si>
  <si>
    <t>2. Ashutosh</t>
  </si>
  <si>
    <t xml:space="preserve">14. Athul </t>
  </si>
  <si>
    <t>2. Thesbeer</t>
  </si>
  <si>
    <t>Away(Srilanka): 6000 bet  (Won)</t>
  </si>
  <si>
    <t>3. Kishore</t>
  </si>
  <si>
    <t>15. Blesson Devassi</t>
  </si>
  <si>
    <t>Away(UAE): 5000 bet (Won)</t>
  </si>
  <si>
    <t xml:space="preserve">5. Kailas </t>
  </si>
  <si>
    <t>16. Bijoy</t>
  </si>
  <si>
    <t>• vs India(Semis): 500</t>
  </si>
  <si>
    <t>17. Chappy MK</t>
  </si>
  <si>
    <t>3. Hashir</t>
  </si>
  <si>
    <t xml:space="preserve">8. Tukaram </t>
  </si>
  <si>
    <t>18. Dingan</t>
  </si>
  <si>
    <t>19. Ershad</t>
  </si>
  <si>
    <t>20. Hari M</t>
  </si>
  <si>
    <t>• vs India(Semis): 300</t>
  </si>
  <si>
    <t>21. Harishankar</t>
  </si>
  <si>
    <t>22. Hashir</t>
  </si>
  <si>
    <t>Most sixes: 3</t>
  </si>
  <si>
    <t>4. Ershad</t>
  </si>
  <si>
    <t>23. Huzain Muhammad</t>
  </si>
  <si>
    <t>24. Irshad Bekal</t>
  </si>
  <si>
    <t>25. Jasheer V</t>
  </si>
  <si>
    <t>5. Ashith</t>
  </si>
  <si>
    <t>26. Kailas</t>
  </si>
  <si>
    <t>4. Shukoor</t>
  </si>
  <si>
    <t>27. Kebin</t>
  </si>
  <si>
    <t>28. Libin Thomas</t>
  </si>
  <si>
    <t>29. MS</t>
  </si>
  <si>
    <t>5. Irshad Bekal</t>
  </si>
  <si>
    <t>6. Asthu</t>
  </si>
  <si>
    <t>30. Rojo</t>
  </si>
  <si>
    <t>31. Sajith</t>
  </si>
  <si>
    <t>1. Nithin Poojary</t>
  </si>
  <si>
    <t>• vs England(Final): 500</t>
  </si>
  <si>
    <t>1. Gokul G</t>
  </si>
  <si>
    <t>32. Salimax</t>
  </si>
  <si>
    <t>6. Kebin</t>
  </si>
  <si>
    <t>Board: South Africa</t>
  </si>
  <si>
    <t>33. Shaheen</t>
  </si>
  <si>
    <t>Chairman: Srinidhi &amp; Donald Baghwar</t>
  </si>
  <si>
    <t>34. Shehinsha</t>
  </si>
  <si>
    <t>• vs England(Final): 1000</t>
  </si>
  <si>
    <t>7. Salimax</t>
  </si>
  <si>
    <t>2. Ashutosh Jha</t>
  </si>
  <si>
    <t>35. Shinu</t>
  </si>
  <si>
    <t>36. Shukoor</t>
  </si>
  <si>
    <t>Players:</t>
  </si>
  <si>
    <t>37. Sufaid</t>
  </si>
  <si>
    <t>8. Ajaykumar</t>
  </si>
  <si>
    <t>38. Thanvin</t>
  </si>
  <si>
    <t>39. Thebseer</t>
  </si>
  <si>
    <t>40. Vivek</t>
  </si>
  <si>
    <t>Board: SRILANKA</t>
  </si>
  <si>
    <t>41. Yadhu</t>
  </si>
  <si>
    <t>42. Zuhaid Mohd</t>
  </si>
  <si>
    <t>Chairman: Damitha Naranpanawa | CEO: Thilanga Dumindu</t>
  </si>
  <si>
    <t>43. Ajoy</t>
  </si>
  <si>
    <t>vs UAE: 500</t>
  </si>
  <si>
    <t>1. Bhavin from BD - 2500</t>
  </si>
  <si>
    <t>9. Jishnu</t>
  </si>
  <si>
    <t>Home(Afghanistan): 5000 bet (Lost)</t>
  </si>
  <si>
    <t>Match Bet credits: 15000</t>
  </si>
  <si>
    <t>10. Hari M</t>
  </si>
  <si>
    <t>2. Raksh from BD - 2500</t>
  </si>
  <si>
    <t>Away(Bangladesh): 5000 bet (Lost)</t>
  </si>
  <si>
    <t>Players Awards: 6500</t>
  </si>
  <si>
    <t>Home(Italy): 5000 bet (Lost)</t>
  </si>
  <si>
    <t>1. Sky Bound</t>
  </si>
  <si>
    <t>01. Asiri</t>
  </si>
  <si>
    <t>1. Srinidhi K</t>
  </si>
  <si>
    <t>1. Colombo Cup ( Home )</t>
  </si>
  <si>
    <t>4. Rakshith Raksh</t>
  </si>
  <si>
    <t>3. Saketh from BD - 2500</t>
  </si>
  <si>
    <t>1. K Rakesh</t>
  </si>
  <si>
    <t>Home(West Indies): 5000 bet (Won)</t>
  </si>
  <si>
    <t>2. Earth Bound</t>
  </si>
  <si>
    <t>02. Hasindu Rashminda</t>
  </si>
  <si>
    <t>Home( Pakistan ): 6000 bet ( Won )</t>
  </si>
  <si>
    <t>2. Revival Cup ( Away )</t>
  </si>
  <si>
    <t>1. Eagles Trophy ( Home )</t>
  </si>
  <si>
    <t>Match Bet credits: -12000</t>
  </si>
  <si>
    <t>5. Mahi Mahendra</t>
  </si>
  <si>
    <t>03. Kosala Jayasinghe</t>
  </si>
  <si>
    <t>4. Bhavesh from BD - 2500</t>
  </si>
  <si>
    <t>Away( Afghanistan): 5000 bet ( Won )</t>
  </si>
  <si>
    <t>3. Blue Rivalry cup ( Home )</t>
  </si>
  <si>
    <t>Away(West Indies): 5000 bet (Won)</t>
  </si>
  <si>
    <t>Players Awards: 1400</t>
  </si>
  <si>
    <t>3. Heritage Trophy</t>
  </si>
  <si>
    <t xml:space="preserve">1. Kaushik Kalita </t>
  </si>
  <si>
    <t>Home (Afghanistan ): 10000 bet (Lost)</t>
  </si>
  <si>
    <t>1. Hague Colombo</t>
  </si>
  <si>
    <t>No one is playing: They will concetrate on series</t>
  </si>
  <si>
    <t>1. Damitha N</t>
  </si>
  <si>
    <t>6. K Rakesh</t>
  </si>
  <si>
    <t>5. Mahi from Aus - 2500</t>
  </si>
  <si>
    <t>Home(India): 5000 bet (Won)</t>
  </si>
  <si>
    <t>4. Bungle in The Jungle</t>
  </si>
  <si>
    <t>04. Rubesh Jude Daniel</t>
  </si>
  <si>
    <t>Home( India ): 6000 bet ( Won )</t>
  </si>
  <si>
    <t>7. Sid V Jain</t>
  </si>
  <si>
    <t>4. Emerald Isle ( Away )</t>
  </si>
  <si>
    <t>1. Virendra</t>
  </si>
  <si>
    <t>6. K Rakesh from Aus - 2500</t>
  </si>
  <si>
    <t>Away (Afghanistan): 10000 bet (Lost)</t>
  </si>
  <si>
    <t xml:space="preserve">2. Island Trophy </t>
  </si>
  <si>
    <t>2. Siddharth V Jain</t>
  </si>
  <si>
    <t>Team Profit: 3800</t>
  </si>
  <si>
    <t>2. Rahul Mohapatra</t>
  </si>
  <si>
    <t>Team Profit: 9140</t>
  </si>
  <si>
    <t>1. Ashique Ashi</t>
  </si>
  <si>
    <t>1. Shafi</t>
  </si>
  <si>
    <t>05. Miraj Cool</t>
  </si>
  <si>
    <t>Salary: 3800</t>
  </si>
  <si>
    <t>Away( England): 5000 bet ( won )</t>
  </si>
  <si>
    <t>8. Susheel Teja</t>
  </si>
  <si>
    <t>5. Eagles Trophy ( Home )</t>
  </si>
  <si>
    <t>7. Shibasis from NZ - 5000</t>
  </si>
  <si>
    <t>Away (Netherlands): 5000 bet (Won)</t>
  </si>
  <si>
    <t>3. Srilanka in England</t>
  </si>
  <si>
    <t>1. Miraj Cool</t>
  </si>
  <si>
    <t>06. Hansana De Silva</t>
  </si>
  <si>
    <t>9. Rahul Mahapatra</t>
  </si>
  <si>
    <t>Home( Scot,Pak,WI): 6000 bet ( Lost )</t>
  </si>
  <si>
    <t>8. Adithya from BD - 15000</t>
  </si>
  <si>
    <t>6. Highland Lions ( Away )</t>
  </si>
  <si>
    <t>3. Shibasis</t>
  </si>
  <si>
    <t>3. Rakshith Shetty</t>
  </si>
  <si>
    <t>07. Sasith Jayawardena</t>
  </si>
  <si>
    <t>10. Shiva Teja</t>
  </si>
  <si>
    <t>9. Saubhagya (Trade Issue) - 20000</t>
  </si>
  <si>
    <t>7. The London Cup (Away)</t>
  </si>
  <si>
    <t>2. Kavinda</t>
  </si>
  <si>
    <t>2. Rasith</t>
  </si>
  <si>
    <t>2. Hasindu Rashminda</t>
  </si>
  <si>
    <t>11. Kaushik Kalita</t>
  </si>
  <si>
    <t>All Team Profit: 95600</t>
  </si>
  <si>
    <t>12. Girish Ranjan</t>
  </si>
  <si>
    <t>13. Manish Kumar</t>
  </si>
  <si>
    <t>14. Parth Inamdar</t>
  </si>
  <si>
    <t>08. Damith Nandana</t>
  </si>
  <si>
    <t>15. Shibasis</t>
  </si>
  <si>
    <t>Away ( Newzealand): 5000 bet ( Lost )</t>
  </si>
  <si>
    <t>2. Kaushik</t>
  </si>
  <si>
    <t>8. Kingdom Trophy ( Home)</t>
  </si>
  <si>
    <t>Home(Scotland): 6000 bet (Lost)</t>
  </si>
  <si>
    <t>16. Anshuman Mishra</t>
  </si>
  <si>
    <t>3. Ruwanga</t>
  </si>
  <si>
    <t>Team Profit: 10000</t>
  </si>
  <si>
    <t>2. Thilanga D</t>
  </si>
  <si>
    <t>17. Kamalesh Chaudary</t>
  </si>
  <si>
    <t>Team Profit: 3600</t>
  </si>
  <si>
    <t>Team Profit: 2200</t>
  </si>
  <si>
    <t>18. Jibin Altaf</t>
  </si>
  <si>
    <t>3. Bhavin Kumar</t>
  </si>
  <si>
    <t>Team Profit: 68100</t>
  </si>
  <si>
    <t>19. Rakshith Shetty</t>
  </si>
  <si>
    <t>09. Kavinda Gihan</t>
  </si>
  <si>
    <t>20. Adithya Mahajan</t>
  </si>
  <si>
    <t>Away ( Scotland ): 5000 bet ( Won )</t>
  </si>
  <si>
    <t>1. Kebin</t>
  </si>
  <si>
    <t>9. Breaking Boundaries Cup (Away)</t>
  </si>
  <si>
    <t>1. Ashith</t>
  </si>
  <si>
    <t>21. Saubhagya Gupta</t>
  </si>
  <si>
    <t>Away(West Indies): 6000 bet (Lost)</t>
  </si>
  <si>
    <t>1. AjayKumar</t>
  </si>
  <si>
    <t>4. Damitha Naranpanawa</t>
  </si>
  <si>
    <t>22. Kaushik Jagadeesan</t>
  </si>
  <si>
    <t>1. Irshad</t>
  </si>
  <si>
    <t>1. Ashiqui</t>
  </si>
  <si>
    <t>1. Rojo</t>
  </si>
  <si>
    <t>All leagues Profit</t>
  </si>
  <si>
    <t>10. Rasith Wijethunga</t>
  </si>
  <si>
    <t>Home (Italy): 6000 bet (Lost)</t>
  </si>
  <si>
    <t>3. Damitha N</t>
  </si>
  <si>
    <t>5. Thilanga Dumindu</t>
  </si>
  <si>
    <t>3. Hasindu R</t>
  </si>
  <si>
    <t>2. Jishnu</t>
  </si>
  <si>
    <t>11. Kithmewan Gimantha</t>
  </si>
  <si>
    <t>2. Thebseer</t>
  </si>
  <si>
    <t>12. Uresh Gnananga</t>
  </si>
  <si>
    <t>3. Shaheen</t>
  </si>
  <si>
    <t>13. Poorna K De Silva</t>
  </si>
  <si>
    <t>4. Sasith</t>
  </si>
  <si>
    <t>4. Salimax</t>
  </si>
  <si>
    <t>14. Ruwanga Bandarawaththa</t>
  </si>
  <si>
    <t>3. Sasith</t>
  </si>
  <si>
    <t>15. Chalana Rukshan</t>
  </si>
  <si>
    <t>Away(West Indies): 10000 bet (Won)</t>
  </si>
  <si>
    <t>5. Asthu</t>
  </si>
  <si>
    <t>16. Thilina Jayarathna</t>
  </si>
  <si>
    <t>17. Binara</t>
  </si>
  <si>
    <t>18. Virendra</t>
  </si>
  <si>
    <t>1. Srinidhi</t>
  </si>
  <si>
    <t>2. Saketh Balne</t>
  </si>
  <si>
    <t>4. Ruwanga</t>
  </si>
  <si>
    <t>Best Economy(2.0): 5000</t>
  </si>
  <si>
    <t>Fantasy League 4th Place</t>
  </si>
  <si>
    <t>Sasith: 5000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</si>
  <si>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</si>
  <si>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</si>
  <si>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</si>
  <si>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</si>
  <si>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</si>
  <si>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</si>
  <si>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</si>
  <si>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</si>
  <si>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</si>
  <si>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</si>
  <si>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1. Ajaykumar Sajeev</t>
  </si>
  <si>
    <t>1. Rahul Mahapatra</t>
  </si>
  <si>
    <t>Pakistan Super League : 37140</t>
  </si>
  <si>
    <t>1. Irshad Bekal</t>
  </si>
  <si>
    <t>1. Bhavesh</t>
  </si>
  <si>
    <t>1. Ashiqui Ashi</t>
  </si>
  <si>
    <t>1. Kaushik Kalita</t>
  </si>
  <si>
    <t>No Salary ( Traded )</t>
  </si>
  <si>
    <t>2. Shiva Teja</t>
  </si>
  <si>
    <t>Team Profit: 11980</t>
  </si>
  <si>
    <t>Team Profit: 1100</t>
  </si>
  <si>
    <t>Team Profit: 18100</t>
  </si>
  <si>
    <t>Team Profit: 5960</t>
  </si>
  <si>
    <t>3. Mahi Mahendra</t>
  </si>
  <si>
    <t>1. Rasith Wijetthunga</t>
  </si>
  <si>
    <t>1. Rubesh</t>
  </si>
  <si>
    <t>Best Bowler:  1 (1000)</t>
  </si>
  <si>
    <t>2. Hashir</t>
  </si>
  <si>
    <t xml:space="preserve">4. K Rakesh </t>
  </si>
  <si>
    <t>Salary: 3600</t>
  </si>
  <si>
    <t>Best Bowler: 3 (2250)</t>
  </si>
  <si>
    <t>5. Parth Inamdar</t>
  </si>
  <si>
    <t>2. Damith Nandana</t>
  </si>
  <si>
    <t>2. Chappy</t>
  </si>
  <si>
    <t>6. Manish Kumar</t>
  </si>
  <si>
    <t>2. Damitha Naranpanwa</t>
  </si>
  <si>
    <t>2. Kosala</t>
  </si>
  <si>
    <t>7. Susheel</t>
  </si>
  <si>
    <t>3. Virendra</t>
  </si>
  <si>
    <t>9. Shibasis</t>
  </si>
  <si>
    <t>Salary: 12200</t>
  </si>
  <si>
    <t>4. Hasindu Rashminda</t>
  </si>
  <si>
    <t>5. Sasith</t>
  </si>
  <si>
    <t>Big Bash League : 25900</t>
  </si>
  <si>
    <t>All Team Profit: 44500</t>
  </si>
  <si>
    <t>Team Profit: 7500</t>
  </si>
  <si>
    <t>Team Profit: 21600</t>
  </si>
  <si>
    <t>Team Profit: 23400</t>
  </si>
  <si>
    <t>1. Miraj</t>
  </si>
  <si>
    <t>1. Ruwanga</t>
  </si>
  <si>
    <t>1. Hasana</t>
  </si>
  <si>
    <t>2. Hasindu</t>
  </si>
  <si>
    <t>2. Thilanga</t>
  </si>
  <si>
    <t>1. Kaushik</t>
  </si>
  <si>
    <t>2. Thilina</t>
  </si>
  <si>
    <t>1. Raksh</t>
  </si>
  <si>
    <t>1. Sidharth V Jain</t>
  </si>
  <si>
    <t>3. Rasith</t>
  </si>
  <si>
    <t>Man of the match: 3 (9000)</t>
  </si>
  <si>
    <t>4. Uresh GN</t>
  </si>
  <si>
    <t>3. Rubesh</t>
  </si>
  <si>
    <t>2. Rakesh</t>
  </si>
  <si>
    <t>4. Damith N</t>
  </si>
  <si>
    <t xml:space="preserve">2. Mahi </t>
  </si>
  <si>
    <t>Salary: 300</t>
  </si>
  <si>
    <t>2. Kamlesh</t>
  </si>
  <si>
    <t>3. Shiva</t>
  </si>
  <si>
    <t>4. Shibasis</t>
  </si>
  <si>
    <t>4. Bhavin</t>
  </si>
  <si>
    <t>1. Hari</t>
  </si>
  <si>
    <t>5. Srinidhi</t>
  </si>
  <si>
    <t>1. Ajay</t>
  </si>
  <si>
    <t>1. Shaheen</t>
  </si>
  <si>
    <t>1. Sali</t>
  </si>
  <si>
    <t>1. Asthu</t>
  </si>
  <si>
    <t>6. Rahul</t>
  </si>
  <si>
    <t>Salary: 1900</t>
  </si>
  <si>
    <t>1. Kavinda Gihan</t>
  </si>
  <si>
    <t>2. Ashi</t>
  </si>
  <si>
    <t>1. Rasith</t>
  </si>
  <si>
    <t>2. Akshay</t>
  </si>
  <si>
    <t>Best bowler: 1 (1000)</t>
  </si>
  <si>
    <t>2. Rubesh Jude</t>
  </si>
  <si>
    <t>3. Blesson</t>
  </si>
  <si>
    <t>3. Damith Nandana</t>
  </si>
  <si>
    <t>3. Hansana</t>
  </si>
  <si>
    <t>1. Rakshith Shetty</t>
  </si>
  <si>
    <t xml:space="preserve">1. Bhavesh </t>
  </si>
  <si>
    <t>1. Jibin</t>
  </si>
  <si>
    <t>4. Binara</t>
  </si>
  <si>
    <t>1. Rakesh</t>
  </si>
  <si>
    <t>Board: UAE</t>
  </si>
  <si>
    <t>2. Srinidhi</t>
  </si>
  <si>
    <t>Chairman: Antony John CTR | CEO: Hanish</t>
  </si>
  <si>
    <t>1. Athul</t>
  </si>
  <si>
    <t>1. Crescent Cup (Away)</t>
  </si>
  <si>
    <t>1. Thilanga</t>
  </si>
  <si>
    <t>1. Hasindu</t>
  </si>
  <si>
    <t>2. Highland Trophy (Away)</t>
  </si>
  <si>
    <t>3. Jafnis</t>
  </si>
  <si>
    <t>Home(Qatar): 3000 bet (Lost)</t>
  </si>
  <si>
    <t>3. Sir Gary Sobers Remembrance Trophy (Away)</t>
  </si>
  <si>
    <t>Players Awards: 1500</t>
  </si>
  <si>
    <t>2. Miraj</t>
  </si>
  <si>
    <t>Home(Scotland): 5000 bet (Lost)</t>
  </si>
  <si>
    <t>1. Jibin Altaf</t>
  </si>
  <si>
    <t>3. Chalana</t>
  </si>
  <si>
    <t>3. Kosala</t>
  </si>
  <si>
    <t>4. Ayas</t>
  </si>
  <si>
    <t>4. Thilina</t>
  </si>
  <si>
    <t>4. Damith</t>
  </si>
  <si>
    <t>4. Falcon Cup (Away)</t>
  </si>
  <si>
    <t>Away(Scotland): 5000 bet (Lost)</t>
  </si>
  <si>
    <t>5. Hansana</t>
  </si>
  <si>
    <t>3. Kaushik Kalita</t>
  </si>
  <si>
    <t>3. Saketh Balne</t>
  </si>
  <si>
    <t>Salary:1300</t>
  </si>
  <si>
    <t>6. Uresh</t>
  </si>
  <si>
    <t>Salary: 76000</t>
  </si>
  <si>
    <t>1. Ershad</t>
  </si>
  <si>
    <t>5. Rahul Raj</t>
  </si>
  <si>
    <t>4. Siddharth V Jain</t>
  </si>
  <si>
    <t>1. Shukoor</t>
  </si>
  <si>
    <t>Away(Bangladesh): 5000 bet (Won)</t>
  </si>
  <si>
    <t>1. Tom</t>
  </si>
  <si>
    <t>5. Shiva Teja</t>
  </si>
  <si>
    <t>6. Nikhil</t>
  </si>
  <si>
    <t>Salary:  1000</t>
  </si>
  <si>
    <t>7. Abhijith</t>
  </si>
  <si>
    <t>Home(West Indies): 10000 bet (Lost)</t>
  </si>
  <si>
    <t>8. Akhil</t>
  </si>
  <si>
    <t>2. Shinu</t>
  </si>
  <si>
    <t xml:space="preserve">3. Sebin </t>
  </si>
  <si>
    <t>Best Bowler(100): 1</t>
  </si>
  <si>
    <t>9. Zaheen</t>
  </si>
  <si>
    <t>Away(Australia): 3000 bet (Won)</t>
  </si>
  <si>
    <t>3. Asthu</t>
  </si>
  <si>
    <t>10. Tom</t>
  </si>
  <si>
    <t>3. Abhijith</t>
  </si>
  <si>
    <t>Orange Cap Award: 80000</t>
  </si>
  <si>
    <t>4. Jafnis</t>
  </si>
  <si>
    <t>3. Ashiqui Ashi</t>
  </si>
  <si>
    <t>11. Varun</t>
  </si>
  <si>
    <t>12. Suhas</t>
  </si>
  <si>
    <t xml:space="preserve">4. Amjith </t>
  </si>
  <si>
    <t>4. Zuhair</t>
  </si>
  <si>
    <t>6. Antony John CTR</t>
  </si>
  <si>
    <t>13. Vaishnav</t>
  </si>
  <si>
    <t>5. Ansar</t>
  </si>
  <si>
    <t>14. Jin</t>
  </si>
  <si>
    <t>15. Monai</t>
  </si>
  <si>
    <t xml:space="preserve">1. Hansana </t>
  </si>
  <si>
    <t>6. Jasheer</t>
  </si>
  <si>
    <t>6. Thebseer</t>
  </si>
  <si>
    <t>16. Alan</t>
  </si>
  <si>
    <t>17. Thrived</t>
  </si>
  <si>
    <t>7. Amal</t>
  </si>
  <si>
    <t>18. Arjun</t>
  </si>
  <si>
    <t xml:space="preserve">8. Hari </t>
  </si>
  <si>
    <t>19. Vaishak</t>
  </si>
  <si>
    <t>9. Blesson</t>
  </si>
  <si>
    <t>10. Sufaid</t>
  </si>
  <si>
    <t>11. Akshay</t>
  </si>
  <si>
    <t>12. Shaheen</t>
  </si>
  <si>
    <t>13. Adarsh</t>
  </si>
  <si>
    <t>14. Yadhu</t>
  </si>
  <si>
    <t>15. Salimax</t>
  </si>
  <si>
    <t>1. Sasith</t>
  </si>
  <si>
    <t>1. Damitha</t>
  </si>
  <si>
    <t>1. Chalana</t>
  </si>
  <si>
    <t>1. Amjith</t>
  </si>
  <si>
    <t>1. Ansar</t>
  </si>
  <si>
    <t>1. Ashi</t>
  </si>
  <si>
    <t>1. Adarsh</t>
  </si>
  <si>
    <t>1. Zuhair</t>
  </si>
  <si>
    <t>2. Ashith</t>
  </si>
  <si>
    <t>2. Shaheen</t>
  </si>
  <si>
    <t>2. Asthu</t>
  </si>
  <si>
    <t>3. Jasheer</t>
  </si>
  <si>
    <t>4. Shinu</t>
  </si>
  <si>
    <t>5. Thebsheer</t>
  </si>
  <si>
    <t>6. Yadhu</t>
  </si>
  <si>
    <t>4. Chappy</t>
  </si>
  <si>
    <t>5. Hari</t>
  </si>
  <si>
    <t>6. Irshad</t>
  </si>
  <si>
    <t>7. Sufaid</t>
  </si>
  <si>
    <t>Scottish Premier League ( Own League )</t>
  </si>
  <si>
    <t>Hosting Rights : 1200000</t>
  </si>
  <si>
    <t>Board: Uganda</t>
  </si>
  <si>
    <t>Chairman:--- | CEO: ---</t>
  </si>
  <si>
    <t>1. Ajwad</t>
  </si>
  <si>
    <t>3. Alen</t>
  </si>
  <si>
    <t>Mandela National Stadium</t>
  </si>
  <si>
    <t>4. Vaishnav</t>
  </si>
  <si>
    <t>5. Abhimanue</t>
  </si>
  <si>
    <t>6. Mallaya</t>
  </si>
  <si>
    <t>7. Althwaf</t>
  </si>
  <si>
    <t>8. Noufal</t>
  </si>
  <si>
    <t>9. Anoop</t>
  </si>
  <si>
    <t>10. Jubi</t>
  </si>
  <si>
    <t>11. Joyal</t>
  </si>
  <si>
    <t>12. Rijoyes</t>
  </si>
  <si>
    <t>13. Hubalnas</t>
  </si>
  <si>
    <t>14. Anu</t>
  </si>
  <si>
    <t>15. Aravind</t>
  </si>
  <si>
    <t>16. Vishnu G</t>
  </si>
  <si>
    <t>17. Sreeraj</t>
  </si>
  <si>
    <t>18. Sahad</t>
  </si>
  <si>
    <t>19. Asaf</t>
  </si>
  <si>
    <t>20. Sreeraj K</t>
  </si>
  <si>
    <t>21. Vineeth</t>
  </si>
  <si>
    <t>22. Vineeth C</t>
  </si>
  <si>
    <t>23. Akash</t>
  </si>
  <si>
    <t>24. Savad</t>
  </si>
  <si>
    <t>25. Ayaz</t>
  </si>
  <si>
    <t>26. Anumod</t>
  </si>
  <si>
    <t xml:space="preserve">1. Ashiqui Ashi </t>
  </si>
  <si>
    <t xml:space="preserve">1. Ansar </t>
  </si>
  <si>
    <t>Board: USA</t>
  </si>
  <si>
    <t xml:space="preserve">1. Abhinand B </t>
  </si>
  <si>
    <t xml:space="preserve">1. Kebin </t>
  </si>
  <si>
    <t xml:space="preserve">1. Akshay Varnam </t>
  </si>
  <si>
    <t>Chairman: Rohan Singh Rathore | CEO: Rao Abul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</si>
  <si>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</si>
  <si>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</si>
  <si>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</si>
  <si>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</si>
  <si>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</si>
  <si>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>Player trade: 20000</t>
  </si>
  <si>
    <t>1. Vignesh Das</t>
  </si>
  <si>
    <t>2. Aswin Biju</t>
  </si>
  <si>
    <t>Hafijul from Zim: 5000</t>
  </si>
  <si>
    <t xml:space="preserve">2. Shaheen </t>
  </si>
  <si>
    <t>3. Maninder Payal</t>
  </si>
  <si>
    <t xml:space="preserve">2. Asthu </t>
  </si>
  <si>
    <t>Ibrahim from Zim: 5000</t>
  </si>
  <si>
    <t xml:space="preserve">2. Hari </t>
  </si>
  <si>
    <t>4. Jinson Yohannan</t>
  </si>
  <si>
    <t>Bijoy from Zim: 5000</t>
  </si>
  <si>
    <t xml:space="preserve">2. Shafi Chappy </t>
  </si>
  <si>
    <t>5. Hafijul SK</t>
  </si>
  <si>
    <t>Anik from Zim: 5000</t>
  </si>
  <si>
    <t xml:space="preserve">2. Ashith </t>
  </si>
  <si>
    <t>6. Ibrahim</t>
  </si>
  <si>
    <t xml:space="preserve">2. Irshad Bekal </t>
  </si>
  <si>
    <t>Gaurav from BD: 2000</t>
  </si>
  <si>
    <t xml:space="preserve">2. Zuhair </t>
  </si>
  <si>
    <t>7. Bijoy</t>
  </si>
  <si>
    <t xml:space="preserve">2. Thebseer </t>
  </si>
  <si>
    <t>Mohsin from Aus: Free</t>
  </si>
  <si>
    <t xml:space="preserve">2. Shinu </t>
  </si>
  <si>
    <t>8. Anik</t>
  </si>
  <si>
    <t>9. Fijin Johnson</t>
  </si>
  <si>
    <t>Marquee Salary: 200000</t>
  </si>
  <si>
    <t>10. Guarav Mittal</t>
  </si>
  <si>
    <t>11. Mohsin Latif</t>
  </si>
  <si>
    <t>12. Jayesh Nikilje</t>
  </si>
  <si>
    <t xml:space="preserve">3. Salimax </t>
  </si>
  <si>
    <t>3. Vivek</t>
  </si>
  <si>
    <t>3. Adarsh</t>
  </si>
  <si>
    <t>3. Harishankar</t>
  </si>
  <si>
    <t>3. Amal</t>
  </si>
  <si>
    <t>3. Ajoy</t>
  </si>
  <si>
    <t>3. Sufaid</t>
  </si>
  <si>
    <t>3. Yadhu</t>
  </si>
  <si>
    <t>Salary: 180000</t>
  </si>
  <si>
    <t>Salary: 130000</t>
  </si>
  <si>
    <t>Salary: 120000</t>
  </si>
  <si>
    <t>Salary: 160000</t>
  </si>
  <si>
    <t>Salary: 52000</t>
  </si>
  <si>
    <t>4. MS</t>
  </si>
  <si>
    <t>4. Arshad</t>
  </si>
  <si>
    <t>4. Ajay</t>
  </si>
  <si>
    <t>4. Shehinsha</t>
  </si>
  <si>
    <t>4. Kailas</t>
  </si>
  <si>
    <t xml:space="preserve">4. Thanvin </t>
  </si>
  <si>
    <t>4. Bijoy</t>
  </si>
  <si>
    <t>4. Jasheer</t>
  </si>
  <si>
    <t xml:space="preserve">4. Libin </t>
  </si>
  <si>
    <t>Salary: 140000</t>
  </si>
  <si>
    <t>Salary: 110000</t>
  </si>
  <si>
    <t>Salary: 240000</t>
  </si>
  <si>
    <t>Salary: 124000</t>
  </si>
  <si>
    <t>5. Dingan</t>
  </si>
  <si>
    <t>5. Arshad N</t>
  </si>
  <si>
    <t>5. Sajith</t>
  </si>
  <si>
    <t>5. Athul</t>
  </si>
  <si>
    <t>5. Anandhu</t>
  </si>
  <si>
    <t>Salary: 67000</t>
  </si>
  <si>
    <t>Salary: 123000</t>
  </si>
  <si>
    <t>Salary: 71000</t>
  </si>
  <si>
    <t>Salary: 95000</t>
  </si>
  <si>
    <t>Board: ZIMBABWE</t>
  </si>
  <si>
    <t>Chairman: Ritik | CEO: Dhurbo</t>
  </si>
  <si>
    <t>Board: West Indies</t>
  </si>
  <si>
    <t>Chairman: Midhun Manial | CEO: Abhilash PA</t>
  </si>
  <si>
    <t>1. Mintu Nath</t>
  </si>
  <si>
    <t>2. Rishabh Sarkar</t>
  </si>
  <si>
    <t>1. Kartik from Ned: 5000</t>
  </si>
  <si>
    <t>Home( Canada ): 5000 bet ( Lost )</t>
  </si>
  <si>
    <t>Hafijul to USA: 5000</t>
  </si>
  <si>
    <t>3. Ananya</t>
  </si>
  <si>
    <t>2. Dhurno from Ned: 5000</t>
  </si>
  <si>
    <t>Ibrahim to USA: 5000</t>
  </si>
  <si>
    <t>4. Kartik Haloi</t>
  </si>
  <si>
    <t>Bijoy to USA: 5000</t>
  </si>
  <si>
    <t>5. Muneef</t>
  </si>
  <si>
    <t>Anik to USA: 5000</t>
  </si>
  <si>
    <t>1. Sterin</t>
  </si>
  <si>
    <t>6. Susanta Kalita</t>
  </si>
  <si>
    <t>1. Akram Curtly Trophy ( Away )</t>
  </si>
  <si>
    <t>7. Prayash Parsar</t>
  </si>
  <si>
    <t>8. Chinthan</t>
  </si>
  <si>
    <t>9. Pintu</t>
  </si>
  <si>
    <t>2. Sreeraj</t>
  </si>
  <si>
    <t>Home( England ): 10000 bet ( Lost )</t>
  </si>
  <si>
    <t>2. Frank Worrel ( Away )</t>
  </si>
  <si>
    <t>Match Bet credits: 3000</t>
  </si>
  <si>
    <t>T20 WORLD CUP 2026 HOSTED BY AUSTRALIA</t>
  </si>
  <si>
    <t>1. Dutch Carribbean ( Away )</t>
  </si>
  <si>
    <t>Group A</t>
  </si>
  <si>
    <t>3. Kannan</t>
  </si>
  <si>
    <t>Group B</t>
  </si>
  <si>
    <t>Super 6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</si>
  <si>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</si>
  <si>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</si>
  <si>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</si>
  <si>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</si>
  <si>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</si>
  <si>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India</t>
  </si>
  <si>
    <t>1. England</t>
  </si>
  <si>
    <t>1. Midhun Manilal</t>
  </si>
  <si>
    <t>2. Newzealand</t>
  </si>
  <si>
    <t>2. West Indies</t>
  </si>
  <si>
    <t>4. Anandhan</t>
  </si>
  <si>
    <t>Away( Newzealand): 5000 ( Lost )</t>
  </si>
  <si>
    <t>4. Carribbean Thunder ( Home )</t>
  </si>
  <si>
    <t>3. South Africa</t>
  </si>
  <si>
    <t>1. Midhun</t>
  </si>
  <si>
    <t>1. Arjun Raj</t>
  </si>
  <si>
    <t>3. Scotland</t>
  </si>
  <si>
    <t>Away ( Bangladesh ): 6000 bet ( Won )</t>
  </si>
  <si>
    <t>2. Forest Cup ( Away )</t>
  </si>
  <si>
    <t>2. 30 to 35: 10000</t>
  </si>
  <si>
    <t>West Indies (5000)</t>
  </si>
  <si>
    <t>4. Pakistan</t>
  </si>
  <si>
    <t>4. Afghanistan</t>
  </si>
  <si>
    <t>5. Srilanka</t>
  </si>
  <si>
    <t>5. Ajmal</t>
  </si>
  <si>
    <t>5. Australia</t>
  </si>
  <si>
    <t>Home( South Africa): 5000 ( Lost )</t>
  </si>
  <si>
    <t>5. American Challenge ( Away )</t>
  </si>
  <si>
    <t>Man of the Match: 1</t>
  </si>
  <si>
    <t>3. Saltire Trophy (Away)</t>
  </si>
  <si>
    <t>Player trade</t>
  </si>
  <si>
    <t xml:space="preserve">Best Bowler: </t>
  </si>
  <si>
    <t>Mowglee (20000)</t>
  </si>
  <si>
    <t>1. Arjun S Kumar</t>
  </si>
  <si>
    <t>6. Rahul Suresh</t>
  </si>
  <si>
    <t>Away( pakistan): 5000 ( Won )</t>
  </si>
  <si>
    <t>6. Dutch Carribbean ( Away )</t>
  </si>
  <si>
    <t>Away(England): 6000 bet (Won)</t>
  </si>
  <si>
    <t>Group A Matches</t>
  </si>
  <si>
    <t>4. Royal Caribbean (Away)</t>
  </si>
  <si>
    <t>Schedule</t>
  </si>
  <si>
    <t>Winner</t>
  </si>
  <si>
    <t xml:space="preserve">Host </t>
  </si>
  <si>
    <t>7. Falah</t>
  </si>
  <si>
    <t>Man of the match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</si>
  <si>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</si>
  <si>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</si>
  <si>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</si>
  <si>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</si>
  <si>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</si>
  <si>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</si>
  <si>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Newzealand vs South Africa</t>
  </si>
  <si>
    <t>Arnab</t>
  </si>
  <si>
    <t>Ram</t>
  </si>
  <si>
    <t>Yash</t>
  </si>
  <si>
    <t>8. Georgekutty</t>
  </si>
  <si>
    <t>Away(SL,Scot,Pak): 6000 ( Lost )</t>
  </si>
  <si>
    <t>8. Atlantic Shield(Away)</t>
  </si>
  <si>
    <t>India vs Pakistan</t>
  </si>
  <si>
    <t>Man of the Match: 2</t>
  </si>
  <si>
    <t>Away (Srilanka): 10000 bet (Lost)</t>
  </si>
  <si>
    <t>6. Island Meets Island (home)</t>
  </si>
  <si>
    <t>Noor to Aus: 10000</t>
  </si>
  <si>
    <t>Yasin</t>
  </si>
  <si>
    <t>3. Vipin R</t>
  </si>
  <si>
    <t>Bhavin</t>
  </si>
  <si>
    <t>2. Rahul Suresh</t>
  </si>
  <si>
    <t>India vs Srilanka</t>
  </si>
  <si>
    <t>9. Ameen</t>
  </si>
  <si>
    <t>Away ( South Africa): 6000 ( Won )</t>
  </si>
  <si>
    <t>Keshav</t>
  </si>
  <si>
    <t>9. Island Meets Desert Trophy (Home)</t>
  </si>
  <si>
    <t>Shivaji</t>
  </si>
  <si>
    <t>Virendra</t>
  </si>
  <si>
    <t>Away(Afghanistan): 5000 bet(Won)</t>
  </si>
  <si>
    <t>Aneesh from Eng: 20000</t>
  </si>
  <si>
    <t>10. Bibin Benny</t>
  </si>
  <si>
    <t>Home ( Afghanistan): 3000 ( Won )</t>
  </si>
  <si>
    <t>10. Pookie-Pookie Cup (Home)</t>
  </si>
  <si>
    <t>vs Afghanistan: 1000</t>
  </si>
  <si>
    <t>4. Kannan</t>
  </si>
  <si>
    <t>Pakistan vs South Africa</t>
  </si>
  <si>
    <t>Siddiqui</t>
  </si>
  <si>
    <t>Biswa</t>
  </si>
  <si>
    <t>11. Shibili</t>
  </si>
  <si>
    <t>Home ( UAE ): 5000 ( Lost )</t>
  </si>
  <si>
    <t>11. Sky Bound ODI Series (Away)</t>
  </si>
  <si>
    <t>2. Ajmal</t>
  </si>
  <si>
    <t>Home (South Africa): 5000 bet (Lost)</t>
  </si>
  <si>
    <t>5. Nihal</t>
  </si>
  <si>
    <t>Newzealand vs Srilanka</t>
  </si>
  <si>
    <t>Thilanga</t>
  </si>
  <si>
    <t>Kavinda</t>
  </si>
  <si>
    <t>12. Josin Roy</t>
  </si>
  <si>
    <t>Away ( USA ): 5000 ( Won )</t>
  </si>
  <si>
    <t>12. Paradise Trophy (Home)</t>
  </si>
  <si>
    <t>Home(Srilanka): 6000 bet (Won)</t>
  </si>
  <si>
    <t>6. Ajay</t>
  </si>
  <si>
    <t>SQUADS</t>
  </si>
  <si>
    <t>3. Muhammad Noor</t>
  </si>
  <si>
    <t>13. Nayan S Kurup</t>
  </si>
  <si>
    <t>South Africa vs India</t>
  </si>
  <si>
    <t>SCHEDULE</t>
  </si>
  <si>
    <t>13 ABD Trophy (Home)</t>
  </si>
  <si>
    <t>Jana</t>
  </si>
  <si>
    <t>Robert</t>
  </si>
  <si>
    <t>Host</t>
  </si>
  <si>
    <t xml:space="preserve">Opponent </t>
  </si>
  <si>
    <t>Date</t>
  </si>
  <si>
    <t>Venue</t>
  </si>
  <si>
    <t>Winners</t>
  </si>
  <si>
    <t>Man of the Match</t>
  </si>
  <si>
    <t>Newzealand vs Pakistan</t>
  </si>
  <si>
    <t>14. Arjun S Kumar</t>
  </si>
  <si>
    <t>Malik</t>
  </si>
  <si>
    <t>Gautam</t>
  </si>
  <si>
    <t>Zarnish</t>
  </si>
  <si>
    <t>1. Amjith (Exp)</t>
  </si>
  <si>
    <t>Away ( Italy ): 5000 ( Lost )</t>
  </si>
  <si>
    <t>14. The Global Three (Away)</t>
  </si>
  <si>
    <t>1. Ajith (Exp)</t>
  </si>
  <si>
    <t>1. Shibili (Exp)</t>
  </si>
  <si>
    <t>1. Abhijith (Exp)</t>
  </si>
  <si>
    <t>South Africa vs Srilanka</t>
  </si>
  <si>
    <t>Anurag</t>
  </si>
  <si>
    <t>19th June</t>
  </si>
  <si>
    <t>Grange SC</t>
  </si>
  <si>
    <t>Bhargab</t>
  </si>
  <si>
    <t>Ansar (Scot)</t>
  </si>
  <si>
    <t>2. Shahzan</t>
  </si>
  <si>
    <t>2. Ajay</t>
  </si>
  <si>
    <t>2. Ajin P Anil</t>
  </si>
  <si>
    <t>ABD Georgetown</t>
  </si>
  <si>
    <t>Shajahan (Eng)</t>
  </si>
  <si>
    <t>India vs Newzealand</t>
  </si>
  <si>
    <t>15. Hadi Diyoof</t>
  </si>
  <si>
    <t>3. Arshad</t>
  </si>
  <si>
    <t>Away (Bangladesh): 7000 (Won)</t>
  </si>
  <si>
    <t>3. Azeem</t>
  </si>
  <si>
    <t>3. Ananthu RG</t>
  </si>
  <si>
    <t>15. Caribbean &amp; Emirates Challenge Cup (Away)</t>
  </si>
  <si>
    <t>3. Shajahan</t>
  </si>
  <si>
    <t>3. Ameen</t>
  </si>
  <si>
    <t>3. Midhun Manilal</t>
  </si>
  <si>
    <t>20th June</t>
  </si>
  <si>
    <t>Adarsh (Scot)</t>
  </si>
  <si>
    <t>4. Jibin</t>
  </si>
  <si>
    <t>4. Jaseel</t>
  </si>
  <si>
    <t>Srilanka vs Pakistan</t>
  </si>
  <si>
    <t>Lords</t>
  </si>
  <si>
    <t>Jyothish</t>
  </si>
  <si>
    <t>5. Yadhu</t>
  </si>
  <si>
    <t>5. Linz</t>
  </si>
  <si>
    <t>Kosala</t>
  </si>
  <si>
    <t>5. Madhav</t>
  </si>
  <si>
    <t>21st June</t>
  </si>
  <si>
    <t>Amjith (Scot)</t>
  </si>
  <si>
    <t>6. Aswin</t>
  </si>
  <si>
    <t>6. Hrithik</t>
  </si>
  <si>
    <t>6. Mowglee</t>
  </si>
  <si>
    <t>16. Bharath Narayana</t>
  </si>
  <si>
    <t>6. Amith</t>
  </si>
  <si>
    <t xml:space="preserve">Newzealand </t>
  </si>
  <si>
    <t>Away (West Indies): 6000 (Won)</t>
  </si>
  <si>
    <t>Thunder Dome</t>
  </si>
  <si>
    <t>Vignesh (WI)</t>
  </si>
  <si>
    <t>7. Rakshith</t>
  </si>
  <si>
    <t>7. Nazi</t>
  </si>
  <si>
    <t>Group B Matches</t>
  </si>
  <si>
    <t>7. Junaid</t>
  </si>
  <si>
    <t>4. Abhilash PA</t>
  </si>
  <si>
    <t>22nd June</t>
  </si>
  <si>
    <t>Jibin (NZ)</t>
  </si>
  <si>
    <t>17. Akhil Vijayan</t>
  </si>
  <si>
    <t>8. Vishnu</t>
  </si>
  <si>
    <t>8. Rithesh</t>
  </si>
  <si>
    <t>Away (Newzealand): 5000 (Lost)</t>
  </si>
  <si>
    <t>8. Sachin</t>
  </si>
  <si>
    <t>8. Lilly</t>
  </si>
  <si>
    <t>Ananthu (WI)</t>
  </si>
  <si>
    <t>9. Ansar</t>
  </si>
  <si>
    <t>9. Sachin</t>
  </si>
  <si>
    <t>9. Sufaid</t>
  </si>
  <si>
    <t>9. Shafeek</t>
  </si>
  <si>
    <t xml:space="preserve">Scotland </t>
  </si>
  <si>
    <t>23rd June</t>
  </si>
  <si>
    <t>Ajay (WI)</t>
  </si>
  <si>
    <t>10. Adarsh</t>
  </si>
  <si>
    <t>10. Ashwini</t>
  </si>
  <si>
    <t>10. Vignesh</t>
  </si>
  <si>
    <t>10. Rafeek</t>
  </si>
  <si>
    <t>Australia vs England</t>
  </si>
  <si>
    <t>Damitha</t>
  </si>
  <si>
    <t>18. Nihal</t>
  </si>
  <si>
    <t>Rahees</t>
  </si>
  <si>
    <t>24th June</t>
  </si>
  <si>
    <t>4. Nihal</t>
  </si>
  <si>
    <t>Sunaif (Eng)</t>
  </si>
  <si>
    <t>Abu Shazan (NZ)</t>
  </si>
  <si>
    <t>25th June</t>
  </si>
  <si>
    <t>Afghanistan vs West Indies</t>
  </si>
  <si>
    <t>Midhun</t>
  </si>
  <si>
    <t>Ameen</t>
  </si>
  <si>
    <t>19. Vignesh</t>
  </si>
  <si>
    <t>Away (West Indies): 4000 bet (Lost)</t>
  </si>
  <si>
    <t>Man of the match:2</t>
  </si>
  <si>
    <t>IOCF Kiwi Crown League 2026 AWARDS</t>
  </si>
  <si>
    <t>5. Shibil</t>
  </si>
  <si>
    <t>Australia vs Scotland</t>
  </si>
  <si>
    <t>20. Frijo Thomas</t>
  </si>
  <si>
    <t xml:space="preserve"> Rizwan</t>
  </si>
  <si>
    <t>Award Credits</t>
  </si>
  <si>
    <t>Afghanistan vs England</t>
  </si>
  <si>
    <t>Toby</t>
  </si>
  <si>
    <t>Ishak</t>
  </si>
  <si>
    <t>21. Ananthu</t>
  </si>
  <si>
    <t>Home (UAE): 5000 Bet (Won)</t>
  </si>
  <si>
    <t>Scotland vs West Indies</t>
  </si>
  <si>
    <t>5. Harikrishna</t>
  </si>
  <si>
    <t>Australia vs Afghanistan</t>
  </si>
  <si>
    <t>22. Ashwin Thomas</t>
  </si>
  <si>
    <t>Nasrullah</t>
  </si>
  <si>
    <t>Farhan</t>
  </si>
  <si>
    <t>England vs West Indies</t>
  </si>
  <si>
    <t>Rejith</t>
  </si>
  <si>
    <t>Achuz</t>
  </si>
  <si>
    <t>23. Hari Krishnan</t>
  </si>
  <si>
    <t>Afghanistan vs Scotland</t>
  </si>
  <si>
    <t>Away (South Africa): 3000 bet (Won)</t>
  </si>
  <si>
    <t>Asthu</t>
  </si>
  <si>
    <t>24. Arjun Raj R</t>
  </si>
  <si>
    <t>Away(Srilanka): 5000 bet (Lost)</t>
  </si>
  <si>
    <t>Ice in their Veins :  Top Scorer</t>
  </si>
  <si>
    <t>IOCF LONE WARRIOR SEASON ONE</t>
  </si>
  <si>
    <t>6. Abhilash</t>
  </si>
  <si>
    <t>Australia vs West Indies</t>
  </si>
  <si>
    <t>Nihal</t>
  </si>
  <si>
    <t>Niyaz</t>
  </si>
  <si>
    <t>England vs Scotland</t>
  </si>
  <si>
    <t>Diljith</t>
  </si>
  <si>
    <t>25. Anish Babu Koni</t>
  </si>
  <si>
    <t>Adnan Abbas Rehan</t>
  </si>
  <si>
    <t>Rizwan Mansoori</t>
  </si>
  <si>
    <t>Ebad Malik</t>
  </si>
  <si>
    <t>Anshad P</t>
  </si>
  <si>
    <t>Haseeb</t>
  </si>
  <si>
    <t>Nirmal</t>
  </si>
  <si>
    <t>Kishore Gowda</t>
  </si>
  <si>
    <t>Abhinand</t>
  </si>
  <si>
    <t>26. Vipin Rajashekaran</t>
  </si>
  <si>
    <t>Ruwanga</t>
  </si>
  <si>
    <t>5. Bibin Benny</t>
  </si>
  <si>
    <t>7. Ajmal Sunaif</t>
  </si>
  <si>
    <t>27. Ajay</t>
  </si>
  <si>
    <t>Away(Bangladesh/Netherlands): 15000 (Won)</t>
  </si>
  <si>
    <t>Player Name</t>
  </si>
  <si>
    <t>Country</t>
  </si>
  <si>
    <t>7. Nihal</t>
  </si>
  <si>
    <t>Newzeland vs West Indies</t>
  </si>
  <si>
    <t>Adnan</t>
  </si>
  <si>
    <t>28. Ananthu RG</t>
  </si>
  <si>
    <t>Away(UAE): 10000 (Won)</t>
  </si>
  <si>
    <t>Rizwan</t>
  </si>
  <si>
    <t>Abhi</t>
  </si>
  <si>
    <t>Ebad</t>
  </si>
  <si>
    <t>29. Jaseel</t>
  </si>
  <si>
    <t>Home(UAE): 10000 (Lost)</t>
  </si>
  <si>
    <t>India vs Scotland</t>
  </si>
  <si>
    <t xml:space="preserve">Kishore </t>
  </si>
  <si>
    <t>8. Sreeraj</t>
  </si>
  <si>
    <t>Rojo</t>
  </si>
  <si>
    <t>30. Madhav</t>
  </si>
  <si>
    <t>Home(Srilanka): 10000 (Lost)</t>
  </si>
  <si>
    <t>England vs South Africa</t>
  </si>
  <si>
    <t>31. Mowglee</t>
  </si>
  <si>
    <t>Sujith</t>
  </si>
  <si>
    <t>Quarter Finals</t>
  </si>
  <si>
    <t>21st May</t>
  </si>
  <si>
    <t>32. Nazi</t>
  </si>
  <si>
    <t>8. Ameen</t>
  </si>
  <si>
    <t>23rd May</t>
  </si>
  <si>
    <t>England vs Newzealand</t>
  </si>
  <si>
    <t>Ruwanga vs Shamroz</t>
  </si>
  <si>
    <t>Yashwanth</t>
  </si>
  <si>
    <t>33. Sachin</t>
  </si>
  <si>
    <t>34. Abhishek Vava</t>
  </si>
  <si>
    <t>India vs England</t>
  </si>
  <si>
    <t xml:space="preserve">Farhaan </t>
  </si>
  <si>
    <t>Farhaan</t>
  </si>
  <si>
    <t>Adnan vs Rizwan</t>
  </si>
  <si>
    <t>35. Churami</t>
  </si>
  <si>
    <t>Best Captain: 5000</t>
  </si>
  <si>
    <t>9. Mowglee</t>
  </si>
  <si>
    <t>Diljith vs Midhun</t>
  </si>
  <si>
    <t>36. Rukkiya</t>
  </si>
  <si>
    <t>Scotland vs South Africa</t>
  </si>
  <si>
    <t>Fantasy League 2nd Runner</t>
  </si>
  <si>
    <t>10. Ashwin Thomas</t>
  </si>
  <si>
    <t>Jishnu</t>
  </si>
  <si>
    <t>Abhi vs Kishore</t>
  </si>
  <si>
    <t>Thesbeer</t>
  </si>
  <si>
    <t>37. Divya Sterin</t>
  </si>
  <si>
    <t>Kishore</t>
  </si>
  <si>
    <t>Rahul Suresh: 10000</t>
  </si>
  <si>
    <t>Ebad vs Haseeb</t>
  </si>
  <si>
    <t>Tie</t>
  </si>
  <si>
    <t>Abhi vs Nirmal</t>
  </si>
  <si>
    <t>Anshad vs Diljith</t>
  </si>
  <si>
    <t>South Africa vs West Indies</t>
  </si>
  <si>
    <t>38. Divya Gupta</t>
  </si>
  <si>
    <t>Debajit</t>
  </si>
  <si>
    <t>Nirmal vs Midhun</t>
  </si>
  <si>
    <t>Anshad vs Adnan</t>
  </si>
  <si>
    <t>Bibin</t>
  </si>
  <si>
    <t>39. Shanikutty</t>
  </si>
  <si>
    <t>Ruwanga vs Abhi</t>
  </si>
  <si>
    <t>Adnan vs Ebad</t>
  </si>
  <si>
    <t>Shamroz vs Rizwan</t>
  </si>
  <si>
    <t xml:space="preserve">11. Nihal </t>
  </si>
  <si>
    <t>Anshad vs Shamroz</t>
  </si>
  <si>
    <t xml:space="preserve">Newzealand vs Scotland </t>
  </si>
  <si>
    <t>Nirmal vs Rizwan</t>
  </si>
  <si>
    <t>40. Ajitha Thankachan</t>
  </si>
  <si>
    <t>10. Ajay</t>
  </si>
  <si>
    <t>CPL (Commentory)</t>
  </si>
  <si>
    <t>Kishore vs Diljith</t>
  </si>
  <si>
    <t>Haseeb vs Midhun</t>
  </si>
  <si>
    <t>Semifinals</t>
  </si>
  <si>
    <t>India vs West Indies</t>
  </si>
  <si>
    <t>41. Shailamma Joseph</t>
  </si>
  <si>
    <t>Grand Final</t>
  </si>
  <si>
    <t>Ruwanga vs Anshad</t>
  </si>
  <si>
    <t>Adnan vs Nirmal</t>
  </si>
  <si>
    <t>42. Thushara Hari</t>
  </si>
  <si>
    <t>Semifinal</t>
  </si>
  <si>
    <t>43. Shoba Joseph</t>
  </si>
  <si>
    <t>24th May</t>
  </si>
  <si>
    <t>44. Neelambari</t>
  </si>
  <si>
    <t>Shamroz vs Abhi</t>
  </si>
  <si>
    <t>45. Jumana Thasni</t>
  </si>
  <si>
    <t>46. Nazila</t>
  </si>
  <si>
    <t>Rizwan vs Ebad</t>
  </si>
  <si>
    <t>47. Aneesh</t>
  </si>
  <si>
    <t>Diljith vs Abhi</t>
  </si>
  <si>
    <t>Diljith vs Shamroz</t>
  </si>
  <si>
    <t>22nd May</t>
  </si>
  <si>
    <t>West Indies vs England</t>
  </si>
  <si>
    <t>Safeer</t>
  </si>
  <si>
    <t xml:space="preserve">Sujith </t>
  </si>
  <si>
    <t>Ruwanga vs Diljith</t>
  </si>
  <si>
    <t>Adnan vs Midhun</t>
  </si>
  <si>
    <t>Anytime they can play when both are available and Hosts are available( Stumps Required)</t>
  </si>
  <si>
    <t>Kishore vs Anshad</t>
  </si>
  <si>
    <t>Team Profit: 4700</t>
  </si>
  <si>
    <t>Team Profit: 9700</t>
  </si>
  <si>
    <t>Haseeb vs Nirmal</t>
  </si>
  <si>
    <t>1. Rahul Suresh</t>
  </si>
  <si>
    <t>1. Nihal Maxi</t>
  </si>
  <si>
    <t>1. Ameen</t>
  </si>
  <si>
    <t>Shamroz vs Kishore</t>
  </si>
  <si>
    <t>Final</t>
  </si>
  <si>
    <t>Rizwan vs Haseeb</t>
  </si>
  <si>
    <t>2. Bharath Narayan</t>
  </si>
  <si>
    <t>2. Sreeraj Kaimal</t>
  </si>
  <si>
    <t>Abhi vs Diljith</t>
  </si>
  <si>
    <t>Ebad vs Midhun</t>
  </si>
  <si>
    <t>3. Bibin Benny</t>
  </si>
  <si>
    <t>Ruwanga vs  Kishore</t>
  </si>
  <si>
    <t>3. Abhilash PA</t>
  </si>
  <si>
    <t>Adnan vs Haseeb</t>
  </si>
  <si>
    <t>4. Shibil</t>
  </si>
  <si>
    <t>Abhi vs Anshad</t>
  </si>
  <si>
    <t>Kebin</t>
  </si>
  <si>
    <t>Irshad</t>
  </si>
  <si>
    <t>Arjun</t>
  </si>
  <si>
    <t>Ebad vs Nirmal</t>
  </si>
  <si>
    <t>Shamroz vs Diljith</t>
  </si>
  <si>
    <t>Rizwan vs Midhun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</si>
  <si>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</si>
  <si>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</si>
  <si>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</si>
  <si>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</si>
  <si>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</si>
  <si>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</si>
  <si>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</si>
  <si>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</si>
  <si>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</si>
  <si>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Board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</si>
  <si>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</si>
  <si>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</si>
  <si>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</si>
  <si>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</si>
  <si>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</si>
  <si>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</si>
  <si>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</si>
  <si>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</si>
  <si>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</si>
  <si>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1. Muhammad Noor</t>
  </si>
  <si>
    <t>1. Nayan S Kurup</t>
  </si>
  <si>
    <t>1. Abhilash PA</t>
  </si>
  <si>
    <t xml:space="preserve">Salary: 5000 </t>
  </si>
  <si>
    <t xml:space="preserve">Salary: 6000 </t>
  </si>
  <si>
    <t>2. Bibbin Benny</t>
  </si>
  <si>
    <t>3. George</t>
  </si>
  <si>
    <t>World Cup Operations Excellence</t>
  </si>
  <si>
    <t>1. Vignesh</t>
  </si>
  <si>
    <t>1. George</t>
  </si>
  <si>
    <t>1. Ashwin Thomas</t>
  </si>
  <si>
    <t>1. Ajmal Sunaif</t>
  </si>
  <si>
    <t>1. Frijo</t>
  </si>
  <si>
    <t>Fantasy League</t>
  </si>
  <si>
    <t>2. Nihal</t>
  </si>
  <si>
    <t>2. Mowglee</t>
  </si>
  <si>
    <t>2. Bibin</t>
  </si>
  <si>
    <t>2. Kannan</t>
  </si>
  <si>
    <t>3. Sreeraj</t>
  </si>
  <si>
    <t>Malik Zubair</t>
  </si>
  <si>
    <t>3. Abhilash</t>
  </si>
  <si>
    <t>Caribbean Premier League ( Own League )</t>
  </si>
  <si>
    <t>Runner</t>
  </si>
  <si>
    <t>Radheshyam</t>
  </si>
  <si>
    <t>Hosting Rights : 400000</t>
  </si>
  <si>
    <t>2nd Runner</t>
  </si>
  <si>
    <t>4th Place</t>
  </si>
  <si>
    <t>Sasith</t>
  </si>
  <si>
    <t>5th Place</t>
  </si>
  <si>
    <t>Meghani</t>
  </si>
  <si>
    <t>Prediction Contest</t>
  </si>
  <si>
    <t>1. Sreeraj R Kaimal</t>
  </si>
  <si>
    <t>1. Ajmal</t>
  </si>
  <si>
    <t>Captain Salary: 100000</t>
  </si>
  <si>
    <t>2. Ananthu M</t>
  </si>
  <si>
    <t>2. Jaseel</t>
  </si>
  <si>
    <t>Fair Play Captain: 14200</t>
  </si>
  <si>
    <t>1st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</si>
  <si>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</si>
  <si>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</si>
  <si>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</si>
  <si>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</si>
  <si>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</si>
  <si>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</si>
  <si>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</si>
  <si>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2nd</t>
  </si>
  <si>
    <t>3. Ajay Paul</t>
  </si>
  <si>
    <t>2. Diyoof</t>
  </si>
  <si>
    <t>4. Madhav</t>
  </si>
  <si>
    <t xml:space="preserve">5. Akhil </t>
  </si>
  <si>
    <t>3. Sterin Joseph</t>
  </si>
  <si>
    <t>3rd</t>
  </si>
  <si>
    <t xml:space="preserve">6. Abhishek </t>
  </si>
  <si>
    <t xml:space="preserve">4. Josin </t>
  </si>
  <si>
    <t>5. Nazir</t>
  </si>
  <si>
    <t>4th</t>
  </si>
  <si>
    <t>5. Sachin</t>
  </si>
  <si>
    <t>Emerging Player: 50000</t>
  </si>
  <si>
    <t>4. Falah</t>
  </si>
  <si>
    <t>Salary: 80000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</si>
  <si>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</si>
  <si>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</si>
  <si>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</si>
  <si>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</si>
  <si>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</si>
  <si>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</si>
  <si>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</si>
  <si>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</si>
  <si>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Salary: 70000</t>
  </si>
  <si>
    <t>Other Board Credits</t>
  </si>
  <si>
    <t>Best Bowler of the tournament: 100000</t>
  </si>
  <si>
    <t>Rating By All Boards on CPL 2026(9 out of 10): 45000 credits</t>
  </si>
  <si>
    <t>Awarded Credits</t>
  </si>
  <si>
    <t>Hosting Board</t>
  </si>
  <si>
    <t>Eliminated in Group Stage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</si>
  <si>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</si>
  <si>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</si>
  <si>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</si>
  <si>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</si>
  <si>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</si>
  <si>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</si>
  <si>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</si>
  <si>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>2. Midhun Manilal</t>
  </si>
  <si>
    <t xml:space="preserve">2. Sreeraj </t>
  </si>
  <si>
    <t>2. Hadi Diyoof</t>
  </si>
  <si>
    <t>2. Sterin</t>
  </si>
  <si>
    <t>3. Anantha Krishnan U</t>
  </si>
  <si>
    <t xml:space="preserve">3. Harikrishnan </t>
  </si>
  <si>
    <t>3. Shibil</t>
  </si>
  <si>
    <t>3. Falah</t>
  </si>
  <si>
    <t>3. Madhav</t>
  </si>
  <si>
    <t>4. Bibin Benny</t>
  </si>
  <si>
    <t>4. Josin</t>
  </si>
  <si>
    <t>4. Ananthu RG</t>
  </si>
  <si>
    <t>Hall of Fame Cards</t>
  </si>
  <si>
    <t>5. Nihal Maxi</t>
  </si>
  <si>
    <t>Card Name: ICE IN THEIR VEINS</t>
  </si>
  <si>
    <t>6. Arjun Raj</t>
  </si>
  <si>
    <t>6. Ananthu M</t>
  </si>
  <si>
    <t>Best Players in IOCF from Jan - March 2026</t>
  </si>
  <si>
    <t>7. Rahul Suresh</t>
  </si>
  <si>
    <t>7. Jaseel</t>
  </si>
  <si>
    <t>8. Mowglee</t>
  </si>
  <si>
    <t>Salary: 54000</t>
  </si>
  <si>
    <t>Achievement</t>
  </si>
  <si>
    <t>Eliminated in Super Six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</si>
  <si>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</si>
  <si>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</si>
  <si>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</si>
  <si>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</si>
  <si>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</si>
  <si>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</si>
  <si>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</si>
  <si>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</si>
  <si>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</si>
  <si>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</si>
  <si>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</si>
  <si>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</si>
  <si>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</si>
  <si>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</si>
  <si>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</si>
  <si>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</si>
  <si>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</si>
  <si>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</si>
  <si>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</si>
  <si>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</si>
  <si>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</si>
  <si>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</si>
  <si>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</si>
  <si>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</si>
  <si>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</si>
  <si>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</si>
  <si>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</si>
  <si>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</si>
  <si>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</si>
  <si>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</si>
  <si>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</si>
  <si>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</si>
  <si>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</si>
  <si>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</si>
  <si>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</si>
  <si>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</si>
  <si>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</si>
  <si>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</si>
  <si>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</si>
  <si>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</si>
  <si>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</si>
  <si>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</si>
  <si>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</si>
  <si>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</si>
  <si>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</si>
  <si>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</si>
  <si>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</si>
  <si>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</si>
  <si>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</si>
  <si>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</si>
  <si>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</si>
  <si>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</si>
  <si>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</si>
  <si>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</si>
  <si>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</si>
  <si>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</si>
  <si>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</si>
  <si>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</si>
  <si>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</si>
  <si>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</si>
  <si>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</si>
  <si>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</si>
  <si>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</si>
  <si>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</si>
  <si>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</si>
  <si>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</si>
  <si>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</si>
  <si>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</si>
  <si>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</si>
  <si>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</si>
  <si>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</si>
  <si>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</si>
  <si>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</si>
  <si>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</si>
  <si>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</si>
  <si>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</si>
  <si>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</si>
  <si>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</si>
  <si>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</si>
  <si>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</si>
  <si>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</si>
  <si>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</si>
  <si>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</si>
  <si>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</si>
  <si>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</si>
  <si>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</si>
  <si>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</si>
  <si>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</si>
  <si>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</si>
  <si>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</si>
  <si>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</si>
  <si>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</si>
  <si>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</si>
  <si>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</si>
  <si>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</si>
  <si>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</si>
  <si>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</si>
  <si>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</si>
  <si>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</si>
  <si>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</si>
  <si>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</si>
  <si>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</si>
  <si>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</si>
  <si>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</si>
  <si>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</si>
  <si>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</si>
  <si>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</si>
  <si>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</si>
  <si>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</si>
  <si>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</si>
  <si>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</si>
  <si>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</si>
  <si>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</si>
  <si>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</si>
  <si>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</si>
  <si>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</si>
  <si>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</si>
  <si>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</si>
  <si>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</si>
  <si>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</si>
  <si>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</si>
  <si>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</si>
  <si>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</si>
  <si>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</si>
  <si>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</si>
  <si>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</si>
  <si>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</si>
  <si>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</si>
  <si>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</si>
  <si>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</si>
  <si>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</si>
  <si>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</si>
  <si>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</si>
  <si>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</si>
  <si>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</si>
  <si>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</si>
  <si>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</si>
  <si>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</si>
  <si>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</si>
  <si>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</si>
  <si>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</si>
  <si>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</si>
  <si>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</si>
  <si>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</si>
  <si>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Franchise League PSL Registration &amp; all team Players 2026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</si>
  <si>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</si>
  <si>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</si>
  <si>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</si>
  <si>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</si>
  <si>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</si>
  <si>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</si>
  <si>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</si>
  <si>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</si>
  <si>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</si>
  <si>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</si>
  <si>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</si>
  <si>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</si>
  <si>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</si>
  <si>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</si>
  <si>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</si>
  <si>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</si>
  <si>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</si>
  <si>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</si>
  <si>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</si>
  <si>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</si>
  <si>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</si>
  <si>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</si>
  <si>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</si>
  <si>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</si>
  <si>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1. Raheem EK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</si>
  <si>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</si>
  <si>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</si>
  <si>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</si>
  <si>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</si>
  <si>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</si>
  <si>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</si>
  <si>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2. Aniket Gavit</t>
  </si>
  <si>
    <t>18. Harish(NZ) - 1200 ( Replaced Sid )</t>
  </si>
  <si>
    <t>2. Anand Ajk</t>
  </si>
  <si>
    <t>All Match Updates</t>
  </si>
  <si>
    <t>2. Thilanga Dumindu</t>
  </si>
  <si>
    <t>3. Anike Dey Shanto</t>
  </si>
  <si>
    <t>MI London vs London Spirit</t>
  </si>
  <si>
    <t xml:space="preserve">16th March </t>
  </si>
  <si>
    <t>3. Chappy</t>
  </si>
  <si>
    <t>Bhavin Kumar (LS)</t>
  </si>
  <si>
    <t>4. Saad Rizwan</t>
  </si>
  <si>
    <t>Ram Thakkar (LS)</t>
  </si>
  <si>
    <t>Southern Brave vs Welsh Fire</t>
  </si>
  <si>
    <t>4. Anurag Raj</t>
  </si>
  <si>
    <t>4. Rajeev</t>
  </si>
  <si>
    <t>Shivaji Prakash (WF)</t>
  </si>
  <si>
    <t>Sreeraj (WF)</t>
  </si>
  <si>
    <t>4. Suman</t>
  </si>
  <si>
    <t>Shivaji (WF)</t>
  </si>
  <si>
    <t>4. Hashir</t>
  </si>
  <si>
    <t>Sunrisers Leeds vs London Spirit</t>
  </si>
  <si>
    <t>17th March</t>
  </si>
  <si>
    <t>5. Huzaifa Imran</t>
  </si>
  <si>
    <t>5. Rejith Mohan</t>
  </si>
  <si>
    <t>Kishore Gowda (SL)</t>
  </si>
  <si>
    <t>5. Chiranjibi Samal</t>
  </si>
  <si>
    <t>Achuz (SL)</t>
  </si>
  <si>
    <t>5. Rubesh Jude</t>
  </si>
  <si>
    <t>MI London vs Southern Braves</t>
  </si>
  <si>
    <t>5. Athif Basheer K</t>
  </si>
  <si>
    <t>18th March</t>
  </si>
  <si>
    <t>5. Hasan Musabbir</t>
  </si>
  <si>
    <t>RDX</t>
  </si>
  <si>
    <t>Aniket (MI)</t>
  </si>
  <si>
    <t>5. Huzain</t>
  </si>
  <si>
    <t>Rejith (SB)</t>
  </si>
  <si>
    <t>Srajan (MI)</t>
  </si>
  <si>
    <t>6. M Touqeer</t>
  </si>
  <si>
    <t>Welsh Fire vs Sunrisers Leeds</t>
  </si>
  <si>
    <t>6. K Srinidhi</t>
  </si>
  <si>
    <t>6. Farhaan</t>
  </si>
  <si>
    <t>Aashutosh (WF)</t>
  </si>
  <si>
    <t>6. Hrushikesh HD</t>
  </si>
  <si>
    <t>6. Rojo</t>
  </si>
  <si>
    <t>Rizwan (WF)</t>
  </si>
  <si>
    <t>London Spirit vs Welsh Fire</t>
  </si>
  <si>
    <t>19th March</t>
  </si>
  <si>
    <t>7. Sufyan Yaqoob</t>
  </si>
  <si>
    <t>7. Keshav Shah</t>
  </si>
  <si>
    <t>7. Rasith Wijethunga</t>
  </si>
  <si>
    <t>7. Yashwanth Yash</t>
  </si>
  <si>
    <t>Southern Braves vs Sunrisers Leeds</t>
  </si>
  <si>
    <t>7. Kebin</t>
  </si>
  <si>
    <t>20th March</t>
  </si>
  <si>
    <t>Ganesh Chunduru</t>
  </si>
  <si>
    <t>8. Adithya Mahajan</t>
  </si>
  <si>
    <t>Marami (SL)</t>
  </si>
  <si>
    <t>Debajit (SL)</t>
  </si>
  <si>
    <t>8. Lal Krishna</t>
  </si>
  <si>
    <t>Aash (SB)</t>
  </si>
  <si>
    <t>8. Ruwanga Bandarawattha</t>
  </si>
  <si>
    <t>MI London vs Welsh Fire</t>
  </si>
  <si>
    <t>8. Rahul Seenu</t>
  </si>
  <si>
    <t>8. Nithin</t>
  </si>
  <si>
    <t>Yasin &amp; Debajit</t>
  </si>
  <si>
    <t>8. Shaheen</t>
  </si>
  <si>
    <t>Hasan (MI)</t>
  </si>
  <si>
    <t>9. Suhyl Mohammad</t>
  </si>
  <si>
    <t>London Spirit vs Southern Brave</t>
  </si>
  <si>
    <t>21st March</t>
  </si>
  <si>
    <t>9. Uresh Gn</t>
  </si>
  <si>
    <t>Athif (SB)</t>
  </si>
  <si>
    <t>9. Vikas</t>
  </si>
  <si>
    <t>Ram (LS)</t>
  </si>
  <si>
    <t>9. Shukoor</t>
  </si>
  <si>
    <t>Shibasis (LS)</t>
  </si>
  <si>
    <t>Sunrisers Leeds vs vs MI London</t>
  </si>
  <si>
    <t>22nd March</t>
  </si>
  <si>
    <t>10. Rakesh</t>
  </si>
  <si>
    <t>10. Virendra Peiris</t>
  </si>
  <si>
    <t>Keshav (MI)</t>
  </si>
  <si>
    <t>Welsh Fire vs Southern Braves</t>
  </si>
  <si>
    <t>11. Rizwan Mansoori</t>
  </si>
  <si>
    <t>11. Kavinda Gihan</t>
  </si>
  <si>
    <t>Gopi (SB)</t>
  </si>
  <si>
    <t>London Spirit vs Sunrisers Leeds</t>
  </si>
  <si>
    <t>12. Waqas Mughal</t>
  </si>
  <si>
    <t>23rd March</t>
  </si>
  <si>
    <t>12. Sasith Jayawardena</t>
  </si>
  <si>
    <t>Sujith &amp; Arjun</t>
  </si>
  <si>
    <t>Mahesh (LS)</t>
  </si>
  <si>
    <t>12. Ram Thakkar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</si>
  <si>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</si>
  <si>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</si>
  <si>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</si>
  <si>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</si>
  <si>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</si>
  <si>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</si>
  <si>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</si>
  <si>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</si>
  <si>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</si>
  <si>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</si>
  <si>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</si>
  <si>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</si>
  <si>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</si>
  <si>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</si>
  <si>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</si>
  <si>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13. Saubhagya Gupta</t>
  </si>
  <si>
    <t>Sujith (MI)</t>
  </si>
  <si>
    <t>13. Thilina Jayarathna</t>
  </si>
  <si>
    <t>Southern Brave vs London Spirit</t>
  </si>
  <si>
    <t>27th March</t>
  </si>
  <si>
    <t>14. Malaram Patel</t>
  </si>
  <si>
    <t>Anand (SB)</t>
  </si>
  <si>
    <t>14. Hansana De Silva</t>
  </si>
  <si>
    <t>Sunrisers Leeds vs Welsh Fire</t>
  </si>
  <si>
    <t>14. Gowri Madhu</t>
  </si>
  <si>
    <t>28th March</t>
  </si>
  <si>
    <t>15. Damith Nandana</t>
  </si>
  <si>
    <t>15. Ramith</t>
  </si>
  <si>
    <t>29th March</t>
  </si>
  <si>
    <t>16. Tukaram Parabat</t>
  </si>
  <si>
    <t>17. Manish Poojary</t>
  </si>
  <si>
    <t>Gautam (MI)</t>
  </si>
  <si>
    <t>Eliminator(Welsh vs Sunrisers)</t>
  </si>
  <si>
    <t>30th March</t>
  </si>
  <si>
    <t>19. Salar Shah</t>
  </si>
  <si>
    <t>Nihal (WF)</t>
  </si>
  <si>
    <t>Grand Final(MI vs Sunrisers)</t>
  </si>
  <si>
    <t>31st March</t>
  </si>
  <si>
    <t>Arnab(MI)</t>
  </si>
  <si>
    <t>Nirmal (SL)</t>
  </si>
  <si>
    <t>Pakistan ( Home )</t>
  </si>
  <si>
    <t>1. Arvind Kumar Yadav</t>
  </si>
  <si>
    <t>IOCF THE HUNDRED 2026 AWARDS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</si>
  <si>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</si>
  <si>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</si>
  <si>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</si>
  <si>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</si>
  <si>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</si>
  <si>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</si>
  <si>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</si>
  <si>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</si>
  <si>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</si>
  <si>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</si>
  <si>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</si>
  <si>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</si>
  <si>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</si>
  <si>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</si>
  <si>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</si>
  <si>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</si>
  <si>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</si>
  <si>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</si>
  <si>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</si>
  <si>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</si>
  <si>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</si>
  <si>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</si>
  <si>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</si>
  <si>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</si>
  <si>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</si>
  <si>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</si>
  <si>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</si>
  <si>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</si>
  <si>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</si>
  <si>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</si>
  <si>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</si>
  <si>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</si>
  <si>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</si>
  <si>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</si>
  <si>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</si>
  <si>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</si>
  <si>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</si>
  <si>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</si>
  <si>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</si>
  <si>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</si>
  <si>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</si>
  <si>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</si>
  <si>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</si>
  <si>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</si>
  <si>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</si>
  <si>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</si>
  <si>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</si>
  <si>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</si>
  <si>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</si>
  <si>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</si>
  <si>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</si>
  <si>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</si>
  <si>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</si>
  <si>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</si>
  <si>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</si>
  <si>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</si>
  <si>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</si>
  <si>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</si>
  <si>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</si>
  <si>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</si>
  <si>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</si>
  <si>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</si>
  <si>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</si>
  <si>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</si>
  <si>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</si>
  <si>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</si>
  <si>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</si>
  <si>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</si>
  <si>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</si>
  <si>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</si>
  <si>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</si>
  <si>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</si>
  <si>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</si>
  <si>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</si>
  <si>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</si>
  <si>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</si>
  <si>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</si>
  <si>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</si>
  <si>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</si>
  <si>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</si>
  <si>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</si>
  <si>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</si>
  <si>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</si>
  <si>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</si>
  <si>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</si>
  <si>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</si>
  <si>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</si>
  <si>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</si>
  <si>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</si>
  <si>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</si>
  <si>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</si>
  <si>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</si>
  <si>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</si>
  <si>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</si>
  <si>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</si>
  <si>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</si>
  <si>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</si>
  <si>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</si>
  <si>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</si>
  <si>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</si>
  <si>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</si>
  <si>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</si>
  <si>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</si>
  <si>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</si>
  <si>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</si>
  <si>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</si>
  <si>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</si>
  <si>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</si>
  <si>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</si>
  <si>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</si>
  <si>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</si>
  <si>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</si>
  <si>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</si>
  <si>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</si>
  <si>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</si>
  <si>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</si>
  <si>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</si>
  <si>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</si>
  <si>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</si>
  <si>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</si>
  <si>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</si>
  <si>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</si>
  <si>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</si>
  <si>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</si>
  <si>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</si>
  <si>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</si>
  <si>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</si>
  <si>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</si>
  <si>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</si>
  <si>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</si>
  <si>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</si>
  <si>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</si>
  <si>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</si>
  <si>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</si>
  <si>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</si>
  <si>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</si>
  <si>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</si>
  <si>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</si>
  <si>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</si>
  <si>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</si>
  <si>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</si>
  <si>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</si>
  <si>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</si>
  <si>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</si>
  <si>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</si>
  <si>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</si>
  <si>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</si>
  <si>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</si>
  <si>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</si>
  <si>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</si>
  <si>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</si>
  <si>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</si>
  <si>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</si>
  <si>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</si>
  <si>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</si>
  <si>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</si>
  <si>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</si>
  <si>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</si>
  <si>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</si>
  <si>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</si>
  <si>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</si>
  <si>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</si>
  <si>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</si>
  <si>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</si>
  <si>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</si>
  <si>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</si>
  <si>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</si>
  <si>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</si>
  <si>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</si>
  <si>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</si>
  <si>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</si>
  <si>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</si>
  <si>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</si>
  <si>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</si>
  <si>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</si>
  <si>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</si>
  <si>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</si>
  <si>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</si>
  <si>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</si>
  <si>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</si>
  <si>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</si>
  <si>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</si>
  <si>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</si>
  <si>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</si>
  <si>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</si>
  <si>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</si>
  <si>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</si>
  <si>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</si>
  <si>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</si>
  <si>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</si>
  <si>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</si>
  <si>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</si>
  <si>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</si>
  <si>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</si>
  <si>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</si>
  <si>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</si>
  <si>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</si>
  <si>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</si>
  <si>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</si>
  <si>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</si>
  <si>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</si>
  <si>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</si>
  <si>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</si>
  <si>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</si>
  <si>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Franchise League BBL Registration &amp; all team Players 2026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</si>
  <si>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</si>
  <si>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</si>
  <si>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</si>
  <si>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</si>
  <si>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</si>
  <si>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</si>
  <si>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Australia ( Home )</t>
  </si>
  <si>
    <t>Usman (LQ)</t>
  </si>
  <si>
    <t>Vaibhav Batra (PD)</t>
  </si>
  <si>
    <t>Hyderabad Kingsmen vs Pindiz</t>
  </si>
  <si>
    <t>8th April</t>
  </si>
  <si>
    <t>1. Nadeem Prince</t>
  </si>
  <si>
    <t>Umar Khan (PD)</t>
  </si>
  <si>
    <t>1. Jana Cp</t>
  </si>
  <si>
    <t>Sai Naveen (HK)</t>
  </si>
  <si>
    <t>Quetta Gladiators vs Karachi Kings</t>
  </si>
  <si>
    <t>1. Georgekutty Abraham</t>
  </si>
  <si>
    <t>1. Ashwini verma</t>
  </si>
  <si>
    <t>Multan Sultan vs Lahore Qalandars</t>
  </si>
  <si>
    <t>Multan Sultan</t>
  </si>
  <si>
    <t>2. Hizbuallah Sahito</t>
  </si>
  <si>
    <t>Arnab Sarkar (MS)</t>
  </si>
  <si>
    <t>2. Abhilash PA</t>
  </si>
  <si>
    <t>2. Lal Krishna</t>
  </si>
  <si>
    <t>Hyderabad Kingsmen vs Karachi Kings</t>
  </si>
  <si>
    <t>9th April</t>
  </si>
  <si>
    <t>Hyderabad</t>
  </si>
  <si>
    <t>Gautam Shankara Ram(HK)</t>
  </si>
  <si>
    <t>3. Waleed Khan</t>
  </si>
  <si>
    <t>3. Hasindu Rashminda</t>
  </si>
  <si>
    <t>Nirmal Baishya (KK)</t>
  </si>
  <si>
    <t>3. Sujith Kumar</t>
  </si>
  <si>
    <t>Quetta Gladiators vs Lahore Qalandars</t>
  </si>
  <si>
    <t>3. Shamroz</t>
  </si>
  <si>
    <t>3. Thebseer</t>
  </si>
  <si>
    <t>3. Kannan Balakrishnan</t>
  </si>
  <si>
    <t>3. Zeeshan Yaqoob Gujjar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</si>
  <si>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</si>
  <si>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</si>
  <si>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</si>
  <si>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</si>
  <si>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</si>
  <si>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</si>
  <si>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4. Vishnu Vijay</t>
  </si>
  <si>
    <t>Pindiz vs Multan Sultan</t>
  </si>
  <si>
    <t>4. Aniket Gavit</t>
  </si>
  <si>
    <t>4. Sufyan Gujjar</t>
  </si>
  <si>
    <t>4. Rubesh Jude</t>
  </si>
  <si>
    <t>4. Ahsan Siddiqui</t>
  </si>
  <si>
    <t>4. Aash</t>
  </si>
  <si>
    <t>4. Farhan</t>
  </si>
  <si>
    <t>Keshav Shah(MS)</t>
  </si>
  <si>
    <t>4. Ashi</t>
  </si>
  <si>
    <t>4. Anandha Krishnan</t>
  </si>
  <si>
    <t>Zeeshan (MS)</t>
  </si>
  <si>
    <t>4. Ajay Joseph</t>
  </si>
  <si>
    <t>Lahore Qalandars vs Hyderabad Kingsmen</t>
  </si>
  <si>
    <t>11th April</t>
  </si>
  <si>
    <t>5. Sanazil</t>
  </si>
  <si>
    <t>Anas Asim (LQ)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</si>
  <si>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</si>
  <si>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</si>
  <si>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</si>
  <si>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</si>
  <si>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</si>
  <si>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</si>
  <si>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Karachi Kings vs Pindiz</t>
  </si>
  <si>
    <t>5. Jishnu</t>
  </si>
  <si>
    <t>5. Manish Devadiga</t>
  </si>
  <si>
    <t>Anand Ajk (KK)</t>
  </si>
  <si>
    <t xml:space="preserve">Quetta Gladiators vs Hyderabad Kingsmen </t>
  </si>
  <si>
    <t>12th April</t>
  </si>
  <si>
    <t>6. Rince Thomas</t>
  </si>
  <si>
    <t>6. Huzaifa Imran</t>
  </si>
  <si>
    <t>6. Rasith Wijethunga</t>
  </si>
  <si>
    <t>6. Sajjad Kapri</t>
  </si>
  <si>
    <t>6. Rashid</t>
  </si>
  <si>
    <t>K Rakesh CSK(HK)</t>
  </si>
  <si>
    <t>6. Raheem</t>
  </si>
  <si>
    <t>6. Muhammad Usman</t>
  </si>
  <si>
    <t>6. Sreeraj R Kaimal</t>
  </si>
  <si>
    <t>6. Kushagra Sathe</t>
  </si>
  <si>
    <t>Hizbullah Sahito (KK)</t>
  </si>
  <si>
    <t>7. Subaida Subi</t>
  </si>
  <si>
    <t>Ram Thakkar (KK)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</si>
  <si>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</si>
  <si>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</si>
  <si>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</si>
  <si>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</si>
  <si>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</si>
  <si>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</si>
  <si>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</si>
  <si>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</si>
  <si>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Abrar Ali (PD)</t>
  </si>
  <si>
    <t>Aniket Gavit (MS)</t>
  </si>
  <si>
    <t>Multan Sultan vs Hyderabad Kingsmen</t>
  </si>
  <si>
    <t>13th April</t>
  </si>
  <si>
    <t>8. Vishnu CV</t>
  </si>
  <si>
    <t>8. Mahesh Margol</t>
  </si>
  <si>
    <t>8. Zuhair Rbk</t>
  </si>
  <si>
    <t>8. Uresh Gnananga</t>
  </si>
  <si>
    <t>Nasrullah &amp; Harsh</t>
  </si>
  <si>
    <t>8. Edab Malik</t>
  </si>
  <si>
    <t>8. Safeer</t>
  </si>
  <si>
    <t>8. Ahmad Muhammad</t>
  </si>
  <si>
    <t>8. Rahul Suresh</t>
  </si>
  <si>
    <t xml:space="preserve">8. Nahas Nazar </t>
  </si>
  <si>
    <t xml:space="preserve">Pindiz vs Quetta Gladiators </t>
  </si>
  <si>
    <t>Ahmed &amp; Shamroz</t>
  </si>
  <si>
    <t>Achuz Sukumaran (PD)</t>
  </si>
  <si>
    <t>Athif Basheer K(PD)</t>
  </si>
  <si>
    <t>9. Yashwanth Yash</t>
  </si>
  <si>
    <t>9. Muzammil Zafar</t>
  </si>
  <si>
    <t>Hasindu Rashminda (QG)</t>
  </si>
  <si>
    <t>9. Virendra Peiris</t>
  </si>
  <si>
    <t>9. Princhi Bora</t>
  </si>
  <si>
    <t>Karachi Kings vs Multan Sultan</t>
  </si>
  <si>
    <t>9. Sadik</t>
  </si>
  <si>
    <t>14th April</t>
  </si>
  <si>
    <t>9. Ganesh Chunduru</t>
  </si>
  <si>
    <t>9. Asthu</t>
  </si>
  <si>
    <t>9. Nihal Maxi</t>
  </si>
  <si>
    <t>9. Ankan Biswas</t>
  </si>
  <si>
    <t>Yasin Iqbal (KK)</t>
  </si>
  <si>
    <t>Pindiz vs Hyderabad Kingsmen</t>
  </si>
  <si>
    <t>10. Harish</t>
  </si>
  <si>
    <t>10. Anas Asim</t>
  </si>
  <si>
    <t>10. Ghamshad</t>
  </si>
  <si>
    <t>10. Achuz</t>
  </si>
  <si>
    <t>10. Arslan Ali Shani</t>
  </si>
  <si>
    <t>10. Kebin</t>
  </si>
  <si>
    <t>Hrushikesh HD (PD)</t>
  </si>
  <si>
    <t>10. Hari Krishnan</t>
  </si>
  <si>
    <t>10. Manish Indoria</t>
  </si>
  <si>
    <t>Karachi Kings vs Quetta Gladiators</t>
  </si>
  <si>
    <t>15th April</t>
  </si>
  <si>
    <t>Shivaji Prakash (QG)</t>
  </si>
  <si>
    <t>11. Salar Shah</t>
  </si>
  <si>
    <t>11. Adithya Mahajan</t>
  </si>
  <si>
    <t>11. Asad</t>
  </si>
  <si>
    <t>11. Aneesh</t>
  </si>
  <si>
    <t>11. Masrifa Munni</t>
  </si>
  <si>
    <t>11. Ashith</t>
  </si>
  <si>
    <t>Lahore Qalandars vs Multan Sultan</t>
  </si>
  <si>
    <t>11. AL Ameen</t>
  </si>
  <si>
    <t>Ans Sheikh (MS)</t>
  </si>
  <si>
    <t>Harish (MS)</t>
  </si>
  <si>
    <t>12. Samir</t>
  </si>
  <si>
    <t>12. Saad Rizwan</t>
  </si>
  <si>
    <t>12. Saketh Balne</t>
  </si>
  <si>
    <t>Karachi Kings vs Hyderabad Kingsmen</t>
  </si>
  <si>
    <t>12. Molly</t>
  </si>
  <si>
    <t>12. Ayat</t>
  </si>
  <si>
    <t>16th April</t>
  </si>
  <si>
    <t>12. Rojo</t>
  </si>
  <si>
    <t>12. Arjun Raj R</t>
  </si>
  <si>
    <t>Chiranjibi Samal (HK)</t>
  </si>
  <si>
    <t>13. Yeshwanth Chinni</t>
  </si>
  <si>
    <t>13. Hansana De Silva</t>
  </si>
  <si>
    <t>Lahore Qalanadars vs Pindiz</t>
  </si>
  <si>
    <t>13. Ahsas</t>
  </si>
  <si>
    <t>13. Sujith CS Ctr</t>
  </si>
  <si>
    <t>13. Ahmed Mehsoof</t>
  </si>
  <si>
    <t>13. Muhammed Shibil M</t>
  </si>
  <si>
    <t>Muhammed Ahmed (PD)</t>
  </si>
  <si>
    <t>14. Ram Thakkar</t>
  </si>
  <si>
    <t>14. Thilina Jayarathna</t>
  </si>
  <si>
    <t>14. Bhavin Kumar</t>
  </si>
  <si>
    <t>14. Sri Vishnu</t>
  </si>
  <si>
    <t>14. Wafa Baloch</t>
  </si>
  <si>
    <t xml:space="preserve">Qualifier 1: Hyderabad Kingsmen vs Lahore Qalandars </t>
  </si>
  <si>
    <t>15. Toby Joseph</t>
  </si>
  <si>
    <t>17th April</t>
  </si>
  <si>
    <t>15. Binara Udayanga</t>
  </si>
  <si>
    <t>15. Bhargab Kashyap</t>
  </si>
  <si>
    <t>15. Wajdan</t>
  </si>
  <si>
    <t xml:space="preserve">Ahmed  </t>
  </si>
  <si>
    <t>Eliminator: Karachi Kings vs Quetta Gladiators</t>
  </si>
  <si>
    <t>16. Abdul Haseeb</t>
  </si>
  <si>
    <t>Zarnish Saira (QG)</t>
  </si>
  <si>
    <t>Qualifier 2: Lahore Qalandars vs Quetta Gladiators</t>
  </si>
  <si>
    <t>18th April</t>
  </si>
  <si>
    <t>Subaida Subi (LQ)</t>
  </si>
  <si>
    <t>17. Ahmed</t>
  </si>
  <si>
    <t>Grand Final: Hyderabad Kingsmen vs Lahore Qalandars</t>
  </si>
  <si>
    <t>19th April</t>
  </si>
  <si>
    <t>Nasrullah (  Com: Ahmed &amp; Nirmal )</t>
  </si>
  <si>
    <t>Franchise League BBL All TEAMS</t>
  </si>
  <si>
    <t>Adithya Mahajan (LQ)</t>
  </si>
  <si>
    <t>IOCF Pakistan Super League 2026 AWARDS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</si>
  <si>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</si>
  <si>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</si>
  <si>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</si>
  <si>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</si>
  <si>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</si>
  <si>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</si>
  <si>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</si>
  <si>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</si>
  <si>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</si>
  <si>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</si>
  <si>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</si>
  <si>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</si>
  <si>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</si>
  <si>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</si>
  <si>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</si>
  <si>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</si>
  <si>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</si>
  <si>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</si>
  <si>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</si>
  <si>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</si>
  <si>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</si>
  <si>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</si>
  <si>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</si>
  <si>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</si>
  <si>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</si>
  <si>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</si>
  <si>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</si>
  <si>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</si>
  <si>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</si>
  <si>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</si>
  <si>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</si>
  <si>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</si>
  <si>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</si>
  <si>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</si>
  <si>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</si>
  <si>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</si>
  <si>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</si>
  <si>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</si>
  <si>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</si>
  <si>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</si>
  <si>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</si>
  <si>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</si>
  <si>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</si>
  <si>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</si>
  <si>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</si>
  <si>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</si>
  <si>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</si>
  <si>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</si>
  <si>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</si>
  <si>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</si>
  <si>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</si>
  <si>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</si>
  <si>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</si>
  <si>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</si>
  <si>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</si>
  <si>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</si>
  <si>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</si>
  <si>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</si>
  <si>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</si>
  <si>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</si>
  <si>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</si>
  <si>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</si>
  <si>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</si>
  <si>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</si>
  <si>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</si>
  <si>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</si>
  <si>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</si>
  <si>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</si>
  <si>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</si>
  <si>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</si>
  <si>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</si>
  <si>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</si>
  <si>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</si>
  <si>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</si>
  <si>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</si>
  <si>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</si>
  <si>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</si>
  <si>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</si>
  <si>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</si>
  <si>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</si>
  <si>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</si>
  <si>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</si>
  <si>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</si>
  <si>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</si>
  <si>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</si>
  <si>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</si>
  <si>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</si>
  <si>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</si>
  <si>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</si>
  <si>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</si>
  <si>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</si>
  <si>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</si>
  <si>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</si>
  <si>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</si>
  <si>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</si>
  <si>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</si>
  <si>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</si>
  <si>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</si>
  <si>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</si>
  <si>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</si>
  <si>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</si>
  <si>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</si>
  <si>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</si>
  <si>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</si>
  <si>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</si>
  <si>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</si>
  <si>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</si>
  <si>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</si>
  <si>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</si>
  <si>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</si>
  <si>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</si>
  <si>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</si>
  <si>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</si>
  <si>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</si>
  <si>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</si>
  <si>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</si>
  <si>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</si>
  <si>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</si>
  <si>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</si>
  <si>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</si>
  <si>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</si>
  <si>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</si>
  <si>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</si>
  <si>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</si>
  <si>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</si>
  <si>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</si>
  <si>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</si>
  <si>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</si>
  <si>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</si>
  <si>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</si>
  <si>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</si>
  <si>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</si>
  <si>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</si>
  <si>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</si>
  <si>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</si>
  <si>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</si>
  <si>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</si>
  <si>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</si>
  <si>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</si>
  <si>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</si>
  <si>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</si>
  <si>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</si>
  <si>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</si>
  <si>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</si>
  <si>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</si>
  <si>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</si>
  <si>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</si>
  <si>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</si>
  <si>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</si>
  <si>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</si>
  <si>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</si>
  <si>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</si>
  <si>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</si>
  <si>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</si>
  <si>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</si>
  <si>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</si>
  <si>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</si>
  <si>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</si>
  <si>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</si>
  <si>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</si>
  <si>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</si>
  <si>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</si>
  <si>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</si>
  <si>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</si>
  <si>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</si>
  <si>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</si>
  <si>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</si>
  <si>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</si>
  <si>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</si>
  <si>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</si>
  <si>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</si>
  <si>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</si>
  <si>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</si>
  <si>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</si>
  <si>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</si>
  <si>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</si>
  <si>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</si>
  <si>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</si>
  <si>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</si>
  <si>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</si>
  <si>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</si>
  <si>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</si>
  <si>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</si>
  <si>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</si>
  <si>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</si>
  <si>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</si>
  <si>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</si>
  <si>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</si>
  <si>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</si>
  <si>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</si>
  <si>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</si>
  <si>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</si>
  <si>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</si>
  <si>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</si>
  <si>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</si>
  <si>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</si>
  <si>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</si>
  <si>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</si>
  <si>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</si>
  <si>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</si>
  <si>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</si>
  <si>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</si>
  <si>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</si>
  <si>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</si>
  <si>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</si>
  <si>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</si>
  <si>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</si>
  <si>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</si>
  <si>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</si>
  <si>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</si>
  <si>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</si>
  <si>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</si>
  <si>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</si>
  <si>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</si>
  <si>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</si>
  <si>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</si>
  <si>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</si>
  <si>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</si>
  <si>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</si>
  <si>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</si>
  <si>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</si>
  <si>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</si>
  <si>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</si>
  <si>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</si>
  <si>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</si>
  <si>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</si>
  <si>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</si>
  <si>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</si>
  <si>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</si>
  <si>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</si>
  <si>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</si>
  <si>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</si>
  <si>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</si>
  <si>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</si>
  <si>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</si>
  <si>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</si>
  <si>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</si>
  <si>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</si>
  <si>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</si>
  <si>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</si>
  <si>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16th May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</si>
  <si>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</si>
  <si>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</si>
  <si>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</si>
  <si>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</si>
  <si>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</si>
  <si>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</si>
  <si>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</si>
  <si>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</si>
  <si>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</si>
  <si>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</si>
  <si>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</si>
  <si>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</si>
  <si>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</si>
  <si>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18th May</t>
  </si>
  <si>
    <t>Ump: Harsh &amp; SC: Arnab</t>
  </si>
  <si>
    <t>Anand Ajk (SS)</t>
  </si>
  <si>
    <t>Eliminator: Perth Scorchers vs Melbourne Renegades</t>
  </si>
  <si>
    <t>Qualifier 2: Melbourne Stars vs Melbourne Renegades</t>
  </si>
  <si>
    <t>19th May</t>
  </si>
  <si>
    <t>Final: Sydney Sixers vs Melbourne Stara</t>
  </si>
  <si>
    <t>20th May</t>
  </si>
  <si>
    <t>IOCF Big Bash League 2026 AWARDS</t>
  </si>
  <si>
    <t>Franchise League KCL Registration &amp; all team Players 2026</t>
  </si>
  <si>
    <t>Newzealand (Home)</t>
  </si>
  <si>
    <t>1. Rakshith Raksh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</si>
  <si>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</si>
  <si>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</si>
  <si>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</si>
  <si>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</si>
  <si>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</si>
  <si>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</si>
  <si>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</si>
  <si>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</si>
  <si>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</si>
  <si>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</si>
  <si>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</si>
  <si>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</si>
  <si>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</si>
  <si>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</si>
  <si>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</si>
  <si>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</si>
  <si>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</si>
  <si>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</si>
  <si>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</si>
  <si>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</si>
  <si>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</si>
  <si>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</si>
  <si>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</si>
  <si>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</si>
  <si>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</si>
  <si>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</si>
  <si>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</si>
  <si>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</si>
  <si>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</si>
  <si>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</si>
  <si>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Franchise League BPL Registration &amp; all team Players 2026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</si>
  <si>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</si>
  <si>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</si>
  <si>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</si>
  <si>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</si>
  <si>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</si>
  <si>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</si>
  <si>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</si>
  <si>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</si>
  <si>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</si>
  <si>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</si>
  <si>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</si>
  <si>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</si>
  <si>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</si>
  <si>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</si>
  <si>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</si>
  <si>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 xml:space="preserve">Pakistan </t>
  </si>
  <si>
    <t>6. Rahul Roy</t>
  </si>
  <si>
    <t>6. Yeshwanth Chinni</t>
  </si>
  <si>
    <t>6. Waqas Mughal</t>
  </si>
  <si>
    <t>Bangladesh(Home)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</si>
  <si>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</si>
  <si>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</si>
  <si>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</si>
  <si>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</si>
  <si>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</si>
  <si>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</si>
  <si>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</si>
  <si>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1. Abdullah ishtiaq</t>
  </si>
  <si>
    <t>7. Nahas</t>
  </si>
  <si>
    <t xml:space="preserve">1. Shivaji </t>
  </si>
  <si>
    <t>7. Chappy</t>
  </si>
  <si>
    <t xml:space="preserve">1. Debajit Borthakur </t>
  </si>
  <si>
    <t xml:space="preserve">1. Adarsh Byndoor </t>
  </si>
  <si>
    <t xml:space="preserve">1. Thebseer </t>
  </si>
  <si>
    <t>8. Huzain</t>
  </si>
  <si>
    <t>1. Hizbullah Sahito</t>
  </si>
  <si>
    <t>8. Huzaifa Imran</t>
  </si>
  <si>
    <t xml:space="preserve">1. Damitha Naranpanawa </t>
  </si>
  <si>
    <t>8. Bhavesh B</t>
  </si>
  <si>
    <t xml:space="preserve">8. Ans Sheikh </t>
  </si>
  <si>
    <t xml:space="preserve">8. Ruwanga Bandarawaththa </t>
  </si>
  <si>
    <t xml:space="preserve">8. Debajit Borthakur </t>
  </si>
  <si>
    <t>1. Sajjad Kapri</t>
  </si>
  <si>
    <t>8. Salar Shah</t>
  </si>
  <si>
    <t>8. Abrar Ali</t>
  </si>
  <si>
    <t>8. Asthu</t>
  </si>
  <si>
    <t>2. Manish Indoria</t>
  </si>
  <si>
    <t>8. Muhammad Noor</t>
  </si>
  <si>
    <t xml:space="preserve">2. Mudasir Ali </t>
  </si>
  <si>
    <t xml:space="preserve">2. Athif </t>
  </si>
  <si>
    <t>9. Vipin Venu</t>
  </si>
  <si>
    <t>9. M Touqeer</t>
  </si>
  <si>
    <t xml:space="preserve">9. Usman </t>
  </si>
  <si>
    <t>2. Nouraiz Abbas</t>
  </si>
  <si>
    <t xml:space="preserve">9. Uresh Gnananga </t>
  </si>
  <si>
    <t xml:space="preserve">9. Marami Ahmed </t>
  </si>
  <si>
    <t>2. Karthik Verma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</si>
  <si>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</si>
  <si>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</si>
  <si>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</si>
  <si>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</si>
  <si>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</si>
  <si>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</si>
  <si>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</si>
  <si>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>3. Mohammad Noor</t>
  </si>
  <si>
    <t xml:space="preserve">3. Farhan malick </t>
  </si>
  <si>
    <t xml:space="preserve">10. Deepjyoti Talukdar </t>
  </si>
  <si>
    <t xml:space="preserve">3. Jana </t>
  </si>
  <si>
    <t>10. Toby Joseph</t>
  </si>
  <si>
    <t xml:space="preserve">3. Dhrubo Rajbongshi </t>
  </si>
  <si>
    <t>3. Vikas Byndoor</t>
  </si>
  <si>
    <t>10. Donald Baghwar Dkhar</t>
  </si>
  <si>
    <t>10. Hari</t>
  </si>
  <si>
    <t>10. Ananthu Mohan</t>
  </si>
  <si>
    <t>11. Mudasir Ali</t>
  </si>
  <si>
    <t>3. Asad KB</t>
  </si>
  <si>
    <t xml:space="preserve">11. Zarnish </t>
  </si>
  <si>
    <t xml:space="preserve">11. Damith Nandana </t>
  </si>
  <si>
    <t xml:space="preserve">11. Mayank Das </t>
  </si>
  <si>
    <t>11. Samir</t>
  </si>
  <si>
    <t>4. Arjun Akj</t>
  </si>
  <si>
    <t>11. Anurag Raj</t>
  </si>
  <si>
    <t>4. M Waleed khan</t>
  </si>
  <si>
    <t xml:space="preserve">4. Rajeev </t>
  </si>
  <si>
    <t>11. Anish Babu Konni</t>
  </si>
  <si>
    <t>4. Hirakjyoti Deka</t>
  </si>
  <si>
    <t>4. Gautam Shankara Ram</t>
  </si>
  <si>
    <t>4. Irshad</t>
  </si>
  <si>
    <t>12. Thaneem</t>
  </si>
  <si>
    <t>4. Aash Muhammad</t>
  </si>
  <si>
    <t>12. Jahfar</t>
  </si>
  <si>
    <t>4. K Rakesh</t>
  </si>
  <si>
    <t xml:space="preserve">12. Mian Bilal </t>
  </si>
  <si>
    <t>4. Alphan Das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</si>
  <si>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</si>
  <si>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</si>
  <si>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</si>
  <si>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</si>
  <si>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</si>
  <si>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5. Ankan Biswas</t>
  </si>
  <si>
    <t xml:space="preserve">5. Saad Rizwan </t>
  </si>
  <si>
    <t xml:space="preserve">5. Abhishek </t>
  </si>
  <si>
    <t>13. Sanazil</t>
  </si>
  <si>
    <t>5. Jihan Omar Fokir</t>
  </si>
  <si>
    <t>13. Abdullah Usmani</t>
  </si>
  <si>
    <t>5. Blesson</t>
  </si>
  <si>
    <t>13. Ahmed Mahsoof</t>
  </si>
  <si>
    <t xml:space="preserve">13. Sasith Jayawardena </t>
  </si>
  <si>
    <t>5. Muhammad Ali</t>
  </si>
  <si>
    <t>13. Kiran Nath</t>
  </si>
  <si>
    <t>5. Safeer Babu</t>
  </si>
  <si>
    <t>5. Vishnu Vijay</t>
  </si>
  <si>
    <t>13. Huzaifa Kaukawala</t>
  </si>
  <si>
    <t>5. Anu Aeshan</t>
  </si>
  <si>
    <t>13. Manish Devadiga</t>
  </si>
  <si>
    <t>13. Georgekutty Abraham</t>
  </si>
  <si>
    <t>14. Afsal</t>
  </si>
  <si>
    <t>6. Ashwini Verma</t>
  </si>
  <si>
    <t>14. Abdullah Ishtiaq</t>
  </si>
  <si>
    <t xml:space="preserve">6. M Touqeer </t>
  </si>
  <si>
    <t xml:space="preserve">6. Farhan </t>
  </si>
  <si>
    <t xml:space="preserve">14. Hansana De Silva </t>
  </si>
  <si>
    <t>6. Marami Ahmed</t>
  </si>
  <si>
    <t>6. Hasan Musabbir</t>
  </si>
  <si>
    <t>14. Naveen</t>
  </si>
  <si>
    <t>6. Sali</t>
  </si>
  <si>
    <t>6. Nasrullah</t>
  </si>
  <si>
    <t>14. Keshav Shah</t>
  </si>
  <si>
    <t>6. Jyothish S</t>
  </si>
  <si>
    <t>14. Nihal Maxi</t>
  </si>
  <si>
    <t>6. Meer Kamran</t>
  </si>
  <si>
    <t>15. Albin</t>
  </si>
  <si>
    <t>15. Zohaib Khan Tareen</t>
  </si>
  <si>
    <t xml:space="preserve">15. Thilina Jayarathna </t>
  </si>
  <si>
    <t xml:space="preserve">7. Malik Zubair </t>
  </si>
  <si>
    <t>15. Zeeshan Yaqoob Gujjar</t>
  </si>
  <si>
    <t xml:space="preserve">7. Rahul Seenu </t>
  </si>
  <si>
    <t>7. Anamika Priya Pegu</t>
  </si>
  <si>
    <t>15. Arjun S Kumar</t>
  </si>
  <si>
    <t>7. Asthu</t>
  </si>
  <si>
    <t>16. Adnan Khalid</t>
  </si>
  <si>
    <t>7. Huzain</t>
  </si>
  <si>
    <t>7. Rahul Mahapatra</t>
  </si>
  <si>
    <t xml:space="preserve">16. Binara Udayanga </t>
  </si>
  <si>
    <t>16. Manish Indoria</t>
  </si>
  <si>
    <t>17. Adithya Mahajan</t>
  </si>
  <si>
    <t>8. Zeeshan Yaqoob Gujjar</t>
  </si>
  <si>
    <t xml:space="preserve">8. Umar Khan </t>
  </si>
  <si>
    <t xml:space="preserve">8. Peter </t>
  </si>
  <si>
    <t>17. Ankan Biswas</t>
  </si>
  <si>
    <t>8. Bimal Baral</t>
  </si>
  <si>
    <t>8. Huzaifa Kaukawala</t>
  </si>
  <si>
    <t>8. Kebin</t>
  </si>
  <si>
    <t>8. Ayaan Sheikh</t>
  </si>
  <si>
    <t>18. Rao Abul</t>
  </si>
  <si>
    <t>8. Vipin</t>
  </si>
  <si>
    <t>8. Shiva Teja</t>
  </si>
  <si>
    <t>18. Anik Dey Shanto</t>
  </si>
  <si>
    <t>19. SK Haseeb Ali</t>
  </si>
  <si>
    <t xml:space="preserve">9. Umar abbas </t>
  </si>
  <si>
    <t xml:space="preserve">9. Gopi </t>
  </si>
  <si>
    <t>9. Aashutosh Jha</t>
  </si>
  <si>
    <t>9. Karthik Devadiga</t>
  </si>
  <si>
    <t>20. Zuhair RBK</t>
  </si>
  <si>
    <t>9. Sham Roz</t>
  </si>
  <si>
    <t>9. Haseeb</t>
  </si>
  <si>
    <t>9. Susheel Teja</t>
  </si>
  <si>
    <t>21. Suhyl Mohammad</t>
  </si>
  <si>
    <t>22. Anas Asim</t>
  </si>
  <si>
    <t>10. Anand Ajk</t>
  </si>
  <si>
    <t xml:space="preserve">10. Nadeem Prince </t>
  </si>
  <si>
    <t>23. Talha Saeed Gujjar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</si>
  <si>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</si>
  <si>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</si>
  <si>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</si>
  <si>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</si>
  <si>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</si>
  <si>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</si>
  <si>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</si>
  <si>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24. Ishak Farid</t>
  </si>
  <si>
    <t>10. K Srinidhi</t>
  </si>
  <si>
    <t>25. Nadeem Prince</t>
  </si>
  <si>
    <t>11. Malaram Patel</t>
  </si>
  <si>
    <t xml:space="preserve">11. Talha Saeed Gujjar </t>
  </si>
  <si>
    <t>12. Kiran Nath</t>
  </si>
  <si>
    <t>11. Mahesh Margol</t>
  </si>
  <si>
    <t>26. Shahzad</t>
  </si>
  <si>
    <t>11. Hashir</t>
  </si>
  <si>
    <t>11. Summan Baig</t>
  </si>
  <si>
    <t>11. Thaneem</t>
  </si>
  <si>
    <t>27. Irfan Ali Soomro</t>
  </si>
  <si>
    <t>28. Muzammil Zafar</t>
  </si>
  <si>
    <t xml:space="preserve">12. Huzaifa Imran </t>
  </si>
  <si>
    <t>13. Mayank Das</t>
  </si>
  <si>
    <t>12. Naveen J</t>
  </si>
  <si>
    <t>12. Ashith</t>
  </si>
  <si>
    <t>12. Ali Abbas Bangash</t>
  </si>
  <si>
    <t>Franchise League KCL All TEAMS</t>
  </si>
  <si>
    <t>12. Sanazil</t>
  </si>
  <si>
    <t xml:space="preserve">13. Ishak Farid </t>
  </si>
  <si>
    <t>14. Rahul Sharma</t>
  </si>
  <si>
    <t>13. Hari</t>
  </si>
  <si>
    <t>13. Afsal</t>
  </si>
  <si>
    <t>1. Kishore Gowda (C)</t>
  </si>
  <si>
    <t>1. Harish Byndoor (C)</t>
  </si>
  <si>
    <t>1. Mahesh Margol (C)</t>
  </si>
  <si>
    <t>1. Aniket Gavit (C)</t>
  </si>
  <si>
    <t xml:space="preserve">14. Zuhair </t>
  </si>
  <si>
    <t>1. Gautam Shankara Ram (C)</t>
  </si>
  <si>
    <t>15. Veer Gupta</t>
  </si>
  <si>
    <t>1. Hrushikesh HD (C)</t>
  </si>
  <si>
    <t>1. Shibasis Nayak (C)</t>
  </si>
  <si>
    <t>1. Ram Thakkar (C)</t>
  </si>
  <si>
    <t>2. Karthik Devadiga (M)</t>
  </si>
  <si>
    <t>14. Salaar Shah</t>
  </si>
  <si>
    <t>2. Suman Byndoor (M)</t>
  </si>
  <si>
    <t>14. Ajay</t>
  </si>
  <si>
    <t>14. Arslan Ali Shani</t>
  </si>
  <si>
    <t>2. Yashwanth Yash (M)</t>
  </si>
  <si>
    <t>2. Srajan Poojary (M)</t>
  </si>
  <si>
    <t>14. Albin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</si>
  <si>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</si>
  <si>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</si>
  <si>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</si>
  <si>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</si>
  <si>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</si>
  <si>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</si>
  <si>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</si>
  <si>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 xml:space="preserve">15. Kashif Ramzan </t>
  </si>
  <si>
    <t>3. Arnab Sarkar (DS-Aus)</t>
  </si>
  <si>
    <t>16. Bishwajit Dutta</t>
  </si>
  <si>
    <t>15. Shibasis Nayak</t>
  </si>
  <si>
    <t>3. Sai Naveen (DS-BD)</t>
  </si>
  <si>
    <t>3. Shivaji Prakash (DS-Ind)</t>
  </si>
  <si>
    <t>15. Muhammad Usman</t>
  </si>
  <si>
    <t>3. Arjun Akj (DS-Aus)</t>
  </si>
  <si>
    <t>3. Yasin Iqbal (DS-BD)</t>
  </si>
  <si>
    <t>15. Subaida Subi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</si>
  <si>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</si>
  <si>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</si>
  <si>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</si>
  <si>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</si>
  <si>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</si>
  <si>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 xml:space="preserve">16. Adnan Khalid </t>
  </si>
  <si>
    <t>4. Jana CP(Ind) - 18000</t>
  </si>
  <si>
    <t>17. Dipankar Roy</t>
  </si>
  <si>
    <t>4. Toby Joseph(NZ) - 9000</t>
  </si>
  <si>
    <t>16. Toby Joseph</t>
  </si>
  <si>
    <t>4. Farhan(Ind) - 2000</t>
  </si>
  <si>
    <t>16. Wafa Baloch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</si>
  <si>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</si>
  <si>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</si>
  <si>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</si>
  <si>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</si>
  <si>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</si>
  <si>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</si>
  <si>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</si>
  <si>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 xml:space="preserve">17. Sufyan Yaqoob gujjar </t>
  </si>
  <si>
    <t>5. Hybi Anil(Italy) - 7000</t>
  </si>
  <si>
    <t>18. Prabal Deka</t>
  </si>
  <si>
    <t>17. Tukaram Parabat</t>
  </si>
  <si>
    <t>6. Athif Basheer(Ind) - 6500</t>
  </si>
  <si>
    <t>17. Chalana Rukshan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</si>
  <si>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</si>
  <si>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</si>
  <si>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</si>
  <si>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</si>
  <si>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</si>
  <si>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</si>
  <si>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</si>
  <si>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 xml:space="preserve">18. Muzammil </t>
  </si>
  <si>
    <t>7. Rahul Roy(Ind) - 1000</t>
  </si>
  <si>
    <t>19. Pinku Bordoloi</t>
  </si>
  <si>
    <t>7. Sujith CS Ctr(Eng) - 18000</t>
  </si>
  <si>
    <t>18. Ramith Kumar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</si>
  <si>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</si>
  <si>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</si>
  <si>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</si>
  <si>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</si>
  <si>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</si>
  <si>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</si>
  <si>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</si>
  <si>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</si>
  <si>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</si>
  <si>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 xml:space="preserve">19. Anas Asim </t>
  </si>
  <si>
    <t>8. Irshad Bekal(Scot) - 8000</t>
  </si>
  <si>
    <t>19. Srajan Poojari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</si>
  <si>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</si>
  <si>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</si>
  <si>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</si>
  <si>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</si>
  <si>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</si>
  <si>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</si>
  <si>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</si>
  <si>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</si>
  <si>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</si>
  <si>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 xml:space="preserve">20. Saif Ali </t>
  </si>
  <si>
    <t>9. Ashiqui Ashi(Scot) - 11000</t>
  </si>
  <si>
    <t>9. Safeer Babu(Eng) - 8000</t>
  </si>
  <si>
    <t>20. Suman Byndoor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</si>
  <si>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</si>
  <si>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</si>
  <si>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</si>
  <si>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</si>
  <si>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</si>
  <si>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</si>
  <si>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</si>
  <si>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</si>
  <si>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 xml:space="preserve">21. M shahzad </t>
  </si>
  <si>
    <t>10. Jishnu(Scot) - 7000</t>
  </si>
  <si>
    <t>21. Pratyush Mishra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</si>
  <si>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</si>
  <si>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</si>
  <si>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</si>
  <si>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</si>
  <si>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</si>
  <si>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</si>
  <si>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</si>
  <si>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</si>
  <si>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</si>
  <si>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 xml:space="preserve">22. Zohaib Khan Tareen </t>
  </si>
  <si>
    <t>12. Mudasir Ali(Afg) - 1000</t>
  </si>
  <si>
    <t>22. Vijeth Devadiga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</si>
  <si>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</si>
  <si>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</si>
  <si>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</si>
  <si>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</si>
  <si>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</si>
  <si>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</si>
  <si>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</si>
  <si>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</si>
  <si>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</si>
  <si>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</si>
  <si>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</si>
  <si>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23. Yeshwanth Chinni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</si>
  <si>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</si>
  <si>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</si>
  <si>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</si>
  <si>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</si>
  <si>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</si>
  <si>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</si>
  <si>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</si>
  <si>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</si>
  <si>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</si>
  <si>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</si>
  <si>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</si>
  <si>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24. Nawman Baig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</si>
  <si>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</si>
  <si>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</si>
  <si>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</si>
  <si>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</si>
  <si>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</si>
  <si>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</si>
  <si>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</si>
  <si>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</si>
  <si>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</si>
  <si>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25. Sanan Abrar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</si>
  <si>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</si>
  <si>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</si>
  <si>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</si>
  <si>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</si>
  <si>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</si>
  <si>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</si>
  <si>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</si>
  <si>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</si>
  <si>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</si>
  <si>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</si>
  <si>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26. Samir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</si>
  <si>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</si>
  <si>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</si>
  <si>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</si>
  <si>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</si>
  <si>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</si>
  <si>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</si>
  <si>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</si>
  <si>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</si>
  <si>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Franchise League BPL All TEAMS</t>
  </si>
  <si>
    <t>Ironhold</t>
  </si>
  <si>
    <t>Ump &amp; SC: Aniket Gavit</t>
  </si>
  <si>
    <t>Rizwan (NK)</t>
  </si>
  <si>
    <t>Canterbury Kings vs Auckland Aces</t>
  </si>
  <si>
    <t>Soverign</t>
  </si>
  <si>
    <t>Credits Remaining: 900</t>
  </si>
  <si>
    <t>Ump &amp; SC: Srajan &amp; Aniket</t>
  </si>
  <si>
    <t>Credits Remaining: 0</t>
  </si>
  <si>
    <t>Nouraiz (CK)</t>
  </si>
  <si>
    <t>Credits Remaining: 400</t>
  </si>
  <si>
    <t>Huzaifa Imran (AA)</t>
  </si>
  <si>
    <t>Credits Remaining: 300</t>
  </si>
  <si>
    <t>1. Sai Naveen (C) - 80000</t>
  </si>
  <si>
    <t>Central Stags vs Tauranga Titans</t>
  </si>
  <si>
    <t>1. Vaibhav Batra (C) - 80000</t>
  </si>
  <si>
    <t>26th May</t>
  </si>
  <si>
    <t>1. Ahmed (C)</t>
  </si>
  <si>
    <t>Inferno</t>
  </si>
  <si>
    <t>1. Princhi Bora (C)</t>
  </si>
  <si>
    <t>1. Ebad Malik (C)</t>
  </si>
  <si>
    <t>1. Ahsan Siddiqui (C)</t>
  </si>
  <si>
    <t>1. Yasin Iqbal (C)</t>
  </si>
  <si>
    <t>Hrushikesh (CS)</t>
  </si>
  <si>
    <t>1. Ashutosh Jha (C)</t>
  </si>
  <si>
    <t>1. Harsh Dubey (C)</t>
  </si>
  <si>
    <t>Ashutosh (TT)</t>
  </si>
  <si>
    <t>1. Arnab Sarkar (C-Aus)</t>
  </si>
  <si>
    <t>Yasin (TT)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</si>
  <si>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</si>
  <si>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</si>
  <si>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</si>
  <si>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</si>
  <si>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</si>
  <si>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</si>
  <si>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</si>
  <si>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</si>
  <si>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</si>
  <si>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Otago Volts vs Wellington Warriors</t>
  </si>
  <si>
    <t>2. Abrar Ali (M-Aus)</t>
  </si>
  <si>
    <t>Thunder</t>
  </si>
  <si>
    <t>Ump &amp; SC: Damitha</t>
  </si>
  <si>
    <t>Anshad (WW)</t>
  </si>
  <si>
    <t>Hasindu (WW)</t>
  </si>
  <si>
    <t>Ajaykumar (WW)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</si>
  <si>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</si>
  <si>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</si>
  <si>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</si>
  <si>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</si>
  <si>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</si>
  <si>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</si>
  <si>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</si>
  <si>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</si>
  <si>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</si>
  <si>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Northern Knights vs Auckland Aces</t>
  </si>
  <si>
    <t>27th May</t>
  </si>
  <si>
    <t>4. Rahul (SA) - 3000</t>
  </si>
  <si>
    <t>4. Mahi (SA) - 4500</t>
  </si>
  <si>
    <t>Eden</t>
  </si>
  <si>
    <t>4. Tukaram (NZ) - 16000</t>
  </si>
  <si>
    <t>4. Huzaifa (NZ) - 600</t>
  </si>
  <si>
    <t>4. Sajjad (BD) - 1600</t>
  </si>
  <si>
    <t>Ump &amp; SC: Jyothish S</t>
  </si>
  <si>
    <t>4. Meer(BD) - 1100</t>
  </si>
  <si>
    <t>4. Asad (BD) - 900</t>
  </si>
  <si>
    <t>Adithya (NK)</t>
  </si>
  <si>
    <t>4. Rajab (BD) - 900</t>
  </si>
  <si>
    <t>4. Anu (BD) - 500</t>
  </si>
  <si>
    <t>4. Sanan(NZ) - 500</t>
  </si>
  <si>
    <t>Tukaram (NK)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</si>
  <si>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</si>
  <si>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</si>
  <si>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</si>
  <si>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</si>
  <si>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</si>
  <si>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</si>
  <si>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</si>
  <si>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</si>
  <si>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</si>
  <si>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Queenstown Royals vs Canterbury Kings</t>
  </si>
  <si>
    <t>5. Noor(Aus) - 10000</t>
  </si>
  <si>
    <t>Alpine</t>
  </si>
  <si>
    <t>Farhan (QR)</t>
  </si>
  <si>
    <t>SK Haseeb (CK)</t>
  </si>
  <si>
    <t>Shibasis (QR)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</si>
  <si>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</si>
  <si>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</si>
  <si>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</si>
  <si>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</si>
  <si>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</si>
  <si>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</si>
  <si>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</si>
  <si>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</si>
  <si>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</si>
  <si>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</si>
  <si>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Wellington Warriors vs Tauranga Titans</t>
  </si>
  <si>
    <t>28th May</t>
  </si>
  <si>
    <t>7. Gautam (NZ) - 21000</t>
  </si>
  <si>
    <t>7. Manish (SA) - 3500</t>
  </si>
  <si>
    <t>Sky</t>
  </si>
  <si>
    <t>7. Jishnu (Scot) - 8500</t>
  </si>
  <si>
    <t>7. Hari(Scot) - 500</t>
  </si>
  <si>
    <t>7. Vikas (NZ) - 500</t>
  </si>
  <si>
    <t xml:space="preserve">Ump &amp; SC: Srajan </t>
  </si>
  <si>
    <t>7. Shubaib(Italy) - 600</t>
  </si>
  <si>
    <t>Zarnish (TT)</t>
  </si>
  <si>
    <t>7. Ramith(NZ) - 500</t>
  </si>
  <si>
    <t>7. Hashir(Scot) - 20000</t>
  </si>
  <si>
    <t>7. Anand(Aus) - 20000</t>
  </si>
  <si>
    <t>Shamroz (WW)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</si>
  <si>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</si>
  <si>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</si>
  <si>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</si>
  <si>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</si>
  <si>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</si>
  <si>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</si>
  <si>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</si>
  <si>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</si>
  <si>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</si>
  <si>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Otago Volts vs Central Stags</t>
  </si>
  <si>
    <t>8. Sali (Scot) - 3500</t>
  </si>
  <si>
    <t>8. Chiranjibi(Aus) - 26000</t>
  </si>
  <si>
    <t>K Rakesh (CS)</t>
  </si>
  <si>
    <t>Jana CP (CS)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</si>
  <si>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</si>
  <si>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</si>
  <si>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</si>
  <si>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</si>
  <si>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</si>
  <si>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</si>
  <si>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</si>
  <si>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</si>
  <si>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</si>
  <si>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</si>
  <si>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Auckland Aces vs Queenstown Royals</t>
  </si>
  <si>
    <t>29th May</t>
  </si>
  <si>
    <t>10. Yeshwanth (NZ) - 500</t>
  </si>
  <si>
    <t>10. Shibasis (SA) - 12200</t>
  </si>
  <si>
    <t>10. Ruwanga(SL) - 4500</t>
  </si>
  <si>
    <t>Ump &amp; SC: Keshav Shah</t>
  </si>
  <si>
    <t>10. Sujith(Eng) - 19000</t>
  </si>
  <si>
    <t>10. Anik(Aus) - 5000</t>
  </si>
  <si>
    <t>Safeer (QR)</t>
  </si>
  <si>
    <t>10. Marami(Ned) - 9000</t>
  </si>
  <si>
    <t>Debajit (QR)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</si>
  <si>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</si>
  <si>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</si>
  <si>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</si>
  <si>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</si>
  <si>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</si>
  <si>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</si>
  <si>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</si>
  <si>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</si>
  <si>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</si>
  <si>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</si>
  <si>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</si>
  <si>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Central Stags vs Wellington Warriors</t>
  </si>
  <si>
    <t>11. Prabal (Ned) - 1700</t>
  </si>
  <si>
    <t>11. Biswajit (Ned) - 900</t>
  </si>
  <si>
    <t>11. Kebin(Scot) - 500</t>
  </si>
  <si>
    <t>Aash (WW)</t>
  </si>
  <si>
    <t>Zeeshan (CS)</t>
  </si>
  <si>
    <t>Rasith (CS)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</si>
  <si>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</si>
  <si>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</si>
  <si>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</si>
  <si>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</si>
  <si>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</si>
  <si>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</si>
  <si>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</si>
  <si>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</si>
  <si>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</si>
  <si>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</si>
  <si>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Northern Knights vs Canterbury Kings</t>
  </si>
  <si>
    <t>30th May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</si>
  <si>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</si>
  <si>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</si>
  <si>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</si>
  <si>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</si>
  <si>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</si>
  <si>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Ump &amp; SC: Yasin</t>
  </si>
  <si>
    <t>13. Jahirul(Ned) - 3500</t>
  </si>
  <si>
    <t>13. Rahul Seenu(Ind) - 7000</t>
  </si>
  <si>
    <t>Chiranjibi (CK)</t>
  </si>
  <si>
    <t>13. Thilina(SL) 700</t>
  </si>
  <si>
    <t>13. Miraj(SL) - 1100</t>
  </si>
  <si>
    <t>13. Sanazil (Italy) - 500</t>
  </si>
  <si>
    <t>Sai Naveen (NK)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</si>
  <si>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</si>
  <si>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</si>
  <si>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</si>
  <si>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</si>
  <si>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</si>
  <si>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</si>
  <si>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</si>
  <si>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</si>
  <si>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</si>
  <si>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Tauranga Titans vs Otago Volts</t>
  </si>
  <si>
    <t>14. Albin(Italy) - 4500</t>
  </si>
  <si>
    <t xml:space="preserve">Titan </t>
  </si>
  <si>
    <t>Ump &amp; SC: Shivaji</t>
  </si>
  <si>
    <t>Malik Zubair (OV)</t>
  </si>
  <si>
    <t>Abrar Ali (OV)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</si>
  <si>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</si>
  <si>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</si>
  <si>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</si>
  <si>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</si>
  <si>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</si>
  <si>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</si>
  <si>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</si>
  <si>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</si>
  <si>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</si>
  <si>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</si>
  <si>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Auckland Aces vs Canterbury Kings</t>
  </si>
  <si>
    <t>31st May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</si>
  <si>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</si>
  <si>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</si>
  <si>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</si>
  <si>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</si>
  <si>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</si>
  <si>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Ump &amp; SC: Debajit</t>
  </si>
  <si>
    <t>16. Mian(Pak) - 500</t>
  </si>
  <si>
    <t>16. Dipankar(Ned) - 500</t>
  </si>
  <si>
    <t>Ganesh (CK)</t>
  </si>
  <si>
    <t>16. Ayaan(Pak) - 8500</t>
  </si>
  <si>
    <t>16. Hansana(SL) - 1300</t>
  </si>
  <si>
    <t>Ali (CK)</t>
  </si>
  <si>
    <t>16. Rahul Roy(Ind) - 2200</t>
  </si>
  <si>
    <t>Saubhagya (CK)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</si>
  <si>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</si>
  <si>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</si>
  <si>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</si>
  <si>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</si>
  <si>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</si>
  <si>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</si>
  <si>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</si>
  <si>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</si>
  <si>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</si>
  <si>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</si>
  <si>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Queenstown Royals vs Northern Knights</t>
  </si>
  <si>
    <t>Bhavin (NK)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</si>
  <si>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</si>
  <si>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</si>
  <si>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</si>
  <si>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</si>
  <si>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</si>
  <si>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</si>
  <si>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</si>
  <si>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</si>
  <si>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</si>
  <si>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</si>
  <si>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</si>
  <si>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</si>
  <si>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1st June</t>
  </si>
  <si>
    <t>19. Muzamil(Qatar) - 1100</t>
  </si>
  <si>
    <t>19. Midhun(WI) -2000</t>
  </si>
  <si>
    <t>19. Thebseer(Scot) - 4500</t>
  </si>
  <si>
    <t>19. Huzaifa Imran(Qatar) - 5500</t>
  </si>
  <si>
    <t>Ump &amp; SC: Nasrullah Kapri</t>
  </si>
  <si>
    <t>19. Deepjyothi(Ned) - 2000</t>
  </si>
  <si>
    <t>Vishnu (NK)</t>
  </si>
  <si>
    <t>19. Rahul Gadia(Aus) - 2000</t>
  </si>
  <si>
    <t>Ahmed (AA)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</si>
  <si>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</si>
  <si>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</si>
  <si>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</si>
  <si>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</si>
  <si>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</si>
  <si>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</si>
  <si>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</si>
  <si>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</si>
  <si>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</si>
  <si>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</si>
  <si>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</si>
  <si>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</si>
  <si>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</si>
  <si>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</si>
  <si>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</si>
  <si>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</si>
  <si>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</si>
  <si>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</si>
  <si>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</si>
  <si>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</si>
  <si>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</si>
  <si>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</si>
  <si>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</si>
  <si>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</si>
  <si>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</si>
  <si>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</si>
  <si>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</si>
  <si>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Central Stags vs Otago Volts</t>
  </si>
  <si>
    <t xml:space="preserve">Ump: Chiranjibi, SC: Aniket </t>
  </si>
  <si>
    <t>Keshav (OV)</t>
  </si>
  <si>
    <t>Cumila Falcons vs Rajshahi Mango Legion</t>
  </si>
  <si>
    <t>Arnab (OV)</t>
  </si>
  <si>
    <t>Padma</t>
  </si>
  <si>
    <t>Ashi (CS)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</si>
  <si>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</si>
  <si>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</si>
  <si>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</si>
  <si>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</si>
  <si>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</si>
  <si>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</si>
  <si>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</si>
  <si>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Queenstown Royals vs Auckland Aces</t>
  </si>
  <si>
    <t>Barisal River Riders</t>
  </si>
  <si>
    <t>4th June</t>
  </si>
  <si>
    <t>Aash (BRR)</t>
  </si>
  <si>
    <t>Vishnu Vijay (BRR)</t>
  </si>
  <si>
    <t>Aukcland Aces</t>
  </si>
  <si>
    <t>Ans Sheikh (AA)</t>
  </si>
  <si>
    <t>Mainamati Titans vs Chittagong Mariners</t>
  </si>
  <si>
    <t>Chittagong Mariners</t>
  </si>
  <si>
    <t>Siddiqui Ahsan (CM)</t>
  </si>
  <si>
    <t>Blesson (MT)</t>
  </si>
  <si>
    <t>Marami (CM)</t>
  </si>
  <si>
    <t>Wellington Warriors vs Central Stags</t>
  </si>
  <si>
    <t>Mymensingh Mavericks vs Dhaka Buriganga Blazers</t>
  </si>
  <si>
    <t>17th June</t>
  </si>
  <si>
    <t>Bhavesh (CS)</t>
  </si>
  <si>
    <t>Mymensingh Mavericks</t>
  </si>
  <si>
    <t>Adithya Mahajan (MM)</t>
  </si>
  <si>
    <t>Biswajit (MM)</t>
  </si>
  <si>
    <t>Otago Volts vs Tauranga Titans</t>
  </si>
  <si>
    <t>5th June</t>
  </si>
  <si>
    <t>Ram (TT)</t>
  </si>
  <si>
    <t>Cumila Falcons vs Chandpur Illish Titans</t>
  </si>
  <si>
    <t>Debajit (CIT)</t>
  </si>
  <si>
    <t>Ump &amp; SC: Malik Zubair</t>
  </si>
  <si>
    <t>Anurag (NK)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</si>
  <si>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</si>
  <si>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</si>
  <si>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</si>
  <si>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</si>
  <si>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</si>
  <si>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</si>
  <si>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Eliminator: Canterbuy King vs Welllinton Warriors</t>
  </si>
  <si>
    <t>6th June</t>
  </si>
  <si>
    <t>Jyothish (CK)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</si>
  <si>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</si>
  <si>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</si>
  <si>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</si>
  <si>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</si>
  <si>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</si>
  <si>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</si>
  <si>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</si>
  <si>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Qualifier 1: Northern Knights vs Tauranga Titans</t>
  </si>
  <si>
    <t>7th June</t>
  </si>
  <si>
    <t>Mainamati Titans vs Barisal River Riders</t>
  </si>
  <si>
    <t>Mainamati Titans</t>
  </si>
  <si>
    <t>Huzaifa Imran (MT)</t>
  </si>
  <si>
    <t>Shaheen (MT)</t>
  </si>
  <si>
    <t>Qualifier 2: Wellington Warriors vs Northern Knights</t>
  </si>
  <si>
    <t>8th June</t>
  </si>
  <si>
    <t>Mymensingh Mavericks vs Chittagong Mariners</t>
  </si>
  <si>
    <t>Shivaji Prakash (CM)</t>
  </si>
  <si>
    <t>Jyothish S (MM)</t>
  </si>
  <si>
    <t>Finals: Northern Knight vs Tauranga Titans</t>
  </si>
  <si>
    <t>9th June</t>
  </si>
  <si>
    <t>Ump &amp; SC: Aniket Gavit
Com: Arnab &amp; Chiranjibi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</si>
  <si>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</si>
  <si>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</si>
  <si>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</si>
  <si>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</si>
  <si>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</si>
  <si>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</si>
  <si>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</si>
  <si>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</si>
  <si>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</si>
  <si>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</si>
  <si>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</si>
  <si>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</si>
  <si>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</si>
  <si>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</si>
  <si>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</si>
  <si>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</si>
  <si>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</si>
  <si>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</si>
  <si>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</si>
  <si>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</si>
  <si>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</si>
  <si>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</si>
  <si>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</si>
  <si>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</si>
  <si>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</si>
  <si>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</si>
  <si>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</si>
  <si>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</si>
  <si>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</si>
  <si>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</si>
  <si>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</si>
  <si>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</si>
  <si>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</si>
  <si>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</si>
  <si>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</si>
  <si>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</si>
  <si>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</si>
  <si>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</si>
  <si>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</si>
  <si>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</si>
  <si>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</si>
  <si>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</si>
  <si>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</si>
  <si>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</si>
  <si>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</si>
  <si>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</si>
  <si>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</si>
  <si>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</si>
  <si>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</si>
  <si>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</si>
  <si>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</si>
  <si>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</si>
  <si>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</si>
  <si>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</si>
  <si>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</si>
  <si>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</si>
  <si>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</si>
  <si>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</si>
  <si>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</si>
  <si>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</si>
  <si>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</si>
  <si>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</si>
  <si>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</si>
  <si>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</si>
  <si>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</si>
  <si>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</si>
  <si>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</si>
  <si>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</si>
  <si>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</si>
  <si>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</si>
  <si>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</si>
  <si>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</si>
  <si>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</si>
  <si>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</si>
  <si>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</si>
  <si>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</si>
  <si>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</si>
  <si>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</si>
  <si>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</si>
  <si>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</si>
  <si>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</si>
  <si>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Mahi Mahendra</t>
  </si>
  <si>
    <t>7. Hari</t>
  </si>
  <si>
    <t>7. Pradeesh P</t>
  </si>
  <si>
    <t>8. Pinku Bordoloi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</si>
  <si>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</si>
  <si>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</si>
  <si>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</si>
  <si>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</si>
  <si>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</si>
  <si>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</si>
  <si>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</si>
  <si>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</si>
  <si>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</si>
  <si>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</si>
  <si>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</si>
  <si>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</si>
  <si>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</si>
  <si>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</si>
  <si>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</si>
  <si>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</si>
  <si>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</si>
  <si>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</si>
  <si>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</si>
  <si>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</si>
  <si>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</si>
  <si>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</si>
  <si>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</si>
  <si>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</si>
  <si>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</si>
  <si>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</si>
  <si>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</si>
  <si>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</si>
  <si>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</si>
  <si>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</si>
  <si>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</si>
  <si>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</si>
  <si>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Gaurav Mittal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</si>
  <si>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</si>
  <si>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</si>
  <si>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</si>
  <si>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</si>
  <si>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</si>
  <si>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</si>
  <si>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</si>
  <si>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</si>
  <si>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</si>
  <si>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</si>
  <si>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</si>
  <si>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</si>
  <si>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</si>
  <si>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</si>
  <si>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</si>
  <si>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</si>
  <si>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</si>
  <si>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</si>
  <si>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</si>
  <si>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</si>
  <si>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</si>
  <si>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</si>
  <si>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</si>
  <si>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</si>
  <si>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</si>
  <si>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</si>
  <si>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</si>
  <si>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</si>
  <si>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</si>
  <si>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</si>
  <si>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</si>
  <si>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</si>
  <si>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</si>
  <si>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</si>
  <si>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</si>
  <si>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</si>
  <si>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</si>
  <si>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</si>
  <si>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</si>
  <si>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</si>
  <si>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</si>
  <si>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</si>
  <si>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</si>
  <si>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</si>
  <si>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</si>
  <si>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</si>
  <si>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</si>
  <si>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</si>
  <si>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</si>
  <si>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</si>
  <si>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</si>
  <si>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</si>
  <si>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</si>
  <si>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2. Shajahan</t>
  </si>
  <si>
    <t>17. Nouraiz Abbas</t>
  </si>
  <si>
    <t>West Indies Emerging</t>
  </si>
  <si>
    <t>3. Ansar</t>
  </si>
  <si>
    <t>18. Anik dey shanto</t>
  </si>
  <si>
    <t>3. Sunaif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</si>
  <si>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</si>
  <si>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</si>
  <si>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</si>
  <si>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</si>
  <si>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</si>
  <si>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</si>
  <si>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</si>
  <si>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</si>
  <si>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</si>
  <si>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</si>
  <si>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3. Jaseel</t>
  </si>
  <si>
    <t>6. Sufaid</t>
  </si>
  <si>
    <t>2. Rakshith Shetty</t>
  </si>
  <si>
    <t>4. Vignhesh Suresh</t>
  </si>
  <si>
    <t>22. Siddiqui Ahsan</t>
  </si>
  <si>
    <t>7. Yadhu</t>
  </si>
  <si>
    <t>23. Vaibhav Batra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</si>
  <si>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</si>
  <si>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</si>
  <si>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</si>
  <si>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</si>
  <si>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</si>
  <si>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</si>
  <si>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</si>
  <si>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</si>
  <si>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</si>
  <si>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</si>
  <si>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</si>
  <si>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</si>
  <si>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</si>
  <si>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</si>
  <si>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</si>
  <si>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</si>
  <si>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</si>
  <si>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</si>
  <si>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</si>
  <si>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</si>
  <si>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</si>
  <si>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</si>
  <si>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</si>
  <si>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</si>
  <si>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</si>
  <si>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</si>
  <si>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</si>
  <si>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</si>
  <si>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</si>
  <si>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</si>
  <si>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</si>
  <si>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</si>
  <si>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</si>
  <si>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</si>
  <si>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</si>
  <si>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</si>
  <si>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</si>
  <si>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</si>
  <si>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</si>
  <si>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</si>
  <si>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</si>
  <si>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</si>
  <si>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</si>
  <si>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</si>
  <si>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</si>
  <si>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</si>
  <si>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</si>
  <si>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</si>
  <si>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</si>
  <si>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</si>
  <si>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</si>
  <si>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</si>
  <si>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</si>
  <si>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</si>
  <si>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</si>
  <si>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</si>
  <si>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</si>
  <si>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</si>
  <si>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</si>
  <si>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</si>
  <si>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</si>
  <si>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</si>
  <si>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</si>
  <si>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</si>
  <si>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</si>
  <si>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</si>
  <si>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</si>
  <si>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</si>
  <si>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</si>
  <si>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</si>
  <si>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</si>
  <si>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</si>
  <si>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</si>
  <si>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</si>
  <si>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</si>
  <si>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</si>
  <si>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</si>
  <si>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</si>
  <si>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</si>
  <si>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</si>
  <si>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</si>
  <si>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</si>
  <si>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</si>
  <si>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</si>
  <si>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</si>
  <si>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</si>
  <si>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</si>
  <si>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</si>
  <si>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</si>
  <si>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</si>
  <si>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</si>
  <si>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</si>
  <si>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</si>
  <si>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</si>
  <si>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</si>
  <si>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</si>
  <si>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</si>
  <si>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</si>
  <si>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</si>
  <si>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</si>
  <si>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</si>
  <si>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</si>
  <si>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</si>
  <si>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</si>
  <si>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</si>
  <si>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</si>
  <si>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</si>
  <si>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</si>
  <si>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</si>
  <si>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</si>
  <si>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</si>
  <si>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</si>
  <si>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</si>
  <si>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</si>
  <si>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</si>
  <si>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</si>
  <si>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</si>
  <si>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</si>
  <si>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</si>
  <si>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</si>
  <si>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</si>
  <si>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</si>
  <si>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</si>
  <si>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</si>
  <si>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</si>
  <si>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</si>
  <si>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</si>
  <si>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</si>
  <si>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</si>
  <si>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</si>
  <si>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</si>
  <si>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</si>
  <si>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</si>
  <si>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</si>
  <si>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</si>
  <si>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</si>
  <si>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</si>
  <si>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</si>
  <si>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</si>
  <si>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</si>
  <si>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</si>
  <si>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</si>
  <si>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</si>
  <si>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</si>
  <si>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</si>
  <si>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</si>
  <si>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</si>
  <si>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</si>
  <si>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</si>
  <si>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</si>
  <si>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</si>
  <si>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</si>
  <si>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</si>
  <si>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</si>
  <si>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</si>
  <si>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</si>
  <si>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</si>
  <si>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</si>
  <si>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</si>
  <si>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</si>
  <si>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</si>
  <si>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</si>
  <si>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</si>
  <si>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</si>
  <si>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</si>
  <si>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</si>
  <si>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</si>
  <si>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</si>
  <si>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</si>
  <si>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</si>
  <si>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</si>
  <si>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</si>
  <si>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</si>
  <si>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</si>
  <si>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</si>
  <si>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</si>
  <si>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</si>
  <si>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</si>
  <si>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</si>
  <si>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</si>
  <si>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</si>
  <si>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</si>
  <si>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</si>
  <si>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</si>
  <si>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</si>
  <si>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</si>
  <si>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</si>
  <si>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</si>
  <si>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</si>
  <si>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</si>
  <si>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</si>
  <si>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</si>
  <si>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</si>
  <si>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</si>
  <si>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</si>
  <si>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</si>
  <si>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</si>
  <si>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</si>
  <si>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</si>
  <si>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</si>
  <si>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</si>
  <si>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</si>
  <si>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</si>
  <si>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</si>
  <si>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</si>
  <si>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</si>
  <si>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</si>
  <si>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</si>
  <si>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</si>
  <si>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</si>
  <si>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</si>
  <si>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</si>
  <si>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</si>
  <si>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</si>
  <si>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</si>
  <si>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</si>
  <si>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</si>
  <si>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</si>
  <si>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</si>
  <si>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</si>
  <si>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</si>
  <si>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</si>
  <si>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</si>
  <si>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</si>
  <si>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</si>
  <si>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</si>
  <si>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</si>
  <si>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</si>
  <si>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</si>
  <si>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</si>
  <si>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</si>
  <si>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</si>
  <si>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</si>
  <si>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</si>
  <si>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</si>
  <si>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</si>
  <si>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</si>
  <si>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</si>
  <si>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</si>
  <si>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</si>
  <si>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</si>
  <si>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</si>
  <si>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</si>
  <si>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</si>
  <si>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</si>
  <si>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</si>
  <si>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</si>
  <si>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</si>
  <si>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</si>
  <si>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</si>
  <si>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</si>
  <si>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</si>
  <si>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</si>
  <si>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</si>
  <si>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</si>
  <si>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</si>
  <si>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</si>
  <si>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</si>
  <si>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</si>
  <si>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</si>
  <si>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</si>
  <si>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</si>
  <si>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</si>
  <si>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</si>
  <si>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</si>
  <si>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</si>
  <si>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</si>
  <si>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</si>
  <si>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</si>
  <si>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</si>
  <si>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</si>
  <si>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</si>
  <si>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</si>
  <si>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</si>
  <si>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</si>
  <si>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</si>
  <si>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</si>
  <si>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</si>
  <si>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</si>
  <si>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</si>
  <si>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</si>
  <si>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</si>
  <si>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</si>
  <si>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</si>
  <si>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</si>
  <si>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</si>
  <si>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</si>
  <si>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</si>
  <si>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</si>
  <si>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</si>
  <si>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</si>
  <si>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</si>
  <si>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</si>
  <si>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</si>
  <si>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</si>
  <si>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</si>
  <si>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</si>
  <si>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</si>
  <si>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</si>
  <si>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</si>
  <si>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</si>
  <si>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</si>
  <si>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</si>
  <si>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</si>
  <si>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</si>
  <si>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</si>
  <si>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</si>
  <si>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</si>
  <si>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</si>
  <si>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</si>
  <si>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</si>
  <si>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</si>
  <si>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</si>
  <si>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</si>
  <si>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</si>
  <si>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</si>
  <si>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</si>
  <si>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</si>
  <si>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</si>
  <si>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</si>
  <si>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</si>
  <si>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</si>
  <si>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</si>
  <si>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</si>
  <si>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</si>
  <si>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</si>
  <si>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</si>
  <si>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</si>
  <si>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</si>
  <si>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</si>
  <si>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</si>
  <si>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</si>
  <si>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</si>
  <si>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</si>
  <si>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</si>
  <si>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</si>
  <si>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</si>
  <si>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</si>
  <si>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</si>
  <si>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</si>
  <si>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</si>
  <si>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</si>
  <si>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</si>
  <si>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</si>
  <si>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</si>
  <si>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</si>
  <si>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</si>
  <si>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</si>
  <si>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</si>
  <si>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</si>
  <si>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</si>
  <si>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</si>
  <si>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</si>
  <si>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</si>
  <si>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</si>
  <si>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</si>
  <si>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</si>
  <si>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</si>
  <si>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</si>
  <si>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</si>
  <si>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</si>
  <si>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</si>
  <si>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</si>
  <si>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</si>
  <si>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</si>
  <si>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</si>
  <si>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</si>
  <si>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</si>
  <si>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</si>
  <si>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</si>
  <si>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</si>
  <si>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</si>
  <si>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</si>
  <si>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</si>
  <si>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</si>
  <si>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</si>
  <si>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</si>
  <si>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</si>
  <si>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</si>
  <si>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</si>
  <si>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</si>
  <si>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</si>
  <si>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</si>
  <si>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</si>
  <si>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</si>
  <si>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</si>
  <si>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</si>
  <si>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</si>
  <si>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</si>
  <si>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</si>
  <si>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</si>
  <si>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</si>
  <si>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</si>
  <si>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</si>
  <si>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</si>
  <si>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</si>
  <si>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</si>
  <si>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</si>
  <si>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</si>
  <si>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</si>
  <si>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</si>
  <si>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</si>
  <si>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</si>
  <si>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</si>
  <si>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</si>
  <si>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</si>
  <si>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</si>
  <si>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</si>
  <si>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</si>
  <si>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</si>
  <si>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</si>
  <si>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</si>
  <si>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</si>
  <si>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</si>
  <si>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</si>
  <si>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</si>
  <si>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</si>
  <si>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</si>
  <si>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</si>
  <si>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</si>
  <si>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</si>
  <si>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</si>
  <si>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</si>
  <si>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</si>
  <si>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</si>
  <si>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</si>
  <si>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</si>
  <si>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</si>
  <si>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</si>
  <si>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</si>
  <si>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</si>
  <si>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</si>
  <si>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</si>
  <si>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</si>
  <si>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</si>
  <si>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</si>
  <si>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</si>
  <si>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</si>
  <si>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</si>
  <si>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</si>
  <si>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</si>
  <si>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</si>
  <si>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</si>
  <si>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</si>
  <si>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</si>
  <si>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</si>
  <si>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</si>
  <si>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</si>
  <si>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</si>
  <si>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</si>
  <si>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</si>
  <si>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</si>
  <si>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</si>
  <si>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</si>
  <si>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</si>
  <si>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</si>
  <si>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</si>
  <si>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</si>
  <si>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</si>
  <si>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</si>
  <si>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</si>
  <si>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</si>
  <si>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</si>
  <si>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</si>
  <si>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</si>
  <si>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</si>
  <si>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</si>
  <si>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</si>
  <si>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</si>
  <si>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</si>
  <si>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</si>
  <si>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</si>
  <si>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</si>
  <si>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</si>
  <si>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</si>
  <si>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</si>
  <si>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</si>
  <si>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</si>
  <si>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</si>
  <si>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</si>
  <si>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</si>
  <si>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</si>
  <si>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</si>
  <si>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</si>
  <si>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</si>
  <si>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</si>
  <si>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</si>
  <si>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</si>
  <si>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</si>
  <si>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</si>
  <si>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</si>
  <si>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</si>
  <si>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</si>
  <si>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</si>
  <si>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</si>
  <si>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</si>
  <si>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</si>
  <si>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</si>
  <si>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</si>
  <si>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</si>
  <si>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</si>
  <si>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</si>
  <si>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</si>
  <si>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</si>
  <si>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</si>
  <si>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</si>
  <si>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</si>
  <si>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</si>
  <si>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</si>
  <si>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</si>
  <si>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</si>
  <si>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</si>
  <si>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</si>
  <si>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</si>
  <si>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</si>
  <si>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</si>
  <si>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</si>
  <si>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</si>
  <si>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</si>
  <si>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</si>
  <si>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</si>
  <si>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</si>
  <si>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</si>
  <si>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</si>
  <si>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</si>
  <si>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</si>
  <si>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</si>
  <si>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</si>
  <si>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</si>
  <si>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</si>
  <si>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</si>
  <si>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</si>
  <si>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</si>
  <si>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</si>
  <si>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</si>
  <si>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</si>
  <si>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</si>
  <si>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</si>
  <si>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</si>
  <si>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</si>
  <si>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</si>
  <si>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</si>
  <si>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</si>
  <si>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</si>
  <si>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</si>
  <si>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</si>
  <si>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</si>
  <si>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</si>
  <si>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</si>
  <si>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</si>
  <si>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</si>
  <si>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</si>
  <si>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</si>
  <si>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</si>
  <si>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</si>
  <si>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</si>
  <si>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</si>
  <si>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</si>
  <si>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</si>
  <si>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</si>
  <si>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</si>
  <si>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</si>
  <si>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</si>
  <si>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</si>
  <si>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</si>
  <si>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</si>
  <si>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</si>
  <si>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</si>
  <si>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</si>
  <si>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</si>
  <si>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</si>
  <si>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</si>
  <si>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</si>
  <si>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</si>
  <si>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</si>
  <si>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</si>
  <si>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</si>
  <si>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</si>
  <si>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</si>
  <si>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</si>
  <si>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</si>
  <si>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</si>
  <si>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</si>
  <si>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</si>
  <si>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</si>
  <si>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</si>
  <si>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</si>
  <si>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</si>
  <si>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</si>
  <si>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</si>
  <si>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</si>
  <si>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</si>
  <si>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</si>
  <si>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</si>
  <si>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</si>
  <si>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</si>
  <si>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</si>
  <si>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</si>
  <si>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</si>
  <si>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</si>
  <si>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</si>
  <si>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</si>
  <si>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</si>
  <si>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</si>
  <si>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</si>
  <si>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</si>
  <si>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</si>
  <si>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</si>
  <si>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</si>
  <si>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</si>
  <si>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</si>
  <si>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</si>
  <si>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</si>
  <si>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</si>
  <si>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</si>
  <si>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</si>
  <si>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</si>
  <si>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</si>
  <si>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</si>
  <si>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</si>
  <si>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</si>
  <si>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</si>
  <si>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</si>
  <si>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</si>
  <si>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</si>
  <si>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</si>
  <si>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</si>
  <si>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</si>
  <si>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</si>
  <si>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</si>
  <si>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</si>
  <si>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</si>
  <si>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</si>
  <si>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</si>
  <si>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</si>
  <si>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</si>
  <si>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</si>
  <si>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</si>
  <si>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</si>
  <si>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</si>
  <si>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</si>
  <si>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</si>
  <si>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</si>
  <si>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</si>
  <si>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</si>
  <si>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</si>
  <si>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</si>
  <si>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</si>
  <si>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</si>
  <si>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</si>
  <si>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</si>
  <si>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</si>
  <si>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</si>
  <si>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</si>
  <si>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</si>
  <si>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</si>
  <si>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</si>
  <si>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</si>
  <si>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</si>
  <si>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</si>
  <si>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</si>
  <si>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</si>
  <si>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</si>
  <si>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</si>
  <si>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</si>
  <si>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</si>
  <si>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</si>
  <si>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</si>
  <si>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</si>
  <si>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</si>
  <si>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</si>
  <si>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</si>
  <si>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</si>
  <si>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</si>
  <si>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</si>
  <si>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</si>
  <si>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</si>
  <si>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</si>
  <si>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</si>
  <si>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</si>
  <si>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</si>
  <si>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</si>
  <si>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</si>
  <si>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</si>
  <si>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</si>
  <si>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</si>
  <si>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</si>
  <si>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</si>
  <si>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</si>
  <si>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</si>
  <si>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</si>
  <si>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</si>
  <si>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</si>
  <si>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</si>
  <si>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</si>
  <si>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</si>
  <si>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</si>
  <si>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</si>
  <si>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</si>
  <si>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</si>
  <si>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</si>
  <si>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</si>
  <si>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</si>
  <si>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</si>
  <si>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</si>
  <si>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</si>
  <si>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</si>
  <si>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</si>
  <si>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</si>
  <si>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</si>
  <si>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</si>
  <si>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</si>
  <si>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</si>
  <si>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</si>
  <si>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</si>
  <si>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</si>
  <si>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</si>
  <si>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</si>
  <si>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</si>
  <si>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</si>
  <si>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</si>
  <si>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</si>
  <si>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</si>
  <si>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</si>
  <si>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</si>
  <si>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</si>
  <si>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</si>
  <si>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</si>
  <si>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</si>
  <si>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</si>
  <si>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</si>
  <si>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</si>
  <si>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</si>
  <si>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</si>
  <si>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</si>
  <si>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</si>
  <si>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</si>
  <si>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</si>
  <si>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</si>
  <si>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</si>
  <si>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</si>
  <si>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</si>
  <si>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</si>
  <si>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</si>
  <si>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</si>
  <si>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</si>
  <si>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</si>
  <si>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</si>
  <si>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</si>
  <si>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</si>
  <si>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</si>
  <si>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</si>
  <si>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</si>
  <si>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</si>
  <si>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</si>
  <si>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</si>
  <si>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</si>
  <si>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</si>
  <si>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</si>
  <si>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</si>
  <si>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</si>
  <si>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</si>
  <si>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</si>
  <si>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</si>
  <si>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</si>
  <si>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</si>
  <si>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</si>
  <si>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</si>
  <si>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</si>
  <si>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</si>
  <si>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</si>
  <si>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</si>
  <si>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</si>
  <si>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</si>
  <si>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</si>
  <si>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</si>
  <si>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</si>
  <si>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</si>
  <si>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</si>
  <si>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</si>
  <si>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</si>
  <si>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</si>
  <si>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</si>
  <si>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</si>
  <si>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</si>
  <si>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</si>
  <si>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</si>
  <si>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</si>
  <si>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</si>
  <si>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</si>
  <si>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</si>
  <si>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</si>
  <si>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</si>
  <si>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</si>
  <si>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</si>
  <si>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</si>
  <si>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</si>
  <si>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</si>
  <si>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</si>
  <si>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</si>
  <si>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</si>
  <si>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</si>
  <si>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</si>
  <si>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</si>
  <si>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</si>
  <si>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</si>
  <si>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</si>
  <si>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</si>
  <si>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</si>
  <si>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</si>
  <si>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</si>
  <si>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</si>
  <si>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</si>
  <si>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</si>
  <si>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</si>
  <si>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</si>
  <si>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</si>
  <si>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</si>
  <si>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</si>
  <si>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Roshan Singh Rathore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</si>
  <si>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</si>
  <si>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</si>
  <si>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</si>
  <si>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</si>
  <si>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</si>
  <si>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</si>
  <si>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</si>
  <si>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</si>
  <si>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</si>
  <si>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</si>
  <si>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</si>
  <si>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</si>
  <si>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</si>
  <si>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</si>
  <si>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</si>
  <si>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</si>
  <si>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</si>
  <si>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</si>
  <si>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</si>
  <si>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</si>
  <si>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</si>
  <si>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</si>
  <si>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</si>
  <si>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Ajoy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</si>
  <si>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</si>
  <si>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</si>
  <si>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</si>
  <si>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</si>
  <si>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</si>
  <si>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</si>
  <si>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</si>
  <si>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</si>
  <si>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</si>
  <si>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</si>
  <si>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</si>
  <si>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</si>
  <si>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</si>
  <si>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</si>
  <si>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</si>
  <si>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</si>
  <si>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</si>
  <si>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</si>
  <si>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</si>
  <si>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</si>
  <si>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</si>
  <si>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</si>
  <si>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</si>
  <si>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</si>
  <si>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</si>
  <si>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</si>
  <si>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</si>
  <si>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</si>
  <si>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</si>
  <si>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</si>
  <si>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</si>
  <si>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</si>
  <si>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</si>
  <si>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</si>
  <si>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</si>
  <si>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</si>
  <si>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</si>
  <si>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</si>
  <si>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</si>
  <si>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</si>
  <si>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</si>
  <si>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</si>
  <si>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</si>
  <si>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</si>
  <si>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</si>
  <si>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</si>
  <si>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</si>
  <si>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</si>
  <si>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</si>
  <si>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</si>
  <si>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</si>
  <si>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</si>
  <si>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</si>
  <si>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</si>
  <si>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</si>
  <si>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</si>
  <si>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</si>
  <si>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</si>
  <si>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</si>
  <si>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</si>
  <si>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</si>
  <si>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</si>
  <si>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</si>
  <si>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</si>
  <si>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</si>
  <si>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</si>
  <si>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</si>
  <si>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</si>
  <si>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</si>
  <si>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</si>
  <si>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</si>
  <si>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</si>
  <si>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</si>
  <si>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</si>
  <si>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</si>
  <si>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</si>
  <si>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</si>
  <si>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</si>
  <si>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</si>
  <si>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</si>
  <si>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</si>
  <si>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</si>
  <si>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</si>
  <si>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</si>
  <si>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</si>
  <si>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</si>
  <si>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CS Ctr(Eng)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</si>
  <si>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</si>
  <si>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</si>
  <si>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</si>
  <si>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</si>
  <si>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</si>
  <si>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</si>
  <si>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</si>
  <si>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</si>
  <si>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</si>
  <si>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</si>
  <si>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</si>
  <si>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</si>
  <si>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</si>
  <si>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</si>
  <si>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</si>
  <si>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</si>
  <si>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</si>
  <si>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</si>
  <si>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</si>
  <si>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</si>
  <si>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</si>
  <si>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</si>
  <si>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</si>
  <si>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</si>
  <si>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</si>
  <si>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</si>
  <si>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</si>
  <si>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</si>
  <si>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</si>
  <si>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</si>
  <si>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</si>
  <si>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</si>
  <si>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</si>
  <si>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</si>
  <si>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</si>
  <si>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</si>
  <si>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</si>
  <si>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</si>
  <si>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</si>
  <si>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</si>
  <si>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</si>
  <si>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</si>
  <si>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</si>
  <si>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</si>
  <si>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</si>
  <si>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</si>
  <si>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</si>
  <si>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</si>
  <si>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</si>
  <si>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</si>
  <si>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</si>
  <si>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</si>
  <si>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</si>
  <si>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</si>
  <si>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</si>
  <si>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</si>
  <si>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</si>
  <si>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</si>
  <si>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</si>
  <si>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</si>
  <si>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</si>
  <si>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</si>
  <si>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</si>
  <si>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</si>
  <si>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</si>
  <si>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</si>
  <si>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</si>
  <si>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</si>
  <si>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</si>
  <si>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</si>
  <si>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</si>
  <si>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</si>
  <si>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</si>
  <si>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</si>
  <si>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</si>
  <si>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</si>
  <si>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</si>
  <si>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</si>
  <si>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</si>
  <si>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</si>
  <si>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</si>
  <si>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</si>
  <si>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</si>
  <si>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</si>
  <si>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</si>
  <si>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</si>
  <si>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</si>
  <si>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</si>
  <si>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</si>
  <si>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</si>
  <si>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</si>
  <si>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</si>
  <si>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</si>
  <si>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</si>
  <si>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</si>
  <si>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</si>
  <si>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</si>
  <si>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</si>
  <si>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</si>
  <si>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</si>
  <si>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</si>
  <si>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</si>
  <si>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</si>
  <si>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</si>
  <si>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</si>
  <si>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</si>
  <si>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</si>
  <si>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</si>
  <si>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</si>
  <si>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</si>
  <si>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</si>
  <si>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</si>
  <si>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</si>
  <si>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</si>
  <si>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</si>
  <si>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</si>
  <si>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</si>
  <si>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</si>
  <si>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</si>
  <si>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IOCF Scottish Premier League 2026 AWARDS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</si>
  <si>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</si>
  <si>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</si>
  <si>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</si>
  <si>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</si>
  <si>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</si>
  <si>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</si>
  <si>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</si>
  <si>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</si>
  <si>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</si>
  <si>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</si>
  <si>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</si>
  <si>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</si>
  <si>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</si>
  <si>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</si>
  <si>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</si>
  <si>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</si>
  <si>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</si>
  <si>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</si>
  <si>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</si>
  <si>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</si>
  <si>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</si>
  <si>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</si>
  <si>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</si>
  <si>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</si>
  <si>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</si>
  <si>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</si>
  <si>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</si>
  <si>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</si>
  <si>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</si>
  <si>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</si>
  <si>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</si>
  <si>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</si>
  <si>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</si>
  <si>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</si>
  <si>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</si>
  <si>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</si>
  <si>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</si>
  <si>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</si>
  <si>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</si>
  <si>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</si>
  <si>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</si>
  <si>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</si>
  <si>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</si>
  <si>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</si>
  <si>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</si>
  <si>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</si>
  <si>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</si>
  <si>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</si>
  <si>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</si>
  <si>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</si>
  <si>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</si>
  <si>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</si>
  <si>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</si>
  <si>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</si>
  <si>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</si>
  <si>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</si>
  <si>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</si>
  <si>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</si>
  <si>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</si>
  <si>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</si>
  <si>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</si>
  <si>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</si>
  <si>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</si>
  <si>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</si>
  <si>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</si>
  <si>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</si>
  <si>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</si>
  <si>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</si>
  <si>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</si>
  <si>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</si>
  <si>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</si>
  <si>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</si>
  <si>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</si>
  <si>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</si>
  <si>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</si>
  <si>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</si>
  <si>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</si>
  <si>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</si>
  <si>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</si>
  <si>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</si>
  <si>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</si>
  <si>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</si>
  <si>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</si>
  <si>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</si>
  <si>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</si>
  <si>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</si>
  <si>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</si>
  <si>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</si>
  <si>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</si>
  <si>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</si>
  <si>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</si>
  <si>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</si>
  <si>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</si>
  <si>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</si>
  <si>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</si>
  <si>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</si>
  <si>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</si>
  <si>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</si>
  <si>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</si>
  <si>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</si>
  <si>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</si>
  <si>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</si>
  <si>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</si>
  <si>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</si>
  <si>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</si>
  <si>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</si>
  <si>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</si>
  <si>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</si>
  <si>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</si>
  <si>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</si>
  <si>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</si>
  <si>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</si>
  <si>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</si>
  <si>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</si>
  <si>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</si>
  <si>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</si>
  <si>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</si>
  <si>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</si>
  <si>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</si>
  <si>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</si>
  <si>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</si>
  <si>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</si>
  <si>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</si>
  <si>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</si>
  <si>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</si>
  <si>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</si>
  <si>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</si>
  <si>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</si>
  <si>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</si>
  <si>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</si>
  <si>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</si>
  <si>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</si>
  <si>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</si>
  <si>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</si>
  <si>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</si>
  <si>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</si>
  <si>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</si>
  <si>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</si>
  <si>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</si>
  <si>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</si>
  <si>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</si>
  <si>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</si>
  <si>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</si>
  <si>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</si>
  <si>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</si>
  <si>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</si>
  <si>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</si>
  <si>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</si>
  <si>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</si>
  <si>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</si>
  <si>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</si>
  <si>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</si>
  <si>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</si>
  <si>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</si>
  <si>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</si>
  <si>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</si>
  <si>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</si>
  <si>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</si>
  <si>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</si>
  <si>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</si>
  <si>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</si>
  <si>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</si>
  <si>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</si>
  <si>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</si>
  <si>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</si>
  <si>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</si>
  <si>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</si>
  <si>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</si>
  <si>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</si>
  <si>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</si>
  <si>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</si>
  <si>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</si>
  <si>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</si>
  <si>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</si>
  <si>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</si>
  <si>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</si>
  <si>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</si>
  <si>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</si>
  <si>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</si>
  <si>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</si>
  <si>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</si>
  <si>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</si>
  <si>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</si>
  <si>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</si>
  <si>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</si>
  <si>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</si>
  <si>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</si>
  <si>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</si>
  <si>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</si>
  <si>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</si>
  <si>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</si>
  <si>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</si>
  <si>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</si>
  <si>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</si>
  <si>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</si>
  <si>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</si>
  <si>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</si>
  <si>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</si>
  <si>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</si>
  <si>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</si>
  <si>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</si>
  <si>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</si>
  <si>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</si>
  <si>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</si>
  <si>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</si>
  <si>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</si>
  <si>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</si>
  <si>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</si>
  <si>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</si>
  <si>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</si>
  <si>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</si>
  <si>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</si>
  <si>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</si>
  <si>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World Test Championship Completed Matches</t>
  </si>
  <si>
    <t>Sir Gary Sobers Remembrance Trophy</t>
  </si>
  <si>
    <t>Test Name</t>
  </si>
  <si>
    <t xml:space="preserve">Winners </t>
  </si>
  <si>
    <t>Tiger Orange Cup</t>
  </si>
  <si>
    <t>Guyana Cup</t>
  </si>
  <si>
    <t>1st - 5th Aug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</si>
  <si>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</si>
  <si>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</si>
  <si>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</si>
  <si>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</si>
  <si>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</si>
  <si>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</si>
  <si>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</si>
  <si>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Legacy Cup</t>
  </si>
  <si>
    <t>Karan ( BD )</t>
  </si>
  <si>
    <t>Saltire Trophy</t>
  </si>
  <si>
    <t>Harikrishnan (WI)</t>
  </si>
  <si>
    <t>Irshad (Scot)</t>
  </si>
  <si>
    <t>Thesbeer (Scot)</t>
  </si>
  <si>
    <t>Palmyra Trophy</t>
  </si>
  <si>
    <t>Falcon Cup</t>
  </si>
  <si>
    <t>Hashir (Scot)</t>
  </si>
  <si>
    <t>Ershad (Scot)</t>
  </si>
  <si>
    <t>Mediterranean Saltire</t>
  </si>
  <si>
    <t>31st - 2nd April</t>
  </si>
  <si>
    <t>Croco-Owl Series</t>
  </si>
  <si>
    <t>Ashith (Scot)</t>
  </si>
  <si>
    <t>8th - 10th Aug</t>
  </si>
  <si>
    <t>8o 8w</t>
  </si>
  <si>
    <t>Afghan Indo Cup</t>
  </si>
  <si>
    <t>Waleed (Afg)</t>
  </si>
  <si>
    <t>Anas (Afg)</t>
  </si>
  <si>
    <t>Seenu (Ind)</t>
  </si>
  <si>
    <t>Breaking Boundaries Cup</t>
  </si>
  <si>
    <t>13th Aug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</si>
  <si>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</si>
  <si>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</si>
  <si>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</si>
  <si>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</si>
  <si>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</si>
  <si>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</si>
  <si>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</si>
  <si>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</si>
  <si>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</si>
  <si>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</si>
  <si>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</si>
  <si>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</si>
  <si>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</si>
  <si>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Upcoming Series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</si>
  <si>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</si>
  <si>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</si>
  <si>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</si>
  <si>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</si>
  <si>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</si>
  <si>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</si>
  <si>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</si>
  <si>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</si>
  <si>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</si>
  <si>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</si>
  <si>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</si>
  <si>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</si>
  <si>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Red Leaf Cup</t>
  </si>
  <si>
    <t>USA &amp; Uganda</t>
  </si>
  <si>
    <t>13th - 16th Aug</t>
  </si>
  <si>
    <t>Celtic Kiwi</t>
  </si>
  <si>
    <t>-</t>
  </si>
  <si>
    <t>24th - 26th April</t>
  </si>
  <si>
    <t>Canada vs Uganda 13th Aug | Canada won</t>
  </si>
  <si>
    <t>Nithin (NZ)</t>
  </si>
  <si>
    <t>Ram (NZ)</t>
  </si>
  <si>
    <t>Zubeen Gard Rhine B</t>
  </si>
  <si>
    <t>Nirmal (ND)</t>
  </si>
  <si>
    <t>Rahul (ND)</t>
  </si>
  <si>
    <t>Farewell to Legends Trophy</t>
  </si>
  <si>
    <t>14th Aug</t>
  </si>
  <si>
    <t>War of Wills</t>
  </si>
  <si>
    <t>25th - 27th April</t>
  </si>
  <si>
    <t>Saubhagya (Aus)</t>
  </si>
  <si>
    <t>Arnab (Aus)</t>
  </si>
  <si>
    <t>Royal Rivalry Cup</t>
  </si>
  <si>
    <t xml:space="preserve">India </t>
  </si>
  <si>
    <t>North Sea-Bay Challenge</t>
  </si>
  <si>
    <t>Siddiqui Ahsan (BD)</t>
  </si>
  <si>
    <t>Salimax (Scot)</t>
  </si>
  <si>
    <t>Austral-Asia Tri Series</t>
  </si>
  <si>
    <t>UAE &amp; Srilanka</t>
  </si>
  <si>
    <t>15th - 21st Aug</t>
  </si>
  <si>
    <t>Valley Trophy B</t>
  </si>
  <si>
    <t>Adithya Mahajan(Afg)</t>
  </si>
  <si>
    <t>Damitha N (SL)</t>
  </si>
  <si>
    <t>King of water</t>
  </si>
  <si>
    <t>15th - 17th</t>
  </si>
  <si>
    <t>Royal Lion</t>
  </si>
  <si>
    <t>28th - 30th April</t>
  </si>
  <si>
    <t>Safeer Babu (Eng)</t>
  </si>
  <si>
    <t>Rahees (Eng)</t>
  </si>
  <si>
    <t>Highland Tigers</t>
  </si>
  <si>
    <t>Upcoming IOCF World Test Championship Matches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</si>
  <si>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</si>
  <si>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</si>
  <si>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</si>
  <si>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</si>
  <si>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</si>
  <si>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</si>
  <si>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</si>
  <si>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</si>
  <si>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</si>
  <si>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</si>
  <si>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</si>
  <si>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</si>
  <si>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</si>
  <si>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>Franchise Leagues</t>
  </si>
  <si>
    <t xml:space="preserve">Island Trophy </t>
  </si>
  <si>
    <t>21st - 23rd May</t>
  </si>
  <si>
    <t>Major Tournaments</t>
  </si>
  <si>
    <t>Sasith (SL)</t>
  </si>
  <si>
    <t>Nihal (WI)</t>
  </si>
  <si>
    <t>Soverign Crown</t>
  </si>
  <si>
    <t>Hasan (NZ)</t>
  </si>
  <si>
    <t>Start Date</t>
  </si>
  <si>
    <t>Molly (Eng)</t>
  </si>
  <si>
    <t>End Date</t>
  </si>
  <si>
    <t>Name</t>
  </si>
  <si>
    <t>Month</t>
  </si>
  <si>
    <t>Bangladesh Shaheen</t>
  </si>
  <si>
    <t>Zarnish (Pak)</t>
  </si>
  <si>
    <t>Madsen Berrington</t>
  </si>
  <si>
    <t>Scottish Premier League</t>
  </si>
  <si>
    <t>22nd - 24th May</t>
  </si>
  <si>
    <t>15th Aug</t>
  </si>
  <si>
    <t>3rd Sept</t>
  </si>
  <si>
    <t>Ajay (Scot)</t>
  </si>
  <si>
    <t>Asthu (Scot)</t>
  </si>
  <si>
    <t>ODI World CUP</t>
  </si>
  <si>
    <t>September</t>
  </si>
  <si>
    <t>ODI-50 overs</t>
  </si>
  <si>
    <t>Calypso Kabul Trophy</t>
  </si>
  <si>
    <t>10th - 12th June</t>
  </si>
  <si>
    <t>WTC Remaining Matches</t>
  </si>
  <si>
    <t>November &amp; December</t>
  </si>
  <si>
    <t>Test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</si>
  <si>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</si>
  <si>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</si>
  <si>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</si>
  <si>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</si>
  <si>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</si>
  <si>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</si>
  <si>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</si>
  <si>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</si>
  <si>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</si>
  <si>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</si>
  <si>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</si>
  <si>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</si>
  <si>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</si>
  <si>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</si>
  <si>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</si>
  <si>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</si>
  <si>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</si>
  <si>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</si>
  <si>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</si>
  <si>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</si>
  <si>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</si>
  <si>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</si>
  <si>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</si>
  <si>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</si>
  <si>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</si>
  <si>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</si>
  <si>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</si>
  <si>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</si>
  <si>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</si>
  <si>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</si>
  <si>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</si>
  <si>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</si>
  <si>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</si>
  <si>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</si>
  <si>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</si>
  <si>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</si>
  <si>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</si>
  <si>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</si>
  <si>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</si>
  <si>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</si>
  <si>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</si>
  <si>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</si>
  <si>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</si>
  <si>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</si>
  <si>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</si>
  <si>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</si>
  <si>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</si>
  <si>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</si>
  <si>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</si>
  <si>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</si>
  <si>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</si>
  <si>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</si>
  <si>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</si>
  <si>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</si>
  <si>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</si>
  <si>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</si>
  <si>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</si>
  <si>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</si>
  <si>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</si>
  <si>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</si>
  <si>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</si>
  <si>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</si>
  <si>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</si>
  <si>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</si>
  <si>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</si>
  <si>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</si>
  <si>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</si>
  <si>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</si>
  <si>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</si>
  <si>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</si>
  <si>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</si>
  <si>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</si>
  <si>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</si>
  <si>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</si>
  <si>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</si>
  <si>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</si>
  <si>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</si>
  <si>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</si>
  <si>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</si>
  <si>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</si>
  <si>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</si>
  <si>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</si>
  <si>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</si>
  <si>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</si>
  <si>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</si>
  <si>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</si>
  <si>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</si>
  <si>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</si>
  <si>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</si>
  <si>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</si>
  <si>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</si>
  <si>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</si>
  <si>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</si>
  <si>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</si>
  <si>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Golden Sands</t>
  </si>
  <si>
    <t>Tom (UAE)</t>
  </si>
  <si>
    <t>Bhargab Kashyap (Bangladesh)</t>
  </si>
  <si>
    <t>Qatar vs India</t>
  </si>
  <si>
    <t>Padma Meghna</t>
  </si>
  <si>
    <t>Miraj Cool (Srilanka)</t>
  </si>
  <si>
    <t>Hasindu Rashminda (Srilanka)</t>
  </si>
  <si>
    <t>Mango Fortress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</si>
  <si>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</si>
  <si>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</si>
  <si>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</si>
  <si>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</si>
  <si>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</si>
  <si>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</si>
  <si>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</si>
  <si>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</si>
  <si>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</si>
  <si>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</si>
  <si>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</si>
  <si>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</si>
  <si>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</si>
  <si>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</si>
  <si>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</si>
  <si>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</si>
  <si>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</si>
  <si>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Zarnish Saira (Pakistan)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</si>
  <si>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</si>
  <si>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</si>
  <si>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</si>
  <si>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</si>
  <si>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</si>
  <si>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</si>
  <si>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</si>
  <si>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</si>
  <si>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</si>
  <si>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</si>
  <si>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</si>
  <si>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</si>
  <si>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</si>
  <si>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</si>
  <si>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</si>
  <si>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</si>
  <si>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</si>
  <si>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</si>
  <si>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</si>
  <si>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</si>
  <si>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</si>
  <si>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</si>
  <si>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</si>
  <si>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</si>
  <si>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</si>
  <si>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</si>
  <si>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WTC PENDING SCHEDULE</t>
  </si>
  <si>
    <t>Peter John (India)</t>
  </si>
  <si>
    <t>Final: Bangladesh vs Qatar</t>
  </si>
  <si>
    <t>Asia Cup 2026 Awards</t>
  </si>
  <si>
    <t>Achivement</t>
  </si>
  <si>
    <t>Status</t>
  </si>
  <si>
    <t>Team of the tournament</t>
  </si>
  <si>
    <t>19 wickets</t>
  </si>
  <si>
    <t>571 runs</t>
  </si>
  <si>
    <t>Completed</t>
  </si>
  <si>
    <t>Pending</t>
  </si>
  <si>
    <t>Asia Cup 2026 Team of the tournament</t>
  </si>
  <si>
    <t>27th April</t>
  </si>
  <si>
    <t>1st April</t>
  </si>
  <si>
    <t>11th June</t>
  </si>
  <si>
    <t>21st April</t>
  </si>
  <si>
    <t>1st May</t>
  </si>
  <si>
    <t>2. Scotland (Host)</t>
  </si>
  <si>
    <t>3. Netherlands</t>
  </si>
  <si>
    <t>4. Italy</t>
  </si>
  <si>
    <t>England vs Italy</t>
  </si>
  <si>
    <t>Grange CS</t>
  </si>
  <si>
    <t>Safeer Babu (England)</t>
  </si>
  <si>
    <t>Akshay (Italy)</t>
  </si>
  <si>
    <t>Scotland vs Netherlands</t>
  </si>
  <si>
    <t>Scotba CG</t>
  </si>
  <si>
    <t>Jishnu (Scotland)</t>
  </si>
  <si>
    <t>Bimal Baral (Netherlands)</t>
  </si>
  <si>
    <t>Netherlands vs England</t>
  </si>
  <si>
    <t>Seven Oaks</t>
  </si>
  <si>
    <t>Kebin &amp; Kailas</t>
  </si>
  <si>
    <t>Nirmal Baishya (Netherlands)</t>
  </si>
  <si>
    <t>Sunaif (England)</t>
  </si>
  <si>
    <t>Scotland vs Italy</t>
  </si>
  <si>
    <t>Subaida Subi (Italy)</t>
  </si>
  <si>
    <t>Huzain (Italy)</t>
  </si>
  <si>
    <t>Italy vs Netherlands</t>
  </si>
  <si>
    <t>Scotland vs England</t>
  </si>
  <si>
    <t>Netherlands vs Scotland</t>
  </si>
  <si>
    <t>Shukoor (Scotland)</t>
  </si>
  <si>
    <t>Pinku (Netherlands)</t>
  </si>
  <si>
    <t>Italy vs England</t>
  </si>
  <si>
    <t>Netherlands vs Italy</t>
  </si>
  <si>
    <t xml:space="preserve">11th June  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</si>
  <si>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</si>
  <si>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</si>
  <si>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</si>
  <si>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</si>
  <si>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</si>
  <si>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</si>
  <si>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</si>
  <si>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</si>
  <si>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</si>
  <si>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</si>
  <si>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</si>
  <si>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</si>
  <si>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</si>
  <si>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</t>
  </si>
  <si>
    <t>24th April</t>
  </si>
  <si>
    <t>23rd April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</si>
  <si>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</si>
  <si>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</si>
  <si>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</si>
  <si>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</si>
  <si>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</si>
  <si>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</si>
  <si>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</si>
  <si>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</si>
  <si>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</si>
  <si>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</si>
  <si>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</si>
  <si>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</si>
  <si>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</si>
  <si>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</si>
  <si>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</si>
  <si>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</si>
  <si>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</si>
  <si>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</si>
  <si>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</si>
  <si>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</si>
  <si>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</si>
  <si>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</si>
  <si>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</si>
  <si>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</si>
  <si>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</si>
  <si>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</si>
  <si>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</si>
  <si>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 xml:space="preserve">Sreeraj </t>
  </si>
  <si>
    <t>Shibasis (South Africa)</t>
  </si>
  <si>
    <t>West Indies vs Australia</t>
  </si>
  <si>
    <t>12th June</t>
  </si>
  <si>
    <t>Arnab Sarkar (Australia)</t>
  </si>
  <si>
    <t>Harsh Dubey (Australia)</t>
  </si>
  <si>
    <t>Aseem (Newzealand)</t>
  </si>
  <si>
    <t>Vipin (West Indies)</t>
  </si>
  <si>
    <t>South Africa vs Australia</t>
  </si>
  <si>
    <t>Mohammad Noor (Australia)</t>
  </si>
  <si>
    <t>Final: Newzealand vs Australia</t>
  </si>
  <si>
    <t>Rahul Gadia (Australia)</t>
  </si>
  <si>
    <t>Oceania Cup 2026 Awards</t>
  </si>
  <si>
    <t>20 wickets</t>
  </si>
  <si>
    <t>284 runs</t>
  </si>
  <si>
    <t>131 runs &amp; 20 wickets</t>
  </si>
  <si>
    <t>Oceania Cup 2026 Team of the tournament</t>
  </si>
  <si>
    <t>1. Zarnish Saira (C)</t>
  </si>
  <si>
    <t>1. Churami</t>
  </si>
  <si>
    <t>1. Molly Stephen (C)</t>
  </si>
  <si>
    <t>1. Subaida Subi (C)</t>
  </si>
  <si>
    <t>2. Taniya</t>
  </si>
  <si>
    <t>2. Rukkiya</t>
  </si>
  <si>
    <t>2. Lilly</t>
  </si>
  <si>
    <t>2. Greeshma</t>
  </si>
  <si>
    <t>3. Iqra Batool</t>
  </si>
  <si>
    <t>3. Divya Sterin</t>
  </si>
  <si>
    <t>3. Gowri Madhu</t>
  </si>
  <si>
    <t>3. Arathy</t>
  </si>
  <si>
    <t>4. Masrifa Munni</t>
  </si>
  <si>
    <t>4. Divya Gupta</t>
  </si>
  <si>
    <t>4. Jisha</t>
  </si>
  <si>
    <t>4. Chinju</t>
  </si>
  <si>
    <t>5. Rima Naskar Sona</t>
  </si>
  <si>
    <t>5. Shanikutty</t>
  </si>
  <si>
    <t>5. Nasila</t>
  </si>
  <si>
    <t>5. Manju</t>
  </si>
  <si>
    <t>6. Sanjana</t>
  </si>
  <si>
    <t>6. Ajitha Thankachan</t>
  </si>
  <si>
    <t>6. Rijina Chinnu</t>
  </si>
  <si>
    <t>6. Jessi</t>
  </si>
  <si>
    <t>7. Shumaila</t>
  </si>
  <si>
    <t>7. Shailamma Joseph</t>
  </si>
  <si>
    <t>7. Maya</t>
  </si>
  <si>
    <t>7. Appusree</t>
  </si>
  <si>
    <t>8. Sidra</t>
  </si>
  <si>
    <t>8. Thushara Hari</t>
  </si>
  <si>
    <t>8. Nechuz</t>
  </si>
  <si>
    <t>8. Dimya</t>
  </si>
  <si>
    <t>9. Summan Baig</t>
  </si>
  <si>
    <t>9. Shoba Joseph</t>
  </si>
  <si>
    <t>9. Sneha Jyothish</t>
  </si>
  <si>
    <t>9. Kannaki</t>
  </si>
  <si>
    <t>10. Ayat</t>
  </si>
  <si>
    <t>10. Neelambari</t>
  </si>
  <si>
    <t>10. Sana</t>
  </si>
  <si>
    <t>11. Jumana Thasni</t>
  </si>
  <si>
    <t>11. Harsha</t>
  </si>
  <si>
    <t>12. Nazila</t>
  </si>
  <si>
    <t>25th April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</si>
  <si>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</si>
  <si>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</si>
  <si>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</si>
  <si>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</si>
  <si>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</si>
  <si>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</si>
  <si>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</si>
  <si>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</si>
  <si>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</si>
  <si>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</si>
  <si>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</si>
  <si>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</si>
  <si>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</si>
  <si>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</si>
  <si>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</si>
  <si>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</si>
  <si>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</si>
  <si>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</si>
  <si>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</si>
  <si>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</si>
  <si>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</si>
  <si>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</si>
  <si>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</si>
  <si>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</si>
  <si>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</si>
  <si>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</si>
  <si>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</si>
  <si>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</si>
  <si>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</si>
  <si>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</si>
  <si>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2nd July</t>
  </si>
  <si>
    <t>T20 Ranking</t>
  </si>
  <si>
    <t>T20 World Cup Champions 2026 ( 100 )</t>
  </si>
  <si>
    <t>T20 World Cup Runners-up 2026 ( 70 )</t>
  </si>
  <si>
    <t>Club Ranking</t>
  </si>
  <si>
    <t>Emerging Talents League Runners Up 2026( 70 ) &amp; Lone Warrior Champion 2026 ( 50 )</t>
  </si>
  <si>
    <t>Emerging Talents League Champions 2026 ( 100 )</t>
  </si>
  <si>
    <t>Lone Warrior Runners up 2026 ( 25 )</t>
  </si>
  <si>
    <t>ODI Ranking</t>
  </si>
  <si>
    <t>Oceania Cup Champions 2026 (100)</t>
  </si>
  <si>
    <t>Euro Cup Champions 2026 (100)</t>
  </si>
  <si>
    <t>Asia Cup Runners up  2026 (70)</t>
  </si>
  <si>
    <t>Oceania Cup Runners up  2026 (70)</t>
  </si>
  <si>
    <t>Asia Cup Champions 2026 (100)</t>
  </si>
  <si>
    <t>Total WTC Matches left</t>
  </si>
  <si>
    <t>Euro Cup Runners up 2026 (70)</t>
  </si>
  <si>
    <t>Scheduled</t>
  </si>
  <si>
    <t>100 Balls Format Ranking</t>
  </si>
  <si>
    <t>Test Ranking</t>
  </si>
  <si>
    <t>Overall Board Ranking</t>
  </si>
  <si>
    <t>T20 World Cup Champions 2026 ( 100 ) &amp; Emerging Talents League Champions 2026 ( 100 )</t>
  </si>
  <si>
    <t>T20 World Cup Runners-up 2026 ( 70 ), Emerging Talents League Runners Up 2026 ( 70 ) , Lone Warrior Champion 2026 ( 50 ) &amp; Euro Cup Champions 2026 (100)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</si>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</sst>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50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>
      <b/>
      <color rgb="FF4C1130"/>
      <name val="Arial"/>
      <scheme val="minor"/>
    </font>
    <font>
      <color rgb="FFB7B7B7"/>
      <name val="Arial"/>
      <scheme val="minor"/>
    </font>
    <font>
      <color rgb="FFEFEFEF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FFFFFF"/>
      <name val="Arial"/>
      <scheme val="minor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b/>
      <i/>
      <color theme="1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b/>
      <sz val="10.0"/>
      <color rgb="FFFFFFFF"/>
      <name val="Arial"/>
    </font>
    <font>
      <b/>
      <color rgb="FFD9D9D9"/>
      <name val="Arial"/>
      <scheme val="minor"/>
    </font>
    <font>
      <b/>
      <i/>
      <color rgb="FFFFFFFF"/>
      <name val="Arial"/>
      <scheme val="minor"/>
    </font>
    <font>
      <i/>
      <color theme="1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b/>
      <color rgb="FFEFEFEF"/>
      <name val="Arial"/>
      <scheme val="minor"/>
    </font>
    <font>
      <sz val="10.0"/>
      <color theme="1"/>
      <name val="Arial"/>
      <scheme val="minor"/>
    </font>
    <font>
      <color rgb="FFF3F3F3"/>
      <name val="Arial"/>
      <scheme val="minor"/>
    </font>
    <font>
      <color rgb="FFCCCCCC"/>
      <name val="Arial"/>
      <scheme val="minor"/>
    </font>
    <font>
      <b/>
      <color rgb="FFB7B7B7"/>
      <name val="Arial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b/>
      <sz val="10.0"/>
      <color theme="1"/>
      <name val="Arial"/>
      <scheme val="minor"/>
    </font>
    <font>
      <sz val="11.0"/>
      <color rgb="FFF5F5F5"/>
      <name val="Arial"/>
    </font>
    <font>
      <color rgb="FF000000"/>
      <name val="Arial"/>
    </font>
    <font>
      <b/>
      <i/>
      <color rgb="FF000000"/>
      <name val="Arial"/>
    </font>
    <font>
      <sz val="10.0"/>
      <color theme="1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  <font>
      <b/>
      <color rgb="FFD5A6BD"/>
      <name val="Arial"/>
      <scheme val="minor"/>
    </font>
  </fonts>
  <fills count="58">
    <fill>
      <patternFill patternType="none"/>
    </fill>
    <fill>
      <patternFill patternType="lightGray"/>
    </fill>
    <fill>
      <patternFill patternType="solid">
        <fgColor rgb="FFE06666"/>
        <bgColor rgb="FFE06666"/>
      </patternFill>
    </fill>
    <fill>
      <patternFill patternType="solid">
        <fgColor rgb="FF4C1130"/>
        <bgColor rgb="FF4C113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990000"/>
        <bgColor rgb="FF990000"/>
      </patternFill>
    </fill>
    <fill>
      <patternFill patternType="solid">
        <fgColor rgb="FFCC0000"/>
        <bgColor rgb="FFCC0000"/>
      </patternFill>
    </fill>
    <fill>
      <patternFill patternType="solid">
        <fgColor rgb="FFF3F3F3"/>
        <bgColor rgb="FFF3F3F3"/>
      </patternFill>
    </fill>
    <fill>
      <patternFill patternType="solid">
        <fgColor rgb="FF274E13"/>
        <bgColor rgb="FF274E13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6AA84F"/>
        <bgColor rgb="FF6AA84F"/>
      </patternFill>
    </fill>
    <fill>
      <patternFill patternType="solid">
        <fgColor rgb="FFBF9000"/>
        <bgColor rgb="FFBF9000"/>
      </patternFill>
    </fill>
    <fill>
      <patternFill patternType="solid">
        <fgColor rgb="FFF1C232"/>
        <bgColor rgb="FFF1C232"/>
      </patternFill>
    </fill>
    <fill>
      <patternFill patternType="solid">
        <fgColor rgb="FFFF0000"/>
        <bgColor rgb="FFFF0000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38761D"/>
        <bgColor rgb="FF38761D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  <fill>
      <patternFill patternType="solid">
        <fgColor rgb="FFD0E0E3"/>
        <bgColor rgb="FFD0E0E3"/>
      </patternFill>
    </fill>
    <fill>
      <patternFill patternType="solid">
        <fgColor rgb="FF6FA8DC"/>
        <bgColor rgb="FF6FA8DC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0C343D"/>
        <bgColor rgb="FF0C343D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theme="0"/>
        <bgColor theme="0"/>
      </patternFill>
    </fill>
    <fill>
      <patternFill patternType="solid">
        <fgColor rgb="FF741B47"/>
        <bgColor rgb="FF741B47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3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0" fillId="6" fontId="3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4" fontId="1" numFmtId="0" xfId="0" applyAlignment="1" applyFont="1">
      <alignment horizontal="center" readingOrder="0"/>
    </xf>
    <xf borderId="0" fillId="8" fontId="5" numFmtId="0" xfId="0" applyAlignment="1" applyFill="1" applyFont="1">
      <alignment horizontal="center" readingOrder="0"/>
    </xf>
    <xf borderId="0" fillId="6" fontId="1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9" fontId="6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0" fontId="3" numFmtId="0" xfId="0" applyAlignment="1" applyFill="1" applyFont="1">
      <alignment horizontal="center" readingOrder="0"/>
    </xf>
    <xf borderId="0" fillId="11" fontId="5" numFmtId="0" xfId="0" applyAlignment="1" applyFill="1" applyFont="1">
      <alignment horizontal="center" readingOrder="0"/>
    </xf>
    <xf borderId="0" fillId="12" fontId="7" numFmtId="0" xfId="0" applyAlignment="1" applyFill="1" applyFont="1">
      <alignment horizontal="center"/>
    </xf>
    <xf borderId="0" fillId="13" fontId="3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13" fontId="3" numFmtId="0" xfId="0" applyAlignment="1" applyFont="1">
      <alignment readingOrder="0"/>
    </xf>
    <xf borderId="0" fillId="13" fontId="8" numFmtId="0" xfId="0" applyAlignment="1" applyFont="1">
      <alignment horizontal="center" readingOrder="0"/>
    </xf>
    <xf borderId="0" fillId="14" fontId="3" numFmtId="0" xfId="0" applyAlignment="1" applyFill="1" applyFont="1">
      <alignment horizontal="center" readingOrder="0"/>
    </xf>
    <xf borderId="0" fillId="0" fontId="9" numFmtId="0" xfId="0" applyAlignment="1" applyFont="1">
      <alignment horizontal="center" readingOrder="0" vertical="bottom"/>
    </xf>
    <xf borderId="0" fillId="12" fontId="7" numFmtId="0" xfId="0" applyAlignment="1" applyFont="1">
      <alignment horizontal="center" readingOrder="0"/>
    </xf>
    <xf borderId="0" fillId="13" fontId="1" numFmtId="0" xfId="0" applyAlignment="1" applyFont="1">
      <alignment readingOrder="0"/>
    </xf>
    <xf borderId="0" fillId="11" fontId="10" numFmtId="0" xfId="0" applyAlignment="1" applyFont="1">
      <alignment horizontal="center" readingOrder="0"/>
    </xf>
    <xf borderId="0" fillId="12" fontId="11" numFmtId="0" xfId="0" applyAlignment="1" applyFont="1">
      <alignment horizontal="center" vertical="bottom"/>
    </xf>
    <xf borderId="0" fillId="15" fontId="3" numFmtId="0" xfId="0" applyAlignment="1" applyFill="1" applyFont="1">
      <alignment horizontal="center"/>
    </xf>
    <xf borderId="0" fillId="11" fontId="7" numFmtId="0" xfId="0" applyAlignment="1" applyFont="1">
      <alignment horizontal="center" readingOrder="0"/>
    </xf>
    <xf borderId="0" fillId="14" fontId="5" numFmtId="0" xfId="0" applyAlignment="1" applyFont="1">
      <alignment horizontal="center" readingOrder="0"/>
    </xf>
    <xf borderId="0" fillId="12" fontId="10" numFmtId="0" xfId="0" applyAlignment="1" applyFont="1">
      <alignment horizontal="center" readingOrder="0"/>
    </xf>
    <xf borderId="0" fillId="6" fontId="1" numFmtId="0" xfId="0" applyAlignment="1" applyFont="1">
      <alignment readingOrder="0"/>
    </xf>
    <xf borderId="0" fillId="14" fontId="1" numFmtId="0" xfId="0" applyAlignment="1" applyFont="1">
      <alignment readingOrder="0"/>
    </xf>
    <xf borderId="0" fillId="0" fontId="9" numFmtId="0" xfId="0" applyAlignment="1" applyFont="1">
      <alignment horizontal="center" vertical="bottom"/>
    </xf>
    <xf borderId="0" fillId="16" fontId="3" numFmtId="0" xfId="0" applyAlignment="1" applyFill="1" applyFont="1">
      <alignment horizontal="center" readingOrder="0"/>
    </xf>
    <xf borderId="0" fillId="13" fontId="1" numFmtId="0" xfId="0" applyAlignment="1" applyFont="1">
      <alignment horizontal="center" readingOrder="0"/>
    </xf>
    <xf borderId="0" fillId="14" fontId="12" numFmtId="0" xfId="0" applyAlignment="1" applyFont="1">
      <alignment horizontal="center" readingOrder="0"/>
    </xf>
    <xf borderId="0" fillId="13" fontId="1" numFmtId="0" xfId="0" applyAlignment="1" applyFont="1">
      <alignment readingOrder="0" vertical="center"/>
    </xf>
    <xf borderId="0" fillId="13" fontId="1" numFmtId="0" xfId="0" applyAlignment="1" applyFont="1">
      <alignment horizontal="center"/>
    </xf>
    <xf borderId="0" fillId="16" fontId="13" numFmtId="0" xfId="0" applyAlignment="1" applyFont="1">
      <alignment horizontal="center" vertical="center"/>
    </xf>
    <xf borderId="0" fillId="16" fontId="1" numFmtId="0" xfId="0" applyAlignment="1" applyFont="1">
      <alignment horizontal="center" readingOrder="0" vertical="center"/>
    </xf>
    <xf borderId="0" fillId="16" fontId="1" numFmtId="0" xfId="0" applyAlignment="1" applyFont="1">
      <alignment horizontal="center" readingOrder="0"/>
    </xf>
    <xf borderId="0" fillId="13" fontId="12" numFmtId="0" xfId="0" applyAlignment="1" applyFont="1">
      <alignment horizontal="center" readingOrder="0"/>
    </xf>
    <xf borderId="0" fillId="16" fontId="1" numFmtId="0" xfId="0" applyAlignment="1" applyFont="1">
      <alignment horizontal="center"/>
    </xf>
    <xf borderId="0" fillId="17" fontId="1" numFmtId="0" xfId="0" applyAlignment="1" applyFill="1" applyFont="1">
      <alignment horizontal="center" readingOrder="0"/>
    </xf>
    <xf borderId="0" fillId="14" fontId="12" numFmtId="0" xfId="0" applyAlignment="1" applyFont="1">
      <alignment readingOrder="0"/>
    </xf>
    <xf borderId="0" fillId="17" fontId="1" numFmtId="0" xfId="0" applyAlignment="1" applyFont="1">
      <alignment horizontal="center"/>
    </xf>
    <xf borderId="0" fillId="18" fontId="3" numFmtId="0" xfId="0" applyAlignment="1" applyFill="1" applyFont="1">
      <alignment horizontal="center" readingOrder="0" vertical="center"/>
    </xf>
    <xf borderId="0" fillId="17" fontId="3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0" fillId="19" fontId="1" numFmtId="0" xfId="0" applyAlignment="1" applyFill="1" applyFont="1">
      <alignment horizontal="center" readingOrder="0"/>
    </xf>
    <xf borderId="0" fillId="19" fontId="1" numFmtId="0" xfId="0" applyAlignment="1" applyFont="1">
      <alignment horizontal="center"/>
    </xf>
    <xf borderId="0" fillId="16" fontId="1" numFmtId="0" xfId="0" applyAlignment="1" applyFont="1">
      <alignment readingOrder="0" vertical="center"/>
    </xf>
    <xf borderId="0" fillId="20" fontId="1" numFmtId="0" xfId="0" applyAlignment="1" applyFill="1" applyFont="1">
      <alignment readingOrder="0"/>
    </xf>
    <xf borderId="0" fillId="21" fontId="3" numFmtId="0" xfId="0" applyAlignment="1" applyFill="1" applyFont="1">
      <alignment horizontal="center" readingOrder="0"/>
    </xf>
    <xf borderId="0" fillId="21" fontId="1" numFmtId="0" xfId="0" applyAlignment="1" applyFont="1">
      <alignment horizontal="center" readingOrder="0"/>
    </xf>
    <xf borderId="0" fillId="22" fontId="6" numFmtId="0" xfId="0" applyAlignment="1" applyFill="1" applyFont="1">
      <alignment horizontal="center" readingOrder="0"/>
    </xf>
    <xf borderId="0" fillId="0" fontId="1" numFmtId="0" xfId="0" applyAlignment="1" applyFont="1">
      <alignment horizontal="left" readingOrder="0"/>
    </xf>
    <xf borderId="0" fillId="6" fontId="1" numFmtId="0" xfId="0" applyFont="1"/>
    <xf borderId="0" fillId="23" fontId="8" numFmtId="0" xfId="0" applyAlignment="1" applyFill="1" applyFont="1">
      <alignment horizontal="center" readingOrder="0"/>
    </xf>
    <xf borderId="0" fillId="22" fontId="11" numFmtId="0" xfId="0" applyAlignment="1" applyFont="1">
      <alignment horizontal="center" vertical="bottom"/>
    </xf>
    <xf borderId="0" fillId="22" fontId="7" numFmtId="0" xfId="0" applyAlignment="1" applyFont="1">
      <alignment horizontal="center" readingOrder="0"/>
    </xf>
    <xf borderId="0" fillId="14" fontId="6" numFmtId="0" xfId="0" applyAlignment="1" applyFont="1">
      <alignment horizontal="center" readingOrder="0"/>
    </xf>
    <xf borderId="0" fillId="0" fontId="14" numFmtId="0" xfId="0" applyAlignment="1" applyFont="1">
      <alignment readingOrder="0"/>
    </xf>
    <xf borderId="0" fillId="24" fontId="5" numFmtId="0" xfId="0" applyAlignment="1" applyFill="1" applyFont="1">
      <alignment horizontal="center" readingOrder="0"/>
    </xf>
    <xf borderId="0" fillId="25" fontId="3" numFmtId="0" xfId="0" applyAlignment="1" applyFill="1" applyFont="1">
      <alignment horizontal="center" readingOrder="0"/>
    </xf>
    <xf borderId="0" fillId="26" fontId="3" numFmtId="0" xfId="0" applyAlignment="1" applyFill="1" applyFont="1">
      <alignment horizontal="center"/>
    </xf>
    <xf borderId="0" fillId="0" fontId="3" numFmtId="0" xfId="0" applyAlignment="1" applyFont="1">
      <alignment readingOrder="0"/>
    </xf>
    <xf borderId="0" fillId="27" fontId="13" numFmtId="0" xfId="0" applyAlignment="1" applyFill="1" applyFont="1">
      <alignment horizontal="center" vertical="bottom"/>
    </xf>
    <xf borderId="0" fillId="25" fontId="1" numFmtId="0" xfId="0" applyAlignment="1" applyFont="1">
      <alignment readingOrder="0" vertical="center"/>
    </xf>
    <xf borderId="0" fillId="25" fontId="1" numFmtId="0" xfId="0" applyAlignment="1" applyFont="1">
      <alignment horizontal="center" readingOrder="0"/>
    </xf>
    <xf borderId="0" fillId="25" fontId="1" numFmtId="0" xfId="0" applyAlignment="1" applyFont="1">
      <alignment horizontal="center"/>
    </xf>
    <xf borderId="0" fillId="14" fontId="1" numFmtId="0" xfId="0" applyAlignment="1" applyFont="1">
      <alignment horizontal="center"/>
    </xf>
    <xf borderId="0" fillId="24" fontId="6" numFmtId="0" xfId="0" applyAlignment="1" applyFont="1">
      <alignment horizontal="center" readingOrder="0"/>
    </xf>
    <xf borderId="0" fillId="28" fontId="1" numFmtId="0" xfId="0" applyAlignment="1" applyFill="1" applyFont="1">
      <alignment horizontal="center" readingOrder="0"/>
    </xf>
    <xf borderId="0" fillId="28" fontId="1" numFmtId="0" xfId="0" applyAlignment="1" applyFont="1">
      <alignment horizontal="center"/>
    </xf>
    <xf borderId="0" fillId="22" fontId="10" numFmtId="0" xfId="0" applyAlignment="1" applyFont="1">
      <alignment horizontal="center" readingOrder="0"/>
    </xf>
    <xf borderId="0" fillId="6" fontId="14" numFmtId="0" xfId="0" applyAlignment="1" applyFont="1">
      <alignment readingOrder="0"/>
    </xf>
    <xf borderId="0" fillId="0" fontId="1" numFmtId="0" xfId="0" applyFont="1"/>
    <xf borderId="0" fillId="14" fontId="1" numFmtId="0" xfId="0" applyFont="1"/>
    <xf borderId="0" fillId="29" fontId="3" numFmtId="0" xfId="0" applyAlignment="1" applyFill="1" applyFont="1">
      <alignment horizontal="center"/>
    </xf>
    <xf borderId="0" fillId="30" fontId="3" numFmtId="0" xfId="0" applyAlignment="1" applyFill="1" applyFont="1">
      <alignment horizontal="center" readingOrder="0"/>
    </xf>
    <xf borderId="0" fillId="30" fontId="3" numFmtId="0" xfId="0" applyAlignment="1" applyFont="1">
      <alignment horizontal="center"/>
    </xf>
    <xf borderId="0" fillId="31" fontId="3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32" fontId="1" numFmtId="0" xfId="0" applyFill="1" applyFont="1"/>
    <xf borderId="0" fillId="33" fontId="3" numFmtId="0" xfId="0" applyAlignment="1" applyFill="1" applyFont="1">
      <alignment horizontal="center" readingOrder="0"/>
    </xf>
    <xf borderId="0" fillId="34" fontId="3" numFmtId="0" xfId="0" applyAlignment="1" applyFill="1" applyFont="1">
      <alignment horizontal="center" readingOrder="0"/>
    </xf>
    <xf borderId="0" fillId="18" fontId="2" numFmtId="0" xfId="0" applyAlignment="1" applyFont="1">
      <alignment horizontal="center" readingOrder="0" vertical="center"/>
    </xf>
    <xf borderId="0" fillId="14" fontId="2" numFmtId="0" xfId="0" applyAlignment="1" applyFont="1">
      <alignment horizontal="center" readingOrder="0"/>
    </xf>
    <xf borderId="0" fillId="14" fontId="12" numFmtId="0" xfId="0" applyFont="1"/>
    <xf borderId="0" fillId="30" fontId="14" numFmtId="0" xfId="0" applyAlignment="1" applyFont="1">
      <alignment horizontal="center" readingOrder="0" vertical="center"/>
    </xf>
    <xf borderId="0" fillId="30" fontId="14" numFmtId="0" xfId="0" applyAlignment="1" applyFont="1">
      <alignment horizontal="center" readingOrder="0"/>
    </xf>
    <xf borderId="0" fillId="35" fontId="3" numFmtId="0" xfId="0" applyAlignment="1" applyFill="1" applyFont="1">
      <alignment horizontal="center" readingOrder="0" vertical="center"/>
    </xf>
    <xf borderId="0" fillId="16" fontId="1" numFmtId="0" xfId="0" applyAlignment="1" applyFont="1">
      <alignment horizontal="left" readingOrder="0" vertical="center"/>
    </xf>
    <xf borderId="0" fillId="16" fontId="14" numFmtId="0" xfId="0" applyAlignment="1" applyFont="1">
      <alignment horizontal="center" readingOrder="0"/>
    </xf>
    <xf borderId="0" fillId="36" fontId="8" numFmtId="0" xfId="0" applyAlignment="1" applyFill="1" applyFont="1">
      <alignment horizontal="center" readingOrder="0"/>
    </xf>
    <xf borderId="0" fillId="16" fontId="3" numFmtId="0" xfId="0" applyAlignment="1" applyFont="1">
      <alignment horizontal="center" readingOrder="0" vertical="center"/>
    </xf>
    <xf borderId="0" fillId="4" fontId="8" numFmtId="0" xfId="0" applyAlignment="1" applyFont="1">
      <alignment horizontal="center" readingOrder="0"/>
    </xf>
    <xf borderId="0" fillId="6" fontId="3" numFmtId="0" xfId="0" applyAlignment="1" applyFont="1">
      <alignment horizontal="center" readingOrder="0" vertical="center"/>
    </xf>
    <xf borderId="0" fillId="4" fontId="15" numFmtId="0" xfId="0" applyAlignment="1" applyFont="1">
      <alignment horizontal="center" readingOrder="0"/>
    </xf>
    <xf borderId="0" fillId="16" fontId="3" numFmtId="0" xfId="0" applyAlignment="1" applyFont="1">
      <alignment readingOrder="0" vertical="center"/>
    </xf>
    <xf borderId="0" fillId="24" fontId="16" numFmtId="0" xfId="0" applyAlignment="1" applyFont="1">
      <alignment horizontal="center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8" numFmtId="0" xfId="0" applyAlignment="1" applyFont="1">
      <alignment horizontal="center" readingOrder="0" vertical="bottom"/>
    </xf>
    <xf borderId="0" fillId="32" fontId="19" numFmtId="0" xfId="0" applyAlignment="1" applyFont="1">
      <alignment horizontal="center" readingOrder="0"/>
    </xf>
    <xf borderId="0" fillId="37" fontId="8" numFmtId="0" xfId="0" applyAlignment="1" applyFill="1" applyFont="1">
      <alignment horizontal="center" readingOrder="0"/>
    </xf>
    <xf borderId="0" fillId="38" fontId="20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39" fontId="8" numFmtId="0" xfId="0" applyAlignment="1" applyFill="1" applyFont="1">
      <alignment horizontal="center" readingOrder="0"/>
    </xf>
    <xf borderId="0" fillId="0" fontId="1" numFmtId="0" xfId="0" applyAlignment="1" applyFont="1">
      <alignment horizontal="left"/>
    </xf>
    <xf borderId="0" fillId="25" fontId="8" numFmtId="0" xfId="0" applyAlignment="1" applyFont="1">
      <alignment horizontal="center" readingOrder="0"/>
    </xf>
    <xf borderId="0" fillId="40" fontId="20" numFmtId="0" xfId="0" applyAlignment="1" applyFill="1" applyFont="1">
      <alignment horizontal="center" readingOrder="0"/>
    </xf>
    <xf borderId="0" fillId="41" fontId="21" numFmtId="0" xfId="0" applyAlignment="1" applyFill="1" applyFont="1">
      <alignment horizontal="center" readingOrder="0"/>
    </xf>
    <xf borderId="0" fillId="11" fontId="16" numFmtId="0" xfId="0" applyAlignment="1" applyFont="1">
      <alignment horizontal="center" readingOrder="0"/>
    </xf>
    <xf borderId="0" fillId="31" fontId="14" numFmtId="0" xfId="0" applyAlignment="1" applyFont="1">
      <alignment horizontal="center" readingOrder="0"/>
    </xf>
    <xf borderId="0" fillId="39" fontId="1" numFmtId="0" xfId="0" applyAlignment="1" applyFont="1">
      <alignment readingOrder="0"/>
    </xf>
    <xf borderId="0" fillId="0" fontId="22" numFmtId="0" xfId="0" applyAlignment="1" applyFont="1">
      <alignment horizontal="center" readingOrder="0"/>
    </xf>
    <xf borderId="0" fillId="42" fontId="1" numFmtId="0" xfId="0" applyAlignment="1" applyFill="1" applyFont="1">
      <alignment horizontal="center" readingOrder="0"/>
    </xf>
    <xf borderId="0" fillId="38" fontId="23" numFmtId="0" xfId="0" applyAlignment="1" applyFont="1">
      <alignment horizontal="center" readingOrder="0"/>
    </xf>
    <xf borderId="0" fillId="38" fontId="10" numFmtId="0" xfId="0" applyAlignment="1" applyFont="1">
      <alignment horizontal="center" readingOrder="0"/>
    </xf>
    <xf borderId="0" fillId="38" fontId="7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37" fontId="3" numFmtId="0" xfId="0" applyAlignment="1" applyFont="1">
      <alignment horizontal="center" readingOrder="0"/>
    </xf>
    <xf borderId="0" fillId="14" fontId="23" numFmtId="0" xfId="0" applyAlignment="1" applyFont="1">
      <alignment horizontal="center" readingOrder="0"/>
    </xf>
    <xf borderId="0" fillId="31" fontId="12" numFmtId="0" xfId="0" applyAlignment="1" applyFont="1">
      <alignment horizontal="center" readingOrder="0" vertical="center"/>
    </xf>
    <xf borderId="0" fillId="42" fontId="3" numFmtId="0" xfId="0" applyAlignment="1" applyFont="1">
      <alignment horizontal="center" readingOrder="0" vertical="center"/>
    </xf>
    <xf borderId="0" fillId="23" fontId="1" numFmtId="0" xfId="0" applyAlignment="1" applyFont="1">
      <alignment horizontal="center" readingOrder="0"/>
    </xf>
    <xf borderId="0" fillId="23" fontId="1" numFmtId="0" xfId="0" applyAlignment="1" applyFont="1">
      <alignment horizontal="center"/>
    </xf>
    <xf borderId="0" fillId="38" fontId="24" numFmtId="0" xfId="0" applyAlignment="1" applyFont="1">
      <alignment horizontal="center" readingOrder="0" vertical="bottom"/>
    </xf>
    <xf borderId="0" fillId="0" fontId="13" numFmtId="0" xfId="0" applyAlignment="1" applyFont="1">
      <alignment horizontal="center" readingOrder="0" vertical="bottom"/>
    </xf>
    <xf borderId="0" fillId="0" fontId="1" numFmtId="0" xfId="0" applyAlignment="1" applyFont="1">
      <alignment vertical="center"/>
    </xf>
    <xf borderId="0" fillId="43" fontId="3" numFmtId="0" xfId="0" applyAlignment="1" applyFill="1" applyFont="1">
      <alignment horizontal="center" readingOrder="0"/>
    </xf>
    <xf borderId="0" fillId="43" fontId="1" numFmtId="0" xfId="0" applyAlignment="1" applyFont="1">
      <alignment horizontal="center" readingOrder="0"/>
    </xf>
    <xf borderId="0" fillId="3" fontId="10" numFmtId="0" xfId="0" applyAlignment="1" applyFont="1">
      <alignment horizontal="center" readingOrder="0"/>
    </xf>
    <xf borderId="0" fillId="3" fontId="11" numFmtId="0" xfId="0" applyAlignment="1" applyFont="1">
      <alignment horizontal="center" vertical="bottom"/>
    </xf>
    <xf borderId="0" fillId="5" fontId="13" numFmtId="0" xfId="0" applyAlignment="1" applyFont="1">
      <alignment horizontal="center" vertical="bottom"/>
    </xf>
    <xf borderId="0" fillId="7" fontId="3" numFmtId="0" xfId="0" applyAlignment="1" applyFont="1">
      <alignment horizontal="center" readingOrder="0"/>
    </xf>
    <xf borderId="0" fillId="44" fontId="3" numFmtId="0" xfId="0" applyAlignment="1" applyFill="1" applyFont="1">
      <alignment horizontal="center" readingOrder="0"/>
    </xf>
    <xf borderId="0" fillId="44" fontId="1" numFmtId="0" xfId="0" applyAlignment="1" applyFont="1">
      <alignment horizontal="center" readingOrder="0"/>
    </xf>
    <xf borderId="0" fillId="45" fontId="25" numFmtId="0" xfId="0" applyAlignment="1" applyFill="1" applyFont="1">
      <alignment horizontal="center" readingOrder="0"/>
    </xf>
    <xf borderId="0" fillId="46" fontId="8" numFmtId="0" xfId="0" applyAlignment="1" applyFill="1" applyFont="1">
      <alignment horizontal="center" readingOrder="0"/>
    </xf>
    <xf borderId="0" fillId="45" fontId="11" numFmtId="0" xfId="0" applyAlignment="1" applyFont="1">
      <alignment horizontal="center" vertical="bottom"/>
    </xf>
    <xf borderId="0" fillId="45" fontId="7" numFmtId="0" xfId="0" applyAlignment="1" applyFont="1">
      <alignment horizontal="center" readingOrder="0"/>
    </xf>
    <xf borderId="0" fillId="14" fontId="25" numFmtId="0" xfId="0" applyAlignment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46" fontId="3" numFmtId="0" xfId="0" applyAlignment="1" applyFont="1">
      <alignment horizontal="center" readingOrder="0"/>
    </xf>
    <xf borderId="0" fillId="46" fontId="13" numFmtId="0" xfId="0" applyAlignment="1" applyFont="1">
      <alignment horizontal="center" vertical="center"/>
    </xf>
    <xf borderId="0" fillId="46" fontId="1" numFmtId="0" xfId="0" applyAlignment="1" applyFont="1">
      <alignment readingOrder="0" vertical="center"/>
    </xf>
    <xf borderId="0" fillId="46" fontId="1" numFmtId="0" xfId="0" applyAlignment="1" applyFont="1">
      <alignment horizontal="center" readingOrder="0"/>
    </xf>
    <xf borderId="0" fillId="46" fontId="1" numFmtId="0" xfId="0" applyAlignment="1" applyFont="1">
      <alignment horizontal="center"/>
    </xf>
    <xf borderId="0" fillId="2" fontId="3" numFmtId="0" xfId="0" applyAlignment="1" applyFont="1">
      <alignment horizontal="center" readingOrder="0" vertical="center"/>
    </xf>
    <xf borderId="0" fillId="44" fontId="1" numFmtId="0" xfId="0" applyAlignment="1" applyFont="1">
      <alignment horizontal="center"/>
    </xf>
    <xf borderId="0" fillId="37" fontId="15" numFmtId="0" xfId="0" applyAlignment="1" applyFont="1">
      <alignment horizontal="center" readingOrder="0"/>
    </xf>
    <xf borderId="0" fillId="25" fontId="9" numFmtId="0" xfId="0" applyAlignment="1" applyFont="1">
      <alignment horizontal="center" vertical="bottom"/>
    </xf>
    <xf borderId="0" fillId="40" fontId="26" numFmtId="0" xfId="0" applyAlignment="1" applyFont="1">
      <alignment horizontal="center" vertical="bottom"/>
    </xf>
    <xf borderId="0" fillId="36" fontId="1" numFmtId="0" xfId="0" applyAlignment="1" applyFont="1">
      <alignment horizontal="center" readingOrder="0"/>
    </xf>
    <xf borderId="0" fillId="36" fontId="3" numFmtId="0" xfId="0" applyAlignment="1" applyFont="1">
      <alignment horizontal="center" readingOrder="0"/>
    </xf>
    <xf borderId="0" fillId="32" fontId="10" numFmtId="0" xfId="0" applyAlignment="1" applyFont="1">
      <alignment horizontal="center" readingOrder="0"/>
    </xf>
    <xf borderId="0" fillId="34" fontId="8" numFmtId="0" xfId="0" applyAlignment="1" applyFont="1">
      <alignment horizontal="center" readingOrder="0"/>
    </xf>
    <xf borderId="0" fillId="29" fontId="3" numFmtId="0" xfId="0" applyAlignment="1" applyFont="1">
      <alignment horizontal="center" readingOrder="0"/>
    </xf>
    <xf borderId="0" fillId="24" fontId="10" numFmtId="0" xfId="0" applyAlignment="1" applyFont="1">
      <alignment horizontal="center" readingOrder="0"/>
    </xf>
    <xf borderId="0" fillId="26" fontId="3" numFmtId="0" xfId="0" applyAlignment="1" applyFont="1">
      <alignment horizontal="center" readingOrder="0"/>
    </xf>
    <xf borderId="0" fillId="15" fontId="8" numFmtId="0" xfId="0" applyAlignment="1" applyFont="1">
      <alignment horizontal="center" readingOrder="0"/>
    </xf>
    <xf borderId="0" fillId="32" fontId="6" numFmtId="0" xfId="0" applyAlignment="1" applyFont="1">
      <alignment horizontal="center" readingOrder="0"/>
    </xf>
    <xf borderId="0" fillId="15" fontId="3" numFmtId="0" xfId="0" applyAlignment="1" applyFont="1">
      <alignment horizontal="center" readingOrder="0"/>
    </xf>
    <xf borderId="0" fillId="14" fontId="10" numFmtId="0" xfId="0" applyAlignment="1" applyFont="1">
      <alignment horizontal="center" readingOrder="0"/>
    </xf>
    <xf borderId="0" fillId="15" fontId="1" numFmtId="0" xfId="0" applyAlignment="1" applyFont="1">
      <alignment readingOrder="0" vertical="center"/>
    </xf>
    <xf borderId="0" fillId="26" fontId="1" numFmtId="0" xfId="0" applyAlignment="1" applyFont="1">
      <alignment horizontal="center" readingOrder="0"/>
    </xf>
    <xf borderId="0" fillId="26" fontId="1" numFmtId="0" xfId="0" applyAlignment="1" applyFont="1">
      <alignment horizontal="center"/>
    </xf>
    <xf borderId="0" fillId="45" fontId="6" numFmtId="0" xfId="0" applyAlignment="1" applyFont="1">
      <alignment horizontal="center" readingOrder="0"/>
    </xf>
    <xf borderId="0" fillId="45" fontId="23" numFmtId="0" xfId="0" applyAlignment="1" applyFont="1">
      <alignment horizontal="center" readingOrder="0"/>
    </xf>
    <xf borderId="0" fillId="45" fontId="10" numFmtId="0" xfId="0" applyAlignment="1" applyFont="1">
      <alignment horizontal="center" readingOrder="0" vertical="center"/>
    </xf>
    <xf borderId="0" fillId="45" fontId="10" numFmtId="0" xfId="0" applyAlignment="1" applyFont="1">
      <alignment horizontal="center" readingOrder="0"/>
    </xf>
    <xf borderId="0" fillId="36" fontId="1" numFmtId="0" xfId="0" applyAlignment="1" applyFont="1">
      <alignment horizontal="center"/>
    </xf>
    <xf borderId="0" fillId="46" fontId="12" numFmtId="0" xfId="0" applyAlignment="1" applyFont="1">
      <alignment horizontal="center" readingOrder="0" vertical="center"/>
    </xf>
    <xf borderId="0" fillId="15" fontId="1" numFmtId="0" xfId="0" applyAlignment="1" applyFont="1">
      <alignment horizontal="center" readingOrder="0"/>
    </xf>
    <xf borderId="0" fillId="44" fontId="3" numFmtId="0" xfId="0" applyAlignment="1" applyFont="1">
      <alignment horizontal="center" readingOrder="0" vertical="center"/>
    </xf>
    <xf borderId="0" fillId="15" fontId="1" numFmtId="0" xfId="0" applyAlignment="1" applyFont="1">
      <alignment horizontal="center"/>
    </xf>
    <xf borderId="0" fillId="39" fontId="1" numFmtId="0" xfId="0" applyAlignment="1" applyFont="1">
      <alignment horizontal="center" readingOrder="0"/>
    </xf>
    <xf borderId="0" fillId="39" fontId="1" numFmtId="0" xfId="0" applyAlignment="1" applyFont="1">
      <alignment horizontal="center"/>
    </xf>
    <xf borderId="0" fillId="14" fontId="14" numFmtId="0" xfId="0" applyAlignment="1" applyFont="1">
      <alignment horizontal="center" readingOrder="0"/>
    </xf>
    <xf borderId="0" fillId="0" fontId="22" numFmtId="0" xfId="0" applyAlignment="1" applyFont="1">
      <alignment readingOrder="0"/>
    </xf>
    <xf borderId="0" fillId="32" fontId="2" numFmtId="0" xfId="0" applyAlignment="1" applyFont="1">
      <alignment horizontal="center" readingOrder="0"/>
    </xf>
    <xf borderId="0" fillId="0" fontId="1" numFmtId="0" xfId="0" applyAlignment="1" applyFont="1">
      <alignment horizontal="center" vertical="center"/>
    </xf>
    <xf borderId="0" fillId="15" fontId="1" numFmtId="0" xfId="0" applyAlignment="1" applyFont="1">
      <alignment horizontal="left" readingOrder="0" vertical="center"/>
    </xf>
    <xf borderId="0" fillId="2" fontId="1" numFmtId="0" xfId="0" applyAlignment="1" applyFont="1">
      <alignment readingOrder="0"/>
    </xf>
    <xf borderId="0" fillId="34" fontId="14" numFmtId="0" xfId="0" applyAlignment="1" applyFont="1">
      <alignment horizontal="center" readingOrder="0"/>
    </xf>
    <xf borderId="0" fillId="14" fontId="8" numFmtId="0" xfId="0" applyAlignment="1" applyFont="1">
      <alignment horizontal="center" readingOrder="0"/>
    </xf>
    <xf borderId="0" fillId="4" fontId="14" numFmtId="0" xfId="0" applyAlignment="1" applyFont="1">
      <alignment horizontal="center" readingOrder="0"/>
    </xf>
    <xf borderId="0" fillId="36" fontId="15" numFmtId="0" xfId="0" applyAlignment="1" applyFont="1">
      <alignment horizontal="center" readingOrder="0"/>
    </xf>
    <xf borderId="0" fillId="14" fontId="1" numFmtId="0" xfId="0" applyAlignment="1" applyFont="1">
      <alignment horizontal="left" readingOrder="0"/>
    </xf>
    <xf borderId="0" fillId="14" fontId="27" numFmtId="0" xfId="0" applyAlignment="1" applyFont="1">
      <alignment horizontal="center" readingOrder="0"/>
    </xf>
    <xf borderId="0" fillId="0" fontId="28" numFmtId="0" xfId="0" applyAlignment="1" applyFont="1">
      <alignment horizontal="left" readingOrder="0" shrinkToFit="0" vertical="bottom" wrapText="0"/>
    </xf>
    <xf borderId="0" fillId="47" fontId="1" numFmtId="0" xfId="0" applyAlignment="1" applyFill="1" applyFont="1">
      <alignment horizontal="center" readingOrder="0"/>
    </xf>
    <xf borderId="0" fillId="47" fontId="3" numFmtId="0" xfId="0" applyAlignment="1" applyFont="1">
      <alignment horizontal="center" readingOrder="0"/>
    </xf>
    <xf borderId="0" fillId="48" fontId="29" numFmtId="0" xfId="0" applyAlignment="1" applyFill="1" applyFont="1">
      <alignment horizontal="center" readingOrder="0"/>
    </xf>
    <xf borderId="0" fillId="49" fontId="8" numFmtId="0" xfId="0" applyAlignment="1" applyFill="1" applyFont="1">
      <alignment horizontal="center" readingOrder="0"/>
    </xf>
    <xf borderId="0" fillId="48" fontId="6" numFmtId="0" xfId="0" applyAlignment="1" applyFont="1">
      <alignment horizontal="center" readingOrder="0"/>
    </xf>
    <xf borderId="0" fillId="48" fontId="10" numFmtId="0" xfId="0" applyAlignment="1" applyFont="1">
      <alignment horizontal="center" readingOrder="0"/>
    </xf>
    <xf borderId="0" fillId="49" fontId="3" numFmtId="0" xfId="0" applyAlignment="1" applyFont="1">
      <alignment horizontal="center" readingOrder="0"/>
    </xf>
    <xf borderId="0" fillId="14" fontId="29" numFmtId="0" xfId="0" applyAlignment="1" applyFont="1">
      <alignment horizontal="center" readingOrder="0"/>
    </xf>
    <xf borderId="0" fillId="5" fontId="1" numFmtId="0" xfId="0" applyAlignment="1" applyFont="1">
      <alignment readingOrder="0" vertical="center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center"/>
    </xf>
    <xf borderId="0" fillId="43" fontId="1" numFmtId="0" xfId="0" applyAlignment="1" applyFont="1">
      <alignment horizontal="center"/>
    </xf>
    <xf borderId="0" fillId="48" fontId="24" numFmtId="0" xfId="0" applyAlignment="1" applyFont="1">
      <alignment horizontal="center" readingOrder="0" vertical="bottom"/>
    </xf>
    <xf borderId="0" fillId="23" fontId="3" numFmtId="0" xfId="0" applyAlignment="1" applyFont="1">
      <alignment horizontal="center" readingOrder="0"/>
    </xf>
    <xf borderId="0" fillId="11" fontId="11" numFmtId="0" xfId="0" applyAlignment="1" applyFont="1">
      <alignment horizontal="center" vertical="bottom"/>
    </xf>
    <xf borderId="0" fillId="41" fontId="30" numFmtId="0" xfId="0" applyAlignment="1" applyFont="1">
      <alignment horizontal="center" readingOrder="0"/>
    </xf>
    <xf borderId="0" fillId="27" fontId="8" numFmtId="0" xfId="0" applyAlignment="1" applyFont="1">
      <alignment horizontal="center" readingOrder="0"/>
    </xf>
    <xf borderId="0" fillId="34" fontId="13" numFmtId="0" xfId="0" applyAlignment="1" applyFont="1">
      <alignment horizontal="center" vertical="center"/>
    </xf>
    <xf borderId="0" fillId="13" fontId="1" numFmtId="0" xfId="0" applyAlignment="1" applyFont="1">
      <alignment horizontal="left" readingOrder="0" vertical="center"/>
    </xf>
    <xf borderId="0" fillId="41" fontId="10" numFmtId="0" xfId="0" applyAlignment="1" applyFont="1">
      <alignment horizontal="center" readingOrder="0"/>
    </xf>
    <xf borderId="0" fillId="14" fontId="30" numFmtId="0" xfId="0" applyAlignment="1" applyFont="1">
      <alignment horizontal="center" readingOrder="0"/>
    </xf>
    <xf borderId="0" fillId="17" fontId="3" numFmtId="0" xfId="0" applyAlignment="1" applyFont="1">
      <alignment horizontal="center" readingOrder="0" vertical="center"/>
    </xf>
    <xf borderId="0" fillId="27" fontId="3" numFmtId="0" xfId="0" applyAlignment="1" applyFont="1">
      <alignment horizontal="center" readingOrder="0"/>
    </xf>
    <xf borderId="0" fillId="27" fontId="12" numFmtId="0" xfId="0" applyAlignment="1" applyFont="1">
      <alignment horizontal="center" readingOrder="0"/>
    </xf>
    <xf borderId="0" fillId="27" fontId="1" numFmtId="0" xfId="0" applyAlignment="1" applyFont="1">
      <alignment readingOrder="0" vertical="center"/>
    </xf>
    <xf borderId="0" fillId="27" fontId="1" numFmtId="0" xfId="0" applyAlignment="1" applyFont="1">
      <alignment horizontal="center" readingOrder="0"/>
    </xf>
    <xf borderId="0" fillId="27" fontId="1" numFmtId="0" xfId="0" applyAlignment="1" applyFont="1">
      <alignment horizontal="center"/>
    </xf>
    <xf borderId="0" fillId="13" fontId="1" numFmtId="0" xfId="0" applyAlignment="1" applyFont="1">
      <alignment horizontal="center" readingOrder="0" vertical="center"/>
    </xf>
    <xf borderId="0" fillId="50" fontId="1" numFmtId="0" xfId="0" applyAlignment="1" applyFill="1" applyFont="1">
      <alignment horizontal="center" readingOrder="0"/>
    </xf>
    <xf borderId="0" fillId="50" fontId="1" numFmtId="0" xfId="0" applyAlignment="1" applyFont="1">
      <alignment horizontal="center"/>
    </xf>
    <xf borderId="0" fillId="30" fontId="14" numFmtId="0" xfId="0" applyAlignment="1" applyFont="1">
      <alignment horizontal="center"/>
    </xf>
    <xf borderId="0" fillId="0" fontId="18" numFmtId="0" xfId="0" applyAlignment="1" applyFont="1">
      <alignment horizontal="center" vertical="bottom"/>
    </xf>
    <xf borderId="0" fillId="36" fontId="9" numFmtId="0" xfId="0" applyAlignment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11" fontId="31" numFmtId="0" xfId="0" applyAlignment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51" fontId="1" numFmtId="0" xfId="0" applyAlignment="1" applyFill="1" applyFont="1">
      <alignment horizontal="center" readingOrder="0"/>
    </xf>
    <xf borderId="0" fillId="51" fontId="3" numFmtId="0" xfId="0" applyAlignment="1" applyFont="1">
      <alignment horizontal="center" readingOrder="0"/>
    </xf>
    <xf borderId="0" fillId="11" fontId="31" numFmtId="0" xfId="0" applyAlignment="1" applyFont="1">
      <alignment horizontal="center" vertical="bottom"/>
    </xf>
    <xf borderId="0" fillId="41" fontId="5" numFmtId="0" xfId="0" applyAlignment="1" applyFont="1">
      <alignment horizontal="center" readingOrder="0"/>
    </xf>
    <xf borderId="0" fillId="0" fontId="9" numFmtId="0" xfId="0" applyAlignment="1" applyFont="1">
      <alignment horizontal="center" vertical="bottom"/>
    </xf>
    <xf borderId="0" fillId="41" fontId="29" numFmtId="0" xfId="0" applyAlignment="1" applyFont="1">
      <alignment horizontal="center" readingOrder="0"/>
    </xf>
    <xf borderId="0" fillId="41" fontId="11" numFmtId="0" xfId="0" applyAlignment="1" applyFont="1">
      <alignment horizontal="center" vertical="center"/>
    </xf>
    <xf borderId="0" fillId="27" fontId="13" numFmtId="0" xfId="0" applyAlignment="1" applyFont="1">
      <alignment horizontal="center" vertical="center"/>
    </xf>
    <xf borderId="0" fillId="50" fontId="3" numFmtId="0" xfId="0" applyAlignment="1" applyFont="1">
      <alignment horizontal="center" readingOrder="0" vertical="center"/>
    </xf>
    <xf borderId="0" fillId="25" fontId="15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38" fontId="5" numFmtId="0" xfId="0" applyAlignment="1" applyFont="1">
      <alignment horizontal="center" readingOrder="0"/>
    </xf>
    <xf borderId="0" fillId="0" fontId="32" numFmtId="0" xfId="0" applyAlignment="1" applyFont="1">
      <alignment readingOrder="0"/>
    </xf>
    <xf borderId="0" fillId="0" fontId="33" numFmtId="0" xfId="0" applyAlignment="1" applyFont="1">
      <alignment readingOrder="0"/>
    </xf>
    <xf borderId="0" fillId="0" fontId="34" numFmtId="0" xfId="0" applyAlignment="1" applyFont="1">
      <alignment readingOrder="0"/>
    </xf>
    <xf borderId="0" fillId="12" fontId="30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0" fillId="39" fontId="3" numFmtId="0" xfId="0" applyAlignment="1" applyFont="1">
      <alignment horizontal="center" readingOrder="0" vertical="center"/>
    </xf>
    <xf borderId="0" fillId="5" fontId="22" numFmtId="0" xfId="0" applyAlignment="1" applyFont="1">
      <alignment horizontal="center" readingOrder="0"/>
    </xf>
    <xf borderId="0" fillId="52" fontId="1" numFmtId="0" xfId="0" applyAlignment="1" applyFill="1" applyFont="1">
      <alignment horizontal="center"/>
    </xf>
    <xf borderId="0" fillId="53" fontId="35" numFmtId="0" xfId="0" applyAlignment="1" applyFill="1" applyFont="1">
      <alignment horizontal="center" readingOrder="0"/>
    </xf>
    <xf borderId="0" fillId="35" fontId="14" numFmtId="0" xfId="0" applyAlignment="1" applyFont="1">
      <alignment horizontal="center" readingOrder="0"/>
    </xf>
    <xf borderId="0" fillId="17" fontId="1" numFmtId="0" xfId="0" applyAlignment="1" applyFont="1">
      <alignment readingOrder="0"/>
    </xf>
    <xf borderId="0" fillId="53" fontId="36" numFmtId="0" xfId="0" applyAlignment="1" applyFont="1">
      <alignment horizontal="center" readingOrder="0"/>
    </xf>
    <xf borderId="0" fillId="5" fontId="37" numFmtId="0" xfId="0" applyAlignment="1" applyFont="1">
      <alignment horizontal="center" readingOrder="0"/>
    </xf>
    <xf borderId="0" fillId="54" fontId="1" numFmtId="0" xfId="0" applyAlignment="1" applyFill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46" fontId="1" numFmtId="0" xfId="0" applyAlignment="1" applyFont="1">
      <alignment horizontal="left" readingOrder="0" vertical="center"/>
    </xf>
    <xf borderId="0" fillId="54" fontId="1" numFmtId="0" xfId="0" applyAlignment="1" applyFont="1">
      <alignment readingOrder="0"/>
    </xf>
    <xf borderId="0" fillId="19" fontId="3" numFmtId="0" xfId="0" applyAlignment="1" applyFont="1">
      <alignment horizontal="center" readingOrder="0"/>
    </xf>
    <xf borderId="0" fillId="55" fontId="3" numFmtId="0" xfId="0" applyAlignment="1" applyFill="1" applyFont="1">
      <alignment horizontal="center" readingOrder="0"/>
    </xf>
    <xf borderId="0" fillId="39" fontId="15" numFmtId="0" xfId="0" applyAlignment="1" applyFont="1">
      <alignment horizontal="center" readingOrder="0"/>
    </xf>
    <xf borderId="0" fillId="32" fontId="38" numFmtId="0" xfId="0" applyAlignment="1" applyFont="1">
      <alignment horizontal="center" readingOrder="0"/>
    </xf>
    <xf borderId="0" fillId="32" fontId="39" numFmtId="0" xfId="0" applyAlignment="1" applyFont="1">
      <alignment horizontal="center" readingOrder="0"/>
    </xf>
    <xf borderId="0" fillId="56" fontId="3" numFmtId="0" xfId="0" applyAlignment="1" applyFill="1" applyFont="1">
      <alignment horizontal="center" readingOrder="0"/>
    </xf>
    <xf borderId="0" fillId="44" fontId="1" numFmtId="0" xfId="0" applyAlignment="1" applyFont="1">
      <alignment readingOrder="0"/>
    </xf>
    <xf borderId="0" fillId="32" fontId="40" numFmtId="0" xfId="0" applyAlignment="1" applyFont="1">
      <alignment horizontal="center" readingOrder="0"/>
    </xf>
    <xf borderId="0" fillId="57" fontId="3" numFmtId="0" xfId="0" applyAlignment="1" applyFill="1" applyFont="1">
      <alignment horizontal="center" readingOrder="0"/>
    </xf>
    <xf borderId="0" fillId="14" fontId="41" numFmtId="0" xfId="0" applyAlignment="1" applyFont="1">
      <alignment readingOrder="0"/>
    </xf>
    <xf borderId="0" fillId="13" fontId="42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left" shrinkToFit="0" vertical="bottom" wrapText="0"/>
    </xf>
    <xf borderId="0" fillId="0" fontId="42" numFmtId="0" xfId="0" applyAlignment="1" applyFont="1">
      <alignment horizontal="center" readingOrder="0" shrinkToFit="0" vertical="bottom" wrapText="0"/>
    </xf>
    <xf borderId="0" fillId="14" fontId="0" numFmtId="0" xfId="0" applyAlignment="1" applyFont="1">
      <alignment horizontal="left" readingOrder="0" shrinkToFit="0" vertical="bottom" wrapText="0"/>
    </xf>
    <xf borderId="0" fillId="14" fontId="0" numFmtId="0" xfId="0" applyAlignment="1" applyFont="1">
      <alignment horizontal="left" readingOrder="0"/>
    </xf>
    <xf borderId="0" fillId="0" fontId="13" numFmtId="0" xfId="0" applyAlignment="1" applyFont="1">
      <alignment readingOrder="0" vertical="bottom"/>
    </xf>
    <xf borderId="0" fillId="14" fontId="43" numFmtId="0" xfId="0" applyAlignment="1" applyFont="1">
      <alignment readingOrder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44" numFmtId="0" xfId="0" applyAlignment="1" applyFont="1">
      <alignment horizontal="center" readingOrder="0"/>
    </xf>
    <xf borderId="0" fillId="0" fontId="32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34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/>
    </xf>
    <xf borderId="0" fillId="0" fontId="32" numFmtId="0" xfId="0" applyAlignment="1" applyFont="1">
      <alignment horizontal="center"/>
    </xf>
    <xf borderId="0" fillId="0" fontId="45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31" fontId="42" numFmtId="0" xfId="0" applyAlignment="1" applyFont="1">
      <alignment horizontal="center" readingOrder="0" shrinkToFit="0" vertical="bottom" wrapText="0"/>
    </xf>
    <xf borderId="0" fillId="14" fontId="32" numFmtId="0" xfId="0" applyAlignment="1" applyFont="1">
      <alignment readingOrder="0"/>
    </xf>
    <xf borderId="0" fillId="0" fontId="46" numFmtId="0" xfId="0" applyAlignment="1" applyFont="1">
      <alignment readingOrder="0"/>
    </xf>
    <xf borderId="0" fillId="42" fontId="3" numFmtId="0" xfId="0" applyAlignment="1" applyFont="1">
      <alignment horizontal="center" readingOrder="0"/>
    </xf>
    <xf borderId="0" fillId="0" fontId="28" numFmtId="0" xfId="0" applyAlignment="1" applyFont="1">
      <alignment readingOrder="0"/>
    </xf>
    <xf borderId="0" fillId="0" fontId="1" numFmtId="165" xfId="0" applyAlignment="1" applyFont="1" applyNumberFormat="1">
      <alignment horizontal="center" readingOrder="0"/>
    </xf>
    <xf borderId="0" fillId="14" fontId="47" numFmtId="0" xfId="0" applyAlignment="1" applyFont="1">
      <alignment horizontal="center" readingOrder="0"/>
    </xf>
    <xf borderId="0" fillId="48" fontId="48" numFmtId="0" xfId="0" applyAlignment="1" applyFont="1">
      <alignment horizontal="center" readingOrder="0"/>
    </xf>
    <xf borderId="0" fillId="3" fontId="49" numFmtId="0" xfId="0" applyAlignment="1" applyFont="1">
      <alignment horizontal="center" readingOrder="0"/>
    </xf>
    <xf borderId="0" fillId="5" fontId="14" numFmtId="0" xfId="0" applyAlignment="1" applyFont="1">
      <alignment horizontal="center" readingOrder="0"/>
    </xf>
    <xf borderId="0" fillId="5" fontId="1" numFmtId="0" xfId="0" applyAlignment="1" applyFont="1">
      <alignment horizontal="center" readingOrder="0" vertical="center"/>
    </xf>
    <xf borderId="0" fillId="3" fontId="10" numFmtId="0" xfId="0" applyAlignment="1" applyFont="1">
      <alignment readingOrder="0"/>
    </xf>
    <xf borderId="0" fillId="3" fontId="10" numFmtId="0" xfId="0" applyFont="1"/>
    <xf borderId="0" fillId="3" fontId="36" numFmtId="0" xfId="0" applyAlignment="1" applyFont="1">
      <alignment horizontal="center" readingOrder="0"/>
    </xf>
    <xf borderId="0" fillId="0" fontId="1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46" Type="http://schemas.openxmlformats.org/officeDocument/2006/relationships/worksheet" Target="worksheets/sheet42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2" t="s">
        <v>1</v>
      </c>
      <c r="D1" s="2" t="s">
        <v>5</v>
      </c>
    </row>
    <row r="2">
      <c r="A2" s="5" t="s">
        <v>7</v>
      </c>
      <c r="B2" s="5" t="s">
        <v>8</v>
      </c>
      <c r="D2" s="7" t="s">
        <v>9</v>
      </c>
      <c r="E2" s="7" t="s">
        <v>11</v>
      </c>
      <c r="F2" s="7" t="s">
        <v>12</v>
      </c>
      <c r="G2" s="7" t="s">
        <v>14</v>
      </c>
      <c r="H2" s="7" t="s">
        <v>15</v>
      </c>
      <c r="I2" s="7" t="s">
        <v>16</v>
      </c>
      <c r="J2" s="7" t="s">
        <v>18</v>
      </c>
      <c r="K2" s="7" t="s">
        <v>20</v>
      </c>
      <c r="L2" s="7" t="s">
        <v>21</v>
      </c>
      <c r="M2" s="7" t="s">
        <v>23</v>
      </c>
      <c r="N2" s="7" t="s">
        <v>25</v>
      </c>
      <c r="O2" s="7" t="s">
        <v>27</v>
      </c>
      <c r="P2" s="7" t="s">
        <v>29</v>
      </c>
      <c r="Q2" s="7" t="s">
        <v>30</v>
      </c>
      <c r="R2" s="7" t="s">
        <v>31</v>
      </c>
      <c r="S2" s="7" t="s">
        <v>33</v>
      </c>
    </row>
    <row r="3">
      <c r="A3" s="14" t="s">
        <v>23</v>
      </c>
      <c r="B3" s="19">
        <f>Scotland!A4</f>
        <v>8926840</v>
      </c>
      <c r="D3" s="28" t="str">
        <f t="array" ref="D3:D15">Australia!B7:B19</f>
        <v>Level 3 Stadiums</v>
      </c>
      <c r="E3" s="28" t="str">
        <f t="array" ref="E3:E15">Bangladesh!B7:B19</f>
        <v>Level 3 Stadiums</v>
      </c>
      <c r="F3" s="28" t="str">
        <f t="array" ref="F3:F21">England!B8:B26</f>
        <v>Level 3 Stadiums</v>
      </c>
      <c r="G3" s="28" t="str">
        <f t="array" ref="G3:G12">India!B7:B16</f>
        <v>Level 3 Stadiums</v>
      </c>
      <c r="H3" s="28" t="str">
        <f t="array" ref="H3:H11">Italy!B7:B15</f>
        <v>Level 3 Stadiums</v>
      </c>
      <c r="I3" s="28" t="str">
        <f t="array" ref="I3:I13">Netherlands!B7:B17</f>
        <v>Level 3 Stadiums</v>
      </c>
      <c r="J3" s="28" t="str">
        <f t="array" ref="J3:J14">Newzealand!B7:B18</f>
        <v>Level 3 Stadiums</v>
      </c>
      <c r="K3" s="28" t="str">
        <f t="array" ref="K3:K15">Pakistan!B7:B19</f>
        <v>Level 3 Stadiums</v>
      </c>
      <c r="L3" s="28" t="str">
        <f t="array" ref="L3:L14">Qatar!B7:B18</f>
        <v>Level 3 Stadiums</v>
      </c>
      <c r="M3" s="28" t="str">
        <f t="array" ref="M3:M14">Scotland!C7:C18</f>
        <v>Level 3 Stadiums</v>
      </c>
      <c r="N3" s="28" t="str">
        <f t="array" ref="N3:N14">SA!B7:B18</f>
        <v>Level 3 Stadiums</v>
      </c>
      <c r="O3" s="28" t="str">
        <f t="array" ref="O3:O14">Srilanka!B7:B18</f>
        <v>Level 3 Stadiums</v>
      </c>
      <c r="P3" s="28" t="str">
        <f t="array" ref="P3:P14">UAE!B7:B18</f>
        <v>Level 3 Stadiums</v>
      </c>
      <c r="Q3" s="28" t="str">
        <f t="array" ref="Q3:Q15">WestIndies!B7:B19</f>
        <v>Level 3 Stadiums</v>
      </c>
      <c r="R3" s="67" t="str">
        <f t="array" ref="R3:R15">Zimbabwe!C7:C19</f>
        <v>Level 3 Stadiums</v>
      </c>
      <c r="S3" s="67" t="str">
        <f t="array" ref="S3:S15">Canada!B7:B19</f>
        <v>Level 3 Stadiums</v>
      </c>
    </row>
    <row r="4">
      <c r="A4" s="14" t="s">
        <v>9</v>
      </c>
      <c r="B4" s="19">
        <f>Australia!A4</f>
        <v>3188735</v>
      </c>
      <c r="D4" s="19" t="s">
        <v>101</v>
      </c>
      <c r="E4" s="19" t="s">
        <v>92</v>
      </c>
      <c r="F4" s="19" t="s">
        <v>292</v>
      </c>
      <c r="G4" s="19" t="s">
        <v>339</v>
      </c>
      <c r="H4" s="19" t="s">
        <v>342</v>
      </c>
      <c r="I4" s="19" t="s">
        <v>344</v>
      </c>
      <c r="J4" s="19" t="s">
        <v>345</v>
      </c>
      <c r="K4" s="19" t="s">
        <v>348</v>
      </c>
      <c r="L4" s="19" t="s">
        <v>354</v>
      </c>
      <c r="M4" s="19" t="s">
        <v>357</v>
      </c>
      <c r="N4" s="19" t="s">
        <v>360</v>
      </c>
      <c r="O4" s="19" t="s">
        <v>362</v>
      </c>
      <c r="P4" s="19" t="s">
        <v>364</v>
      </c>
      <c r="Q4" s="19" t="s">
        <v>366</v>
      </c>
      <c r="R4" s="19" t="s">
        <v>370</v>
      </c>
      <c r="S4" s="19" t="s">
        <v>38</v>
      </c>
    </row>
    <row r="5">
      <c r="A5" s="14" t="s">
        <v>18</v>
      </c>
      <c r="B5" s="19">
        <f>Newzealand!A4</f>
        <v>2544385</v>
      </c>
      <c r="D5" s="19" t="s">
        <v>120</v>
      </c>
      <c r="E5" s="19" t="s">
        <v>112</v>
      </c>
      <c r="F5" s="19" t="s">
        <v>326</v>
      </c>
      <c r="G5" s="19" t="s">
        <v>378</v>
      </c>
      <c r="H5" s="28" t="s">
        <v>40</v>
      </c>
      <c r="I5" s="19" t="s">
        <v>380</v>
      </c>
      <c r="J5" s="19" t="s">
        <v>382</v>
      </c>
      <c r="K5" s="19" t="s">
        <v>387</v>
      </c>
      <c r="L5" s="19" t="s">
        <v>389</v>
      </c>
      <c r="M5" s="73" t="s">
        <v>390</v>
      </c>
      <c r="N5" s="19" t="s">
        <v>392</v>
      </c>
      <c r="O5" s="19" t="s">
        <v>395</v>
      </c>
      <c r="P5" s="28" t="s">
        <v>40</v>
      </c>
      <c r="Q5" s="19" t="s">
        <v>399</v>
      </c>
      <c r="R5" s="67" t="s">
        <v>40</v>
      </c>
      <c r="S5" s="67" t="s">
        <v>40</v>
      </c>
    </row>
    <row r="6">
      <c r="A6" s="14" t="s">
        <v>11</v>
      </c>
      <c r="B6" s="19">
        <f>Bangladesh!A4</f>
        <v>1809870</v>
      </c>
      <c r="D6" s="19" t="s">
        <v>141</v>
      </c>
      <c r="E6" s="19" t="s">
        <v>129</v>
      </c>
      <c r="F6" s="19" t="s">
        <v>350</v>
      </c>
      <c r="G6" s="73" t="s">
        <v>425</v>
      </c>
      <c r="H6" s="19" t="s">
        <v>42</v>
      </c>
      <c r="I6" s="28" t="s">
        <v>40</v>
      </c>
      <c r="J6" s="19" t="s">
        <v>426</v>
      </c>
      <c r="K6" s="19" t="s">
        <v>428</v>
      </c>
      <c r="L6" s="28" t="s">
        <v>40</v>
      </c>
      <c r="M6" s="19" t="s">
        <v>431</v>
      </c>
      <c r="N6" s="28" t="s">
        <v>40</v>
      </c>
      <c r="O6" s="28" t="s">
        <v>40</v>
      </c>
      <c r="P6" s="19" t="s">
        <v>42</v>
      </c>
      <c r="Q6" s="73" t="s">
        <v>437</v>
      </c>
      <c r="R6" s="19" t="s">
        <v>42</v>
      </c>
      <c r="S6" s="19" t="s">
        <v>42</v>
      </c>
    </row>
    <row r="7">
      <c r="A7" s="14" t="s">
        <v>14</v>
      </c>
      <c r="B7" s="19">
        <f>India!A4</f>
        <v>2661410</v>
      </c>
      <c r="D7" s="19" t="s">
        <v>163</v>
      </c>
      <c r="E7" s="19" t="s">
        <v>152</v>
      </c>
      <c r="F7" s="19" t="s">
        <v>393</v>
      </c>
      <c r="G7" s="67" t="s">
        <v>40</v>
      </c>
      <c r="H7" s="28" t="s">
        <v>44</v>
      </c>
      <c r="I7" s="19" t="s">
        <v>42</v>
      </c>
      <c r="J7" s="19" t="s">
        <v>456</v>
      </c>
      <c r="K7" s="19" t="s">
        <v>458</v>
      </c>
      <c r="L7" s="19" t="s">
        <v>42</v>
      </c>
      <c r="M7" s="28" t="s">
        <v>40</v>
      </c>
      <c r="N7" s="19" t="s">
        <v>42</v>
      </c>
      <c r="O7" s="19" t="s">
        <v>42</v>
      </c>
      <c r="P7" s="28" t="s">
        <v>44</v>
      </c>
      <c r="Q7" s="19" t="s">
        <v>461</v>
      </c>
      <c r="R7" s="67" t="s">
        <v>44</v>
      </c>
      <c r="S7" s="67" t="s">
        <v>44</v>
      </c>
    </row>
    <row r="8">
      <c r="A8" s="14" t="s">
        <v>20</v>
      </c>
      <c r="B8" s="19">
        <f>Pakistan!A4</f>
        <v>1979550</v>
      </c>
      <c r="D8" s="19" t="s">
        <v>185</v>
      </c>
      <c r="E8" s="19" t="s">
        <v>172</v>
      </c>
      <c r="F8" s="19" t="s">
        <v>412</v>
      </c>
      <c r="G8" s="73" t="s">
        <v>42</v>
      </c>
      <c r="H8" s="19" t="s">
        <v>42</v>
      </c>
      <c r="I8" s="28" t="s">
        <v>44</v>
      </c>
      <c r="J8" s="28" t="s">
        <v>40</v>
      </c>
      <c r="K8" s="73" t="s">
        <v>481</v>
      </c>
      <c r="L8" s="28" t="s">
        <v>44</v>
      </c>
      <c r="M8" s="19" t="s">
        <v>42</v>
      </c>
      <c r="N8" s="28" t="s">
        <v>44</v>
      </c>
      <c r="O8" s="28" t="s">
        <v>44</v>
      </c>
      <c r="P8" s="19" t="s">
        <v>42</v>
      </c>
      <c r="Q8" s="73" t="s">
        <v>484</v>
      </c>
      <c r="R8" s="19" t="s">
        <v>42</v>
      </c>
      <c r="S8" s="19" t="s">
        <v>42</v>
      </c>
    </row>
    <row r="9">
      <c r="A9" s="14" t="s">
        <v>12</v>
      </c>
      <c r="B9" s="19">
        <f>England!A5</f>
        <v>2147285</v>
      </c>
      <c r="D9" s="19" t="s">
        <v>203</v>
      </c>
      <c r="E9" s="73" t="s">
        <v>184</v>
      </c>
      <c r="F9" s="19" t="s">
        <v>440</v>
      </c>
      <c r="G9" s="67" t="s">
        <v>44</v>
      </c>
      <c r="H9" s="19"/>
      <c r="I9" s="19" t="s">
        <v>42</v>
      </c>
      <c r="J9" s="19" t="s">
        <v>500</v>
      </c>
      <c r="K9" s="19" t="s">
        <v>502</v>
      </c>
      <c r="L9" s="19" t="s">
        <v>42</v>
      </c>
      <c r="M9" s="67" t="s">
        <v>44</v>
      </c>
      <c r="N9" s="19" t="s">
        <v>42</v>
      </c>
      <c r="O9" s="19" t="s">
        <v>42</v>
      </c>
      <c r="P9" s="19"/>
      <c r="Q9" s="19" t="s">
        <v>506</v>
      </c>
      <c r="R9" s="19"/>
      <c r="S9" s="19"/>
    </row>
    <row r="10">
      <c r="A10" s="14" t="s">
        <v>27</v>
      </c>
      <c r="B10" s="19">
        <f>Srilanka!A4</f>
        <v>602300</v>
      </c>
      <c r="D10" s="19" t="s">
        <v>221</v>
      </c>
      <c r="E10" s="73" t="s">
        <v>214</v>
      </c>
      <c r="F10" s="73" t="s">
        <v>463</v>
      </c>
      <c r="G10" s="19" t="s">
        <v>509</v>
      </c>
      <c r="H10" s="19"/>
      <c r="I10" s="19"/>
      <c r="J10" s="28" t="s">
        <v>44</v>
      </c>
      <c r="K10" s="73" t="s">
        <v>510</v>
      </c>
      <c r="L10" s="19"/>
      <c r="M10" s="19" t="s">
        <v>42</v>
      </c>
      <c r="N10" s="19"/>
      <c r="O10" s="19"/>
      <c r="P10" s="19"/>
      <c r="Q10" s="19" t="s">
        <v>512</v>
      </c>
      <c r="R10" s="19"/>
      <c r="S10" s="19"/>
    </row>
    <row r="11">
      <c r="A11" s="14" t="s">
        <v>21</v>
      </c>
      <c r="B11" s="19">
        <f>Qatar!A4</f>
        <v>1356735</v>
      </c>
      <c r="D11" s="19" t="s">
        <v>252</v>
      </c>
      <c r="E11" s="67" t="s">
        <v>235</v>
      </c>
      <c r="F11" s="19" t="s">
        <v>489</v>
      </c>
      <c r="G11" s="19" t="s">
        <v>521</v>
      </c>
      <c r="H11" s="19"/>
      <c r="I11" s="19"/>
      <c r="J11" s="19" t="s">
        <v>523</v>
      </c>
      <c r="K11" s="19" t="s">
        <v>525</v>
      </c>
      <c r="L11" s="19"/>
      <c r="M11" s="19"/>
      <c r="N11" s="19"/>
      <c r="O11" s="19"/>
      <c r="P11" s="19"/>
      <c r="Q11" s="19" t="s">
        <v>528</v>
      </c>
      <c r="R11" s="19"/>
      <c r="S11" s="19"/>
    </row>
    <row r="12">
      <c r="A12" s="14" t="s">
        <v>30</v>
      </c>
      <c r="B12" s="19">
        <f>WestIndies!A4</f>
        <v>3089250</v>
      </c>
      <c r="D12" s="67" t="s">
        <v>40</v>
      </c>
      <c r="E12" s="73" t="s">
        <v>40</v>
      </c>
      <c r="F12" s="67" t="s">
        <v>40</v>
      </c>
      <c r="G12" s="19" t="s">
        <v>538</v>
      </c>
      <c r="H12" s="19"/>
      <c r="I12" s="19"/>
      <c r="J12" s="19" t="s">
        <v>539</v>
      </c>
      <c r="K12" s="67" t="s">
        <v>40</v>
      </c>
      <c r="L12" s="19"/>
      <c r="M12" s="19"/>
      <c r="N12" s="19"/>
      <c r="O12" s="19"/>
      <c r="P12" s="19"/>
      <c r="Q12" s="67" t="s">
        <v>40</v>
      </c>
      <c r="R12" s="79"/>
      <c r="S12" s="79"/>
    </row>
    <row r="13">
      <c r="A13" s="14" t="s">
        <v>15</v>
      </c>
      <c r="B13" s="19">
        <f>Italy!A4</f>
        <v>835500</v>
      </c>
      <c r="D13" s="19" t="s">
        <v>42</v>
      </c>
      <c r="E13" s="67" t="s">
        <v>42</v>
      </c>
      <c r="F13" s="19" t="s">
        <v>532</v>
      </c>
      <c r="G13" s="19"/>
      <c r="H13" s="19"/>
      <c r="I13" s="19"/>
      <c r="J13" s="19" t="s">
        <v>546</v>
      </c>
      <c r="K13" s="19" t="s">
        <v>42</v>
      </c>
      <c r="L13" s="19"/>
      <c r="M13" s="19"/>
      <c r="N13" s="19"/>
      <c r="O13" s="19"/>
      <c r="P13" s="19"/>
      <c r="Q13" s="19" t="s">
        <v>42</v>
      </c>
      <c r="R13" s="79"/>
      <c r="S13" s="79"/>
    </row>
    <row r="14">
      <c r="A14" s="14" t="s">
        <v>16</v>
      </c>
      <c r="B14" s="19">
        <f>Netherlands!A4</f>
        <v>423490</v>
      </c>
      <c r="D14" s="67" t="s">
        <v>44</v>
      </c>
      <c r="E14" s="19" t="s">
        <v>44</v>
      </c>
      <c r="F14" s="19" t="s">
        <v>550</v>
      </c>
      <c r="G14" s="19"/>
      <c r="H14" s="19"/>
      <c r="I14" s="19"/>
      <c r="J14" s="19"/>
      <c r="K14" s="67" t="s">
        <v>44</v>
      </c>
      <c r="L14" s="19"/>
      <c r="M14" s="19"/>
      <c r="N14" s="19"/>
      <c r="O14" s="19"/>
      <c r="P14" s="19"/>
      <c r="Q14" s="67" t="s">
        <v>44</v>
      </c>
      <c r="R14" s="79"/>
      <c r="S14" s="79"/>
    </row>
    <row r="15">
      <c r="A15" s="14" t="s">
        <v>25</v>
      </c>
      <c r="B15" s="19">
        <f>SA!A4</f>
        <v>928050</v>
      </c>
      <c r="D15" s="19" t="s">
        <v>42</v>
      </c>
      <c r="E15" s="19" t="s">
        <v>42</v>
      </c>
      <c r="F15" s="81" t="s">
        <v>44</v>
      </c>
      <c r="G15" s="19"/>
      <c r="H15" s="19"/>
      <c r="I15" s="19"/>
      <c r="J15" s="19"/>
      <c r="K15" s="19" t="s">
        <v>42</v>
      </c>
      <c r="L15" s="19"/>
      <c r="M15" s="19"/>
      <c r="N15" s="19"/>
      <c r="O15" s="19"/>
      <c r="P15" s="19"/>
      <c r="Q15" s="19" t="s">
        <v>42</v>
      </c>
      <c r="R15" s="79"/>
      <c r="S15" s="79"/>
    </row>
    <row r="16">
      <c r="A16" s="14" t="s">
        <v>29</v>
      </c>
      <c r="B16" s="19">
        <f>UAE!A4</f>
        <v>74500</v>
      </c>
      <c r="D16" s="19"/>
      <c r="E16" s="19"/>
      <c r="F16" s="19" t="s">
        <v>42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</row>
    <row r="17">
      <c r="A17" s="14" t="s">
        <v>33</v>
      </c>
      <c r="B17" s="19">
        <f>Zimbabwe!A4</f>
        <v>75000</v>
      </c>
      <c r="F17" s="79"/>
      <c r="K17" s="19"/>
      <c r="L17" s="19"/>
      <c r="M17" s="19"/>
      <c r="N17" s="19"/>
      <c r="O17" s="19"/>
      <c r="P17" s="19"/>
      <c r="Q17" s="19"/>
    </row>
    <row r="18">
      <c r="A18" s="14" t="s">
        <v>31</v>
      </c>
      <c r="B18" s="19">
        <f>Canada!A4</f>
        <v>75000</v>
      </c>
      <c r="F18" s="79"/>
      <c r="K18" s="19"/>
      <c r="L18" s="19"/>
      <c r="M18" s="19"/>
      <c r="N18" s="19"/>
      <c r="O18" s="19"/>
      <c r="P18" s="19"/>
      <c r="Q18" s="19"/>
    </row>
    <row r="19">
      <c r="A19" s="14" t="s">
        <v>566</v>
      </c>
      <c r="B19" s="19">
        <f>Ireland!A4</f>
        <v>100000</v>
      </c>
      <c r="F19" s="79"/>
      <c r="K19" s="19"/>
      <c r="L19" s="19"/>
      <c r="M19" s="19"/>
      <c r="N19" s="19"/>
      <c r="O19" s="19"/>
      <c r="P19" s="19"/>
      <c r="Q19" s="19"/>
    </row>
    <row r="20">
      <c r="A20" s="14" t="s">
        <v>574</v>
      </c>
      <c r="B20" s="19">
        <f>Uganda!A4</f>
        <v>70000</v>
      </c>
      <c r="D20" s="12">
        <v>4.0</v>
      </c>
      <c r="F20" s="79"/>
      <c r="K20" s="19"/>
      <c r="L20" s="19"/>
      <c r="M20" s="19"/>
      <c r="N20" s="19"/>
      <c r="O20" s="19"/>
      <c r="P20" s="19"/>
      <c r="Q20" s="19"/>
    </row>
    <row r="21">
      <c r="A21" s="14" t="s">
        <v>581</v>
      </c>
      <c r="B21" s="19">
        <f>USA!A4</f>
        <v>78000</v>
      </c>
      <c r="F21" s="79"/>
      <c r="K21" s="19"/>
      <c r="L21" s="19"/>
      <c r="M21" s="19"/>
      <c r="N21" s="19"/>
      <c r="O21" s="19"/>
      <c r="P21" s="19"/>
      <c r="Q21" s="19"/>
    </row>
    <row r="22">
      <c r="A22" s="19"/>
      <c r="B22" s="19"/>
      <c r="D22" s="19"/>
      <c r="E22" s="19"/>
      <c r="F22" s="19"/>
      <c r="G22" s="19"/>
      <c r="H22" s="19"/>
      <c r="I22" s="19"/>
      <c r="J22" s="19"/>
      <c r="L22" s="19"/>
      <c r="M22" s="19"/>
      <c r="N22" s="19"/>
      <c r="O22" s="19"/>
      <c r="P22" s="19"/>
      <c r="Q22" s="19"/>
    </row>
    <row r="23">
      <c r="A23" s="89" t="s">
        <v>603</v>
      </c>
      <c r="E23" s="90"/>
      <c r="F23" s="89" t="s">
        <v>608</v>
      </c>
      <c r="L23" s="19"/>
      <c r="M23" s="19"/>
      <c r="N23" s="19"/>
      <c r="O23" s="19"/>
      <c r="P23" s="19"/>
      <c r="Q23" s="19"/>
    </row>
    <row r="24">
      <c r="A24" s="92" t="s">
        <v>617</v>
      </c>
      <c r="B24" s="92" t="s">
        <v>619</v>
      </c>
      <c r="C24" s="92" t="s">
        <v>285</v>
      </c>
      <c r="D24" s="92" t="s">
        <v>623</v>
      </c>
      <c r="F24" s="92" t="s">
        <v>625</v>
      </c>
      <c r="G24" s="93" t="s">
        <v>627</v>
      </c>
      <c r="H24" s="93" t="s">
        <v>629</v>
      </c>
      <c r="I24" s="93" t="s">
        <v>631</v>
      </c>
      <c r="J24" s="93" t="s">
        <v>633</v>
      </c>
      <c r="L24" s="19"/>
      <c r="M24" s="19"/>
      <c r="N24" s="19"/>
      <c r="O24" s="19"/>
      <c r="P24" s="19"/>
      <c r="Q24" s="19"/>
    </row>
    <row r="25">
      <c r="A25" s="94" t="s">
        <v>641</v>
      </c>
      <c r="B25" s="41" t="s">
        <v>643</v>
      </c>
      <c r="C25" s="41" t="s">
        <v>644</v>
      </c>
      <c r="D25" s="41" t="s">
        <v>12</v>
      </c>
      <c r="F25" s="94" t="s">
        <v>647</v>
      </c>
      <c r="G25" s="42" t="s">
        <v>649</v>
      </c>
      <c r="H25" s="42" t="s">
        <v>650</v>
      </c>
      <c r="I25" s="42" t="s">
        <v>577</v>
      </c>
      <c r="J25" s="42" t="s">
        <v>12</v>
      </c>
      <c r="L25" s="19"/>
      <c r="M25" s="19"/>
      <c r="N25" s="19"/>
      <c r="O25" s="19"/>
      <c r="P25" s="19"/>
      <c r="Q25" s="19"/>
    </row>
    <row r="26">
      <c r="B26" s="41" t="s">
        <v>655</v>
      </c>
      <c r="C26" s="41" t="s">
        <v>657</v>
      </c>
      <c r="D26" s="41" t="s">
        <v>9</v>
      </c>
      <c r="G26" s="42" t="s">
        <v>661</v>
      </c>
      <c r="H26" s="42" t="s">
        <v>663</v>
      </c>
      <c r="I26" s="42" t="s">
        <v>577</v>
      </c>
      <c r="J26" s="42" t="s">
        <v>664</v>
      </c>
      <c r="L26" s="19"/>
      <c r="M26" s="19"/>
      <c r="N26" s="19"/>
      <c r="O26" s="19"/>
      <c r="P26" s="19"/>
      <c r="Q26" s="19"/>
    </row>
    <row r="27">
      <c r="B27" s="41" t="s">
        <v>669</v>
      </c>
      <c r="C27" s="41" t="s">
        <v>673</v>
      </c>
      <c r="D27" s="41" t="s">
        <v>27</v>
      </c>
      <c r="G27" s="42" t="s">
        <v>677</v>
      </c>
      <c r="H27" s="42" t="s">
        <v>679</v>
      </c>
      <c r="I27" s="42" t="s">
        <v>579</v>
      </c>
      <c r="J27" s="42" t="s">
        <v>18</v>
      </c>
      <c r="L27" s="19"/>
      <c r="M27" s="19"/>
      <c r="N27" s="19"/>
      <c r="O27" s="19"/>
      <c r="P27" s="19"/>
      <c r="Q27" s="19"/>
    </row>
    <row r="28">
      <c r="B28" s="41" t="s">
        <v>691</v>
      </c>
      <c r="C28" s="41" t="s">
        <v>693</v>
      </c>
      <c r="D28" s="41" t="s">
        <v>20</v>
      </c>
      <c r="G28" s="42" t="s">
        <v>696</v>
      </c>
      <c r="H28" s="42" t="s">
        <v>697</v>
      </c>
      <c r="I28" s="42" t="s">
        <v>580</v>
      </c>
      <c r="J28" s="42" t="s">
        <v>12</v>
      </c>
    </row>
    <row r="29">
      <c r="B29" s="41" t="s">
        <v>701</v>
      </c>
      <c r="C29" s="41" t="s">
        <v>703</v>
      </c>
      <c r="D29" s="41" t="s">
        <v>12</v>
      </c>
      <c r="G29" s="42" t="s">
        <v>705</v>
      </c>
      <c r="H29" s="42" t="s">
        <v>708</v>
      </c>
      <c r="I29" s="42" t="s">
        <v>580</v>
      </c>
      <c r="J29" s="42" t="s">
        <v>16</v>
      </c>
    </row>
    <row r="30">
      <c r="B30" s="41" t="s">
        <v>714</v>
      </c>
      <c r="C30" s="41" t="s">
        <v>716</v>
      </c>
      <c r="D30" s="41" t="s">
        <v>12</v>
      </c>
      <c r="G30" s="42" t="s">
        <v>720</v>
      </c>
      <c r="H30" s="42" t="s">
        <v>722</v>
      </c>
      <c r="I30" s="42" t="s">
        <v>578</v>
      </c>
      <c r="J30" s="42" t="s">
        <v>14</v>
      </c>
    </row>
    <row r="31">
      <c r="B31" s="41" t="s">
        <v>724</v>
      </c>
      <c r="C31" s="41" t="s">
        <v>703</v>
      </c>
      <c r="D31" s="41" t="s">
        <v>12</v>
      </c>
      <c r="G31" s="35" t="s">
        <v>726</v>
      </c>
      <c r="H31" s="35" t="s">
        <v>580</v>
      </c>
    </row>
    <row r="32">
      <c r="B32" s="41" t="s">
        <v>677</v>
      </c>
      <c r="C32" s="41" t="s">
        <v>730</v>
      </c>
      <c r="D32" s="41" t="s">
        <v>23</v>
      </c>
      <c r="G32" s="35" t="s">
        <v>446</v>
      </c>
      <c r="H32" s="35" t="s">
        <v>579</v>
      </c>
    </row>
    <row r="33">
      <c r="B33" s="41" t="s">
        <v>737</v>
      </c>
      <c r="C33" s="41" t="s">
        <v>739</v>
      </c>
      <c r="D33" s="41" t="s">
        <v>23</v>
      </c>
      <c r="F33" s="98" t="s">
        <v>741</v>
      </c>
      <c r="G33" s="10" t="s">
        <v>649</v>
      </c>
      <c r="H33" s="10" t="s">
        <v>742</v>
      </c>
      <c r="I33" s="10" t="s">
        <v>743</v>
      </c>
      <c r="J33" s="10" t="s">
        <v>20</v>
      </c>
    </row>
    <row r="34">
      <c r="B34" s="41" t="s">
        <v>747</v>
      </c>
      <c r="C34" s="41" t="s">
        <v>750</v>
      </c>
      <c r="D34" s="41" t="s">
        <v>9</v>
      </c>
      <c r="G34" s="10" t="s">
        <v>677</v>
      </c>
      <c r="H34" s="10" t="s">
        <v>753</v>
      </c>
      <c r="I34" s="10" t="s">
        <v>743</v>
      </c>
      <c r="J34" s="10" t="s">
        <v>20</v>
      </c>
    </row>
    <row r="35">
      <c r="B35" s="41" t="s">
        <v>756</v>
      </c>
      <c r="C35" s="41" t="s">
        <v>759</v>
      </c>
      <c r="D35" s="41" t="s">
        <v>20</v>
      </c>
      <c r="G35" s="10" t="s">
        <v>763</v>
      </c>
      <c r="H35" s="10" t="s">
        <v>766</v>
      </c>
      <c r="I35" s="10" t="s">
        <v>743</v>
      </c>
      <c r="J35" s="10" t="s">
        <v>664</v>
      </c>
    </row>
    <row r="36">
      <c r="B36" s="41" t="s">
        <v>774</v>
      </c>
      <c r="C36" s="41" t="s">
        <v>479</v>
      </c>
      <c r="D36" s="41" t="s">
        <v>9</v>
      </c>
      <c r="G36" s="10" t="s">
        <v>705</v>
      </c>
      <c r="H36" s="10" t="s">
        <v>778</v>
      </c>
      <c r="I36" s="10" t="s">
        <v>779</v>
      </c>
      <c r="J36" s="10" t="s">
        <v>30</v>
      </c>
    </row>
    <row r="37">
      <c r="B37" s="41" t="s">
        <v>781</v>
      </c>
      <c r="C37" s="41" t="s">
        <v>784</v>
      </c>
      <c r="D37" s="41" t="s">
        <v>30</v>
      </c>
      <c r="G37" s="10" t="s">
        <v>720</v>
      </c>
      <c r="H37" s="10" t="s">
        <v>766</v>
      </c>
      <c r="I37" s="10" t="s">
        <v>743</v>
      </c>
      <c r="J37" s="10" t="s">
        <v>664</v>
      </c>
    </row>
    <row r="38">
      <c r="B38" s="41" t="s">
        <v>763</v>
      </c>
      <c r="C38" s="41" t="s">
        <v>794</v>
      </c>
      <c r="D38" s="41" t="s">
        <v>23</v>
      </c>
      <c r="G38" s="10" t="s">
        <v>798</v>
      </c>
      <c r="H38" s="10" t="s">
        <v>779</v>
      </c>
    </row>
    <row r="39">
      <c r="B39" s="41" t="s">
        <v>705</v>
      </c>
      <c r="C39" s="41" t="s">
        <v>703</v>
      </c>
      <c r="D39" s="41" t="s">
        <v>12</v>
      </c>
      <c r="G39" s="6" t="s">
        <v>809</v>
      </c>
      <c r="H39" s="6" t="s">
        <v>811</v>
      </c>
    </row>
    <row r="40">
      <c r="B40" s="41" t="s">
        <v>812</v>
      </c>
      <c r="C40" s="41" t="s">
        <v>794</v>
      </c>
      <c r="D40" s="41" t="s">
        <v>23</v>
      </c>
      <c r="G40" s="6" t="s">
        <v>446</v>
      </c>
      <c r="H40" s="6" t="s">
        <v>743</v>
      </c>
    </row>
    <row r="41">
      <c r="B41" s="98" t="s">
        <v>726</v>
      </c>
      <c r="D41" s="98" t="s">
        <v>12</v>
      </c>
      <c r="F41" s="100" t="s">
        <v>819</v>
      </c>
      <c r="G41" s="42" t="s">
        <v>822</v>
      </c>
      <c r="H41" s="42" t="s">
        <v>823</v>
      </c>
      <c r="I41" s="42" t="s">
        <v>678</v>
      </c>
      <c r="J41" s="42" t="s">
        <v>9</v>
      </c>
    </row>
    <row r="42">
      <c r="B42" s="98" t="s">
        <v>446</v>
      </c>
      <c r="D42" s="98" t="s">
        <v>23</v>
      </c>
      <c r="G42" s="42" t="s">
        <v>677</v>
      </c>
      <c r="H42" s="42" t="s">
        <v>827</v>
      </c>
      <c r="I42" s="42" t="s">
        <v>678</v>
      </c>
      <c r="J42" s="42" t="s">
        <v>829</v>
      </c>
    </row>
    <row r="43">
      <c r="A43" s="102" t="s">
        <v>830</v>
      </c>
      <c r="B43" s="10" t="s">
        <v>781</v>
      </c>
      <c r="C43" s="10" t="s">
        <v>831</v>
      </c>
      <c r="D43" s="10" t="s">
        <v>23</v>
      </c>
      <c r="G43" s="42" t="s">
        <v>832</v>
      </c>
      <c r="H43" s="42" t="s">
        <v>833</v>
      </c>
      <c r="I43" s="42" t="s">
        <v>675</v>
      </c>
      <c r="J43" s="42" t="s">
        <v>20</v>
      </c>
    </row>
    <row r="44">
      <c r="B44" s="10" t="s">
        <v>696</v>
      </c>
      <c r="C44" s="10" t="s">
        <v>842</v>
      </c>
      <c r="D44" s="10" t="s">
        <v>30</v>
      </c>
      <c r="G44" s="42" t="s">
        <v>844</v>
      </c>
      <c r="H44" s="42" t="s">
        <v>845</v>
      </c>
      <c r="I44" s="42" t="s">
        <v>678</v>
      </c>
      <c r="J44" s="42" t="s">
        <v>9</v>
      </c>
    </row>
    <row r="45">
      <c r="B45" s="10" t="s">
        <v>705</v>
      </c>
      <c r="C45" s="10" t="s">
        <v>848</v>
      </c>
      <c r="D45" s="10" t="s">
        <v>12</v>
      </c>
      <c r="G45" s="42" t="s">
        <v>720</v>
      </c>
      <c r="H45" s="42" t="s">
        <v>845</v>
      </c>
      <c r="I45" s="42" t="s">
        <v>678</v>
      </c>
      <c r="J45" s="42" t="s">
        <v>9</v>
      </c>
    </row>
    <row r="46">
      <c r="B46" s="10" t="s">
        <v>720</v>
      </c>
      <c r="C46" s="10" t="s">
        <v>848</v>
      </c>
      <c r="D46" s="10" t="s">
        <v>12</v>
      </c>
      <c r="G46" s="42" t="s">
        <v>798</v>
      </c>
      <c r="H46" s="42" t="s">
        <v>668</v>
      </c>
    </row>
    <row r="47">
      <c r="B47" s="10" t="s">
        <v>856</v>
      </c>
      <c r="C47" s="10" t="s">
        <v>860</v>
      </c>
      <c r="G47" s="35" t="s">
        <v>809</v>
      </c>
      <c r="H47" s="35" t="s">
        <v>675</v>
      </c>
    </row>
    <row r="48">
      <c r="B48" s="10" t="s">
        <v>868</v>
      </c>
      <c r="C48" s="10" t="s">
        <v>870</v>
      </c>
      <c r="G48" s="35" t="s">
        <v>446</v>
      </c>
      <c r="H48" s="35" t="s">
        <v>678</v>
      </c>
    </row>
    <row r="49">
      <c r="B49" s="10" t="s">
        <v>877</v>
      </c>
      <c r="C49" s="10" t="s">
        <v>880</v>
      </c>
      <c r="F49" s="98" t="s">
        <v>883</v>
      </c>
      <c r="G49" s="10" t="s">
        <v>885</v>
      </c>
      <c r="H49" s="10" t="s">
        <v>887</v>
      </c>
      <c r="I49" s="10" t="s">
        <v>890</v>
      </c>
      <c r="J49" s="10" t="s">
        <v>18</v>
      </c>
    </row>
    <row r="50">
      <c r="B50" s="6" t="s">
        <v>726</v>
      </c>
      <c r="C50" s="6" t="s">
        <v>12</v>
      </c>
      <c r="G50" s="10" t="s">
        <v>899</v>
      </c>
      <c r="H50" s="10" t="s">
        <v>900</v>
      </c>
      <c r="I50" s="10" t="s">
        <v>768</v>
      </c>
      <c r="J50" s="10" t="s">
        <v>15</v>
      </c>
    </row>
    <row r="51">
      <c r="B51" s="6" t="s">
        <v>446</v>
      </c>
      <c r="C51" s="6" t="s">
        <v>23</v>
      </c>
      <c r="G51" s="10" t="s">
        <v>913</v>
      </c>
      <c r="H51" s="10" t="s">
        <v>916</v>
      </c>
      <c r="I51" s="10" t="s">
        <v>773</v>
      </c>
      <c r="J51" s="10" t="s">
        <v>9</v>
      </c>
    </row>
    <row r="52">
      <c r="A52" s="100" t="s">
        <v>919</v>
      </c>
      <c r="B52" s="42" t="s">
        <v>921</v>
      </c>
      <c r="C52" s="42" t="s">
        <v>924</v>
      </c>
      <c r="D52" s="42" t="s">
        <v>927</v>
      </c>
      <c r="G52" s="10" t="s">
        <v>928</v>
      </c>
      <c r="H52" s="10" t="s">
        <v>900</v>
      </c>
      <c r="I52" s="10" t="s">
        <v>768</v>
      </c>
      <c r="J52" s="10" t="s">
        <v>15</v>
      </c>
    </row>
    <row r="53">
      <c r="B53" s="35" t="s">
        <v>932</v>
      </c>
      <c r="C53" s="35" t="s">
        <v>934</v>
      </c>
      <c r="D53" s="35" t="s">
        <v>20</v>
      </c>
      <c r="G53" s="10" t="s">
        <v>937</v>
      </c>
      <c r="H53" s="10" t="s">
        <v>766</v>
      </c>
      <c r="I53" s="10" t="s">
        <v>768</v>
      </c>
      <c r="J53" s="10" t="s">
        <v>664</v>
      </c>
    </row>
    <row r="54">
      <c r="B54" s="35" t="s">
        <v>939</v>
      </c>
      <c r="C54" s="35" t="s">
        <v>716</v>
      </c>
      <c r="D54" s="35" t="s">
        <v>12</v>
      </c>
      <c r="G54" s="10" t="s">
        <v>941</v>
      </c>
      <c r="H54" s="10" t="s">
        <v>765</v>
      </c>
    </row>
    <row r="55">
      <c r="A55" s="98" t="s">
        <v>943</v>
      </c>
      <c r="B55" s="10" t="s">
        <v>944</v>
      </c>
      <c r="C55" s="10" t="s">
        <v>29</v>
      </c>
      <c r="G55" s="6" t="s">
        <v>809</v>
      </c>
      <c r="H55" s="6" t="s">
        <v>773</v>
      </c>
    </row>
    <row r="56">
      <c r="B56" s="10" t="s">
        <v>948</v>
      </c>
      <c r="C56" s="10" t="s">
        <v>950</v>
      </c>
      <c r="D56" s="10" t="s">
        <v>21</v>
      </c>
      <c r="G56" s="6" t="s">
        <v>446</v>
      </c>
      <c r="H56" s="6" t="s">
        <v>768</v>
      </c>
    </row>
    <row r="57">
      <c r="B57" s="10" t="s">
        <v>649</v>
      </c>
      <c r="C57" s="10" t="s">
        <v>951</v>
      </c>
      <c r="D57" s="10" t="s">
        <v>29</v>
      </c>
      <c r="F57" s="100" t="s">
        <v>953</v>
      </c>
      <c r="G57" s="42" t="s">
        <v>649</v>
      </c>
      <c r="H57" s="42" t="s">
        <v>954</v>
      </c>
      <c r="I57" s="42" t="s">
        <v>955</v>
      </c>
      <c r="J57" s="42" t="s">
        <v>14</v>
      </c>
    </row>
    <row r="58">
      <c r="B58" s="10" t="s">
        <v>957</v>
      </c>
      <c r="C58" s="10" t="s">
        <v>958</v>
      </c>
      <c r="D58" s="10" t="s">
        <v>21</v>
      </c>
      <c r="G58" s="42" t="s">
        <v>677</v>
      </c>
      <c r="H58" s="42" t="s">
        <v>679</v>
      </c>
      <c r="I58" s="42" t="s">
        <v>965</v>
      </c>
      <c r="J58" s="42" t="s">
        <v>18</v>
      </c>
    </row>
    <row r="59">
      <c r="B59" s="10" t="s">
        <v>970</v>
      </c>
      <c r="C59" s="10" t="s">
        <v>971</v>
      </c>
      <c r="D59" s="10" t="s">
        <v>21</v>
      </c>
      <c r="G59" s="42" t="s">
        <v>974</v>
      </c>
      <c r="H59" s="42" t="s">
        <v>934</v>
      </c>
      <c r="I59" s="42" t="s">
        <v>955</v>
      </c>
      <c r="J59" s="42" t="s">
        <v>20</v>
      </c>
    </row>
    <row r="60">
      <c r="B60" s="10" t="s">
        <v>977</v>
      </c>
      <c r="C60" s="10" t="s">
        <v>971</v>
      </c>
      <c r="D60" s="10" t="s">
        <v>21</v>
      </c>
      <c r="G60" s="42" t="s">
        <v>978</v>
      </c>
      <c r="H60" s="42" t="s">
        <v>979</v>
      </c>
      <c r="I60" s="42" t="s">
        <v>955</v>
      </c>
      <c r="J60" s="42" t="s">
        <v>23</v>
      </c>
    </row>
    <row r="61">
      <c r="B61" s="6" t="s">
        <v>726</v>
      </c>
      <c r="D61" s="10" t="s">
        <v>11</v>
      </c>
      <c r="G61" s="42" t="s">
        <v>720</v>
      </c>
      <c r="H61" s="42" t="s">
        <v>980</v>
      </c>
      <c r="I61" s="42" t="s">
        <v>982</v>
      </c>
      <c r="J61" s="42" t="s">
        <v>14</v>
      </c>
    </row>
    <row r="62">
      <c r="B62" s="6" t="s">
        <v>446</v>
      </c>
      <c r="D62" s="10" t="s">
        <v>21</v>
      </c>
      <c r="G62" s="42" t="s">
        <v>798</v>
      </c>
      <c r="H62" s="42" t="s">
        <v>986</v>
      </c>
    </row>
    <row r="63">
      <c r="A63" s="100" t="s">
        <v>988</v>
      </c>
      <c r="B63" s="42" t="s">
        <v>944</v>
      </c>
      <c r="C63" s="42" t="s">
        <v>23</v>
      </c>
      <c r="G63" s="35" t="s">
        <v>809</v>
      </c>
      <c r="H63" s="35" t="s">
        <v>955</v>
      </c>
    </row>
    <row r="64">
      <c r="B64" s="42" t="s">
        <v>948</v>
      </c>
      <c r="C64" s="42" t="s">
        <v>716</v>
      </c>
      <c r="D64" s="42" t="s">
        <v>12</v>
      </c>
      <c r="G64" s="35" t="s">
        <v>446</v>
      </c>
      <c r="H64" s="35" t="s">
        <v>1003</v>
      </c>
    </row>
    <row r="65">
      <c r="B65" s="42" t="s">
        <v>649</v>
      </c>
      <c r="C65" s="42" t="s">
        <v>1007</v>
      </c>
      <c r="D65" s="42" t="s">
        <v>16</v>
      </c>
      <c r="F65" s="98" t="s">
        <v>1008</v>
      </c>
      <c r="G65" s="10" t="s">
        <v>649</v>
      </c>
      <c r="H65" s="10" t="s">
        <v>1010</v>
      </c>
      <c r="I65" s="10" t="s">
        <v>1013</v>
      </c>
      <c r="J65" s="10" t="s">
        <v>30</v>
      </c>
    </row>
    <row r="66">
      <c r="B66" s="42" t="s">
        <v>957</v>
      </c>
      <c r="C66" s="42" t="s">
        <v>697</v>
      </c>
      <c r="D66" s="42" t="s">
        <v>12</v>
      </c>
      <c r="G66" s="10" t="s">
        <v>677</v>
      </c>
      <c r="H66" s="10" t="s">
        <v>722</v>
      </c>
      <c r="I66" s="10" t="s">
        <v>1016</v>
      </c>
      <c r="J66" s="10" t="s">
        <v>14</v>
      </c>
    </row>
    <row r="67">
      <c r="B67" s="42" t="s">
        <v>970</v>
      </c>
      <c r="C67" s="42" t="s">
        <v>1018</v>
      </c>
      <c r="D67" s="42" t="s">
        <v>12</v>
      </c>
      <c r="G67" s="10" t="s">
        <v>696</v>
      </c>
      <c r="H67" s="10" t="s">
        <v>1021</v>
      </c>
      <c r="I67" s="10" t="s">
        <v>1023</v>
      </c>
      <c r="J67" s="10" t="s">
        <v>30</v>
      </c>
    </row>
    <row r="68">
      <c r="B68" s="42" t="s">
        <v>977</v>
      </c>
      <c r="C68" s="42" t="s">
        <v>1029</v>
      </c>
      <c r="D68" s="42" t="s">
        <v>15</v>
      </c>
      <c r="G68" s="10" t="s">
        <v>705</v>
      </c>
      <c r="H68" s="10" t="s">
        <v>1031</v>
      </c>
      <c r="I68" s="10" t="s">
        <v>1033</v>
      </c>
      <c r="J68" s="10" t="s">
        <v>30</v>
      </c>
    </row>
    <row r="69">
      <c r="B69" s="35" t="s">
        <v>726</v>
      </c>
      <c r="D69" s="42" t="s">
        <v>15</v>
      </c>
      <c r="G69" s="10" t="s">
        <v>720</v>
      </c>
      <c r="H69" s="10" t="s">
        <v>916</v>
      </c>
      <c r="I69" s="10" t="s">
        <v>1039</v>
      </c>
      <c r="J69" s="10" t="s">
        <v>9</v>
      </c>
    </row>
    <row r="70">
      <c r="B70" s="35" t="s">
        <v>446</v>
      </c>
      <c r="D70" s="42" t="s">
        <v>12</v>
      </c>
      <c r="G70" s="10" t="s">
        <v>798</v>
      </c>
      <c r="H70" s="10" t="s">
        <v>1016</v>
      </c>
    </row>
    <row r="71">
      <c r="A71" s="98" t="s">
        <v>1042</v>
      </c>
      <c r="B71" s="10" t="s">
        <v>944</v>
      </c>
      <c r="C71" s="10" t="s">
        <v>18</v>
      </c>
      <c r="G71" s="10" t="s">
        <v>809</v>
      </c>
      <c r="H71" s="10" t="s">
        <v>1033</v>
      </c>
    </row>
    <row r="72">
      <c r="B72" s="10" t="s">
        <v>948</v>
      </c>
      <c r="C72" s="10" t="s">
        <v>644</v>
      </c>
      <c r="D72" s="10" t="s">
        <v>18</v>
      </c>
      <c r="G72" s="10" t="s">
        <v>446</v>
      </c>
      <c r="H72" s="10" t="s">
        <v>1023</v>
      </c>
    </row>
    <row r="73">
      <c r="B73" s="10" t="s">
        <v>649</v>
      </c>
      <c r="C73" s="10" t="s">
        <v>1055</v>
      </c>
      <c r="D73" s="10" t="s">
        <v>1057</v>
      </c>
    </row>
    <row r="74">
      <c r="B74" s="10" t="s">
        <v>957</v>
      </c>
      <c r="C74" s="10" t="s">
        <v>1059</v>
      </c>
      <c r="D74" s="10" t="s">
        <v>9</v>
      </c>
      <c r="F74" s="19"/>
      <c r="G74" s="19"/>
      <c r="H74" s="19"/>
      <c r="I74" s="19"/>
      <c r="J74" s="19"/>
    </row>
    <row r="75">
      <c r="B75" s="10" t="s">
        <v>970</v>
      </c>
      <c r="C75" s="10" t="s">
        <v>1064</v>
      </c>
      <c r="D75" s="10" t="s">
        <v>9</v>
      </c>
      <c r="F75" s="19"/>
      <c r="G75" s="19"/>
      <c r="H75" s="19"/>
      <c r="I75" s="19"/>
      <c r="J75" s="19"/>
    </row>
    <row r="76">
      <c r="B76" s="10" t="s">
        <v>977</v>
      </c>
      <c r="C76" s="10" t="s">
        <v>1059</v>
      </c>
      <c r="D76" s="10" t="s">
        <v>9</v>
      </c>
      <c r="F76" s="19"/>
      <c r="G76" s="19"/>
      <c r="H76" s="19"/>
      <c r="I76" s="19"/>
      <c r="J76" s="19"/>
    </row>
    <row r="77">
      <c r="B77" s="6" t="s">
        <v>726</v>
      </c>
      <c r="D77" s="10" t="s">
        <v>18</v>
      </c>
      <c r="F77" s="19"/>
      <c r="G77" s="19"/>
      <c r="H77" s="19"/>
      <c r="I77" s="19"/>
      <c r="J77" s="19"/>
    </row>
    <row r="78">
      <c r="B78" s="6" t="s">
        <v>446</v>
      </c>
      <c r="D78" s="10" t="s">
        <v>9</v>
      </c>
      <c r="F78" s="19"/>
      <c r="G78" s="19"/>
      <c r="H78" s="19"/>
      <c r="I78" s="19"/>
      <c r="J78" s="19"/>
    </row>
    <row r="79">
      <c r="F79" s="19"/>
      <c r="G79" s="19"/>
      <c r="H79" s="19"/>
      <c r="I79" s="19"/>
      <c r="J79" s="19"/>
    </row>
    <row r="80">
      <c r="F80" s="19"/>
      <c r="G80" s="19"/>
      <c r="H80" s="19"/>
      <c r="I80" s="19"/>
      <c r="J80" s="19"/>
    </row>
    <row r="81">
      <c r="F81" s="19"/>
      <c r="G81" s="19"/>
      <c r="H81" s="19"/>
      <c r="I81" s="19"/>
      <c r="J81" s="19"/>
    </row>
    <row r="82">
      <c r="F82" s="19"/>
      <c r="G82" s="19"/>
      <c r="H82" s="19"/>
      <c r="I82" s="19"/>
      <c r="J82" s="19"/>
    </row>
    <row r="83">
      <c r="F83" s="19"/>
      <c r="G83" s="19"/>
      <c r="H83" s="19"/>
      <c r="I83" s="19"/>
      <c r="J83" s="19"/>
    </row>
    <row r="84">
      <c r="F84" s="19"/>
      <c r="G84" s="19"/>
      <c r="H84" s="19"/>
      <c r="I84" s="19"/>
      <c r="J84" s="19"/>
    </row>
    <row r="85">
      <c r="F85" s="19"/>
      <c r="G85" s="19"/>
      <c r="H85" s="19"/>
      <c r="I85" s="19"/>
      <c r="J85" s="19"/>
    </row>
    <row r="86">
      <c r="F86" s="19"/>
      <c r="G86" s="19"/>
      <c r="H86" s="19"/>
      <c r="I86" s="19"/>
      <c r="J86" s="19"/>
    </row>
    <row r="87">
      <c r="F87" s="19"/>
      <c r="G87" s="19"/>
      <c r="H87" s="19"/>
      <c r="I87" s="19"/>
      <c r="J87" s="19"/>
    </row>
    <row r="88">
      <c r="F88" s="19"/>
      <c r="G88" s="19"/>
      <c r="H88" s="19"/>
      <c r="I88" s="19"/>
      <c r="J88" s="19"/>
    </row>
    <row r="89">
      <c r="F89" s="19"/>
      <c r="G89" s="19"/>
      <c r="H89" s="19"/>
      <c r="I89" s="19"/>
      <c r="J89" s="19"/>
    </row>
    <row r="90">
      <c r="F90" s="19"/>
      <c r="G90" s="19"/>
      <c r="H90" s="19"/>
      <c r="I90" s="19"/>
      <c r="J90" s="19"/>
    </row>
    <row r="91">
      <c r="F91" s="19"/>
      <c r="G91" s="19"/>
      <c r="H91" s="19"/>
      <c r="I91" s="19"/>
      <c r="J91" s="19"/>
    </row>
    <row r="92">
      <c r="F92" s="19"/>
      <c r="G92" s="19"/>
      <c r="H92" s="19"/>
      <c r="I92" s="19"/>
      <c r="J92" s="19"/>
    </row>
    <row r="93">
      <c r="F93" s="19"/>
      <c r="G93" s="19"/>
      <c r="H93" s="19"/>
      <c r="I93" s="19"/>
      <c r="J93" s="19"/>
    </row>
    <row r="94">
      <c r="F94" s="19"/>
      <c r="G94" s="19"/>
      <c r="H94" s="19"/>
      <c r="I94" s="19"/>
      <c r="J94" s="19"/>
    </row>
    <row r="95">
      <c r="F95" s="19"/>
      <c r="G95" s="19"/>
      <c r="H95" s="19"/>
      <c r="I95" s="19"/>
      <c r="J95" s="19"/>
    </row>
    <row r="96">
      <c r="F96" s="19"/>
      <c r="G96" s="19"/>
      <c r="H96" s="19"/>
      <c r="I96" s="19"/>
      <c r="J96" s="19"/>
    </row>
    <row r="97">
      <c r="F97" s="19"/>
      <c r="G97" s="19"/>
      <c r="H97" s="19"/>
      <c r="I97" s="19"/>
      <c r="J97" s="19"/>
    </row>
  </sheetData>
  <mergeCells count="49">
    <mergeCell ref="B62:C62"/>
    <mergeCell ref="C63:D63"/>
    <mergeCell ref="B69:C69"/>
    <mergeCell ref="B70:C70"/>
    <mergeCell ref="A71:A78"/>
    <mergeCell ref="B77:C77"/>
    <mergeCell ref="B78:C78"/>
    <mergeCell ref="C50:D50"/>
    <mergeCell ref="C51:D51"/>
    <mergeCell ref="A52:A54"/>
    <mergeCell ref="B61:C61"/>
    <mergeCell ref="C55:D55"/>
    <mergeCell ref="A55:A62"/>
    <mergeCell ref="A63:A70"/>
    <mergeCell ref="C71:D71"/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H40:J40"/>
    <mergeCell ref="B41:C41"/>
    <mergeCell ref="A43:A51"/>
    <mergeCell ref="H46:J46"/>
    <mergeCell ref="C47:D47"/>
    <mergeCell ref="H47:J47"/>
    <mergeCell ref="H48:J48"/>
    <mergeCell ref="H71:J71"/>
    <mergeCell ref="H72:J72"/>
    <mergeCell ref="H54:J54"/>
    <mergeCell ref="H55:J55"/>
    <mergeCell ref="H56:J56"/>
    <mergeCell ref="H62:J62"/>
    <mergeCell ref="H63:J63"/>
    <mergeCell ref="H64:J64"/>
    <mergeCell ref="H70:J7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7.0"/>
    <col customWidth="1" min="16" max="16" width="16.5"/>
  </cols>
  <sheetData>
    <row r="1">
      <c r="A1" s="6" t="s">
        <v>3</v>
      </c>
    </row>
    <row r="2">
      <c r="A2" s="6" t="s">
        <v>13</v>
      </c>
    </row>
    <row r="3">
      <c r="A3" s="10" t="s">
        <v>17</v>
      </c>
    </row>
    <row r="4">
      <c r="A4" s="17">
        <f>100000+B6+C6+D6+D14+F6+G6+H6+I6+A65+L6+O6</f>
        <v>3188735</v>
      </c>
    </row>
    <row r="5">
      <c r="A5" s="6" t="s">
        <v>19</v>
      </c>
      <c r="B5" s="6" t="s">
        <v>22</v>
      </c>
      <c r="C5" s="6" t="s">
        <v>24</v>
      </c>
      <c r="D5" s="6" t="s">
        <v>48</v>
      </c>
      <c r="E5" s="6" t="s">
        <v>26</v>
      </c>
      <c r="F5" s="6" t="s">
        <v>51</v>
      </c>
      <c r="G5" s="6" t="s">
        <v>54</v>
      </c>
      <c r="H5" s="6" t="s">
        <v>57</v>
      </c>
      <c r="I5" s="6" t="s">
        <v>59</v>
      </c>
      <c r="L5" s="23" t="s">
        <v>65</v>
      </c>
      <c r="O5" s="6" t="s">
        <v>60</v>
      </c>
    </row>
    <row r="6">
      <c r="A6" s="12" t="s">
        <v>68</v>
      </c>
      <c r="B6" s="24">
        <v>-190000.0</v>
      </c>
      <c r="C6" s="24">
        <v>81000.0</v>
      </c>
      <c r="D6" s="24">
        <v>6000.0</v>
      </c>
      <c r="E6" s="12" t="s">
        <v>70</v>
      </c>
      <c r="F6" s="24">
        <v>-36000.0</v>
      </c>
      <c r="G6" s="24">
        <v>15300.0</v>
      </c>
      <c r="H6" s="24">
        <v>-10000.0</v>
      </c>
      <c r="I6" s="24">
        <v>37000.0</v>
      </c>
      <c r="L6" s="27">
        <f>L8</f>
        <v>413000</v>
      </c>
      <c r="O6" s="31">
        <f>R10+R16+R30+R33+R46+R51+R57+R60+R68+R74+R51</f>
        <v>438250</v>
      </c>
    </row>
    <row r="7">
      <c r="A7" s="12" t="s">
        <v>72</v>
      </c>
      <c r="B7" s="6" t="s">
        <v>35</v>
      </c>
      <c r="C7" s="12" t="s">
        <v>75</v>
      </c>
      <c r="D7" s="32" t="s">
        <v>78</v>
      </c>
      <c r="E7" s="12" t="s">
        <v>80</v>
      </c>
      <c r="F7" s="12" t="s">
        <v>73</v>
      </c>
      <c r="G7" s="32" t="s">
        <v>82</v>
      </c>
      <c r="H7" s="12" t="s">
        <v>83</v>
      </c>
      <c r="I7" s="32" t="s">
        <v>77</v>
      </c>
      <c r="J7" s="32" t="s">
        <v>86</v>
      </c>
      <c r="K7" s="32" t="s">
        <v>81</v>
      </c>
      <c r="L7" s="34" t="s">
        <v>89</v>
      </c>
      <c r="O7" s="35" t="s">
        <v>85</v>
      </c>
      <c r="P7" s="35" t="s">
        <v>87</v>
      </c>
      <c r="Q7" s="35" t="s">
        <v>88</v>
      </c>
      <c r="R7" s="35" t="s">
        <v>1</v>
      </c>
      <c r="S7" s="35" t="s">
        <v>90</v>
      </c>
      <c r="T7" s="37"/>
    </row>
    <row r="8">
      <c r="A8" s="12" t="s">
        <v>100</v>
      </c>
      <c r="B8" s="10" t="s">
        <v>101</v>
      </c>
      <c r="C8" s="12" t="s">
        <v>103</v>
      </c>
      <c r="D8" s="32" t="s">
        <v>104</v>
      </c>
      <c r="E8" s="12" t="s">
        <v>105</v>
      </c>
      <c r="F8" s="12" t="s">
        <v>93</v>
      </c>
      <c r="G8" s="32" t="s">
        <v>77</v>
      </c>
      <c r="I8" s="32" t="s">
        <v>107</v>
      </c>
      <c r="J8" s="32" t="s">
        <v>108</v>
      </c>
      <c r="K8" s="10" t="s">
        <v>109</v>
      </c>
      <c r="L8" s="40">
        <f>N10+N11+N13+N14+N18+N20+N22+N23+N24</f>
        <v>413000</v>
      </c>
      <c r="O8" s="41" t="s">
        <v>111</v>
      </c>
      <c r="P8" s="42" t="s">
        <v>106</v>
      </c>
      <c r="Q8" s="42">
        <v>16.0</v>
      </c>
      <c r="R8" s="42">
        <f>Q8*1000</f>
        <v>16000</v>
      </c>
      <c r="S8" s="44">
        <f>Q8*20</f>
        <v>320</v>
      </c>
      <c r="T8" s="46"/>
    </row>
    <row r="9">
      <c r="A9" s="12" t="s">
        <v>119</v>
      </c>
      <c r="B9" s="10" t="s">
        <v>120</v>
      </c>
      <c r="C9" s="12" t="s">
        <v>121</v>
      </c>
      <c r="D9" s="32" t="s">
        <v>122</v>
      </c>
      <c r="E9" s="12" t="s">
        <v>123</v>
      </c>
      <c r="F9" s="12" t="s">
        <v>113</v>
      </c>
      <c r="G9" s="32" t="s">
        <v>124</v>
      </c>
      <c r="I9" s="32" t="s">
        <v>125</v>
      </c>
      <c r="J9" s="32" t="s">
        <v>126</v>
      </c>
      <c r="K9" s="32" t="s">
        <v>127</v>
      </c>
      <c r="L9" s="48" t="s">
        <v>130</v>
      </c>
      <c r="M9" s="48" t="s">
        <v>135</v>
      </c>
      <c r="N9" s="48" t="s">
        <v>1</v>
      </c>
      <c r="P9" s="42" t="s">
        <v>138</v>
      </c>
      <c r="Q9" s="42">
        <v>7.0</v>
      </c>
      <c r="R9" s="42">
        <f>Q9*6000</f>
        <v>42000</v>
      </c>
      <c r="S9" s="44">
        <f>Q9*60</f>
        <v>420</v>
      </c>
      <c r="T9" s="46"/>
    </row>
    <row r="10">
      <c r="A10" s="12" t="s">
        <v>140</v>
      </c>
      <c r="B10" s="10" t="s">
        <v>141</v>
      </c>
      <c r="C10" s="12" t="s">
        <v>142</v>
      </c>
      <c r="D10" s="32" t="s">
        <v>143</v>
      </c>
      <c r="E10" s="12" t="s">
        <v>144</v>
      </c>
      <c r="F10" s="12" t="s">
        <v>131</v>
      </c>
      <c r="G10" s="32" t="s">
        <v>145</v>
      </c>
      <c r="I10" s="32" t="s">
        <v>146</v>
      </c>
      <c r="J10" s="32" t="s">
        <v>147</v>
      </c>
      <c r="K10" s="32" t="s">
        <v>148</v>
      </c>
      <c r="L10" s="50" t="s">
        <v>149</v>
      </c>
      <c r="M10" s="50" t="s">
        <v>150</v>
      </c>
      <c r="N10" s="50">
        <v>1000.0</v>
      </c>
      <c r="P10" s="51" t="s">
        <v>118</v>
      </c>
      <c r="R10" s="52">
        <f t="shared" ref="R10:S10" si="1">R8+R9</f>
        <v>58000</v>
      </c>
      <c r="S10" s="52">
        <f t="shared" si="1"/>
        <v>740</v>
      </c>
      <c r="T10" s="46"/>
    </row>
    <row r="11">
      <c r="A11" s="12" t="s">
        <v>162</v>
      </c>
      <c r="B11" s="10" t="s">
        <v>163</v>
      </c>
      <c r="C11" s="12" t="s">
        <v>164</v>
      </c>
      <c r="E11" s="12" t="s">
        <v>165</v>
      </c>
      <c r="F11" s="12" t="s">
        <v>153</v>
      </c>
      <c r="G11" s="32" t="s">
        <v>166</v>
      </c>
      <c r="I11" s="32" t="s">
        <v>167</v>
      </c>
      <c r="J11" s="32" t="s">
        <v>168</v>
      </c>
      <c r="K11" s="32" t="s">
        <v>169</v>
      </c>
      <c r="L11" s="50" t="s">
        <v>170</v>
      </c>
      <c r="M11" s="50" t="s">
        <v>173</v>
      </c>
      <c r="N11" s="50">
        <v>3000.0</v>
      </c>
      <c r="O11" s="53" t="s">
        <v>177</v>
      </c>
      <c r="P11" s="42" t="s">
        <v>106</v>
      </c>
      <c r="Q11" s="42">
        <v>6.0</v>
      </c>
      <c r="R11" s="42">
        <f>Q11*1000</f>
        <v>6000</v>
      </c>
      <c r="S11" s="44">
        <f>Q11*20</f>
        <v>120</v>
      </c>
      <c r="T11" s="46"/>
    </row>
    <row r="12">
      <c r="A12" s="12" t="s">
        <v>183</v>
      </c>
      <c r="B12" s="10" t="s">
        <v>185</v>
      </c>
      <c r="C12" s="12" t="s">
        <v>187</v>
      </c>
      <c r="E12" s="12" t="s">
        <v>188</v>
      </c>
      <c r="F12" s="12" t="s">
        <v>174</v>
      </c>
      <c r="G12" s="32" t="s">
        <v>189</v>
      </c>
      <c r="I12" s="32" t="s">
        <v>191</v>
      </c>
      <c r="J12" s="32" t="s">
        <v>193</v>
      </c>
      <c r="K12" s="32" t="s">
        <v>194</v>
      </c>
      <c r="M12" s="50" t="s">
        <v>196</v>
      </c>
      <c r="P12" s="42" t="s">
        <v>138</v>
      </c>
      <c r="Q12" s="42">
        <v>4.0</v>
      </c>
      <c r="R12" s="42">
        <f>Q12*6000</f>
        <v>24000</v>
      </c>
      <c r="S12" s="44">
        <f>Q12*60</f>
        <v>240</v>
      </c>
      <c r="T12" s="46"/>
    </row>
    <row r="13">
      <c r="A13" s="12" t="s">
        <v>202</v>
      </c>
      <c r="B13" s="10" t="s">
        <v>203</v>
      </c>
      <c r="C13" s="12" t="s">
        <v>204</v>
      </c>
      <c r="D13" s="6" t="s">
        <v>205</v>
      </c>
      <c r="E13" s="12" t="s">
        <v>206</v>
      </c>
      <c r="F13" s="12" t="s">
        <v>207</v>
      </c>
      <c r="G13" s="32" t="s">
        <v>208</v>
      </c>
      <c r="I13" s="32" t="s">
        <v>209</v>
      </c>
      <c r="J13" s="32" t="s">
        <v>210</v>
      </c>
      <c r="K13" s="32" t="s">
        <v>211</v>
      </c>
      <c r="L13" s="50" t="s">
        <v>212</v>
      </c>
      <c r="M13" s="50" t="s">
        <v>196</v>
      </c>
      <c r="N13" s="50">
        <v>1000.0</v>
      </c>
      <c r="P13" s="42" t="s">
        <v>215</v>
      </c>
      <c r="T13" s="46"/>
    </row>
    <row r="14">
      <c r="A14" s="12" t="s">
        <v>219</v>
      </c>
      <c r="B14" s="10" t="s">
        <v>221</v>
      </c>
      <c r="C14" s="12" t="s">
        <v>222</v>
      </c>
      <c r="D14" s="24">
        <v>-1000.0</v>
      </c>
      <c r="E14" s="12" t="s">
        <v>224</v>
      </c>
      <c r="F14" s="58" t="s">
        <v>225</v>
      </c>
      <c r="G14" s="32" t="s">
        <v>227</v>
      </c>
      <c r="I14" s="32" t="s">
        <v>167</v>
      </c>
      <c r="J14" s="32" t="s">
        <v>230</v>
      </c>
      <c r="K14" s="59"/>
      <c r="L14" s="50" t="s">
        <v>231</v>
      </c>
      <c r="M14" s="50" t="s">
        <v>173</v>
      </c>
      <c r="N14" s="50">
        <f>3000+25000+50000</f>
        <v>78000</v>
      </c>
      <c r="P14" s="42">
        <v>100.0</v>
      </c>
      <c r="Q14" s="42">
        <v>1.0</v>
      </c>
      <c r="R14" s="44">
        <f t="shared" ref="R14:R15" si="2">Q14*1500</f>
        <v>1500</v>
      </c>
      <c r="S14" s="44">
        <f t="shared" ref="S14:S15" si="3">Q14*60</f>
        <v>60</v>
      </c>
      <c r="T14" s="46"/>
    </row>
    <row r="15">
      <c r="A15" s="12" t="s">
        <v>250</v>
      </c>
      <c r="B15" s="10" t="s">
        <v>252</v>
      </c>
      <c r="C15" s="12" t="s">
        <v>253</v>
      </c>
      <c r="D15" s="32" t="s">
        <v>254</v>
      </c>
      <c r="E15" s="12" t="s">
        <v>255</v>
      </c>
      <c r="F15" s="58" t="s">
        <v>256</v>
      </c>
      <c r="G15" s="32" t="s">
        <v>257</v>
      </c>
      <c r="I15" s="32" t="s">
        <v>170</v>
      </c>
      <c r="J15" s="32" t="s">
        <v>258</v>
      </c>
      <c r="K15" s="59"/>
      <c r="M15" s="50" t="s">
        <v>249</v>
      </c>
      <c r="P15" s="42" t="s">
        <v>259</v>
      </c>
      <c r="Q15" s="42">
        <v>4.0</v>
      </c>
      <c r="R15" s="44">
        <f t="shared" si="2"/>
        <v>6000</v>
      </c>
      <c r="S15" s="44">
        <f t="shared" si="3"/>
        <v>240</v>
      </c>
      <c r="T15" s="46"/>
    </row>
    <row r="16">
      <c r="A16" s="12" t="s">
        <v>266</v>
      </c>
      <c r="B16" s="6" t="s">
        <v>40</v>
      </c>
      <c r="C16" s="12" t="s">
        <v>269</v>
      </c>
      <c r="D16" s="32" t="s">
        <v>270</v>
      </c>
      <c r="E16" s="12" t="s">
        <v>272</v>
      </c>
      <c r="F16" s="58" t="s">
        <v>273</v>
      </c>
      <c r="G16" s="32" t="s">
        <v>208</v>
      </c>
      <c r="I16" s="32" t="s">
        <v>276</v>
      </c>
      <c r="J16" s="32" t="s">
        <v>279</v>
      </c>
      <c r="K16" s="59"/>
      <c r="M16" s="11" t="s">
        <v>282</v>
      </c>
      <c r="P16" s="51" t="s">
        <v>118</v>
      </c>
      <c r="R16" s="52">
        <f t="shared" ref="R16:S16" si="4">R11+R12+R14+R15</f>
        <v>37500</v>
      </c>
      <c r="S16" s="52">
        <f t="shared" si="4"/>
        <v>660</v>
      </c>
      <c r="T16" s="46"/>
    </row>
    <row r="17">
      <c r="A17" s="12" t="s">
        <v>290</v>
      </c>
      <c r="B17" s="10" t="s">
        <v>42</v>
      </c>
      <c r="C17" s="12" t="s">
        <v>94</v>
      </c>
      <c r="F17" s="58" t="s">
        <v>293</v>
      </c>
      <c r="G17" s="32" t="s">
        <v>295</v>
      </c>
      <c r="I17" s="32" t="s">
        <v>299</v>
      </c>
      <c r="J17" s="32" t="s">
        <v>301</v>
      </c>
      <c r="K17" s="59"/>
      <c r="M17" s="68" t="s">
        <v>305</v>
      </c>
      <c r="O17" s="53" t="s">
        <v>311</v>
      </c>
      <c r="P17" s="42" t="s">
        <v>106</v>
      </c>
      <c r="Q17" s="42">
        <v>4.0</v>
      </c>
      <c r="R17" s="42">
        <f>Q17*1000</f>
        <v>4000</v>
      </c>
      <c r="S17" s="44">
        <f>Q17*20</f>
        <v>80</v>
      </c>
      <c r="T17" s="46"/>
    </row>
    <row r="18">
      <c r="A18" s="12" t="s">
        <v>315</v>
      </c>
      <c r="B18" s="6" t="s">
        <v>44</v>
      </c>
      <c r="C18" s="12" t="s">
        <v>316</v>
      </c>
      <c r="F18" s="58" t="s">
        <v>320</v>
      </c>
      <c r="G18" s="32" t="s">
        <v>321</v>
      </c>
      <c r="I18" s="32" t="s">
        <v>323</v>
      </c>
      <c r="J18" s="59"/>
      <c r="K18" s="59"/>
      <c r="L18" s="50" t="s">
        <v>327</v>
      </c>
      <c r="M18" s="50" t="s">
        <v>150</v>
      </c>
      <c r="N18" s="50">
        <f>1000+25000</f>
        <v>26000</v>
      </c>
      <c r="P18" s="42" t="s">
        <v>138</v>
      </c>
      <c r="Q18" s="42">
        <v>4.0</v>
      </c>
      <c r="R18" s="42">
        <f>Q18*6000</f>
        <v>24000</v>
      </c>
      <c r="S18" s="44">
        <f>Q18*60</f>
        <v>240</v>
      </c>
      <c r="T18" s="46"/>
    </row>
    <row r="19">
      <c r="A19" s="12" t="s">
        <v>340</v>
      </c>
      <c r="B19" s="10" t="s">
        <v>42</v>
      </c>
      <c r="C19" s="12" t="s">
        <v>341</v>
      </c>
      <c r="F19" s="58" t="s">
        <v>343</v>
      </c>
      <c r="G19" s="32" t="s">
        <v>208</v>
      </c>
      <c r="I19" s="32" t="s">
        <v>167</v>
      </c>
      <c r="J19" s="59"/>
      <c r="K19" s="59"/>
      <c r="M19" s="11" t="s">
        <v>347</v>
      </c>
      <c r="P19" s="42" t="s">
        <v>161</v>
      </c>
      <c r="Q19" s="42">
        <v>1.0</v>
      </c>
      <c r="R19" s="44">
        <f>Q19*2000</f>
        <v>2000</v>
      </c>
      <c r="S19" s="44">
        <f>Q19*40</f>
        <v>40</v>
      </c>
      <c r="T19" s="46"/>
    </row>
    <row r="20">
      <c r="A20" s="12" t="s">
        <v>369</v>
      </c>
      <c r="C20" s="12" t="s">
        <v>371</v>
      </c>
      <c r="F20" s="12" t="s">
        <v>372</v>
      </c>
      <c r="G20" s="32" t="s">
        <v>295</v>
      </c>
      <c r="I20" s="32" t="s">
        <v>299</v>
      </c>
      <c r="J20" s="59"/>
      <c r="K20" s="59"/>
      <c r="L20" s="50" t="s">
        <v>375</v>
      </c>
      <c r="M20" s="50" t="s">
        <v>173</v>
      </c>
      <c r="N20" s="50">
        <v>2000.0</v>
      </c>
      <c r="P20" s="42" t="s">
        <v>106</v>
      </c>
      <c r="Q20" s="42">
        <v>1.0</v>
      </c>
      <c r="R20" s="42">
        <f>Q20*1000</f>
        <v>1000</v>
      </c>
      <c r="S20" s="44">
        <f>Q20*20</f>
        <v>20</v>
      </c>
      <c r="T20" s="46"/>
    </row>
    <row r="21">
      <c r="A21" s="12" t="s">
        <v>379</v>
      </c>
      <c r="C21" s="12" t="s">
        <v>381</v>
      </c>
      <c r="F21" s="58" t="s">
        <v>384</v>
      </c>
      <c r="G21" s="32" t="s">
        <v>386</v>
      </c>
      <c r="I21" s="32" t="s">
        <v>209</v>
      </c>
      <c r="J21" s="59"/>
      <c r="K21" s="59"/>
      <c r="M21" s="50" t="s">
        <v>196</v>
      </c>
      <c r="P21" s="42" t="s">
        <v>199</v>
      </c>
      <c r="Q21" s="42">
        <v>1.0</v>
      </c>
      <c r="R21" s="44">
        <f>Q21*5000</f>
        <v>5000</v>
      </c>
      <c r="S21" s="44">
        <f t="shared" ref="S21:S22" si="5">Q21*100</f>
        <v>100</v>
      </c>
      <c r="T21" s="46"/>
    </row>
    <row r="22">
      <c r="A22" s="12" t="s">
        <v>404</v>
      </c>
      <c r="C22" s="12" t="s">
        <v>406</v>
      </c>
      <c r="G22" s="32" t="s">
        <v>408</v>
      </c>
      <c r="I22" s="32" t="s">
        <v>299</v>
      </c>
      <c r="J22" s="59"/>
      <c r="K22" s="59"/>
      <c r="L22" s="14" t="s">
        <v>413</v>
      </c>
      <c r="M22" s="50" t="s">
        <v>173</v>
      </c>
      <c r="N22" s="14">
        <v>1000.0</v>
      </c>
      <c r="P22" s="42" t="s">
        <v>223</v>
      </c>
      <c r="Q22" s="42">
        <v>0.5</v>
      </c>
      <c r="R22" s="44">
        <f>Q22*10000</f>
        <v>5000</v>
      </c>
      <c r="S22" s="44">
        <f t="shared" si="5"/>
        <v>50</v>
      </c>
      <c r="T22" s="46"/>
    </row>
    <row r="23">
      <c r="A23" s="12" t="s">
        <v>427</v>
      </c>
      <c r="C23" s="12" t="s">
        <v>429</v>
      </c>
      <c r="G23" s="32" t="s">
        <v>430</v>
      </c>
      <c r="I23" s="32" t="s">
        <v>432</v>
      </c>
      <c r="J23" s="59"/>
      <c r="K23" s="59"/>
      <c r="L23" s="14" t="s">
        <v>435</v>
      </c>
      <c r="M23" s="50" t="s">
        <v>150</v>
      </c>
      <c r="N23" s="14">
        <v>1000.0</v>
      </c>
      <c r="P23" s="42" t="s">
        <v>215</v>
      </c>
      <c r="T23" s="46"/>
    </row>
    <row r="24">
      <c r="A24" s="12" t="s">
        <v>439</v>
      </c>
      <c r="C24" s="12" t="s">
        <v>441</v>
      </c>
      <c r="G24" s="32" t="s">
        <v>386</v>
      </c>
      <c r="I24" s="32" t="s">
        <v>276</v>
      </c>
      <c r="J24" s="59"/>
      <c r="K24" s="59"/>
      <c r="L24" s="11" t="s">
        <v>446</v>
      </c>
      <c r="N24" s="11">
        <v>300000.0</v>
      </c>
      <c r="P24" s="42" t="s">
        <v>259</v>
      </c>
      <c r="Q24" s="42">
        <v>8.0</v>
      </c>
      <c r="R24" s="44">
        <f t="shared" ref="R24:R29" si="6">Q24*1500</f>
        <v>12000</v>
      </c>
      <c r="S24" s="44">
        <f t="shared" ref="S24:S29" si="7">Q24*60</f>
        <v>480</v>
      </c>
      <c r="T24" s="46"/>
    </row>
    <row r="25">
      <c r="A25" s="12" t="s">
        <v>459</v>
      </c>
      <c r="C25" s="12" t="s">
        <v>460</v>
      </c>
      <c r="G25" s="32" t="s">
        <v>295</v>
      </c>
      <c r="I25" s="32" t="s">
        <v>167</v>
      </c>
      <c r="J25" s="59"/>
      <c r="K25" s="59"/>
      <c r="P25" s="42" t="s">
        <v>268</v>
      </c>
      <c r="Q25" s="42">
        <v>2.0</v>
      </c>
      <c r="R25" s="44">
        <f t="shared" si="6"/>
        <v>3000</v>
      </c>
      <c r="S25" s="44">
        <f t="shared" si="7"/>
        <v>120</v>
      </c>
      <c r="T25" s="46"/>
    </row>
    <row r="26">
      <c r="A26" s="12" t="s">
        <v>465</v>
      </c>
      <c r="C26" s="12" t="s">
        <v>467</v>
      </c>
      <c r="G26" s="32" t="s">
        <v>469</v>
      </c>
      <c r="I26" s="32" t="s">
        <v>209</v>
      </c>
      <c r="J26" s="59"/>
      <c r="K26" s="59"/>
      <c r="P26" s="42" t="s">
        <v>289</v>
      </c>
      <c r="Q26" s="42">
        <v>2.5</v>
      </c>
      <c r="R26" s="44">
        <f t="shared" si="6"/>
        <v>3750</v>
      </c>
      <c r="S26" s="44">
        <f t="shared" si="7"/>
        <v>150</v>
      </c>
      <c r="T26" s="46"/>
    </row>
    <row r="27">
      <c r="A27" s="12" t="s">
        <v>478</v>
      </c>
      <c r="G27" s="32" t="s">
        <v>208</v>
      </c>
      <c r="I27" s="32" t="s">
        <v>167</v>
      </c>
      <c r="J27" s="59"/>
      <c r="K27" s="59"/>
      <c r="P27" s="42" t="s">
        <v>482</v>
      </c>
      <c r="Q27" s="42">
        <v>1.0</v>
      </c>
      <c r="R27" s="44">
        <f t="shared" si="6"/>
        <v>1500</v>
      </c>
      <c r="S27" s="44">
        <f t="shared" si="7"/>
        <v>60</v>
      </c>
      <c r="T27" s="46"/>
    </row>
    <row r="28">
      <c r="A28" s="12" t="s">
        <v>483</v>
      </c>
      <c r="G28" s="32" t="s">
        <v>408</v>
      </c>
      <c r="I28" s="32" t="s">
        <v>485</v>
      </c>
      <c r="J28" s="59"/>
      <c r="K28" s="59"/>
      <c r="P28" s="42" t="s">
        <v>289</v>
      </c>
      <c r="Q28" s="42">
        <v>1.0</v>
      </c>
      <c r="R28" s="44">
        <f t="shared" si="6"/>
        <v>1500</v>
      </c>
      <c r="S28" s="44">
        <f t="shared" si="7"/>
        <v>60</v>
      </c>
      <c r="T28" s="46"/>
    </row>
    <row r="29">
      <c r="A29" s="12" t="s">
        <v>490</v>
      </c>
      <c r="G29" s="32" t="s">
        <v>493</v>
      </c>
      <c r="I29" s="32" t="s">
        <v>495</v>
      </c>
      <c r="J29" s="59"/>
      <c r="K29" s="59"/>
      <c r="P29" s="42" t="s">
        <v>497</v>
      </c>
      <c r="Q29" s="42">
        <v>1.0</v>
      </c>
      <c r="R29" s="44">
        <f t="shared" si="6"/>
        <v>1500</v>
      </c>
      <c r="S29" s="44">
        <f t="shared" si="7"/>
        <v>60</v>
      </c>
      <c r="T29" s="46"/>
    </row>
    <row r="30">
      <c r="A30" s="12" t="s">
        <v>503</v>
      </c>
      <c r="G30" s="59"/>
      <c r="I30" s="32" t="s">
        <v>191</v>
      </c>
      <c r="J30" s="59"/>
      <c r="K30" s="59"/>
      <c r="P30" s="51" t="s">
        <v>118</v>
      </c>
      <c r="R30" s="52">
        <f t="shared" ref="R30:S30" si="8">R17+R18+R19+R24+R25+R26+R27+R28+R20+R29+R21+R22</f>
        <v>64250</v>
      </c>
      <c r="S30" s="52">
        <f t="shared" si="8"/>
        <v>1460</v>
      </c>
      <c r="T30" s="46"/>
    </row>
    <row r="31">
      <c r="G31" s="78" t="s">
        <v>511</v>
      </c>
      <c r="I31" s="32" t="s">
        <v>299</v>
      </c>
      <c r="J31" s="59"/>
      <c r="K31" s="59"/>
      <c r="O31" s="53" t="s">
        <v>513</v>
      </c>
      <c r="P31" s="42" t="s">
        <v>106</v>
      </c>
      <c r="Q31" s="42">
        <v>1.0</v>
      </c>
      <c r="R31" s="42">
        <f>Q31*1000</f>
        <v>1000</v>
      </c>
      <c r="S31" s="44">
        <f>Q31*20</f>
        <v>20</v>
      </c>
      <c r="T31" s="46"/>
    </row>
    <row r="32">
      <c r="G32" s="32" t="s">
        <v>518</v>
      </c>
      <c r="I32" s="12" t="s">
        <v>520</v>
      </c>
      <c r="J32" s="59"/>
      <c r="K32" s="59"/>
      <c r="P32" s="42" t="s">
        <v>138</v>
      </c>
      <c r="Q32" s="42">
        <v>0.5</v>
      </c>
      <c r="R32" s="42">
        <f>Q32*6000</f>
        <v>3000</v>
      </c>
      <c r="S32" s="44">
        <f>Q32*60</f>
        <v>30</v>
      </c>
      <c r="T32" s="46"/>
    </row>
    <row r="33">
      <c r="G33" s="32" t="s">
        <v>529</v>
      </c>
      <c r="I33" s="32" t="s">
        <v>531</v>
      </c>
      <c r="J33" s="59"/>
      <c r="K33" s="59"/>
      <c r="P33" s="51" t="s">
        <v>118</v>
      </c>
      <c r="R33" s="52">
        <f t="shared" ref="R33:S33" si="9">R31+R32</f>
        <v>4000</v>
      </c>
      <c r="S33" s="52">
        <f t="shared" si="9"/>
        <v>50</v>
      </c>
      <c r="T33" s="46"/>
    </row>
    <row r="34">
      <c r="G34" s="32" t="s">
        <v>139</v>
      </c>
      <c r="I34" s="32" t="s">
        <v>167</v>
      </c>
      <c r="J34" s="59"/>
      <c r="K34" s="59"/>
      <c r="O34" s="53" t="s">
        <v>537</v>
      </c>
      <c r="P34" s="42" t="s">
        <v>106</v>
      </c>
      <c r="Q34" s="42">
        <v>8.0</v>
      </c>
      <c r="R34" s="42">
        <f>Q34*1000</f>
        <v>8000</v>
      </c>
      <c r="S34" s="44">
        <f>Q34*20</f>
        <v>160</v>
      </c>
      <c r="T34" s="46"/>
    </row>
    <row r="35">
      <c r="G35" s="32" t="s">
        <v>542</v>
      </c>
      <c r="I35" s="32" t="s">
        <v>544</v>
      </c>
      <c r="J35" s="59"/>
      <c r="K35" s="59"/>
      <c r="P35" s="42" t="s">
        <v>138</v>
      </c>
      <c r="Q35" s="42">
        <v>2.5</v>
      </c>
      <c r="R35" s="42">
        <f>Q35*6000</f>
        <v>15000</v>
      </c>
      <c r="S35" s="44">
        <f>Q35*60</f>
        <v>150</v>
      </c>
      <c r="T35" s="46"/>
    </row>
    <row r="36">
      <c r="G36" s="32" t="s">
        <v>240</v>
      </c>
      <c r="I36" s="32" t="s">
        <v>191</v>
      </c>
      <c r="J36" s="59"/>
      <c r="K36" s="59"/>
      <c r="P36" s="42" t="s">
        <v>161</v>
      </c>
      <c r="Q36" s="42">
        <v>2.0</v>
      </c>
      <c r="R36" s="44">
        <f>Q36*2000</f>
        <v>4000</v>
      </c>
      <c r="S36" s="44">
        <f>Q36*40</f>
        <v>80</v>
      </c>
      <c r="T36" s="46"/>
    </row>
    <row r="37">
      <c r="G37" s="32" t="s">
        <v>548</v>
      </c>
      <c r="I37" s="32" t="s">
        <v>299</v>
      </c>
      <c r="J37" s="59"/>
      <c r="K37" s="59"/>
      <c r="P37" s="42" t="s">
        <v>338</v>
      </c>
      <c r="Q37" s="42">
        <v>4.0</v>
      </c>
      <c r="R37" s="44">
        <f>Q37*3000</f>
        <v>12000</v>
      </c>
      <c r="S37" s="44">
        <f>Q37*60</f>
        <v>240</v>
      </c>
      <c r="T37" s="46"/>
    </row>
    <row r="38">
      <c r="G38" s="59"/>
      <c r="I38" s="32" t="s">
        <v>552</v>
      </c>
      <c r="J38" s="59"/>
      <c r="K38" s="59"/>
      <c r="P38" s="42" t="s">
        <v>199</v>
      </c>
      <c r="Q38" s="42">
        <v>2.5</v>
      </c>
      <c r="R38" s="44">
        <f>Q38*5000</f>
        <v>12500</v>
      </c>
      <c r="S38" s="44">
        <f>Q38*100</f>
        <v>250</v>
      </c>
      <c r="T38" s="46"/>
    </row>
    <row r="39">
      <c r="G39" s="78" t="s">
        <v>554</v>
      </c>
      <c r="I39" s="32" t="s">
        <v>531</v>
      </c>
      <c r="J39" s="59"/>
      <c r="K39" s="59"/>
      <c r="P39" s="42" t="s">
        <v>181</v>
      </c>
      <c r="Q39" s="42">
        <v>7.0</v>
      </c>
      <c r="R39" s="44">
        <f>Q39*8000</f>
        <v>56000</v>
      </c>
      <c r="S39" s="44">
        <f>Q39*80</f>
        <v>560</v>
      </c>
      <c r="T39" s="46"/>
    </row>
    <row r="40">
      <c r="G40" s="59"/>
      <c r="I40" s="32" t="s">
        <v>191</v>
      </c>
      <c r="J40" s="59"/>
      <c r="K40" s="59"/>
      <c r="P40" s="42" t="s">
        <v>223</v>
      </c>
      <c r="Q40" s="42">
        <v>2.0</v>
      </c>
      <c r="R40" s="44">
        <f>Q40*10000</f>
        <v>20000</v>
      </c>
      <c r="S40" s="44">
        <f>Q40*100</f>
        <v>200</v>
      </c>
      <c r="T40" s="46"/>
    </row>
    <row r="41">
      <c r="G41" s="78" t="s">
        <v>560</v>
      </c>
      <c r="I41" s="32" t="s">
        <v>561</v>
      </c>
      <c r="J41" s="59"/>
      <c r="K41" s="59"/>
      <c r="P41" s="42" t="s">
        <v>215</v>
      </c>
      <c r="T41" s="46"/>
    </row>
    <row r="42">
      <c r="I42" s="32" t="s">
        <v>531</v>
      </c>
      <c r="J42" s="59"/>
      <c r="K42" s="59"/>
      <c r="P42" s="42" t="s">
        <v>259</v>
      </c>
      <c r="Q42" s="42">
        <v>7.0</v>
      </c>
      <c r="R42" s="44">
        <f t="shared" ref="R42:R45" si="10">Q42*1500</f>
        <v>10500</v>
      </c>
      <c r="S42" s="44">
        <f t="shared" ref="S42:S45" si="11">Q42*60</f>
        <v>420</v>
      </c>
      <c r="T42" s="46"/>
    </row>
    <row r="43">
      <c r="I43" s="32" t="s">
        <v>191</v>
      </c>
      <c r="P43" s="42" t="s">
        <v>251</v>
      </c>
      <c r="Q43" s="42">
        <v>3.0</v>
      </c>
      <c r="R43" s="44">
        <f t="shared" si="10"/>
        <v>4500</v>
      </c>
      <c r="S43" s="44">
        <f t="shared" si="11"/>
        <v>180</v>
      </c>
      <c r="T43" s="46"/>
    </row>
    <row r="44">
      <c r="P44" s="42" t="s">
        <v>268</v>
      </c>
      <c r="Q44" s="42">
        <v>1.0</v>
      </c>
      <c r="R44" s="44">
        <f t="shared" si="10"/>
        <v>1500</v>
      </c>
      <c r="S44" s="44">
        <f t="shared" si="11"/>
        <v>60</v>
      </c>
      <c r="T44" s="46"/>
    </row>
    <row r="45">
      <c r="P45" s="42" t="s">
        <v>289</v>
      </c>
      <c r="Q45" s="42">
        <v>1.0</v>
      </c>
      <c r="R45" s="44">
        <f t="shared" si="10"/>
        <v>1500</v>
      </c>
      <c r="S45" s="44">
        <f t="shared" si="11"/>
        <v>60</v>
      </c>
      <c r="T45" s="46"/>
    </row>
    <row r="46">
      <c r="P46" s="51" t="s">
        <v>118</v>
      </c>
      <c r="R46" s="52">
        <f t="shared" ref="R46:S46" si="12">R34+R35+R36+R37+R38+R39+R42+R43+R44+R45+R40</f>
        <v>145500</v>
      </c>
      <c r="S46" s="52">
        <f t="shared" si="12"/>
        <v>2360</v>
      </c>
      <c r="T46" s="46"/>
    </row>
    <row r="47">
      <c r="O47" s="53" t="s">
        <v>565</v>
      </c>
      <c r="P47" s="42" t="s">
        <v>138</v>
      </c>
      <c r="Q47" s="42">
        <v>0.5</v>
      </c>
      <c r="R47" s="42">
        <f>Q47*6000</f>
        <v>3000</v>
      </c>
      <c r="S47" s="44">
        <f>Q47*60</f>
        <v>30</v>
      </c>
      <c r="T47" s="46"/>
    </row>
    <row r="48">
      <c r="P48" s="42" t="s">
        <v>181</v>
      </c>
      <c r="Q48" s="42">
        <v>0.5</v>
      </c>
      <c r="R48" s="44">
        <f>Q48*8000</f>
        <v>4000</v>
      </c>
      <c r="S48" s="44">
        <f>Q48*80</f>
        <v>40</v>
      </c>
      <c r="T48" s="46"/>
    </row>
    <row r="49">
      <c r="P49" s="42" t="s">
        <v>199</v>
      </c>
      <c r="Q49" s="42">
        <v>2.5</v>
      </c>
      <c r="R49" s="44">
        <f>Q49*5000</f>
        <v>12500</v>
      </c>
      <c r="S49" s="44">
        <f t="shared" ref="S49:S50" si="13">Q49*100</f>
        <v>250</v>
      </c>
      <c r="T49" s="46"/>
    </row>
    <row r="50">
      <c r="P50" s="42" t="s">
        <v>223</v>
      </c>
      <c r="Q50" s="42">
        <v>1.5</v>
      </c>
      <c r="R50" s="44">
        <f>Q50*10000</f>
        <v>15000</v>
      </c>
      <c r="S50" s="44">
        <f t="shared" si="13"/>
        <v>150</v>
      </c>
      <c r="T50" s="46"/>
    </row>
    <row r="51">
      <c r="P51" s="51" t="s">
        <v>118</v>
      </c>
      <c r="R51" s="52">
        <f t="shared" ref="R51:S51" si="14">R47+R48+R49+R50</f>
        <v>34500</v>
      </c>
      <c r="S51" s="52">
        <f t="shared" si="14"/>
        <v>470</v>
      </c>
      <c r="T51" s="46"/>
    </row>
    <row r="52">
      <c r="O52" s="53" t="s">
        <v>589</v>
      </c>
      <c r="P52" s="42" t="s">
        <v>215</v>
      </c>
      <c r="T52" s="46"/>
    </row>
    <row r="53">
      <c r="P53" s="42" t="s">
        <v>259</v>
      </c>
      <c r="Q53" s="42">
        <v>2.0</v>
      </c>
      <c r="R53" s="44">
        <f t="shared" ref="R53:R56" si="15">Q53*1500</f>
        <v>3000</v>
      </c>
      <c r="S53" s="44">
        <f t="shared" ref="S53:S56" si="16">Q53*60</f>
        <v>120</v>
      </c>
      <c r="T53" s="46"/>
    </row>
    <row r="54">
      <c r="P54" s="42" t="s">
        <v>251</v>
      </c>
      <c r="Q54" s="42">
        <v>1.0</v>
      </c>
      <c r="R54" s="44">
        <f t="shared" si="15"/>
        <v>1500</v>
      </c>
      <c r="S54" s="44">
        <f t="shared" si="16"/>
        <v>60</v>
      </c>
      <c r="T54" s="46"/>
    </row>
    <row r="55">
      <c r="P55" s="42" t="s">
        <v>482</v>
      </c>
      <c r="Q55" s="42">
        <v>1.0</v>
      </c>
      <c r="R55" s="44">
        <f t="shared" si="15"/>
        <v>1500</v>
      </c>
      <c r="S55" s="44">
        <f t="shared" si="16"/>
        <v>60</v>
      </c>
      <c r="T55" s="46"/>
    </row>
    <row r="56">
      <c r="P56" s="42" t="s">
        <v>564</v>
      </c>
      <c r="Q56" s="42">
        <v>0.5</v>
      </c>
      <c r="R56" s="44">
        <f t="shared" si="15"/>
        <v>750</v>
      </c>
      <c r="S56" s="44">
        <f t="shared" si="16"/>
        <v>30</v>
      </c>
      <c r="T56" s="91"/>
    </row>
    <row r="57">
      <c r="P57" s="51" t="s">
        <v>118</v>
      </c>
      <c r="R57" s="52">
        <f t="shared" ref="R57:S57" si="17">R53+R54+R55+R56</f>
        <v>6750</v>
      </c>
      <c r="S57" s="52">
        <f t="shared" si="17"/>
        <v>270</v>
      </c>
    </row>
    <row r="58">
      <c r="O58" s="53" t="s">
        <v>628</v>
      </c>
      <c r="P58" s="42" t="s">
        <v>215</v>
      </c>
      <c r="T58" s="91"/>
    </row>
    <row r="59">
      <c r="P59" s="42" t="s">
        <v>259</v>
      </c>
      <c r="Q59" s="42">
        <v>3.0</v>
      </c>
      <c r="R59" s="44">
        <f>Q59*1500</f>
        <v>4500</v>
      </c>
      <c r="S59" s="44">
        <f>Q59*60</f>
        <v>180</v>
      </c>
    </row>
    <row r="60">
      <c r="P60" s="51" t="s">
        <v>118</v>
      </c>
      <c r="R60" s="52">
        <f t="shared" ref="R60:S60" si="18">R59</f>
        <v>4500</v>
      </c>
      <c r="S60" s="52">
        <f t="shared" si="18"/>
        <v>180</v>
      </c>
    </row>
    <row r="61">
      <c r="O61" s="95" t="s">
        <v>648</v>
      </c>
      <c r="P61" s="42" t="s">
        <v>161</v>
      </c>
      <c r="Q61" s="42">
        <v>1.0</v>
      </c>
      <c r="R61" s="44">
        <f>Q61*2000</f>
        <v>2000</v>
      </c>
      <c r="S61" s="44">
        <f>Q61*40</f>
        <v>40</v>
      </c>
    </row>
    <row r="62">
      <c r="P62" s="42" t="s">
        <v>181</v>
      </c>
      <c r="Q62" s="42">
        <v>2.5</v>
      </c>
      <c r="R62" s="44">
        <f>Q62*8000</f>
        <v>20000</v>
      </c>
      <c r="S62" s="44">
        <f>Q62*80</f>
        <v>200</v>
      </c>
    </row>
    <row r="63">
      <c r="P63" s="42" t="s">
        <v>223</v>
      </c>
      <c r="Q63" s="42">
        <v>0.5</v>
      </c>
      <c r="R63" s="44">
        <f>Q63*10000</f>
        <v>5000</v>
      </c>
      <c r="S63" s="44">
        <f>Q63*100</f>
        <v>50</v>
      </c>
    </row>
    <row r="64">
      <c r="A64" s="82" t="s">
        <v>567</v>
      </c>
      <c r="P64" s="42" t="s">
        <v>215</v>
      </c>
    </row>
    <row r="65">
      <c r="A65" s="82">
        <f>A67+A89+A115+A137+A165+A196+A240+A259</f>
        <v>2335185</v>
      </c>
      <c r="P65" s="42" t="s">
        <v>259</v>
      </c>
      <c r="Q65" s="42">
        <v>1.0</v>
      </c>
      <c r="R65" s="44">
        <f t="shared" ref="R65:R67" si="19">Q65*1500</f>
        <v>1500</v>
      </c>
      <c r="S65" s="44">
        <f t="shared" ref="S65:S67" si="20">Q65*60</f>
        <v>60</v>
      </c>
    </row>
    <row r="66">
      <c r="A66" s="84" t="s">
        <v>712</v>
      </c>
      <c r="P66" s="42" t="s">
        <v>289</v>
      </c>
      <c r="Q66" s="42">
        <v>1.0</v>
      </c>
      <c r="R66" s="44">
        <f t="shared" si="19"/>
        <v>1500</v>
      </c>
      <c r="S66" s="44">
        <f t="shared" si="20"/>
        <v>60</v>
      </c>
    </row>
    <row r="67">
      <c r="A67" s="84">
        <v>42400.0</v>
      </c>
      <c r="P67" s="42" t="s">
        <v>564</v>
      </c>
      <c r="Q67" s="42">
        <v>0.5</v>
      </c>
      <c r="R67" s="44">
        <f t="shared" si="19"/>
        <v>750</v>
      </c>
      <c r="S67" s="44">
        <f t="shared" si="20"/>
        <v>30</v>
      </c>
    </row>
    <row r="68">
      <c r="A68" s="84">
        <v>2026.0</v>
      </c>
      <c r="P68" s="51" t="s">
        <v>118</v>
      </c>
      <c r="R68" s="52">
        <f t="shared" ref="R68:S68" si="21">R61+R62+R65+R66+R67+R63</f>
        <v>30750</v>
      </c>
      <c r="S68" s="52">
        <f t="shared" si="21"/>
        <v>440</v>
      </c>
    </row>
    <row r="69">
      <c r="A69" s="85" t="s">
        <v>576</v>
      </c>
      <c r="B69" s="85" t="s">
        <v>577</v>
      </c>
      <c r="C69" s="85" t="s">
        <v>578</v>
      </c>
      <c r="D69" s="85" t="s">
        <v>579</v>
      </c>
      <c r="E69" s="85" t="s">
        <v>580</v>
      </c>
      <c r="O69" s="53" t="s">
        <v>738</v>
      </c>
      <c r="P69" s="42" t="s">
        <v>181</v>
      </c>
      <c r="Q69" s="42">
        <v>1.0</v>
      </c>
      <c r="R69" s="44">
        <f>Q69*8000</f>
        <v>8000</v>
      </c>
      <c r="S69" s="44">
        <f>Q69*80</f>
        <v>80</v>
      </c>
    </row>
    <row r="70">
      <c r="A70" s="64" t="s">
        <v>684</v>
      </c>
      <c r="B70" s="64" t="s">
        <v>744</v>
      </c>
      <c r="C70" s="64" t="s">
        <v>745</v>
      </c>
      <c r="D70" s="64" t="s">
        <v>746</v>
      </c>
      <c r="P70" s="42" t="s">
        <v>199</v>
      </c>
      <c r="Q70" s="42">
        <v>1.0</v>
      </c>
      <c r="R70" s="44">
        <f>Q70*5000</f>
        <v>5000</v>
      </c>
      <c r="S70" s="44">
        <f t="shared" ref="S70:S71" si="22">Q70*100</f>
        <v>100</v>
      </c>
    </row>
    <row r="71">
      <c r="A71" s="12" t="s">
        <v>758</v>
      </c>
      <c r="B71" s="12" t="s">
        <v>145</v>
      </c>
      <c r="C71" s="12" t="s">
        <v>760</v>
      </c>
      <c r="D71" s="12" t="s">
        <v>761</v>
      </c>
      <c r="P71" s="42" t="s">
        <v>223</v>
      </c>
      <c r="Q71" s="42">
        <v>0.5</v>
      </c>
      <c r="R71" s="44">
        <f>Q71*10000</f>
        <v>5000</v>
      </c>
      <c r="S71" s="44">
        <f t="shared" si="22"/>
        <v>50</v>
      </c>
    </row>
    <row r="72">
      <c r="A72" s="12" t="s">
        <v>699</v>
      </c>
      <c r="B72" s="12" t="s">
        <v>775</v>
      </c>
      <c r="C72" s="12" t="s">
        <v>775</v>
      </c>
      <c r="D72" s="12" t="s">
        <v>777</v>
      </c>
      <c r="P72" s="42" t="s">
        <v>215</v>
      </c>
    </row>
    <row r="73">
      <c r="B73" s="12" t="s">
        <v>780</v>
      </c>
      <c r="C73" s="12" t="s">
        <v>782</v>
      </c>
      <c r="D73" s="12" t="s">
        <v>783</v>
      </c>
      <c r="P73" s="42" t="s">
        <v>564</v>
      </c>
      <c r="Q73" s="42">
        <v>1.5</v>
      </c>
      <c r="R73" s="44">
        <f>Q73*1500</f>
        <v>2250</v>
      </c>
      <c r="S73" s="44">
        <f>Q73*60</f>
        <v>90</v>
      </c>
    </row>
    <row r="74">
      <c r="B74" s="12" t="s">
        <v>605</v>
      </c>
      <c r="D74" s="12" t="s">
        <v>797</v>
      </c>
      <c r="P74" s="51" t="s">
        <v>118</v>
      </c>
      <c r="R74" s="52">
        <f t="shared" ref="R74:S74" si="23">R69+R70+R71</f>
        <v>18000</v>
      </c>
      <c r="S74" s="52">
        <f t="shared" si="23"/>
        <v>230</v>
      </c>
    </row>
    <row r="75">
      <c r="B75" s="12" t="s">
        <v>814</v>
      </c>
      <c r="D75" s="12" t="s">
        <v>815</v>
      </c>
    </row>
    <row r="76">
      <c r="B76" s="12" t="s">
        <v>605</v>
      </c>
      <c r="D76" s="12" t="s">
        <v>170</v>
      </c>
    </row>
    <row r="77">
      <c r="D77" s="12" t="s">
        <v>775</v>
      </c>
    </row>
    <row r="78">
      <c r="D78" s="12" t="s">
        <v>820</v>
      </c>
    </row>
    <row r="79">
      <c r="D79" s="12" t="s">
        <v>797</v>
      </c>
    </row>
    <row r="80">
      <c r="D80" s="12" t="s">
        <v>815</v>
      </c>
    </row>
    <row r="81">
      <c r="D81" s="12" t="s">
        <v>824</v>
      </c>
    </row>
    <row r="82">
      <c r="D82" s="12" t="s">
        <v>826</v>
      </c>
    </row>
    <row r="83">
      <c r="D83" s="12" t="s">
        <v>815</v>
      </c>
    </row>
    <row r="84">
      <c r="D84" s="12" t="s">
        <v>513</v>
      </c>
    </row>
    <row r="85">
      <c r="D85" s="12" t="s">
        <v>638</v>
      </c>
    </row>
    <row r="86">
      <c r="D86" s="12" t="s">
        <v>815</v>
      </c>
    </row>
    <row r="87">
      <c r="A87" s="86"/>
      <c r="B87" s="86"/>
      <c r="C87" s="86"/>
      <c r="D87" s="86"/>
      <c r="E87" s="86"/>
      <c r="F87" s="86"/>
    </row>
    <row r="88">
      <c r="A88" s="87" t="s">
        <v>840</v>
      </c>
    </row>
    <row r="89">
      <c r="A89" s="87">
        <v>47360.0</v>
      </c>
    </row>
    <row r="90">
      <c r="A90" s="88">
        <v>2026.0</v>
      </c>
    </row>
    <row r="91">
      <c r="A91" s="85" t="s">
        <v>592</v>
      </c>
      <c r="B91" s="85" t="s">
        <v>593</v>
      </c>
      <c r="C91" s="85" t="s">
        <v>594</v>
      </c>
      <c r="D91" s="85" t="s">
        <v>595</v>
      </c>
      <c r="E91" s="85" t="s">
        <v>596</v>
      </c>
      <c r="F91" s="85" t="s">
        <v>597</v>
      </c>
    </row>
    <row r="92">
      <c r="A92" s="64" t="s">
        <v>776</v>
      </c>
      <c r="B92" s="64" t="s">
        <v>849</v>
      </c>
      <c r="C92" s="64" t="s">
        <v>854</v>
      </c>
      <c r="D92" s="64" t="s">
        <v>858</v>
      </c>
      <c r="E92" s="64" t="s">
        <v>776</v>
      </c>
      <c r="F92" s="64" t="s">
        <v>864</v>
      </c>
    </row>
    <row r="93">
      <c r="B93" s="12" t="s">
        <v>867</v>
      </c>
      <c r="C93" s="12" t="s">
        <v>761</v>
      </c>
      <c r="D93" s="12" t="s">
        <v>869</v>
      </c>
      <c r="F93" s="12" t="s">
        <v>871</v>
      </c>
    </row>
    <row r="94">
      <c r="B94" s="12" t="s">
        <v>872</v>
      </c>
      <c r="C94" s="12" t="s">
        <v>606</v>
      </c>
      <c r="D94" s="12" t="s">
        <v>604</v>
      </c>
      <c r="F94" s="12" t="s">
        <v>878</v>
      </c>
    </row>
    <row r="95">
      <c r="B95" s="12" t="s">
        <v>177</v>
      </c>
      <c r="C95" s="12" t="s">
        <v>613</v>
      </c>
      <c r="D95" s="12" t="s">
        <v>886</v>
      </c>
      <c r="F95" s="12" t="s">
        <v>613</v>
      </c>
    </row>
    <row r="96">
      <c r="B96" s="12" t="s">
        <v>892</v>
      </c>
      <c r="C96" s="12" t="s">
        <v>893</v>
      </c>
      <c r="D96" s="12" t="s">
        <v>894</v>
      </c>
      <c r="F96" s="12" t="s">
        <v>896</v>
      </c>
    </row>
    <row r="97">
      <c r="B97" s="12" t="s">
        <v>898</v>
      </c>
      <c r="C97" s="12" t="s">
        <v>896</v>
      </c>
      <c r="D97" s="12" t="s">
        <v>901</v>
      </c>
      <c r="F97" s="12" t="s">
        <v>621</v>
      </c>
    </row>
    <row r="98">
      <c r="B98" s="12" t="s">
        <v>906</v>
      </c>
      <c r="C98" s="12" t="s">
        <v>170</v>
      </c>
      <c r="D98" s="12" t="s">
        <v>613</v>
      </c>
      <c r="F98" s="12" t="s">
        <v>918</v>
      </c>
    </row>
    <row r="99">
      <c r="B99" s="12" t="s">
        <v>613</v>
      </c>
      <c r="C99" s="12" t="s">
        <v>922</v>
      </c>
      <c r="D99" s="12" t="s">
        <v>926</v>
      </c>
      <c r="F99" s="12" t="s">
        <v>620</v>
      </c>
    </row>
    <row r="100">
      <c r="B100" s="12" t="s">
        <v>618</v>
      </c>
      <c r="C100" s="12" t="s">
        <v>613</v>
      </c>
      <c r="D100" s="12" t="s">
        <v>896</v>
      </c>
      <c r="F100" s="12" t="s">
        <v>613</v>
      </c>
    </row>
    <row r="101">
      <c r="B101" s="12" t="s">
        <v>936</v>
      </c>
      <c r="C101" s="12" t="s">
        <v>896</v>
      </c>
      <c r="D101" s="12" t="s">
        <v>212</v>
      </c>
      <c r="F101" s="12" t="s">
        <v>886</v>
      </c>
    </row>
    <row r="102">
      <c r="B102" s="12" t="s">
        <v>605</v>
      </c>
      <c r="C102" s="12" t="s">
        <v>942</v>
      </c>
      <c r="D102" s="12" t="s">
        <v>872</v>
      </c>
      <c r="F102" s="12" t="s">
        <v>896</v>
      </c>
    </row>
    <row r="103">
      <c r="C103" s="12" t="s">
        <v>945</v>
      </c>
      <c r="F103" s="12" t="s">
        <v>621</v>
      </c>
    </row>
    <row r="104">
      <c r="C104" s="12" t="s">
        <v>949</v>
      </c>
    </row>
    <row r="105">
      <c r="C105" s="12" t="s">
        <v>604</v>
      </c>
    </row>
    <row r="106">
      <c r="C106" s="12" t="s">
        <v>952</v>
      </c>
    </row>
    <row r="107">
      <c r="C107" s="12" t="s">
        <v>604</v>
      </c>
    </row>
    <row r="108">
      <c r="C108" s="12" t="s">
        <v>956</v>
      </c>
    </row>
    <row r="109">
      <c r="C109" s="12" t="s">
        <v>962</v>
      </c>
    </row>
    <row r="110">
      <c r="C110" s="12" t="s">
        <v>968</v>
      </c>
    </row>
    <row r="111">
      <c r="C111" s="12" t="s">
        <v>911</v>
      </c>
    </row>
    <row r="112">
      <c r="C112" s="12" t="s">
        <v>611</v>
      </c>
    </row>
    <row r="113">
      <c r="A113" s="86"/>
    </row>
    <row r="114">
      <c r="A114" s="6" t="s">
        <v>981</v>
      </c>
    </row>
    <row r="115">
      <c r="A115" s="6">
        <v>467300.0</v>
      </c>
    </row>
    <row r="116">
      <c r="A116" s="35">
        <v>2026.0</v>
      </c>
    </row>
    <row r="117">
      <c r="A117" s="96" t="s">
        <v>995</v>
      </c>
    </row>
    <row r="118">
      <c r="A118" s="35" t="s">
        <v>998</v>
      </c>
    </row>
    <row r="119">
      <c r="A119" s="85" t="s">
        <v>666</v>
      </c>
      <c r="B119" s="85" t="s">
        <v>668</v>
      </c>
      <c r="C119" s="85" t="s">
        <v>671</v>
      </c>
      <c r="D119" s="85" t="s">
        <v>674</v>
      </c>
      <c r="E119" s="85" t="s">
        <v>675</v>
      </c>
      <c r="F119" s="85" t="s">
        <v>676</v>
      </c>
      <c r="G119" s="85" t="s">
        <v>678</v>
      </c>
      <c r="H119" s="85" t="s">
        <v>680</v>
      </c>
    </row>
    <row r="120">
      <c r="A120" s="68" t="s">
        <v>1017</v>
      </c>
      <c r="B120" s="68" t="s">
        <v>1019</v>
      </c>
      <c r="C120" s="68" t="s">
        <v>1020</v>
      </c>
      <c r="D120" s="68" t="s">
        <v>1022</v>
      </c>
      <c r="E120" s="68" t="s">
        <v>1024</v>
      </c>
      <c r="F120" s="68" t="s">
        <v>1025</v>
      </c>
      <c r="G120" s="68" t="s">
        <v>1027</v>
      </c>
      <c r="H120" s="68" t="s">
        <v>1028</v>
      </c>
    </row>
    <row r="121">
      <c r="A121" s="12" t="s">
        <v>1030</v>
      </c>
      <c r="B121" s="12" t="s">
        <v>1032</v>
      </c>
      <c r="C121" s="12" t="s">
        <v>1034</v>
      </c>
      <c r="D121" s="12" t="s">
        <v>871</v>
      </c>
      <c r="E121" s="12" t="s">
        <v>68</v>
      </c>
      <c r="F121" s="12" t="s">
        <v>1036</v>
      </c>
      <c r="G121" s="12" t="s">
        <v>761</v>
      </c>
      <c r="H121" s="12" t="s">
        <v>760</v>
      </c>
    </row>
    <row r="122">
      <c r="A122" s="12" t="s">
        <v>1041</v>
      </c>
      <c r="B122" s="12" t="s">
        <v>1041</v>
      </c>
      <c r="C122" s="12" t="s">
        <v>1041</v>
      </c>
      <c r="D122" s="12" t="s">
        <v>1041</v>
      </c>
      <c r="E122" s="12" t="s">
        <v>1041</v>
      </c>
      <c r="F122" s="12" t="s">
        <v>1041</v>
      </c>
      <c r="G122" s="12" t="s">
        <v>1041</v>
      </c>
      <c r="H122" s="12" t="s">
        <v>1041</v>
      </c>
    </row>
    <row r="123">
      <c r="A123" s="12" t="s">
        <v>531</v>
      </c>
      <c r="B123" s="12" t="s">
        <v>1043</v>
      </c>
      <c r="C123" s="12" t="s">
        <v>1044</v>
      </c>
      <c r="D123" s="12" t="s">
        <v>177</v>
      </c>
      <c r="E123" s="12" t="s">
        <v>1045</v>
      </c>
      <c r="F123" s="12" t="s">
        <v>1046</v>
      </c>
      <c r="G123" s="12" t="s">
        <v>1047</v>
      </c>
      <c r="H123" s="12" t="s">
        <v>1049</v>
      </c>
    </row>
    <row r="124">
      <c r="A124" s="12" t="s">
        <v>1050</v>
      </c>
      <c r="B124" s="12" t="s">
        <v>544</v>
      </c>
      <c r="C124" s="12" t="s">
        <v>1051</v>
      </c>
      <c r="D124" s="12" t="s">
        <v>1051</v>
      </c>
      <c r="E124" s="12" t="s">
        <v>531</v>
      </c>
      <c r="F124" s="12" t="s">
        <v>1051</v>
      </c>
      <c r="G124" s="12" t="s">
        <v>1052</v>
      </c>
      <c r="H124" s="12" t="s">
        <v>1051</v>
      </c>
    </row>
    <row r="125">
      <c r="A125" s="12" t="s">
        <v>1051</v>
      </c>
      <c r="B125" s="12" t="s">
        <v>1053</v>
      </c>
      <c r="C125" s="12" t="s">
        <v>1054</v>
      </c>
      <c r="D125" s="12" t="s">
        <v>1043</v>
      </c>
      <c r="E125" s="12" t="s">
        <v>209</v>
      </c>
      <c r="F125" s="12" t="s">
        <v>1056</v>
      </c>
      <c r="G125" s="12" t="s">
        <v>209</v>
      </c>
    </row>
    <row r="126">
      <c r="A126" s="12" t="s">
        <v>1058</v>
      </c>
      <c r="B126" s="12" t="s">
        <v>1060</v>
      </c>
      <c r="C126" s="12" t="s">
        <v>700</v>
      </c>
      <c r="D126" s="12" t="s">
        <v>209</v>
      </c>
      <c r="E126" s="12" t="s">
        <v>1061</v>
      </c>
      <c r="F126" s="12" t="s">
        <v>1062</v>
      </c>
      <c r="G126" s="12" t="s">
        <v>1063</v>
      </c>
    </row>
    <row r="127">
      <c r="A127" s="12" t="s">
        <v>699</v>
      </c>
      <c r="B127" s="12" t="s">
        <v>1051</v>
      </c>
      <c r="C127" s="12" t="s">
        <v>702</v>
      </c>
      <c r="D127" s="12" t="s">
        <v>1065</v>
      </c>
      <c r="E127" s="12" t="s">
        <v>72</v>
      </c>
      <c r="G127" s="12" t="s">
        <v>1067</v>
      </c>
    </row>
    <row r="128">
      <c r="B128" s="12" t="s">
        <v>707</v>
      </c>
      <c r="C128" s="12" t="s">
        <v>1071</v>
      </c>
      <c r="D128" s="12" t="s">
        <v>605</v>
      </c>
      <c r="E128" s="12" t="s">
        <v>1051</v>
      </c>
      <c r="G128" s="12" t="s">
        <v>1075</v>
      </c>
    </row>
    <row r="129">
      <c r="B129" s="12" t="s">
        <v>1079</v>
      </c>
      <c r="C129" s="12" t="s">
        <v>777</v>
      </c>
      <c r="D129" s="12" t="s">
        <v>1081</v>
      </c>
      <c r="E129" s="12" t="s">
        <v>1043</v>
      </c>
      <c r="G129" s="12" t="s">
        <v>1082</v>
      </c>
    </row>
    <row r="130">
      <c r="B130" s="12" t="s">
        <v>1083</v>
      </c>
      <c r="D130" s="12" t="s">
        <v>626</v>
      </c>
      <c r="E130" s="12" t="s">
        <v>531</v>
      </c>
      <c r="G130" s="12" t="s">
        <v>1084</v>
      </c>
    </row>
    <row r="131">
      <c r="B131" s="12" t="s">
        <v>707</v>
      </c>
      <c r="E131" s="12" t="s">
        <v>1085</v>
      </c>
      <c r="G131" s="12" t="s">
        <v>1051</v>
      </c>
    </row>
    <row r="132">
      <c r="B132" s="12" t="s">
        <v>1086</v>
      </c>
      <c r="G132" s="12" t="s">
        <v>1043</v>
      </c>
    </row>
    <row r="133">
      <c r="B133" s="12" t="s">
        <v>878</v>
      </c>
      <c r="G133" s="12" t="s">
        <v>531</v>
      </c>
    </row>
    <row r="134">
      <c r="B134" s="12" t="s">
        <v>707</v>
      </c>
      <c r="G134" s="12" t="s">
        <v>1088</v>
      </c>
    </row>
    <row r="135">
      <c r="A135" s="116" t="s">
        <v>1091</v>
      </c>
      <c r="G135" s="12" t="s">
        <v>713</v>
      </c>
    </row>
    <row r="136">
      <c r="A136" s="97" t="s">
        <v>1095</v>
      </c>
    </row>
    <row r="137">
      <c r="A137" s="97">
        <f>A140</f>
        <v>316025</v>
      </c>
    </row>
    <row r="138">
      <c r="A138" s="97">
        <v>2026.0</v>
      </c>
    </row>
    <row r="139">
      <c r="A139" s="97" t="s">
        <v>1102</v>
      </c>
    </row>
    <row r="140">
      <c r="A140" s="97">
        <f>A143+B143+C143+D143+E143+F143+G143+H143</f>
        <v>316025</v>
      </c>
    </row>
    <row r="141">
      <c r="A141" s="85" t="s">
        <v>762</v>
      </c>
      <c r="B141" s="85" t="s">
        <v>764</v>
      </c>
      <c r="C141" s="85" t="s">
        <v>765</v>
      </c>
      <c r="D141" s="85" t="s">
        <v>767</v>
      </c>
      <c r="E141" s="85" t="s">
        <v>768</v>
      </c>
      <c r="F141" s="85" t="s">
        <v>771</v>
      </c>
      <c r="G141" s="85" t="s">
        <v>772</v>
      </c>
      <c r="H141" s="85" t="s">
        <v>773</v>
      </c>
    </row>
    <row r="142">
      <c r="A142" s="11" t="s">
        <v>683</v>
      </c>
      <c r="B142" s="11" t="s">
        <v>683</v>
      </c>
      <c r="C142" s="11" t="s">
        <v>683</v>
      </c>
      <c r="D142" s="11" t="s">
        <v>776</v>
      </c>
      <c r="E142" s="11" t="s">
        <v>683</v>
      </c>
      <c r="F142" s="11" t="s">
        <v>683</v>
      </c>
      <c r="G142" s="11" t="s">
        <v>776</v>
      </c>
      <c r="H142" s="11" t="s">
        <v>683</v>
      </c>
    </row>
    <row r="143">
      <c r="A143" s="85">
        <v>0.0</v>
      </c>
      <c r="B143" s="85">
        <v>2000.0</v>
      </c>
      <c r="C143" s="85">
        <v>66275.0</v>
      </c>
      <c r="D143" s="85">
        <v>74250.0</v>
      </c>
      <c r="E143" s="85">
        <v>69550.0</v>
      </c>
      <c r="F143" s="85">
        <v>18250.0</v>
      </c>
      <c r="G143" s="85">
        <v>26500.0</v>
      </c>
      <c r="H143" s="85">
        <v>59200.0</v>
      </c>
    </row>
    <row r="144">
      <c r="B144" s="12" t="s">
        <v>1104</v>
      </c>
      <c r="C144" s="12" t="s">
        <v>867</v>
      </c>
      <c r="D144" s="12" t="s">
        <v>761</v>
      </c>
      <c r="E144" s="12" t="s">
        <v>760</v>
      </c>
      <c r="F144" s="54" t="s">
        <v>1105</v>
      </c>
      <c r="G144" s="12" t="s">
        <v>1106</v>
      </c>
      <c r="H144" s="12" t="s">
        <v>68</v>
      </c>
    </row>
    <row r="145">
      <c r="B145" s="12" t="s">
        <v>789</v>
      </c>
      <c r="C145" s="12" t="s">
        <v>1107</v>
      </c>
      <c r="D145" s="12" t="s">
        <v>792</v>
      </c>
      <c r="E145" s="12" t="s">
        <v>1108</v>
      </c>
      <c r="F145" s="54" t="s">
        <v>1109</v>
      </c>
      <c r="G145" s="12" t="s">
        <v>792</v>
      </c>
      <c r="H145" s="12" t="s">
        <v>878</v>
      </c>
    </row>
    <row r="146">
      <c r="C146" s="12" t="s">
        <v>795</v>
      </c>
      <c r="D146" s="12" t="s">
        <v>1110</v>
      </c>
      <c r="E146" s="12" t="s">
        <v>1110</v>
      </c>
      <c r="F146" s="12" t="s">
        <v>918</v>
      </c>
      <c r="G146" s="54" t="s">
        <v>1111</v>
      </c>
      <c r="H146" s="12" t="s">
        <v>1112</v>
      </c>
    </row>
    <row r="147">
      <c r="C147" s="12" t="s">
        <v>796</v>
      </c>
      <c r="D147" s="12" t="s">
        <v>1113</v>
      </c>
      <c r="E147" s="12" t="s">
        <v>1113</v>
      </c>
      <c r="F147" s="12" t="s">
        <v>1114</v>
      </c>
      <c r="G147" s="54" t="s">
        <v>1115</v>
      </c>
      <c r="H147" s="12" t="s">
        <v>1116</v>
      </c>
    </row>
    <row r="148">
      <c r="C148" s="12" t="s">
        <v>1117</v>
      </c>
      <c r="D148" s="12" t="s">
        <v>796</v>
      </c>
      <c r="E148" s="12" t="s">
        <v>796</v>
      </c>
      <c r="F148" s="12" t="s">
        <v>795</v>
      </c>
      <c r="H148" s="12" t="s">
        <v>796</v>
      </c>
    </row>
    <row r="149">
      <c r="C149" s="12" t="s">
        <v>1118</v>
      </c>
      <c r="D149" s="12" t="s">
        <v>170</v>
      </c>
      <c r="E149" s="12" t="s">
        <v>800</v>
      </c>
      <c r="F149" s="12" t="s">
        <v>1113</v>
      </c>
      <c r="H149" s="12" t="s">
        <v>1119</v>
      </c>
    </row>
    <row r="150">
      <c r="C150" s="12" t="s">
        <v>1120</v>
      </c>
      <c r="D150" s="12" t="s">
        <v>1121</v>
      </c>
      <c r="E150" s="12" t="s">
        <v>177</v>
      </c>
      <c r="F150" s="12" t="s">
        <v>1079</v>
      </c>
      <c r="H150" s="12" t="s">
        <v>802</v>
      </c>
    </row>
    <row r="151">
      <c r="C151" s="12" t="s">
        <v>795</v>
      </c>
      <c r="D151" s="12" t="s">
        <v>1110</v>
      </c>
      <c r="E151" s="12" t="s">
        <v>808</v>
      </c>
      <c r="F151" s="12" t="s">
        <v>793</v>
      </c>
    </row>
    <row r="152">
      <c r="C152" s="12" t="s">
        <v>1113</v>
      </c>
      <c r="D152" s="12" t="s">
        <v>898</v>
      </c>
      <c r="E152" s="12" t="s">
        <v>1113</v>
      </c>
      <c r="F152" s="12" t="s">
        <v>1113</v>
      </c>
    </row>
    <row r="153">
      <c r="C153" s="12" t="s">
        <v>1117</v>
      </c>
      <c r="D153" s="12" t="s">
        <v>710</v>
      </c>
      <c r="E153" s="12" t="s">
        <v>800</v>
      </c>
    </row>
    <row r="154">
      <c r="C154" s="12" t="s">
        <v>942</v>
      </c>
      <c r="D154" s="12" t="s">
        <v>1113</v>
      </c>
    </row>
    <row r="155">
      <c r="C155" s="12" t="s">
        <v>1122</v>
      </c>
      <c r="D155" s="12" t="s">
        <v>1123</v>
      </c>
    </row>
    <row r="156">
      <c r="C156" s="12" t="s">
        <v>1117</v>
      </c>
      <c r="D156" s="12" t="s">
        <v>1124</v>
      </c>
    </row>
    <row r="157">
      <c r="C157" s="12" t="s">
        <v>1125</v>
      </c>
      <c r="D157" s="12" t="s">
        <v>1126</v>
      </c>
    </row>
    <row r="158">
      <c r="C158" s="12" t="s">
        <v>604</v>
      </c>
      <c r="D158" s="12" t="s">
        <v>653</v>
      </c>
    </row>
    <row r="159">
      <c r="C159" s="12" t="s">
        <v>1117</v>
      </c>
    </row>
    <row r="160">
      <c r="C160" s="12" t="s">
        <v>1127</v>
      </c>
    </row>
    <row r="161">
      <c r="C161" s="12" t="s">
        <v>1128</v>
      </c>
    </row>
    <row r="162">
      <c r="C162" s="12" t="s">
        <v>1117</v>
      </c>
    </row>
    <row r="164">
      <c r="A164" s="99" t="s">
        <v>1129</v>
      </c>
    </row>
    <row r="165">
      <c r="A165" s="99">
        <f>A168</f>
        <v>360000</v>
      </c>
    </row>
    <row r="166">
      <c r="A166" s="99">
        <v>2026.0</v>
      </c>
    </row>
    <row r="167">
      <c r="A167" s="99" t="s">
        <v>749</v>
      </c>
    </row>
    <row r="168">
      <c r="A168" s="117">
        <f>A171+B171+C171+D171+E171+F171+G171+H171+I171+J171</f>
        <v>360000</v>
      </c>
    </row>
    <row r="169">
      <c r="A169" s="111" t="s">
        <v>834</v>
      </c>
      <c r="B169" s="111" t="s">
        <v>835</v>
      </c>
      <c r="C169" s="111" t="s">
        <v>836</v>
      </c>
      <c r="D169" s="111" t="s">
        <v>837</v>
      </c>
      <c r="E169" s="111" t="s">
        <v>838</v>
      </c>
      <c r="F169" s="111" t="s">
        <v>839</v>
      </c>
      <c r="G169" s="111" t="s">
        <v>841</v>
      </c>
      <c r="H169" s="111" t="s">
        <v>843</v>
      </c>
      <c r="I169" s="104" t="s">
        <v>846</v>
      </c>
      <c r="J169" s="104" t="s">
        <v>847</v>
      </c>
    </row>
    <row r="170">
      <c r="A170" s="11" t="s">
        <v>683</v>
      </c>
      <c r="B170" s="11" t="s">
        <v>683</v>
      </c>
      <c r="C170" s="11" t="s">
        <v>683</v>
      </c>
      <c r="D170" s="11" t="s">
        <v>683</v>
      </c>
      <c r="E170" s="11" t="s">
        <v>683</v>
      </c>
      <c r="F170" s="11" t="s">
        <v>683</v>
      </c>
      <c r="G170" s="11" t="s">
        <v>683</v>
      </c>
      <c r="H170" s="11" t="s">
        <v>683</v>
      </c>
      <c r="I170" s="11" t="s">
        <v>683</v>
      </c>
      <c r="J170" s="11" t="s">
        <v>683</v>
      </c>
    </row>
    <row r="171">
      <c r="A171" s="85">
        <v>5000.0</v>
      </c>
      <c r="B171" s="85">
        <v>36000.0</v>
      </c>
      <c r="C171" s="85">
        <v>0.0</v>
      </c>
      <c r="D171" s="85">
        <v>26100.0</v>
      </c>
      <c r="E171" s="85">
        <v>6400.0</v>
      </c>
      <c r="F171" s="85">
        <v>0.0</v>
      </c>
      <c r="G171" s="85">
        <v>9500.0</v>
      </c>
      <c r="H171" s="85">
        <v>0.0</v>
      </c>
      <c r="I171" s="85">
        <v>42000.0</v>
      </c>
      <c r="J171" s="85">
        <v>235000.0</v>
      </c>
    </row>
    <row r="172">
      <c r="A172" s="12" t="s">
        <v>1131</v>
      </c>
      <c r="B172" s="54" t="s">
        <v>1132</v>
      </c>
      <c r="D172" s="12" t="s">
        <v>1032</v>
      </c>
      <c r="E172" s="12" t="s">
        <v>1133</v>
      </c>
      <c r="G172" s="12" t="s">
        <v>1134</v>
      </c>
      <c r="I172" s="12" t="s">
        <v>125</v>
      </c>
      <c r="J172" s="12" t="s">
        <v>761</v>
      </c>
    </row>
    <row r="173">
      <c r="A173" s="12" t="s">
        <v>728</v>
      </c>
      <c r="B173" s="54" t="s">
        <v>912</v>
      </c>
      <c r="D173" s="12" t="s">
        <v>912</v>
      </c>
      <c r="E173" s="12" t="s">
        <v>1135</v>
      </c>
      <c r="G173" s="12" t="s">
        <v>1136</v>
      </c>
      <c r="I173" s="12" t="s">
        <v>1093</v>
      </c>
      <c r="J173" s="12" t="s">
        <v>866</v>
      </c>
    </row>
    <row r="174">
      <c r="B174" s="12" t="s">
        <v>1138</v>
      </c>
      <c r="D174" s="12" t="s">
        <v>1139</v>
      </c>
      <c r="E174" s="12" t="s">
        <v>1140</v>
      </c>
      <c r="I174" s="12" t="s">
        <v>1141</v>
      </c>
      <c r="J174" s="12" t="s">
        <v>902</v>
      </c>
    </row>
    <row r="175">
      <c r="B175" s="12" t="s">
        <v>930</v>
      </c>
      <c r="D175" s="12" t="s">
        <v>604</v>
      </c>
      <c r="E175" s="12" t="s">
        <v>728</v>
      </c>
      <c r="I175" s="12" t="s">
        <v>1143</v>
      </c>
      <c r="J175" s="12" t="s">
        <v>72</v>
      </c>
    </row>
    <row r="176">
      <c r="D176" s="12" t="s">
        <v>1145</v>
      </c>
      <c r="I176" s="12" t="s">
        <v>1093</v>
      </c>
      <c r="J176" s="12" t="s">
        <v>1146</v>
      </c>
    </row>
    <row r="177">
      <c r="D177" s="12" t="s">
        <v>1147</v>
      </c>
      <c r="J177" s="12" t="s">
        <v>1148</v>
      </c>
    </row>
    <row r="178">
      <c r="J178" s="12" t="s">
        <v>912</v>
      </c>
    </row>
    <row r="179">
      <c r="J179" s="12" t="s">
        <v>1149</v>
      </c>
    </row>
    <row r="180">
      <c r="J180" s="12" t="s">
        <v>710</v>
      </c>
    </row>
    <row r="181">
      <c r="J181" s="12" t="s">
        <v>1150</v>
      </c>
    </row>
    <row r="182">
      <c r="J182" s="12" t="s">
        <v>653</v>
      </c>
    </row>
    <row r="183">
      <c r="J183" s="12" t="s">
        <v>902</v>
      </c>
    </row>
    <row r="184">
      <c r="J184" s="12" t="s">
        <v>1152</v>
      </c>
    </row>
    <row r="185">
      <c r="J185" s="12" t="s">
        <v>1154</v>
      </c>
    </row>
    <row r="186">
      <c r="J186" s="12" t="s">
        <v>1156</v>
      </c>
    </row>
    <row r="187">
      <c r="J187" s="12" t="s">
        <v>1158</v>
      </c>
    </row>
    <row r="188">
      <c r="J188" s="12" t="s">
        <v>1159</v>
      </c>
    </row>
    <row r="189">
      <c r="J189" s="12" t="s">
        <v>1160</v>
      </c>
    </row>
    <row r="190">
      <c r="J190" s="12" t="s">
        <v>1161</v>
      </c>
    </row>
    <row r="191">
      <c r="J191" s="12" t="s">
        <v>653</v>
      </c>
    </row>
    <row r="192">
      <c r="J192" s="12" t="s">
        <v>1141</v>
      </c>
    </row>
    <row r="193">
      <c r="J193" s="12" t="s">
        <v>1167</v>
      </c>
    </row>
    <row r="194">
      <c r="A194" s="108" t="s">
        <v>938</v>
      </c>
    </row>
    <row r="195">
      <c r="A195" s="109" t="s">
        <v>940</v>
      </c>
    </row>
    <row r="196">
      <c r="A196" s="109">
        <f>A199</f>
        <v>712100</v>
      </c>
    </row>
    <row r="197">
      <c r="A197" s="109">
        <v>2026.0</v>
      </c>
    </row>
    <row r="198">
      <c r="A198" s="109" t="s">
        <v>749</v>
      </c>
    </row>
    <row r="199">
      <c r="A199" s="110">
        <f>A202+B202+C202+D202+E202+F202+G202+H202+I202+J202</f>
        <v>712100</v>
      </c>
    </row>
    <row r="200">
      <c r="A200" s="85" t="s">
        <v>959</v>
      </c>
      <c r="B200" s="85" t="s">
        <v>960</v>
      </c>
      <c r="C200" s="85" t="s">
        <v>963</v>
      </c>
      <c r="D200" s="85" t="s">
        <v>964</v>
      </c>
      <c r="E200" s="85" t="s">
        <v>966</v>
      </c>
      <c r="F200" s="85" t="s">
        <v>967</v>
      </c>
      <c r="G200" s="111" t="s">
        <v>969</v>
      </c>
      <c r="H200" s="107" t="s">
        <v>972</v>
      </c>
      <c r="I200" s="107" t="s">
        <v>975</v>
      </c>
      <c r="J200" s="107" t="s">
        <v>976</v>
      </c>
    </row>
    <row r="201">
      <c r="A201" s="11" t="s">
        <v>683</v>
      </c>
      <c r="B201" s="11" t="s">
        <v>683</v>
      </c>
      <c r="C201" s="11" t="s">
        <v>683</v>
      </c>
      <c r="D201" s="11" t="s">
        <v>683</v>
      </c>
      <c r="E201" s="11" t="s">
        <v>683</v>
      </c>
      <c r="F201" s="11" t="s">
        <v>683</v>
      </c>
      <c r="G201" s="11" t="s">
        <v>683</v>
      </c>
      <c r="H201" s="34" t="s">
        <v>683</v>
      </c>
      <c r="I201" s="34" t="s">
        <v>683</v>
      </c>
      <c r="J201" s="34" t="s">
        <v>683</v>
      </c>
    </row>
    <row r="202">
      <c r="A202" s="85">
        <v>17000.0</v>
      </c>
      <c r="B202" s="85">
        <v>101000.0</v>
      </c>
      <c r="C202" s="85">
        <v>20000.0</v>
      </c>
      <c r="D202" s="85"/>
      <c r="E202" s="85">
        <v>41000.0</v>
      </c>
      <c r="F202" s="85">
        <v>22500.0</v>
      </c>
      <c r="G202" s="85">
        <v>62500.0</v>
      </c>
      <c r="H202" s="85">
        <f>176500+271600</f>
        <v>448100</v>
      </c>
      <c r="I202" s="85"/>
      <c r="J202" s="85"/>
    </row>
    <row r="203">
      <c r="A203" s="58" t="s">
        <v>1131</v>
      </c>
      <c r="B203" s="58" t="s">
        <v>1106</v>
      </c>
      <c r="C203" s="12" t="s">
        <v>1190</v>
      </c>
      <c r="E203" s="12" t="s">
        <v>1104</v>
      </c>
      <c r="F203" s="12" t="s">
        <v>865</v>
      </c>
      <c r="G203" s="12" t="s">
        <v>518</v>
      </c>
      <c r="H203" s="12" t="s">
        <v>761</v>
      </c>
    </row>
    <row r="204">
      <c r="A204" s="12" t="s">
        <v>1062</v>
      </c>
      <c r="B204" s="12" t="s">
        <v>930</v>
      </c>
      <c r="C204" s="12" t="s">
        <v>1093</v>
      </c>
      <c r="E204" s="12" t="s">
        <v>605</v>
      </c>
      <c r="F204" s="12" t="s">
        <v>1194</v>
      </c>
      <c r="G204" s="12" t="s">
        <v>1195</v>
      </c>
      <c r="H204" s="12" t="s">
        <v>1196</v>
      </c>
    </row>
    <row r="205">
      <c r="A205" s="12" t="s">
        <v>1197</v>
      </c>
      <c r="B205" s="58" t="s">
        <v>1198</v>
      </c>
      <c r="E205" s="12" t="s">
        <v>894</v>
      </c>
      <c r="F205" s="12" t="s">
        <v>989</v>
      </c>
      <c r="G205" s="12" t="s">
        <v>989</v>
      </c>
      <c r="H205" s="12" t="s">
        <v>989</v>
      </c>
    </row>
    <row r="206">
      <c r="B206" s="12" t="s">
        <v>1158</v>
      </c>
      <c r="E206" s="12" t="s">
        <v>1199</v>
      </c>
      <c r="F206" s="12" t="s">
        <v>1200</v>
      </c>
      <c r="G206" s="12" t="s">
        <v>1201</v>
      </c>
      <c r="H206" s="12" t="s">
        <v>1200</v>
      </c>
    </row>
    <row r="207">
      <c r="B207" s="58" t="s">
        <v>1202</v>
      </c>
      <c r="G207" s="12" t="s">
        <v>1203</v>
      </c>
      <c r="H207" s="12" t="s">
        <v>1204</v>
      </c>
    </row>
    <row r="208">
      <c r="B208" s="12" t="s">
        <v>1093</v>
      </c>
      <c r="G208" s="12" t="s">
        <v>1204</v>
      </c>
      <c r="H208" s="12" t="s">
        <v>1205</v>
      </c>
    </row>
    <row r="209">
      <c r="B209" s="12" t="s">
        <v>989</v>
      </c>
      <c r="H209" s="12" t="s">
        <v>1049</v>
      </c>
    </row>
    <row r="210">
      <c r="B210" s="12" t="s">
        <v>999</v>
      </c>
      <c r="H210" s="12" t="s">
        <v>1199</v>
      </c>
    </row>
    <row r="211">
      <c r="B211" s="58" t="s">
        <v>1208</v>
      </c>
      <c r="H211" s="12" t="s">
        <v>1005</v>
      </c>
    </row>
    <row r="212">
      <c r="B212" s="12" t="s">
        <v>1210</v>
      </c>
      <c r="H212" s="12" t="s">
        <v>1205</v>
      </c>
    </row>
    <row r="213">
      <c r="B213" s="12" t="s">
        <v>999</v>
      </c>
      <c r="H213" s="12" t="s">
        <v>1212</v>
      </c>
    </row>
    <row r="214">
      <c r="B214" s="12" t="s">
        <v>1006</v>
      </c>
      <c r="H214" s="12" t="s">
        <v>1154</v>
      </c>
    </row>
    <row r="215">
      <c r="B215" s="58" t="s">
        <v>1213</v>
      </c>
      <c r="H215" s="12" t="s">
        <v>989</v>
      </c>
    </row>
    <row r="216">
      <c r="B216" s="12" t="s">
        <v>1083</v>
      </c>
      <c r="H216" s="12" t="s">
        <v>1205</v>
      </c>
    </row>
    <row r="217">
      <c r="B217" s="12" t="s">
        <v>1215</v>
      </c>
      <c r="H217" s="12" t="s">
        <v>1217</v>
      </c>
    </row>
    <row r="218">
      <c r="B218" s="12" t="s">
        <v>987</v>
      </c>
      <c r="H218" s="12" t="s">
        <v>717</v>
      </c>
    </row>
    <row r="219">
      <c r="H219" s="12" t="s">
        <v>1005</v>
      </c>
    </row>
    <row r="220">
      <c r="H220" s="12" t="s">
        <v>1219</v>
      </c>
    </row>
    <row r="221">
      <c r="H221" s="12" t="s">
        <v>1205</v>
      </c>
    </row>
    <row r="222">
      <c r="H222" s="12" t="s">
        <v>1221</v>
      </c>
    </row>
    <row r="223">
      <c r="H223" s="12" t="s">
        <v>1222</v>
      </c>
    </row>
    <row r="224">
      <c r="H224" s="12" t="s">
        <v>1205</v>
      </c>
    </row>
    <row r="225">
      <c r="H225" s="12" t="s">
        <v>1223</v>
      </c>
    </row>
    <row r="226">
      <c r="H226" s="12" t="s">
        <v>605</v>
      </c>
    </row>
    <row r="227">
      <c r="H227" s="12" t="s">
        <v>1205</v>
      </c>
    </row>
    <row r="228">
      <c r="H228" s="12" t="s">
        <v>1224</v>
      </c>
    </row>
    <row r="229">
      <c r="H229" s="12" t="s">
        <v>1225</v>
      </c>
    </row>
    <row r="230">
      <c r="H230" s="12" t="s">
        <v>989</v>
      </c>
    </row>
    <row r="231">
      <c r="H231" s="12" t="s">
        <v>1200</v>
      </c>
    </row>
    <row r="232">
      <c r="H232" s="12" t="s">
        <v>1205</v>
      </c>
    </row>
    <row r="239">
      <c r="A239" s="112" t="s">
        <v>1015</v>
      </c>
    </row>
    <row r="240">
      <c r="A240" s="112">
        <f>A243</f>
        <v>354000</v>
      </c>
    </row>
    <row r="241">
      <c r="A241" s="112">
        <v>2026.0</v>
      </c>
    </row>
    <row r="242">
      <c r="A242" s="112" t="s">
        <v>749</v>
      </c>
    </row>
    <row r="243">
      <c r="A243" s="112">
        <f>A246+B246+C246+D246+E246+F246+G246+H246</f>
        <v>354000</v>
      </c>
    </row>
    <row r="244">
      <c r="A244" s="85" t="s">
        <v>1035</v>
      </c>
      <c r="B244" s="85" t="s">
        <v>1013</v>
      </c>
      <c r="C244" s="85" t="s">
        <v>1016</v>
      </c>
      <c r="D244" s="85" t="s">
        <v>1023</v>
      </c>
      <c r="E244" s="85" t="s">
        <v>1037</v>
      </c>
      <c r="F244" s="85" t="s">
        <v>1038</v>
      </c>
      <c r="G244" s="85" t="s">
        <v>1039</v>
      </c>
      <c r="H244" s="85" t="s">
        <v>1033</v>
      </c>
    </row>
    <row r="245">
      <c r="A245" s="11" t="s">
        <v>683</v>
      </c>
      <c r="B245" s="11" t="s">
        <v>683</v>
      </c>
      <c r="C245" s="11" t="s">
        <v>683</v>
      </c>
      <c r="D245" s="11" t="s">
        <v>683</v>
      </c>
      <c r="E245" s="11" t="s">
        <v>683</v>
      </c>
      <c r="F245" s="11" t="s">
        <v>683</v>
      </c>
      <c r="G245" s="11" t="s">
        <v>683</v>
      </c>
      <c r="H245" s="11" t="s">
        <v>683</v>
      </c>
    </row>
    <row r="246">
      <c r="A246" s="85">
        <v>0.0</v>
      </c>
      <c r="B246" s="85">
        <v>0.0</v>
      </c>
      <c r="C246" s="85">
        <v>0.0</v>
      </c>
      <c r="D246" s="85">
        <v>0.0</v>
      </c>
      <c r="E246" s="85">
        <v>0.0</v>
      </c>
      <c r="F246" s="85">
        <v>57000.0</v>
      </c>
      <c r="G246" s="85">
        <v>268000.0</v>
      </c>
      <c r="H246" s="85">
        <f>7000+22000</f>
        <v>29000</v>
      </c>
    </row>
    <row r="247">
      <c r="F247" s="12" t="s">
        <v>1257</v>
      </c>
      <c r="G247" s="12" t="s">
        <v>68</v>
      </c>
      <c r="H247" s="12" t="s">
        <v>1106</v>
      </c>
    </row>
    <row r="248">
      <c r="F248" s="12" t="s">
        <v>1259</v>
      </c>
      <c r="G248" s="12" t="s">
        <v>1260</v>
      </c>
      <c r="H248" s="12" t="s">
        <v>700</v>
      </c>
    </row>
    <row r="249">
      <c r="F249" s="12" t="s">
        <v>1262</v>
      </c>
      <c r="G249" s="12" t="s">
        <v>1262</v>
      </c>
      <c r="H249" s="12" t="s">
        <v>1266</v>
      </c>
    </row>
    <row r="250">
      <c r="F250" s="12" t="s">
        <v>1269</v>
      </c>
      <c r="G250" s="12" t="s">
        <v>1269</v>
      </c>
    </row>
    <row r="251">
      <c r="F251" s="12" t="s">
        <v>1271</v>
      </c>
      <c r="G251" s="12" t="s">
        <v>1273</v>
      </c>
    </row>
    <row r="252">
      <c r="F252" s="12" t="s">
        <v>605</v>
      </c>
      <c r="G252" s="12" t="s">
        <v>706</v>
      </c>
    </row>
    <row r="253">
      <c r="G253" s="12" t="s">
        <v>698</v>
      </c>
    </row>
    <row r="254">
      <c r="G254" s="12" t="s">
        <v>1262</v>
      </c>
    </row>
    <row r="255">
      <c r="G255" s="12" t="s">
        <v>1276</v>
      </c>
    </row>
    <row r="258">
      <c r="A258" s="114" t="s">
        <v>1048</v>
      </c>
    </row>
    <row r="259">
      <c r="A259" s="114">
        <f>A262</f>
        <v>36000</v>
      </c>
    </row>
    <row r="260">
      <c r="A260" s="114">
        <v>2026.0</v>
      </c>
    </row>
    <row r="261">
      <c r="A261" s="114" t="s">
        <v>749</v>
      </c>
    </row>
    <row r="262">
      <c r="A262" s="115">
        <f>A265+B265+C265+D265+E265+F265+G265+H265+I265+J265</f>
        <v>36000</v>
      </c>
    </row>
    <row r="263">
      <c r="A263" s="85" t="s">
        <v>1066</v>
      </c>
      <c r="B263" s="85" t="s">
        <v>1068</v>
      </c>
      <c r="C263" s="85" t="s">
        <v>1069</v>
      </c>
      <c r="D263" s="85" t="s">
        <v>1070</v>
      </c>
      <c r="E263" s="85" t="s">
        <v>1072</v>
      </c>
      <c r="F263" s="85" t="s">
        <v>1073</v>
      </c>
      <c r="G263" s="85" t="s">
        <v>1074</v>
      </c>
      <c r="H263" s="85" t="s">
        <v>1076</v>
      </c>
      <c r="I263" s="85" t="s">
        <v>1078</v>
      </c>
      <c r="J263" s="85" t="s">
        <v>1080</v>
      </c>
    </row>
    <row r="264">
      <c r="A264" s="11" t="s">
        <v>683</v>
      </c>
      <c r="B264" s="11" t="s">
        <v>683</v>
      </c>
      <c r="C264" s="11" t="s">
        <v>683</v>
      </c>
      <c r="D264" s="11" t="s">
        <v>683</v>
      </c>
      <c r="E264" s="11" t="s">
        <v>683</v>
      </c>
      <c r="F264" s="11" t="s">
        <v>683</v>
      </c>
      <c r="G264" s="11" t="s">
        <v>683</v>
      </c>
      <c r="H264" s="34" t="s">
        <v>683</v>
      </c>
      <c r="I264" s="34" t="s">
        <v>683</v>
      </c>
      <c r="J264" s="34" t="s">
        <v>683</v>
      </c>
    </row>
    <row r="265">
      <c r="A265" s="85">
        <v>0.0</v>
      </c>
      <c r="B265" s="85">
        <v>0.0</v>
      </c>
      <c r="C265" s="85">
        <v>7000.0</v>
      </c>
      <c r="D265" s="85">
        <v>0.0</v>
      </c>
      <c r="E265" s="85">
        <v>2000.0</v>
      </c>
      <c r="F265" s="85">
        <v>0.0</v>
      </c>
      <c r="G265" s="85">
        <v>2000.0</v>
      </c>
      <c r="H265" s="85">
        <v>0.0</v>
      </c>
      <c r="I265" s="85">
        <v>0.0</v>
      </c>
      <c r="J265" s="85">
        <v>25000.0</v>
      </c>
    </row>
    <row r="266">
      <c r="C266" s="12" t="s">
        <v>1305</v>
      </c>
      <c r="E266" s="12" t="s">
        <v>1307</v>
      </c>
      <c r="G266" s="12" t="s">
        <v>871</v>
      </c>
      <c r="J266" s="12" t="s">
        <v>865</v>
      </c>
    </row>
    <row r="267">
      <c r="C267" s="12" t="s">
        <v>700</v>
      </c>
      <c r="E267" s="12" t="s">
        <v>653</v>
      </c>
      <c r="G267" s="12" t="s">
        <v>653</v>
      </c>
      <c r="J267" s="12" t="s">
        <v>1312</v>
      </c>
    </row>
  </sheetData>
  <mergeCells count="89">
    <mergeCell ref="P64:S64"/>
    <mergeCell ref="P68:Q68"/>
    <mergeCell ref="O69:O74"/>
    <mergeCell ref="P72:S72"/>
    <mergeCell ref="P74:Q74"/>
    <mergeCell ref="O58:O60"/>
    <mergeCell ref="O61:O68"/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258:J258"/>
    <mergeCell ref="A259:J259"/>
    <mergeCell ref="A260:J260"/>
    <mergeCell ref="A261:J261"/>
    <mergeCell ref="A262:J262"/>
    <mergeCell ref="A195:J195"/>
    <mergeCell ref="A196:J196"/>
    <mergeCell ref="A197:J197"/>
    <mergeCell ref="A198:J198"/>
    <mergeCell ref="A199:J199"/>
    <mergeCell ref="A239:H239"/>
    <mergeCell ref="A240:H240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P10:Q10"/>
    <mergeCell ref="P41:S41"/>
    <mergeCell ref="P46:Q46"/>
    <mergeCell ref="O47:O51"/>
    <mergeCell ref="P51:Q51"/>
    <mergeCell ref="O52:O57"/>
    <mergeCell ref="P52:S52"/>
    <mergeCell ref="P57:Q57"/>
    <mergeCell ref="P58:S58"/>
    <mergeCell ref="P60:Q60"/>
    <mergeCell ref="A241:H241"/>
    <mergeCell ref="A242:H242"/>
    <mergeCell ref="A243:H243"/>
    <mergeCell ref="N20:N21"/>
    <mergeCell ref="N18:N19"/>
    <mergeCell ref="L20:L21"/>
    <mergeCell ref="L18:L19"/>
    <mergeCell ref="L11:L12"/>
    <mergeCell ref="N11:N12"/>
    <mergeCell ref="O11:O16"/>
    <mergeCell ref="P13:S13"/>
    <mergeCell ref="P16:Q16"/>
    <mergeCell ref="P23:S23"/>
    <mergeCell ref="L14:L17"/>
    <mergeCell ref="L24:M24"/>
    <mergeCell ref="O17:O30"/>
    <mergeCell ref="P30:Q30"/>
    <mergeCell ref="O31:O33"/>
    <mergeCell ref="P33:Q33"/>
    <mergeCell ref="O34:O46"/>
    <mergeCell ref="N14:N1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1" max="11" width="21.5"/>
    <col customWidth="1" min="13" max="13" width="14.38"/>
    <col customWidth="1" min="14" max="14" width="16.0"/>
    <col customWidth="1" min="19" max="19" width="32.5"/>
  </cols>
  <sheetData>
    <row r="1">
      <c r="A1" s="4" t="s">
        <v>2</v>
      </c>
    </row>
    <row r="2">
      <c r="A2" s="4" t="s">
        <v>10</v>
      </c>
    </row>
    <row r="3">
      <c r="A3" s="8" t="s">
        <v>6</v>
      </c>
    </row>
    <row r="4">
      <c r="A4" s="16">
        <f>100000+B6+C6+D6+F6+I6+A83+E18+D27+J6+M6</f>
        <v>1809870</v>
      </c>
    </row>
    <row r="5">
      <c r="A5" s="18" t="s">
        <v>19</v>
      </c>
      <c r="B5" s="18" t="s">
        <v>46</v>
      </c>
      <c r="C5" s="20" t="s">
        <v>47</v>
      </c>
      <c r="D5" s="18" t="s">
        <v>24</v>
      </c>
      <c r="E5" s="18" t="s">
        <v>49</v>
      </c>
      <c r="F5" s="18" t="s">
        <v>50</v>
      </c>
      <c r="I5" s="18" t="s">
        <v>52</v>
      </c>
      <c r="J5" s="11" t="s">
        <v>56</v>
      </c>
      <c r="M5" s="21" t="s">
        <v>60</v>
      </c>
      <c r="S5" s="22"/>
    </row>
    <row r="6">
      <c r="A6" s="12" t="s">
        <v>64</v>
      </c>
      <c r="B6" s="16">
        <v>-230000.0</v>
      </c>
      <c r="C6" s="16">
        <v>20000.0</v>
      </c>
      <c r="D6" s="16">
        <v>31000.0</v>
      </c>
      <c r="E6" s="25" t="s">
        <v>69</v>
      </c>
      <c r="F6" s="16">
        <v>-15000.0</v>
      </c>
      <c r="I6" s="16">
        <v>-20000.0</v>
      </c>
      <c r="J6" s="26">
        <f>-60000+J9</f>
        <v>107000</v>
      </c>
      <c r="M6" s="29">
        <f>P9+P19+P33+P38+P42+P49</f>
        <v>165250</v>
      </c>
      <c r="S6" s="30"/>
    </row>
    <row r="7">
      <c r="A7" s="12" t="s">
        <v>71</v>
      </c>
      <c r="B7" s="18" t="s">
        <v>35</v>
      </c>
      <c r="C7" s="12" t="s">
        <v>73</v>
      </c>
      <c r="D7" s="12" t="s">
        <v>74</v>
      </c>
      <c r="E7" s="25" t="s">
        <v>76</v>
      </c>
      <c r="F7" s="12" t="s">
        <v>77</v>
      </c>
      <c r="G7" s="33" t="s">
        <v>79</v>
      </c>
      <c r="H7" s="12" t="s">
        <v>81</v>
      </c>
      <c r="I7" s="25" t="s">
        <v>83</v>
      </c>
      <c r="J7" s="11" t="s">
        <v>84</v>
      </c>
      <c r="M7" s="18" t="s">
        <v>85</v>
      </c>
      <c r="N7" s="18" t="s">
        <v>87</v>
      </c>
      <c r="O7" s="18" t="s">
        <v>88</v>
      </c>
      <c r="P7" s="18" t="s">
        <v>1</v>
      </c>
      <c r="Q7" s="18" t="s">
        <v>90</v>
      </c>
      <c r="S7" s="33"/>
    </row>
    <row r="8">
      <c r="A8" s="12" t="s">
        <v>91</v>
      </c>
      <c r="B8" s="36" t="s">
        <v>92</v>
      </c>
      <c r="C8" s="12" t="s">
        <v>93</v>
      </c>
      <c r="D8" s="12" t="s">
        <v>94</v>
      </c>
      <c r="E8" s="25" t="s">
        <v>95</v>
      </c>
      <c r="F8" s="12" t="s">
        <v>96</v>
      </c>
      <c r="G8" s="33" t="s">
        <v>97</v>
      </c>
      <c r="H8" s="12" t="s">
        <v>98</v>
      </c>
      <c r="I8" s="25" t="s">
        <v>99</v>
      </c>
      <c r="J8" s="11" t="s">
        <v>89</v>
      </c>
      <c r="M8" s="38" t="s">
        <v>102</v>
      </c>
      <c r="N8" s="36" t="s">
        <v>106</v>
      </c>
      <c r="O8" s="36">
        <v>0.5</v>
      </c>
      <c r="P8" s="36">
        <f>O8*1000</f>
        <v>500</v>
      </c>
      <c r="Q8" s="39">
        <f>O8*20</f>
        <v>10</v>
      </c>
      <c r="S8" s="33"/>
    </row>
    <row r="9">
      <c r="A9" s="12" t="s">
        <v>110</v>
      </c>
      <c r="B9" s="36" t="s">
        <v>112</v>
      </c>
      <c r="C9" s="12" t="s">
        <v>113</v>
      </c>
      <c r="D9" s="12" t="s">
        <v>114</v>
      </c>
      <c r="E9" s="25" t="s">
        <v>115</v>
      </c>
      <c r="F9" s="12" t="s">
        <v>111</v>
      </c>
      <c r="G9" s="33" t="s">
        <v>116</v>
      </c>
      <c r="H9" s="12" t="s">
        <v>117</v>
      </c>
      <c r="J9" s="43">
        <f>L11+L13+L15+L17+L18</f>
        <v>167000</v>
      </c>
      <c r="N9" s="45" t="s">
        <v>118</v>
      </c>
      <c r="P9" s="47">
        <f t="shared" ref="P9:Q9" si="1">P8</f>
        <v>500</v>
      </c>
      <c r="Q9" s="47">
        <f t="shared" si="1"/>
        <v>10</v>
      </c>
      <c r="S9" s="33"/>
    </row>
    <row r="10">
      <c r="A10" s="12" t="s">
        <v>128</v>
      </c>
      <c r="B10" s="36" t="s">
        <v>129</v>
      </c>
      <c r="C10" s="12" t="s">
        <v>131</v>
      </c>
      <c r="D10" s="12" t="s">
        <v>132</v>
      </c>
      <c r="E10" s="25" t="s">
        <v>133</v>
      </c>
      <c r="F10" s="12" t="s">
        <v>134</v>
      </c>
      <c r="G10" s="33" t="s">
        <v>136</v>
      </c>
      <c r="H10" s="12" t="s">
        <v>137</v>
      </c>
      <c r="J10" s="49" t="s">
        <v>130</v>
      </c>
      <c r="K10" s="49" t="s">
        <v>135</v>
      </c>
      <c r="L10" s="49" t="s">
        <v>1</v>
      </c>
      <c r="M10" s="38" t="s">
        <v>139</v>
      </c>
      <c r="N10" s="36" t="s">
        <v>106</v>
      </c>
      <c r="O10" s="36">
        <v>1.5</v>
      </c>
      <c r="P10" s="36">
        <f>O10*1000</f>
        <v>1500</v>
      </c>
      <c r="Q10" s="39">
        <f>O10*20</f>
        <v>30</v>
      </c>
      <c r="S10" s="33"/>
    </row>
    <row r="11">
      <c r="A11" s="12" t="s">
        <v>151</v>
      </c>
      <c r="B11" s="36" t="s">
        <v>152</v>
      </c>
      <c r="C11" s="12" t="s">
        <v>153</v>
      </c>
      <c r="D11" s="12" t="s">
        <v>154</v>
      </c>
      <c r="E11" s="25" t="s">
        <v>155</v>
      </c>
      <c r="F11" s="12" t="s">
        <v>156</v>
      </c>
      <c r="G11" s="33" t="s">
        <v>157</v>
      </c>
      <c r="H11" s="12" t="s">
        <v>158</v>
      </c>
      <c r="J11" s="50" t="s">
        <v>159</v>
      </c>
      <c r="K11" s="14" t="s">
        <v>160</v>
      </c>
      <c r="L11" s="50">
        <v>7000.0</v>
      </c>
      <c r="N11" s="36" t="s">
        <v>161</v>
      </c>
      <c r="O11" s="36">
        <v>1.5</v>
      </c>
      <c r="P11" s="39">
        <f>O11*2000</f>
        <v>3000</v>
      </c>
      <c r="Q11" s="39">
        <f>O11*40</f>
        <v>60</v>
      </c>
      <c r="S11" s="33"/>
    </row>
    <row r="12">
      <c r="A12" s="12" t="s">
        <v>171</v>
      </c>
      <c r="B12" s="36" t="s">
        <v>172</v>
      </c>
      <c r="C12" s="12" t="s">
        <v>174</v>
      </c>
      <c r="D12" s="12" t="s">
        <v>175</v>
      </c>
      <c r="E12" s="12" t="s">
        <v>176</v>
      </c>
      <c r="F12" s="12" t="s">
        <v>178</v>
      </c>
      <c r="G12" s="33" t="s">
        <v>179</v>
      </c>
      <c r="H12" s="12"/>
      <c r="K12" s="14" t="s">
        <v>180</v>
      </c>
      <c r="N12" s="36" t="s">
        <v>181</v>
      </c>
      <c r="O12" s="36">
        <v>4.5</v>
      </c>
      <c r="P12" s="39">
        <f>O12*8000</f>
        <v>36000</v>
      </c>
      <c r="Q12" s="39">
        <f>O12*80</f>
        <v>360</v>
      </c>
      <c r="S12" s="33"/>
    </row>
    <row r="13">
      <c r="A13" s="12" t="s">
        <v>182</v>
      </c>
      <c r="B13" s="36" t="s">
        <v>184</v>
      </c>
      <c r="C13" s="54" t="s">
        <v>186</v>
      </c>
      <c r="D13" s="12" t="s">
        <v>190</v>
      </c>
      <c r="E13" s="12" t="s">
        <v>192</v>
      </c>
      <c r="F13" s="12" t="s">
        <v>195</v>
      </c>
      <c r="G13" s="33" t="s">
        <v>175</v>
      </c>
      <c r="J13" s="14" t="s">
        <v>198</v>
      </c>
      <c r="K13" s="14" t="s">
        <v>160</v>
      </c>
      <c r="L13" s="14">
        <v>5000.0</v>
      </c>
      <c r="N13" s="36" t="s">
        <v>199</v>
      </c>
      <c r="O13" s="36">
        <v>1.0</v>
      </c>
      <c r="P13" s="39">
        <f>O13*5000</f>
        <v>5000</v>
      </c>
      <c r="Q13" s="39">
        <f t="shared" ref="Q13:Q14" si="2">O13*100</f>
        <v>100</v>
      </c>
      <c r="S13" s="33"/>
    </row>
    <row r="14">
      <c r="A14" s="12" t="s">
        <v>213</v>
      </c>
      <c r="B14" s="36" t="s">
        <v>214</v>
      </c>
      <c r="C14" s="12" t="s">
        <v>216</v>
      </c>
      <c r="D14" s="12" t="s">
        <v>217</v>
      </c>
      <c r="F14" s="12" t="s">
        <v>218</v>
      </c>
      <c r="G14" s="33" t="s">
        <v>220</v>
      </c>
      <c r="K14" s="14" t="s">
        <v>196</v>
      </c>
      <c r="N14" s="36" t="s">
        <v>223</v>
      </c>
      <c r="O14" s="36">
        <v>1.0</v>
      </c>
      <c r="P14" s="39">
        <f>O14*10000</f>
        <v>10000</v>
      </c>
      <c r="Q14" s="39">
        <f t="shared" si="2"/>
        <v>100</v>
      </c>
      <c r="S14" s="33"/>
    </row>
    <row r="15">
      <c r="A15" s="12" t="s">
        <v>233</v>
      </c>
      <c r="B15" s="36" t="s">
        <v>235</v>
      </c>
      <c r="C15" s="12" t="s">
        <v>236</v>
      </c>
      <c r="D15" s="12" t="s">
        <v>237</v>
      </c>
      <c r="F15" s="12" t="s">
        <v>238</v>
      </c>
      <c r="G15" s="33" t="s">
        <v>239</v>
      </c>
      <c r="J15" s="50" t="s">
        <v>240</v>
      </c>
      <c r="K15" s="14" t="s">
        <v>241</v>
      </c>
      <c r="L15" s="50">
        <v>4000.0</v>
      </c>
      <c r="N15" s="36" t="s">
        <v>215</v>
      </c>
      <c r="S15" s="33"/>
    </row>
    <row r="16">
      <c r="A16" s="12" t="s">
        <v>244</v>
      </c>
      <c r="B16" s="18" t="s">
        <v>40</v>
      </c>
      <c r="C16" s="12" t="s">
        <v>245</v>
      </c>
      <c r="D16" s="12" t="s">
        <v>246</v>
      </c>
      <c r="F16" s="12" t="s">
        <v>247</v>
      </c>
      <c r="G16" s="33" t="s">
        <v>248</v>
      </c>
      <c r="K16" s="14" t="s">
        <v>249</v>
      </c>
      <c r="N16" s="36" t="s">
        <v>251</v>
      </c>
      <c r="O16" s="36">
        <v>1.0</v>
      </c>
      <c r="P16" s="39">
        <f t="shared" ref="P16:P18" si="3">O16*1500</f>
        <v>1500</v>
      </c>
      <c r="Q16" s="39">
        <f t="shared" ref="Q16:Q18" si="4">O16*60</f>
        <v>60</v>
      </c>
      <c r="S16" s="33"/>
    </row>
    <row r="17">
      <c r="A17" s="12" t="s">
        <v>260</v>
      </c>
      <c r="B17" s="36" t="s">
        <v>42</v>
      </c>
      <c r="C17" s="12" t="s">
        <v>261</v>
      </c>
      <c r="D17" s="12" t="s">
        <v>262</v>
      </c>
      <c r="E17" s="18" t="s">
        <v>205</v>
      </c>
      <c r="F17" s="12" t="s">
        <v>263</v>
      </c>
      <c r="G17" s="33" t="s">
        <v>264</v>
      </c>
      <c r="J17" s="14" t="s">
        <v>265</v>
      </c>
      <c r="K17" s="14" t="s">
        <v>196</v>
      </c>
      <c r="L17" s="14">
        <v>1000.0</v>
      </c>
      <c r="N17" s="36" t="s">
        <v>268</v>
      </c>
      <c r="O17" s="36">
        <v>2.0</v>
      </c>
      <c r="P17" s="39">
        <f t="shared" si="3"/>
        <v>3000</v>
      </c>
      <c r="Q17" s="39">
        <f t="shared" si="4"/>
        <v>120</v>
      </c>
      <c r="S17" s="33"/>
    </row>
    <row r="18">
      <c r="A18" s="12" t="s">
        <v>277</v>
      </c>
      <c r="B18" s="18" t="s">
        <v>44</v>
      </c>
      <c r="C18" s="12" t="s">
        <v>281</v>
      </c>
      <c r="D18" s="12" t="s">
        <v>246</v>
      </c>
      <c r="E18" s="65">
        <v>-500.0</v>
      </c>
      <c r="F18" s="12" t="s">
        <v>286</v>
      </c>
      <c r="G18" s="33" t="s">
        <v>287</v>
      </c>
      <c r="J18" s="11" t="s">
        <v>288</v>
      </c>
      <c r="L18" s="11">
        <v>150000.0</v>
      </c>
      <c r="N18" s="36" t="s">
        <v>289</v>
      </c>
      <c r="O18" s="36">
        <v>1.0</v>
      </c>
      <c r="P18" s="39">
        <f t="shared" si="3"/>
        <v>1500</v>
      </c>
      <c r="Q18" s="39">
        <f t="shared" si="4"/>
        <v>60</v>
      </c>
      <c r="S18" s="33"/>
    </row>
    <row r="19">
      <c r="A19" s="12" t="s">
        <v>296</v>
      </c>
      <c r="B19" s="36" t="s">
        <v>42</v>
      </c>
      <c r="C19" s="12" t="s">
        <v>302</v>
      </c>
      <c r="D19" s="12" t="s">
        <v>190</v>
      </c>
      <c r="E19" s="25" t="s">
        <v>307</v>
      </c>
      <c r="F19" s="12" t="s">
        <v>247</v>
      </c>
      <c r="G19" s="33" t="s">
        <v>310</v>
      </c>
      <c r="N19" s="45" t="s">
        <v>118</v>
      </c>
      <c r="P19" s="47">
        <f t="shared" ref="P19:Q19" si="5">P10+P11+P12+P16+P17+P18+P13+P14</f>
        <v>61500</v>
      </c>
      <c r="Q19" s="47">
        <f t="shared" si="5"/>
        <v>890</v>
      </c>
      <c r="S19" s="33"/>
    </row>
    <row r="20">
      <c r="A20" s="12" t="s">
        <v>317</v>
      </c>
      <c r="C20" s="12" t="s">
        <v>318</v>
      </c>
      <c r="D20" s="12" t="s">
        <v>319</v>
      </c>
      <c r="F20" s="12" t="s">
        <v>322</v>
      </c>
      <c r="G20" s="12" t="s">
        <v>324</v>
      </c>
      <c r="J20" s="19"/>
      <c r="K20" s="19"/>
      <c r="L20" s="19"/>
      <c r="M20" s="38" t="s">
        <v>240</v>
      </c>
      <c r="N20" s="36" t="s">
        <v>106</v>
      </c>
      <c r="O20" s="36">
        <v>1.0</v>
      </c>
      <c r="P20" s="36">
        <f>O20*1000</f>
        <v>1000</v>
      </c>
      <c r="Q20" s="39">
        <f t="shared" ref="Q20:Q21" si="6">O20*20</f>
        <v>20</v>
      </c>
      <c r="S20" s="33"/>
    </row>
    <row r="21">
      <c r="A21" s="12" t="s">
        <v>349</v>
      </c>
      <c r="C21" s="12" t="s">
        <v>352</v>
      </c>
      <c r="D21" s="12" t="s">
        <v>356</v>
      </c>
      <c r="F21" s="12" t="s">
        <v>358</v>
      </c>
      <c r="N21" s="36" t="s">
        <v>361</v>
      </c>
      <c r="O21" s="36">
        <v>1.0</v>
      </c>
      <c r="P21" s="36">
        <f t="shared" ref="P21:P22" si="7">O21*2000</f>
        <v>2000</v>
      </c>
      <c r="Q21" s="39">
        <f t="shared" si="6"/>
        <v>20</v>
      </c>
      <c r="S21" s="33"/>
    </row>
    <row r="22">
      <c r="A22" s="12" t="s">
        <v>376</v>
      </c>
      <c r="C22" s="12" t="s">
        <v>377</v>
      </c>
      <c r="F22" s="12" t="s">
        <v>218</v>
      </c>
      <c r="N22" s="36" t="s">
        <v>161</v>
      </c>
      <c r="O22" s="36">
        <v>1.0</v>
      </c>
      <c r="P22" s="39">
        <f t="shared" si="7"/>
        <v>2000</v>
      </c>
      <c r="Q22" s="39">
        <f>O22*40</f>
        <v>40</v>
      </c>
      <c r="S22" s="33"/>
    </row>
    <row r="23">
      <c r="A23" s="12" t="s">
        <v>383</v>
      </c>
      <c r="C23" s="12" t="s">
        <v>385</v>
      </c>
      <c r="F23" s="12" t="s">
        <v>388</v>
      </c>
      <c r="N23" s="36" t="s">
        <v>338</v>
      </c>
      <c r="O23" s="36">
        <v>1.0</v>
      </c>
      <c r="P23" s="39">
        <f>O23*3000</f>
        <v>3000</v>
      </c>
      <c r="Q23" s="39">
        <f>O23*60</f>
        <v>60</v>
      </c>
      <c r="S23" s="33"/>
    </row>
    <row r="24">
      <c r="A24" s="12" t="s">
        <v>409</v>
      </c>
      <c r="C24" s="12" t="s">
        <v>411</v>
      </c>
      <c r="F24" s="12" t="s">
        <v>414</v>
      </c>
      <c r="N24" s="36" t="s">
        <v>199</v>
      </c>
      <c r="O24" s="36">
        <v>3.0</v>
      </c>
      <c r="P24" s="39">
        <f>O24*5000</f>
        <v>15000</v>
      </c>
      <c r="Q24" s="39">
        <f>O24*100</f>
        <v>300</v>
      </c>
      <c r="S24" s="33"/>
    </row>
    <row r="25">
      <c r="A25" s="12" t="s">
        <v>433</v>
      </c>
      <c r="C25" s="12" t="s">
        <v>434</v>
      </c>
      <c r="F25" s="12" t="s">
        <v>436</v>
      </c>
      <c r="N25" s="36" t="s">
        <v>181</v>
      </c>
      <c r="O25" s="36">
        <v>1.5</v>
      </c>
      <c r="P25" s="39">
        <f>O25*8000</f>
        <v>12000</v>
      </c>
      <c r="Q25" s="39">
        <f>O25*80</f>
        <v>120</v>
      </c>
      <c r="S25" s="33"/>
    </row>
    <row r="26">
      <c r="A26" s="12" t="s">
        <v>453</v>
      </c>
      <c r="C26" s="12" t="s">
        <v>454</v>
      </c>
      <c r="D26" s="18" t="s">
        <v>455</v>
      </c>
      <c r="F26" s="12" t="s">
        <v>247</v>
      </c>
      <c r="N26" s="36" t="s">
        <v>223</v>
      </c>
      <c r="O26" s="36">
        <v>1.0</v>
      </c>
      <c r="P26" s="39">
        <f>O26*10000</f>
        <v>10000</v>
      </c>
      <c r="Q26" s="39">
        <f>O26*100</f>
        <v>100</v>
      </c>
      <c r="S26" s="33"/>
    </row>
    <row r="27">
      <c r="C27" s="12" t="s">
        <v>468</v>
      </c>
      <c r="D27" s="74">
        <v>50000.0</v>
      </c>
      <c r="F27" s="12" t="s">
        <v>472</v>
      </c>
      <c r="N27" s="36" t="s">
        <v>215</v>
      </c>
      <c r="S27" s="33"/>
    </row>
    <row r="28">
      <c r="C28" s="12" t="s">
        <v>477</v>
      </c>
      <c r="D28" s="14" t="s">
        <v>479</v>
      </c>
      <c r="F28" s="12" t="s">
        <v>480</v>
      </c>
      <c r="N28" s="36">
        <v>100.0</v>
      </c>
      <c r="O28" s="36">
        <v>1.5</v>
      </c>
      <c r="P28" s="39">
        <f t="shared" ref="P28:P32" si="8">O28*1500</f>
        <v>2250</v>
      </c>
      <c r="Q28" s="39">
        <f t="shared" ref="Q28:Q32" si="9">O28*60</f>
        <v>90</v>
      </c>
      <c r="S28" s="33"/>
    </row>
    <row r="29">
      <c r="C29" s="12" t="s">
        <v>486</v>
      </c>
      <c r="D29" s="14" t="s">
        <v>487</v>
      </c>
      <c r="F29" s="12" t="s">
        <v>166</v>
      </c>
      <c r="N29" s="36" t="s">
        <v>491</v>
      </c>
      <c r="O29" s="36">
        <v>2.0</v>
      </c>
      <c r="P29" s="39">
        <f t="shared" si="8"/>
        <v>3000</v>
      </c>
      <c r="Q29" s="39">
        <f t="shared" si="9"/>
        <v>120</v>
      </c>
      <c r="S29" s="33"/>
    </row>
    <row r="30">
      <c r="A30" s="12"/>
      <c r="F30" s="12" t="s">
        <v>498</v>
      </c>
      <c r="N30" s="36" t="s">
        <v>251</v>
      </c>
      <c r="O30" s="36">
        <v>2.0</v>
      </c>
      <c r="P30" s="39">
        <f t="shared" si="8"/>
        <v>3000</v>
      </c>
      <c r="Q30" s="39">
        <f t="shared" si="9"/>
        <v>120</v>
      </c>
      <c r="S30" s="33"/>
    </row>
    <row r="31">
      <c r="F31" s="12" t="s">
        <v>505</v>
      </c>
      <c r="N31" s="36" t="s">
        <v>268</v>
      </c>
      <c r="O31" s="36">
        <v>1.0</v>
      </c>
      <c r="P31" s="39">
        <f t="shared" si="8"/>
        <v>1500</v>
      </c>
      <c r="Q31" s="39">
        <f t="shared" si="9"/>
        <v>60</v>
      </c>
      <c r="S31" s="33"/>
    </row>
    <row r="32">
      <c r="F32" s="12" t="s">
        <v>388</v>
      </c>
      <c r="N32" s="36" t="s">
        <v>289</v>
      </c>
      <c r="O32" s="36">
        <v>1.0</v>
      </c>
      <c r="P32" s="39">
        <f t="shared" si="8"/>
        <v>1500</v>
      </c>
      <c r="Q32" s="39">
        <f t="shared" si="9"/>
        <v>60</v>
      </c>
      <c r="S32" s="33"/>
    </row>
    <row r="33">
      <c r="F33" s="12" t="s">
        <v>508</v>
      </c>
      <c r="N33" s="45" t="s">
        <v>118</v>
      </c>
      <c r="P33" s="47">
        <f t="shared" ref="P33:Q33" si="10">P20+P21+P22+P23+P24+P25+P28+P29+P30+P31+P32+P26</f>
        <v>56250</v>
      </c>
      <c r="Q33" s="47">
        <f t="shared" si="10"/>
        <v>1110</v>
      </c>
      <c r="S33" s="33"/>
    </row>
    <row r="34">
      <c r="F34" s="12" t="s">
        <v>195</v>
      </c>
      <c r="M34" s="38" t="s">
        <v>514</v>
      </c>
      <c r="N34" s="36" t="s">
        <v>338</v>
      </c>
      <c r="O34" s="36">
        <v>1.0</v>
      </c>
      <c r="P34" s="39">
        <f>O34*3000</f>
        <v>3000</v>
      </c>
      <c r="Q34" s="39">
        <f>O34*60</f>
        <v>60</v>
      </c>
      <c r="S34" s="33"/>
    </row>
    <row r="35">
      <c r="F35" s="12" t="s">
        <v>388</v>
      </c>
      <c r="N35" s="36" t="s">
        <v>215</v>
      </c>
      <c r="S35" s="33"/>
    </row>
    <row r="36">
      <c r="F36" s="12" t="s">
        <v>527</v>
      </c>
      <c r="N36" s="36" t="s">
        <v>491</v>
      </c>
      <c r="O36" s="36">
        <v>0.5</v>
      </c>
      <c r="P36" s="39">
        <f t="shared" ref="P36:P37" si="11">O36*1500</f>
        <v>750</v>
      </c>
      <c r="Q36" s="39">
        <f t="shared" ref="Q36:Q37" si="12">O36*60</f>
        <v>30</v>
      </c>
      <c r="S36" s="33"/>
    </row>
    <row r="37">
      <c r="F37" s="12" t="s">
        <v>166</v>
      </c>
      <c r="N37" s="36" t="s">
        <v>259</v>
      </c>
      <c r="O37" s="36">
        <v>0.5</v>
      </c>
      <c r="P37" s="39">
        <f t="shared" si="11"/>
        <v>750</v>
      </c>
      <c r="Q37" s="39">
        <f t="shared" si="12"/>
        <v>30</v>
      </c>
      <c r="S37" s="33"/>
    </row>
    <row r="38">
      <c r="F38" s="12" t="s">
        <v>536</v>
      </c>
      <c r="N38" s="45" t="s">
        <v>118</v>
      </c>
      <c r="P38" s="47">
        <f t="shared" ref="P38:Q38" si="13">P34+P36+P37</f>
        <v>4500</v>
      </c>
      <c r="Q38" s="47">
        <f t="shared" si="13"/>
        <v>120</v>
      </c>
      <c r="S38" s="33"/>
    </row>
    <row r="39">
      <c r="F39" s="12" t="s">
        <v>505</v>
      </c>
      <c r="M39" s="38" t="s">
        <v>543</v>
      </c>
      <c r="N39" s="36" t="s">
        <v>223</v>
      </c>
      <c r="O39" s="36">
        <v>1.0</v>
      </c>
      <c r="P39" s="39">
        <f>O39*10000</f>
        <v>10000</v>
      </c>
      <c r="Q39" s="39">
        <f>O39*100</f>
        <v>100</v>
      </c>
      <c r="S39" s="80"/>
    </row>
    <row r="40">
      <c r="F40" s="12" t="s">
        <v>545</v>
      </c>
      <c r="N40" s="36" t="s">
        <v>215</v>
      </c>
      <c r="S40" s="80"/>
    </row>
    <row r="41">
      <c r="F41" s="12" t="s">
        <v>547</v>
      </c>
      <c r="N41" s="36" t="s">
        <v>268</v>
      </c>
      <c r="O41" s="36">
        <v>3.0</v>
      </c>
      <c r="P41" s="39">
        <f>O41*1500</f>
        <v>4500</v>
      </c>
      <c r="Q41" s="39">
        <f>O41*60</f>
        <v>180</v>
      </c>
      <c r="S41" s="80"/>
    </row>
    <row r="42">
      <c r="F42" s="12" t="s">
        <v>195</v>
      </c>
      <c r="N42" s="45" t="s">
        <v>118</v>
      </c>
      <c r="P42" s="47">
        <f t="shared" ref="P42:Q42" si="14">P41+P39</f>
        <v>14500</v>
      </c>
      <c r="Q42" s="47">
        <f t="shared" si="14"/>
        <v>280</v>
      </c>
      <c r="S42" s="80"/>
    </row>
    <row r="43">
      <c r="F43" s="12" t="s">
        <v>286</v>
      </c>
      <c r="M43" s="38" t="s">
        <v>553</v>
      </c>
      <c r="N43" s="36" t="s">
        <v>161</v>
      </c>
      <c r="O43" s="36">
        <v>2.0</v>
      </c>
      <c r="P43" s="39">
        <f>O43*2000</f>
        <v>4000</v>
      </c>
      <c r="Q43" s="39">
        <f>O43*40</f>
        <v>80</v>
      </c>
      <c r="S43" s="80"/>
    </row>
    <row r="44">
      <c r="F44" s="12" t="s">
        <v>555</v>
      </c>
      <c r="N44" s="36" t="s">
        <v>181</v>
      </c>
      <c r="O44" s="36">
        <v>1.0</v>
      </c>
      <c r="P44" s="39">
        <f>O44*8000</f>
        <v>8000</v>
      </c>
      <c r="Q44" s="39">
        <f>O44*80</f>
        <v>80</v>
      </c>
      <c r="S44" s="80"/>
    </row>
    <row r="45">
      <c r="F45" s="12" t="s">
        <v>558</v>
      </c>
      <c r="N45" s="36" t="s">
        <v>223</v>
      </c>
      <c r="O45" s="36">
        <v>1.0</v>
      </c>
      <c r="P45" s="39">
        <f>O45*10000</f>
        <v>10000</v>
      </c>
      <c r="Q45" s="39">
        <f>O45*100</f>
        <v>100</v>
      </c>
      <c r="S45" s="80"/>
    </row>
    <row r="46">
      <c r="F46" s="12" t="s">
        <v>559</v>
      </c>
      <c r="N46" s="36" t="s">
        <v>215</v>
      </c>
      <c r="S46" s="80"/>
    </row>
    <row r="47">
      <c r="N47" s="36" t="s">
        <v>268</v>
      </c>
      <c r="O47" s="36">
        <v>3.0</v>
      </c>
      <c r="P47" s="39">
        <f t="shared" ref="P47:P48" si="15">O47*1500</f>
        <v>4500</v>
      </c>
      <c r="Q47" s="39">
        <f t="shared" ref="Q47:Q48" si="16">O47*60</f>
        <v>180</v>
      </c>
      <c r="S47" s="80"/>
    </row>
    <row r="48">
      <c r="N48" s="36" t="s">
        <v>289</v>
      </c>
      <c r="O48" s="36">
        <v>1.0</v>
      </c>
      <c r="P48" s="39">
        <f t="shared" si="15"/>
        <v>1500</v>
      </c>
      <c r="Q48" s="39">
        <f t="shared" si="16"/>
        <v>60</v>
      </c>
      <c r="S48" s="80"/>
    </row>
    <row r="49">
      <c r="N49" s="45" t="s">
        <v>118</v>
      </c>
      <c r="P49" s="47">
        <f t="shared" ref="P49:Q49" si="17">P43+P44+P47+P48+P45</f>
        <v>28000</v>
      </c>
      <c r="Q49" s="47">
        <f t="shared" si="17"/>
        <v>500</v>
      </c>
      <c r="S49" s="80"/>
    </row>
    <row r="50">
      <c r="S50" s="80"/>
    </row>
    <row r="51">
      <c r="S51" s="80"/>
    </row>
    <row r="52">
      <c r="S52" s="80"/>
    </row>
    <row r="53">
      <c r="S53" s="80"/>
    </row>
    <row r="54">
      <c r="S54" s="80"/>
    </row>
    <row r="55">
      <c r="S55" s="80"/>
    </row>
    <row r="56">
      <c r="S56" s="80"/>
    </row>
    <row r="57">
      <c r="S57" s="80"/>
    </row>
    <row r="58">
      <c r="S58" s="80"/>
    </row>
    <row r="59">
      <c r="S59" s="80"/>
    </row>
    <row r="60">
      <c r="S60" s="80"/>
    </row>
    <row r="61">
      <c r="S61" s="80"/>
    </row>
    <row r="62">
      <c r="S62" s="80"/>
    </row>
    <row r="63">
      <c r="S63" s="80"/>
    </row>
    <row r="64">
      <c r="S64" s="80"/>
    </row>
    <row r="82">
      <c r="A82" s="82" t="s">
        <v>567</v>
      </c>
    </row>
    <row r="83">
      <c r="A83" s="83">
        <f>A85+A92+A121+A150+A172+A198+A228</f>
        <v>1602120</v>
      </c>
    </row>
    <row r="84">
      <c r="A84" s="84" t="s">
        <v>575</v>
      </c>
    </row>
    <row r="85">
      <c r="A85" s="84">
        <v>-15000.0</v>
      </c>
    </row>
    <row r="86">
      <c r="A86" s="84">
        <v>2026.0</v>
      </c>
    </row>
    <row r="87">
      <c r="A87" s="85" t="s">
        <v>576</v>
      </c>
      <c r="B87" s="85" t="s">
        <v>577</v>
      </c>
      <c r="C87" s="85" t="s">
        <v>578</v>
      </c>
      <c r="D87" s="85" t="s">
        <v>579</v>
      </c>
      <c r="E87" s="85" t="s">
        <v>580</v>
      </c>
    </row>
    <row r="88">
      <c r="A88" s="11" t="s">
        <v>582</v>
      </c>
    </row>
    <row r="89">
      <c r="A89" s="14" t="s">
        <v>583</v>
      </c>
    </row>
    <row r="90">
      <c r="A90" s="86"/>
    </row>
    <row r="91">
      <c r="A91" s="87" t="s">
        <v>585</v>
      </c>
    </row>
    <row r="92">
      <c r="A92" s="87">
        <v>51070.0</v>
      </c>
    </row>
    <row r="93">
      <c r="A93" s="88">
        <v>2026.0</v>
      </c>
    </row>
    <row r="94">
      <c r="A94" s="85" t="s">
        <v>592</v>
      </c>
      <c r="B94" s="85" t="s">
        <v>593</v>
      </c>
      <c r="C94" s="85" t="s">
        <v>594</v>
      </c>
      <c r="D94" s="85" t="s">
        <v>595</v>
      </c>
      <c r="E94" s="85" t="s">
        <v>596</v>
      </c>
      <c r="F94" s="85" t="s">
        <v>597</v>
      </c>
    </row>
    <row r="95">
      <c r="A95" s="64" t="s">
        <v>598</v>
      </c>
      <c r="B95" s="64" t="s">
        <v>599</v>
      </c>
      <c r="D95" s="64" t="s">
        <v>600</v>
      </c>
      <c r="F95" s="64" t="s">
        <v>601</v>
      </c>
    </row>
    <row r="96">
      <c r="A96" s="12" t="s">
        <v>602</v>
      </c>
      <c r="B96" s="12" t="s">
        <v>102</v>
      </c>
      <c r="D96" s="12" t="s">
        <v>111</v>
      </c>
      <c r="F96" s="12" t="s">
        <v>145</v>
      </c>
    </row>
    <row r="97">
      <c r="A97" s="12" t="s">
        <v>604</v>
      </c>
      <c r="B97" s="12" t="s">
        <v>605</v>
      </c>
      <c r="D97" s="12" t="s">
        <v>606</v>
      </c>
      <c r="F97" s="12" t="s">
        <v>607</v>
      </c>
    </row>
    <row r="98">
      <c r="A98" s="12" t="s">
        <v>609</v>
      </c>
      <c r="B98" s="12" t="s">
        <v>611</v>
      </c>
      <c r="D98" s="12" t="s">
        <v>613</v>
      </c>
      <c r="F98" s="12" t="s">
        <v>613</v>
      </c>
    </row>
    <row r="99">
      <c r="D99" s="12" t="s">
        <v>615</v>
      </c>
      <c r="F99" s="12" t="s">
        <v>611</v>
      </c>
    </row>
    <row r="100">
      <c r="D100" s="12" t="s">
        <v>322</v>
      </c>
      <c r="F100" s="12" t="s">
        <v>618</v>
      </c>
    </row>
    <row r="101">
      <c r="D101" s="12" t="s">
        <v>620</v>
      </c>
      <c r="F101" s="12" t="s">
        <v>621</v>
      </c>
    </row>
    <row r="102">
      <c r="D102" s="12" t="s">
        <v>622</v>
      </c>
      <c r="F102" s="12" t="s">
        <v>624</v>
      </c>
    </row>
    <row r="103">
      <c r="D103" s="12" t="s">
        <v>626</v>
      </c>
      <c r="F103" s="12" t="s">
        <v>605</v>
      </c>
    </row>
    <row r="104">
      <c r="D104" s="12" t="s">
        <v>613</v>
      </c>
      <c r="F104" s="12" t="s">
        <v>621</v>
      </c>
    </row>
    <row r="105">
      <c r="D105" s="12" t="s">
        <v>630</v>
      </c>
      <c r="F105" s="12" t="s">
        <v>632</v>
      </c>
    </row>
    <row r="106">
      <c r="D106" s="12" t="s">
        <v>635</v>
      </c>
      <c r="F106" s="12" t="s">
        <v>604</v>
      </c>
    </row>
    <row r="107">
      <c r="D107" s="12" t="s">
        <v>638</v>
      </c>
      <c r="F107" s="12" t="s">
        <v>621</v>
      </c>
    </row>
    <row r="108">
      <c r="D108" s="12" t="s">
        <v>639</v>
      </c>
      <c r="F108" s="12" t="s">
        <v>640</v>
      </c>
    </row>
    <row r="109">
      <c r="D109" s="12" t="s">
        <v>604</v>
      </c>
      <c r="F109" s="12" t="s">
        <v>604</v>
      </c>
    </row>
    <row r="110">
      <c r="D110" s="12" t="s">
        <v>642</v>
      </c>
      <c r="F110" s="12" t="s">
        <v>621</v>
      </c>
    </row>
    <row r="111">
      <c r="D111" s="12" t="s">
        <v>604</v>
      </c>
      <c r="F111" s="12" t="s">
        <v>645</v>
      </c>
    </row>
    <row r="112">
      <c r="D112" s="12" t="s">
        <v>646</v>
      </c>
      <c r="F112" s="12" t="s">
        <v>604</v>
      </c>
    </row>
    <row r="113">
      <c r="D113" s="12" t="s">
        <v>604</v>
      </c>
      <c r="F113" s="12" t="s">
        <v>621</v>
      </c>
    </row>
    <row r="114">
      <c r="D114" s="12" t="s">
        <v>651</v>
      </c>
      <c r="F114" s="12" t="s">
        <v>652</v>
      </c>
    </row>
    <row r="115">
      <c r="D115" s="12" t="s">
        <v>653</v>
      </c>
      <c r="F115" s="12" t="s">
        <v>604</v>
      </c>
    </row>
    <row r="116">
      <c r="D116" s="12" t="s">
        <v>654</v>
      </c>
      <c r="F116" s="12" t="s">
        <v>621</v>
      </c>
    </row>
    <row r="117">
      <c r="D117" s="12" t="s">
        <v>604</v>
      </c>
    </row>
    <row r="118">
      <c r="D118" s="12" t="s">
        <v>613</v>
      </c>
    </row>
    <row r="119">
      <c r="A119" s="86"/>
    </row>
    <row r="120">
      <c r="A120" s="6" t="s">
        <v>659</v>
      </c>
    </row>
    <row r="121">
      <c r="A121" s="6">
        <v>145800.0</v>
      </c>
    </row>
    <row r="122">
      <c r="A122" s="35">
        <v>2026.0</v>
      </c>
    </row>
    <row r="123">
      <c r="A123" s="96" t="s">
        <v>665</v>
      </c>
    </row>
    <row r="124">
      <c r="A124" s="85" t="s">
        <v>666</v>
      </c>
      <c r="B124" s="85" t="s">
        <v>668</v>
      </c>
      <c r="C124" s="85" t="s">
        <v>671</v>
      </c>
      <c r="D124" s="85" t="s">
        <v>674</v>
      </c>
      <c r="E124" s="85" t="s">
        <v>675</v>
      </c>
      <c r="F124" s="85" t="s">
        <v>676</v>
      </c>
      <c r="G124" s="85" t="s">
        <v>678</v>
      </c>
      <c r="H124" s="85" t="s">
        <v>680</v>
      </c>
    </row>
    <row r="125">
      <c r="A125" s="68" t="s">
        <v>681</v>
      </c>
      <c r="B125" s="68" t="s">
        <v>682</v>
      </c>
      <c r="C125" s="68" t="s">
        <v>683</v>
      </c>
      <c r="D125" s="68" t="s">
        <v>684</v>
      </c>
      <c r="E125" s="68" t="s">
        <v>683</v>
      </c>
      <c r="F125" s="68" t="s">
        <v>685</v>
      </c>
      <c r="G125" s="68" t="s">
        <v>686</v>
      </c>
      <c r="H125" s="68" t="s">
        <v>687</v>
      </c>
    </row>
    <row r="126">
      <c r="A126" s="12" t="s">
        <v>689</v>
      </c>
      <c r="B126" s="12" t="s">
        <v>145</v>
      </c>
      <c r="D126" s="12" t="s">
        <v>692</v>
      </c>
      <c r="F126" s="12" t="s">
        <v>694</v>
      </c>
      <c r="G126" s="12" t="s">
        <v>111</v>
      </c>
      <c r="H126" s="12" t="s">
        <v>695</v>
      </c>
    </row>
    <row r="127">
      <c r="A127" s="12" t="s">
        <v>606</v>
      </c>
      <c r="B127" s="12" t="s">
        <v>698</v>
      </c>
      <c r="D127" s="12" t="s">
        <v>699</v>
      </c>
      <c r="F127" s="12" t="s">
        <v>700</v>
      </c>
      <c r="G127" s="12" t="s">
        <v>606</v>
      </c>
      <c r="H127" s="12" t="s">
        <v>653</v>
      </c>
    </row>
    <row r="128">
      <c r="A128" s="12" t="s">
        <v>702</v>
      </c>
      <c r="B128" s="12" t="s">
        <v>702</v>
      </c>
      <c r="F128" s="12" t="s">
        <v>276</v>
      </c>
      <c r="G128" s="12" t="s">
        <v>704</v>
      </c>
    </row>
    <row r="129">
      <c r="A129" s="12" t="s">
        <v>706</v>
      </c>
      <c r="B129" s="12" t="s">
        <v>707</v>
      </c>
      <c r="F129" s="12" t="s">
        <v>323</v>
      </c>
      <c r="G129" s="12" t="s">
        <v>709</v>
      </c>
    </row>
    <row r="130">
      <c r="A130" s="12" t="s">
        <v>710</v>
      </c>
      <c r="B130" s="12" t="s">
        <v>711</v>
      </c>
      <c r="G130" s="12" t="s">
        <v>713</v>
      </c>
    </row>
    <row r="131">
      <c r="A131" s="12" t="s">
        <v>715</v>
      </c>
      <c r="B131" s="12" t="s">
        <v>717</v>
      </c>
      <c r="G131" s="12" t="s">
        <v>718</v>
      </c>
    </row>
    <row r="132">
      <c r="A132" s="12" t="s">
        <v>544</v>
      </c>
      <c r="B132" s="12" t="s">
        <v>531</v>
      </c>
      <c r="G132" s="12" t="s">
        <v>698</v>
      </c>
    </row>
    <row r="133">
      <c r="A133" s="12" t="s">
        <v>632</v>
      </c>
      <c r="B133" s="12" t="s">
        <v>707</v>
      </c>
      <c r="G133" s="12" t="s">
        <v>713</v>
      </c>
    </row>
    <row r="134">
      <c r="A134" s="12" t="s">
        <v>710</v>
      </c>
      <c r="B134" s="12" t="s">
        <v>476</v>
      </c>
      <c r="G134" s="12" t="s">
        <v>725</v>
      </c>
    </row>
    <row r="135">
      <c r="A135" s="12" t="s">
        <v>209</v>
      </c>
      <c r="B135" s="12" t="s">
        <v>604</v>
      </c>
      <c r="G135" s="12" t="s">
        <v>605</v>
      </c>
    </row>
    <row r="136">
      <c r="A136" s="12" t="s">
        <v>727</v>
      </c>
      <c r="B136" s="12" t="s">
        <v>707</v>
      </c>
      <c r="G136" s="12" t="s">
        <v>713</v>
      </c>
    </row>
    <row r="137">
      <c r="A137" s="12" t="s">
        <v>728</v>
      </c>
      <c r="G137" s="12" t="s">
        <v>729</v>
      </c>
    </row>
    <row r="138">
      <c r="A138" s="12" t="s">
        <v>731</v>
      </c>
      <c r="G138" s="12" t="s">
        <v>604</v>
      </c>
    </row>
    <row r="139">
      <c r="A139" s="12" t="s">
        <v>653</v>
      </c>
      <c r="G139" s="12" t="s">
        <v>713</v>
      </c>
    </row>
    <row r="140">
      <c r="A140" s="12" t="s">
        <v>735</v>
      </c>
    </row>
    <row r="141">
      <c r="A141" s="12" t="s">
        <v>604</v>
      </c>
    </row>
    <row r="149">
      <c r="A149" s="97" t="s">
        <v>740</v>
      </c>
    </row>
    <row r="150">
      <c r="A150" s="97">
        <f>A153</f>
        <v>143450</v>
      </c>
    </row>
    <row r="151">
      <c r="A151" s="97">
        <v>2026.0</v>
      </c>
    </row>
    <row r="152">
      <c r="A152" s="97" t="s">
        <v>749</v>
      </c>
    </row>
    <row r="153">
      <c r="A153" s="97">
        <f>A156+B156+C156+D156+E156+F156+G156+H156</f>
        <v>143450</v>
      </c>
    </row>
    <row r="154">
      <c r="A154" s="85" t="s">
        <v>762</v>
      </c>
      <c r="B154" s="85" t="s">
        <v>764</v>
      </c>
      <c r="C154" s="85" t="s">
        <v>765</v>
      </c>
      <c r="D154" s="85" t="s">
        <v>767</v>
      </c>
      <c r="E154" s="85" t="s">
        <v>768</v>
      </c>
      <c r="F154" s="85" t="s">
        <v>771</v>
      </c>
      <c r="G154" s="85" t="s">
        <v>772</v>
      </c>
      <c r="H154" s="85" t="s">
        <v>773</v>
      </c>
    </row>
    <row r="155">
      <c r="A155" s="11" t="s">
        <v>683</v>
      </c>
      <c r="B155" s="11" t="s">
        <v>683</v>
      </c>
      <c r="C155" s="11" t="s">
        <v>683</v>
      </c>
      <c r="D155" s="11" t="s">
        <v>776</v>
      </c>
      <c r="E155" s="11" t="s">
        <v>683</v>
      </c>
      <c r="F155" s="11" t="s">
        <v>683</v>
      </c>
      <c r="G155" s="11" t="s">
        <v>776</v>
      </c>
      <c r="H155" s="11" t="s">
        <v>683</v>
      </c>
    </row>
    <row r="156">
      <c r="A156" s="85">
        <v>0.0</v>
      </c>
      <c r="B156" s="85">
        <v>5000.0</v>
      </c>
      <c r="C156" s="85">
        <v>0.0</v>
      </c>
      <c r="D156" s="85">
        <v>3000.0</v>
      </c>
      <c r="E156" s="85">
        <v>55650.0</v>
      </c>
      <c r="F156" s="85">
        <v>13500.0</v>
      </c>
      <c r="G156" s="85">
        <v>0.0</v>
      </c>
      <c r="H156" s="85">
        <v>66300.0</v>
      </c>
    </row>
    <row r="157">
      <c r="B157" s="12" t="s">
        <v>785</v>
      </c>
      <c r="D157" s="12" t="s">
        <v>786</v>
      </c>
      <c r="E157" s="12" t="s">
        <v>145</v>
      </c>
      <c r="F157" s="54" t="s">
        <v>787</v>
      </c>
      <c r="H157" s="12" t="s">
        <v>111</v>
      </c>
    </row>
    <row r="158">
      <c r="B158" s="12" t="s">
        <v>789</v>
      </c>
      <c r="D158" s="12" t="s">
        <v>790</v>
      </c>
      <c r="E158" s="12" t="s">
        <v>792</v>
      </c>
      <c r="F158" s="54" t="s">
        <v>793</v>
      </c>
      <c r="H158" s="12" t="s">
        <v>792</v>
      </c>
    </row>
    <row r="159">
      <c r="B159" s="12" t="s">
        <v>795</v>
      </c>
      <c r="E159" s="12" t="s">
        <v>796</v>
      </c>
      <c r="F159" s="54" t="s">
        <v>257</v>
      </c>
      <c r="H159" s="12" t="s">
        <v>799</v>
      </c>
    </row>
    <row r="160">
      <c r="B160" s="12" t="s">
        <v>799</v>
      </c>
      <c r="E160" s="12" t="s">
        <v>800</v>
      </c>
      <c r="F160" s="54" t="s">
        <v>801</v>
      </c>
      <c r="H160" s="12" t="s">
        <v>802</v>
      </c>
    </row>
    <row r="161">
      <c r="E161" s="54" t="s">
        <v>805</v>
      </c>
      <c r="F161" s="54" t="s">
        <v>807</v>
      </c>
      <c r="H161" s="12" t="s">
        <v>322</v>
      </c>
    </row>
    <row r="162">
      <c r="E162" s="54" t="s">
        <v>808</v>
      </c>
      <c r="F162" s="54" t="s">
        <v>810</v>
      </c>
      <c r="H162" s="12" t="s">
        <v>653</v>
      </c>
    </row>
    <row r="163">
      <c r="H163" s="12" t="s">
        <v>802</v>
      </c>
    </row>
    <row r="164">
      <c r="H164" s="12" t="s">
        <v>813</v>
      </c>
    </row>
    <row r="165">
      <c r="H165" s="12" t="s">
        <v>790</v>
      </c>
    </row>
    <row r="166">
      <c r="H166" s="12" t="s">
        <v>802</v>
      </c>
    </row>
    <row r="167">
      <c r="H167" s="12" t="s">
        <v>816</v>
      </c>
    </row>
    <row r="168">
      <c r="H168" s="12" t="s">
        <v>817</v>
      </c>
    </row>
    <row r="169">
      <c r="H169" s="12" t="s">
        <v>802</v>
      </c>
    </row>
    <row r="171">
      <c r="A171" s="99" t="s">
        <v>818</v>
      </c>
    </row>
    <row r="172">
      <c r="A172" s="99">
        <f>-250000+A177+150000-125000</f>
        <v>877800</v>
      </c>
    </row>
    <row r="173">
      <c r="A173" s="99">
        <v>2026.0</v>
      </c>
    </row>
    <row r="174">
      <c r="A174" s="101" t="s">
        <v>825</v>
      </c>
    </row>
    <row r="175">
      <c r="A175" s="99" t="s">
        <v>749</v>
      </c>
    </row>
    <row r="176">
      <c r="A176" s="99" t="s">
        <v>828</v>
      </c>
    </row>
    <row r="177">
      <c r="A177" s="103">
        <f>A180+B180+C180+D180+E180+F180+G180+H180+I180+J180</f>
        <v>1102800</v>
      </c>
    </row>
    <row r="178">
      <c r="A178" s="85" t="s">
        <v>834</v>
      </c>
      <c r="B178" s="85" t="s">
        <v>835</v>
      </c>
      <c r="C178" s="85" t="s">
        <v>836</v>
      </c>
      <c r="D178" s="85" t="s">
        <v>837</v>
      </c>
      <c r="E178" s="85" t="s">
        <v>838</v>
      </c>
      <c r="F178" s="85" t="s">
        <v>839</v>
      </c>
      <c r="G178" s="104" t="s">
        <v>841</v>
      </c>
      <c r="H178" s="105" t="s">
        <v>843</v>
      </c>
      <c r="I178" s="106" t="s">
        <v>846</v>
      </c>
      <c r="J178" s="105" t="s">
        <v>847</v>
      </c>
    </row>
    <row r="179">
      <c r="A179" s="11" t="s">
        <v>683</v>
      </c>
      <c r="B179" s="11" t="s">
        <v>683</v>
      </c>
      <c r="C179" s="11" t="s">
        <v>683</v>
      </c>
      <c r="D179" s="11" t="s">
        <v>683</v>
      </c>
      <c r="E179" s="11" t="s">
        <v>683</v>
      </c>
      <c r="F179" s="11" t="s">
        <v>683</v>
      </c>
      <c r="G179" s="11" t="s">
        <v>683</v>
      </c>
      <c r="H179" s="34" t="s">
        <v>683</v>
      </c>
      <c r="I179" s="34" t="s">
        <v>683</v>
      </c>
      <c r="J179" s="34" t="s">
        <v>683</v>
      </c>
    </row>
    <row r="180">
      <c r="A180" s="85">
        <v>113000.0</v>
      </c>
      <c r="B180" s="85">
        <v>110000.0</v>
      </c>
      <c r="C180" s="85">
        <v>110000.0</v>
      </c>
      <c r="D180" s="85">
        <v>112000.0</v>
      </c>
      <c r="E180" s="85">
        <v>150600.0</v>
      </c>
      <c r="F180" s="85">
        <v>117100.0</v>
      </c>
      <c r="G180" s="85">
        <v>136900.0</v>
      </c>
      <c r="H180" s="85">
        <v>112900.0</v>
      </c>
      <c r="I180" s="107">
        <v>140300.0</v>
      </c>
      <c r="J180" s="105">
        <v>0.0</v>
      </c>
    </row>
    <row r="181">
      <c r="A181" s="12" t="s">
        <v>851</v>
      </c>
      <c r="B181" s="12" t="s">
        <v>853</v>
      </c>
      <c r="C181" s="12" t="s">
        <v>855</v>
      </c>
      <c r="D181" s="12" t="s">
        <v>857</v>
      </c>
      <c r="E181" s="12" t="s">
        <v>859</v>
      </c>
      <c r="F181" s="12" t="s">
        <v>861</v>
      </c>
      <c r="G181" s="12" t="s">
        <v>111</v>
      </c>
      <c r="H181" s="12" t="s">
        <v>863</v>
      </c>
      <c r="I181" s="12" t="s">
        <v>865</v>
      </c>
    </row>
    <row r="182">
      <c r="A182" s="12" t="s">
        <v>866</v>
      </c>
      <c r="B182" s="12" t="s">
        <v>866</v>
      </c>
      <c r="C182" s="12" t="s">
        <v>866</v>
      </c>
      <c r="D182" s="12" t="s">
        <v>866</v>
      </c>
      <c r="E182" s="12" t="s">
        <v>866</v>
      </c>
      <c r="F182" s="12" t="s">
        <v>866</v>
      </c>
      <c r="G182" s="12" t="s">
        <v>866</v>
      </c>
      <c r="H182" s="12" t="s">
        <v>866</v>
      </c>
      <c r="I182" s="12" t="s">
        <v>866</v>
      </c>
    </row>
    <row r="183">
      <c r="A183" s="12" t="s">
        <v>873</v>
      </c>
      <c r="B183" s="54" t="s">
        <v>874</v>
      </c>
      <c r="C183" s="12" t="s">
        <v>875</v>
      </c>
      <c r="D183" s="54" t="s">
        <v>257</v>
      </c>
      <c r="E183" s="12" t="s">
        <v>876</v>
      </c>
      <c r="F183" s="12" t="s">
        <v>873</v>
      </c>
      <c r="G183" s="12" t="s">
        <v>879</v>
      </c>
      <c r="H183" s="12" t="s">
        <v>881</v>
      </c>
      <c r="I183" s="12" t="s">
        <v>882</v>
      </c>
    </row>
    <row r="184">
      <c r="A184" s="12" t="s">
        <v>879</v>
      </c>
      <c r="B184" s="54" t="s">
        <v>884</v>
      </c>
      <c r="C184" s="12" t="s">
        <v>884</v>
      </c>
      <c r="D184" s="54" t="s">
        <v>884</v>
      </c>
      <c r="E184" s="12" t="s">
        <v>884</v>
      </c>
      <c r="F184" s="12" t="s">
        <v>888</v>
      </c>
      <c r="G184" s="33" t="s">
        <v>889</v>
      </c>
      <c r="H184" s="12" t="s">
        <v>891</v>
      </c>
      <c r="I184" s="12" t="s">
        <v>884</v>
      </c>
    </row>
    <row r="185">
      <c r="A185" s="54" t="s">
        <v>805</v>
      </c>
      <c r="D185" s="12" t="s">
        <v>895</v>
      </c>
      <c r="E185" s="12" t="s">
        <v>873</v>
      </c>
      <c r="F185" s="12" t="s">
        <v>884</v>
      </c>
      <c r="G185" s="33" t="s">
        <v>884</v>
      </c>
      <c r="H185" s="12" t="s">
        <v>884</v>
      </c>
      <c r="I185" s="12" t="s">
        <v>897</v>
      </c>
    </row>
    <row r="186">
      <c r="A186" s="54" t="s">
        <v>884</v>
      </c>
      <c r="D186" s="12" t="s">
        <v>653</v>
      </c>
      <c r="E186" s="12" t="s">
        <v>902</v>
      </c>
      <c r="F186" s="12" t="s">
        <v>903</v>
      </c>
      <c r="G186" s="12" t="s">
        <v>904</v>
      </c>
      <c r="H186" s="12" t="s">
        <v>907</v>
      </c>
      <c r="I186" s="12" t="s">
        <v>604</v>
      </c>
    </row>
    <row r="187">
      <c r="E187" s="12" t="s">
        <v>910</v>
      </c>
      <c r="F187" s="12" t="s">
        <v>911</v>
      </c>
      <c r="G187" s="12" t="s">
        <v>912</v>
      </c>
      <c r="H187" s="12" t="s">
        <v>914</v>
      </c>
      <c r="I187" s="12" t="s">
        <v>915</v>
      </c>
    </row>
    <row r="188">
      <c r="E188" s="12" t="s">
        <v>912</v>
      </c>
      <c r="F188" s="12" t="s">
        <v>873</v>
      </c>
      <c r="G188" s="12" t="s">
        <v>917</v>
      </c>
      <c r="I188" s="12" t="s">
        <v>604</v>
      </c>
    </row>
    <row r="189">
      <c r="E189" s="12" t="s">
        <v>729</v>
      </c>
      <c r="F189" s="12" t="s">
        <v>879</v>
      </c>
      <c r="G189" s="12" t="s">
        <v>914</v>
      </c>
      <c r="I189" s="12" t="s">
        <v>920</v>
      </c>
    </row>
    <row r="190">
      <c r="E190" s="12" t="s">
        <v>923</v>
      </c>
      <c r="F190" s="12" t="s">
        <v>902</v>
      </c>
      <c r="I190" s="12" t="s">
        <v>912</v>
      </c>
    </row>
    <row r="191">
      <c r="E191" s="12" t="s">
        <v>929</v>
      </c>
      <c r="I191" s="12" t="s">
        <v>873</v>
      </c>
    </row>
    <row r="192">
      <c r="E192" s="12" t="s">
        <v>930</v>
      </c>
      <c r="I192" s="12" t="s">
        <v>902</v>
      </c>
    </row>
    <row r="193">
      <c r="I193" s="12" t="s">
        <v>931</v>
      </c>
    </row>
    <row r="194">
      <c r="I194" s="12" t="s">
        <v>933</v>
      </c>
    </row>
    <row r="195">
      <c r="A195" s="11" t="s">
        <v>935</v>
      </c>
    </row>
    <row r="196">
      <c r="A196" s="108" t="s">
        <v>938</v>
      </c>
    </row>
    <row r="197">
      <c r="A197" s="109" t="s">
        <v>940</v>
      </c>
    </row>
    <row r="198">
      <c r="A198" s="109">
        <f>A201</f>
        <v>212000</v>
      </c>
    </row>
    <row r="199">
      <c r="A199" s="109">
        <v>2026.0</v>
      </c>
    </row>
    <row r="200">
      <c r="A200" s="109" t="s">
        <v>749</v>
      </c>
    </row>
    <row r="201">
      <c r="A201" s="110">
        <f>A204+B204+C204+D204+E204+F204+G204+H204+I204+J204</f>
        <v>212000</v>
      </c>
    </row>
    <row r="202">
      <c r="A202" s="85" t="s">
        <v>959</v>
      </c>
      <c r="B202" s="85" t="s">
        <v>960</v>
      </c>
      <c r="C202" s="85" t="s">
        <v>963</v>
      </c>
      <c r="D202" s="85" t="s">
        <v>964</v>
      </c>
      <c r="E202" s="85" t="s">
        <v>966</v>
      </c>
      <c r="F202" s="85" t="s">
        <v>967</v>
      </c>
      <c r="G202" s="111" t="s">
        <v>969</v>
      </c>
      <c r="H202" s="107" t="s">
        <v>972</v>
      </c>
      <c r="I202" s="107" t="s">
        <v>975</v>
      </c>
      <c r="J202" s="107" t="s">
        <v>976</v>
      </c>
    </row>
    <row r="203">
      <c r="A203" s="11" t="s">
        <v>683</v>
      </c>
      <c r="B203" s="11" t="s">
        <v>683</v>
      </c>
      <c r="C203" s="11" t="s">
        <v>683</v>
      </c>
      <c r="D203" s="11" t="s">
        <v>683</v>
      </c>
      <c r="E203" s="11" t="s">
        <v>683</v>
      </c>
      <c r="F203" s="11" t="s">
        <v>683</v>
      </c>
      <c r="G203" s="11" t="s">
        <v>683</v>
      </c>
      <c r="H203" s="34" t="s">
        <v>683</v>
      </c>
      <c r="I203" s="34" t="s">
        <v>683</v>
      </c>
      <c r="J203" s="34" t="s">
        <v>683</v>
      </c>
    </row>
    <row r="204">
      <c r="A204" s="85"/>
      <c r="B204" s="85"/>
      <c r="C204" s="85">
        <v>82500.0</v>
      </c>
      <c r="D204" s="85"/>
      <c r="E204" s="85">
        <v>114500.0</v>
      </c>
      <c r="F204" s="85"/>
      <c r="G204" s="85">
        <v>15000.0</v>
      </c>
      <c r="H204" s="85"/>
      <c r="I204" s="85"/>
      <c r="J204" s="85"/>
    </row>
    <row r="205">
      <c r="C205" s="12" t="s">
        <v>111</v>
      </c>
      <c r="E205" s="54" t="s">
        <v>863</v>
      </c>
      <c r="G205" s="12" t="s">
        <v>983</v>
      </c>
      <c r="I205" s="12" t="s">
        <v>984</v>
      </c>
    </row>
    <row r="206">
      <c r="C206" s="12" t="s">
        <v>985</v>
      </c>
      <c r="E206" s="54" t="s">
        <v>985</v>
      </c>
      <c r="G206" s="12" t="s">
        <v>710</v>
      </c>
      <c r="I206" s="12" t="s">
        <v>987</v>
      </c>
    </row>
    <row r="207">
      <c r="C207" s="12" t="s">
        <v>989</v>
      </c>
      <c r="E207" s="54" t="s">
        <v>990</v>
      </c>
      <c r="G207" s="12" t="s">
        <v>992</v>
      </c>
    </row>
    <row r="208">
      <c r="C208" s="12" t="s">
        <v>993</v>
      </c>
      <c r="E208" s="54" t="s">
        <v>994</v>
      </c>
      <c r="G208" s="12" t="s">
        <v>728</v>
      </c>
    </row>
    <row r="209">
      <c r="C209" s="12" t="s">
        <v>996</v>
      </c>
      <c r="E209" s="12" t="s">
        <v>997</v>
      </c>
    </row>
    <row r="210">
      <c r="C210" s="12" t="s">
        <v>605</v>
      </c>
      <c r="E210" s="12" t="s">
        <v>605</v>
      </c>
    </row>
    <row r="211">
      <c r="C211" s="12" t="s">
        <v>999</v>
      </c>
      <c r="E211" s="12" t="s">
        <v>265</v>
      </c>
    </row>
    <row r="212">
      <c r="C212" s="12" t="s">
        <v>1000</v>
      </c>
      <c r="E212" s="12" t="s">
        <v>1002</v>
      </c>
    </row>
    <row r="213">
      <c r="C213" s="12" t="s">
        <v>1004</v>
      </c>
      <c r="E213" s="12" t="s">
        <v>1005</v>
      </c>
    </row>
    <row r="214">
      <c r="C214" s="12" t="s">
        <v>1006</v>
      </c>
      <c r="E214" s="12" t="s">
        <v>993</v>
      </c>
    </row>
    <row r="215">
      <c r="C215" s="12" t="s">
        <v>1009</v>
      </c>
    </row>
    <row r="216">
      <c r="C216" s="12" t="s">
        <v>1011</v>
      </c>
    </row>
    <row r="218">
      <c r="A218" s="112" t="s">
        <v>1015</v>
      </c>
    </row>
    <row r="219">
      <c r="A219" s="112">
        <f>A222</f>
        <v>0</v>
      </c>
    </row>
    <row r="220">
      <c r="A220" s="112">
        <v>2026.0</v>
      </c>
    </row>
    <row r="221">
      <c r="A221" s="112" t="s">
        <v>749</v>
      </c>
    </row>
    <row r="222">
      <c r="A222" s="112">
        <f>A225+B225+C225+D225+E225+F225+G225+H225</f>
        <v>0</v>
      </c>
    </row>
    <row r="223">
      <c r="A223" s="85" t="s">
        <v>1035</v>
      </c>
      <c r="B223" s="85" t="s">
        <v>1013</v>
      </c>
      <c r="C223" s="85" t="s">
        <v>1016</v>
      </c>
      <c r="D223" s="85" t="s">
        <v>1023</v>
      </c>
      <c r="E223" s="85" t="s">
        <v>1037</v>
      </c>
      <c r="F223" s="85" t="s">
        <v>1038</v>
      </c>
      <c r="G223" s="85" t="s">
        <v>1039</v>
      </c>
      <c r="H223" s="85" t="s">
        <v>1033</v>
      </c>
    </row>
    <row r="224">
      <c r="A224" s="11" t="s">
        <v>683</v>
      </c>
      <c r="B224" s="11" t="s">
        <v>683</v>
      </c>
      <c r="C224" s="11" t="s">
        <v>683</v>
      </c>
      <c r="D224" s="11" t="s">
        <v>683</v>
      </c>
      <c r="E224" s="11" t="s">
        <v>683</v>
      </c>
      <c r="F224" s="11" t="s">
        <v>683</v>
      </c>
      <c r="G224" s="11" t="s">
        <v>683</v>
      </c>
      <c r="H224" s="11" t="s">
        <v>683</v>
      </c>
    </row>
    <row r="225">
      <c r="A225" s="85">
        <v>0.0</v>
      </c>
      <c r="B225" s="85">
        <v>0.0</v>
      </c>
      <c r="C225" s="85">
        <v>0.0</v>
      </c>
      <c r="D225" s="85">
        <v>0.0</v>
      </c>
      <c r="E225" s="85">
        <v>0.0</v>
      </c>
      <c r="F225" s="85">
        <v>0.0</v>
      </c>
      <c r="G225" s="85">
        <v>0.0</v>
      </c>
      <c r="H225" s="85">
        <v>0.0</v>
      </c>
    </row>
    <row r="227">
      <c r="A227" s="114" t="s">
        <v>1048</v>
      </c>
    </row>
    <row r="228">
      <c r="A228" s="114">
        <f>A231</f>
        <v>187000</v>
      </c>
    </row>
    <row r="229">
      <c r="A229" s="114">
        <v>2026.0</v>
      </c>
    </row>
    <row r="230">
      <c r="A230" s="114" t="s">
        <v>749</v>
      </c>
    </row>
    <row r="231">
      <c r="A231" s="115">
        <f>A234+B234+C234+D234+E234+F234+G234+H234+I234+J234</f>
        <v>187000</v>
      </c>
    </row>
    <row r="232">
      <c r="A232" s="85" t="s">
        <v>1066</v>
      </c>
      <c r="B232" s="85" t="s">
        <v>1068</v>
      </c>
      <c r="C232" s="85" t="s">
        <v>1069</v>
      </c>
      <c r="D232" s="85" t="s">
        <v>1070</v>
      </c>
      <c r="E232" s="85" t="s">
        <v>1072</v>
      </c>
      <c r="F232" s="85" t="s">
        <v>1073</v>
      </c>
      <c r="G232" s="85" t="s">
        <v>1074</v>
      </c>
      <c r="H232" s="85" t="s">
        <v>1076</v>
      </c>
      <c r="I232" s="85" t="s">
        <v>1078</v>
      </c>
      <c r="J232" s="85" t="s">
        <v>1080</v>
      </c>
    </row>
    <row r="233">
      <c r="A233" s="11" t="s">
        <v>683</v>
      </c>
      <c r="B233" s="11" t="s">
        <v>683</v>
      </c>
      <c r="C233" s="11" t="s">
        <v>683</v>
      </c>
      <c r="D233" s="11" t="s">
        <v>683</v>
      </c>
      <c r="E233" s="11" t="s">
        <v>683</v>
      </c>
      <c r="F233" s="11" t="s">
        <v>683</v>
      </c>
      <c r="G233" s="11" t="s">
        <v>683</v>
      </c>
      <c r="H233" s="34" t="s">
        <v>683</v>
      </c>
      <c r="I233" s="34" t="s">
        <v>683</v>
      </c>
      <c r="J233" s="34" t="s">
        <v>683</v>
      </c>
    </row>
    <row r="234">
      <c r="A234" s="85">
        <v>4000.0</v>
      </c>
      <c r="B234" s="85">
        <v>0.0</v>
      </c>
      <c r="C234" s="85">
        <v>2000.0</v>
      </c>
      <c r="D234" s="85">
        <v>0.0</v>
      </c>
      <c r="E234" s="85">
        <v>0.0</v>
      </c>
      <c r="F234" s="85">
        <v>27000.0</v>
      </c>
      <c r="G234" s="85">
        <v>102000.0</v>
      </c>
      <c r="H234" s="85">
        <v>20000.0</v>
      </c>
      <c r="I234" s="85">
        <v>0.0</v>
      </c>
      <c r="J234" s="85">
        <v>32000.0</v>
      </c>
    </row>
    <row r="235">
      <c r="A235" s="12" t="s">
        <v>1087</v>
      </c>
      <c r="C235" s="12" t="s">
        <v>1089</v>
      </c>
      <c r="F235" s="12" t="s">
        <v>1090</v>
      </c>
      <c r="G235" s="12" t="s">
        <v>111</v>
      </c>
      <c r="H235" s="12" t="s">
        <v>159</v>
      </c>
      <c r="J235" s="12" t="s">
        <v>145</v>
      </c>
    </row>
    <row r="236">
      <c r="A236" s="12" t="s">
        <v>653</v>
      </c>
      <c r="C236" s="12" t="s">
        <v>653</v>
      </c>
      <c r="F236" s="12" t="s">
        <v>728</v>
      </c>
      <c r="G236" s="12" t="s">
        <v>1092</v>
      </c>
      <c r="H236" s="12" t="s">
        <v>1093</v>
      </c>
      <c r="J236" s="12" t="s">
        <v>1094</v>
      </c>
    </row>
    <row r="237">
      <c r="A237" s="12" t="s">
        <v>876</v>
      </c>
      <c r="F237" s="12" t="s">
        <v>1096</v>
      </c>
      <c r="G237" s="12" t="s">
        <v>1097</v>
      </c>
    </row>
    <row r="238">
      <c r="A238" s="12" t="s">
        <v>653</v>
      </c>
      <c r="F238" s="12" t="s">
        <v>653</v>
      </c>
      <c r="G238" s="12" t="s">
        <v>653</v>
      </c>
    </row>
    <row r="239">
      <c r="F239" s="12" t="s">
        <v>1098</v>
      </c>
    </row>
    <row r="240">
      <c r="F240" s="12" t="s">
        <v>1062</v>
      </c>
    </row>
    <row r="241">
      <c r="F241" s="12" t="s">
        <v>1100</v>
      </c>
    </row>
    <row r="242">
      <c r="F242" s="12" t="s">
        <v>653</v>
      </c>
    </row>
    <row r="243">
      <c r="F243" s="12" t="s">
        <v>1101</v>
      </c>
    </row>
    <row r="244">
      <c r="F244" s="12" t="s">
        <v>653</v>
      </c>
    </row>
    <row r="245">
      <c r="F245" s="12" t="s">
        <v>1103</v>
      </c>
    </row>
    <row r="246">
      <c r="F246" s="12" t="s">
        <v>710</v>
      </c>
    </row>
  </sheetData>
  <mergeCells count="82">
    <mergeCell ref="M34:M38"/>
    <mergeCell ref="M39:M42"/>
    <mergeCell ref="M43:M49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222:H222"/>
    <mergeCell ref="A227:J227"/>
    <mergeCell ref="A228:J228"/>
    <mergeCell ref="A229:J229"/>
    <mergeCell ref="A230:J230"/>
    <mergeCell ref="A231:J231"/>
    <mergeCell ref="A199:J199"/>
    <mergeCell ref="A200:J200"/>
    <mergeCell ref="A201:J201"/>
    <mergeCell ref="A218:H218"/>
    <mergeCell ref="A219:H219"/>
    <mergeCell ref="A220:H220"/>
    <mergeCell ref="A221:H221"/>
    <mergeCell ref="A1:Q1"/>
    <mergeCell ref="A2:Q2"/>
    <mergeCell ref="A3:Q3"/>
    <mergeCell ref="A4:Q4"/>
    <mergeCell ref="F5:H5"/>
    <mergeCell ref="M5:Q5"/>
    <mergeCell ref="F6:H6"/>
    <mergeCell ref="M6:Q6"/>
    <mergeCell ref="J9:L9"/>
    <mergeCell ref="J11:J12"/>
    <mergeCell ref="L11:L12"/>
    <mergeCell ref="J15:J16"/>
    <mergeCell ref="L15:L16"/>
    <mergeCell ref="N15:Q15"/>
    <mergeCell ref="N40:Q40"/>
    <mergeCell ref="N42:O42"/>
    <mergeCell ref="N46:Q46"/>
    <mergeCell ref="N49:O49"/>
    <mergeCell ref="J13:J14"/>
    <mergeCell ref="L13:L14"/>
    <mergeCell ref="M20:M33"/>
    <mergeCell ref="N27:Q27"/>
    <mergeCell ref="N33:O33"/>
    <mergeCell ref="N35:Q35"/>
    <mergeCell ref="N38:O38"/>
    <mergeCell ref="A119:H119"/>
    <mergeCell ref="A120:H120"/>
    <mergeCell ref="A121:H121"/>
    <mergeCell ref="A122:H122"/>
    <mergeCell ref="A123:H123"/>
    <mergeCell ref="A149:H149"/>
    <mergeCell ref="A150:H150"/>
    <mergeCell ref="N19:O19"/>
    <mergeCell ref="J18:K18"/>
    <mergeCell ref="J5:L5"/>
    <mergeCell ref="J6:L6"/>
    <mergeCell ref="J7:L7"/>
    <mergeCell ref="J8:L8"/>
    <mergeCell ref="M8:M9"/>
    <mergeCell ref="N9:O9"/>
    <mergeCell ref="M10:M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28.25"/>
    <col customWidth="1" min="3" max="3" width="31.38"/>
    <col customWidth="1" min="4" max="4" width="33.38"/>
  </cols>
  <sheetData>
    <row r="1">
      <c r="A1" s="1" t="s">
        <v>0</v>
      </c>
    </row>
    <row r="2">
      <c r="A2" s="3" t="s">
        <v>4</v>
      </c>
    </row>
    <row r="3">
      <c r="A3" s="1" t="s">
        <v>6</v>
      </c>
    </row>
    <row r="4">
      <c r="A4" s="9">
        <f>100000+B6+C6</f>
        <v>75000</v>
      </c>
    </row>
    <row r="5">
      <c r="A5" s="11" t="s">
        <v>19</v>
      </c>
      <c r="B5" s="11" t="s">
        <v>22</v>
      </c>
      <c r="C5" s="11" t="s">
        <v>24</v>
      </c>
      <c r="D5" s="11" t="s">
        <v>26</v>
      </c>
    </row>
    <row r="6">
      <c r="A6" s="12" t="s">
        <v>28</v>
      </c>
      <c r="B6" s="13">
        <v>-30000.0</v>
      </c>
      <c r="C6" s="13">
        <v>5000.0</v>
      </c>
      <c r="D6" s="12" t="s">
        <v>32</v>
      </c>
    </row>
    <row r="7">
      <c r="A7" s="12" t="s">
        <v>34</v>
      </c>
      <c r="B7" s="15" t="s">
        <v>35</v>
      </c>
      <c r="C7" s="12" t="s">
        <v>36</v>
      </c>
    </row>
    <row r="8">
      <c r="A8" s="12" t="s">
        <v>37</v>
      </c>
      <c r="B8" s="14" t="s">
        <v>38</v>
      </c>
    </row>
    <row r="9">
      <c r="A9" s="12" t="s">
        <v>39</v>
      </c>
      <c r="B9" s="15" t="s">
        <v>40</v>
      </c>
    </row>
    <row r="10">
      <c r="A10" s="12" t="s">
        <v>41</v>
      </c>
      <c r="B10" s="14" t="s">
        <v>42</v>
      </c>
    </row>
    <row r="11">
      <c r="A11" s="12" t="s">
        <v>43</v>
      </c>
      <c r="B11" s="15" t="s">
        <v>44</v>
      </c>
    </row>
    <row r="12">
      <c r="A12" s="12" t="s">
        <v>45</v>
      </c>
      <c r="B12" s="14" t="s">
        <v>42</v>
      </c>
    </row>
    <row r="13">
      <c r="A13" s="12" t="s">
        <v>53</v>
      </c>
    </row>
    <row r="14">
      <c r="A14" s="12" t="s">
        <v>55</v>
      </c>
      <c r="B14" s="14"/>
    </row>
    <row r="15">
      <c r="A15" s="12" t="s">
        <v>58</v>
      </c>
      <c r="B15" s="14"/>
    </row>
    <row r="16">
      <c r="A16" s="12" t="s">
        <v>61</v>
      </c>
    </row>
    <row r="17">
      <c r="A17" s="12" t="s">
        <v>62</v>
      </c>
    </row>
    <row r="18">
      <c r="A18" s="12" t="s">
        <v>63</v>
      </c>
    </row>
    <row r="19">
      <c r="A19" s="12" t="s">
        <v>66</v>
      </c>
    </row>
    <row r="20">
      <c r="A20" s="12" t="s">
        <v>67</v>
      </c>
    </row>
  </sheetData>
  <mergeCells count="4">
    <mergeCell ref="A1:J1"/>
    <mergeCell ref="A2:J2"/>
    <mergeCell ref="A3:J3"/>
    <mergeCell ref="A4:J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22.38"/>
    <col customWidth="1" min="18" max="18" width="17.5"/>
    <col customWidth="1" min="23" max="23" width="30.88"/>
  </cols>
  <sheetData>
    <row r="1">
      <c r="A1" s="55" t="s">
        <v>197</v>
      </c>
    </row>
    <row r="2">
      <c r="A2" s="55" t="s">
        <v>200</v>
      </c>
    </row>
    <row r="3">
      <c r="A3" s="55" t="s">
        <v>201</v>
      </c>
    </row>
    <row r="4">
      <c r="A4" s="56" t="s">
        <v>6</v>
      </c>
    </row>
    <row r="5">
      <c r="A5" s="57">
        <f>100000+B7+C7+D7+F7+G7+I7+A72+E23+L7+F16+E27+N7+Q7+F22</f>
        <v>2147285</v>
      </c>
    </row>
    <row r="6">
      <c r="A6" s="11" t="s">
        <v>19</v>
      </c>
      <c r="B6" s="11" t="s">
        <v>22</v>
      </c>
      <c r="C6" s="11" t="s">
        <v>24</v>
      </c>
      <c r="D6" s="11" t="s">
        <v>226</v>
      </c>
      <c r="E6" s="11" t="s">
        <v>26</v>
      </c>
      <c r="F6" s="11" t="s">
        <v>228</v>
      </c>
      <c r="G6" s="11" t="s">
        <v>229</v>
      </c>
      <c r="I6" s="11" t="s">
        <v>59</v>
      </c>
      <c r="L6" s="11" t="s">
        <v>232</v>
      </c>
      <c r="N6" s="23" t="s">
        <v>234</v>
      </c>
      <c r="Q6" s="60" t="s">
        <v>60</v>
      </c>
      <c r="W6" s="11"/>
    </row>
    <row r="7">
      <c r="A7" s="12" t="s">
        <v>242</v>
      </c>
      <c r="B7" s="57">
        <v>-260000.0</v>
      </c>
      <c r="C7" s="57">
        <v>65000.0</v>
      </c>
      <c r="D7" s="57">
        <v>-1500.0</v>
      </c>
      <c r="E7" s="12" t="s">
        <v>243</v>
      </c>
      <c r="F7" s="57">
        <v>37000.0</v>
      </c>
      <c r="G7" s="57">
        <v>92600.0</v>
      </c>
      <c r="I7" s="57">
        <v>24500.0</v>
      </c>
      <c r="L7" s="57">
        <v>135000.0</v>
      </c>
      <c r="N7" s="61">
        <f>N9</f>
        <v>381000</v>
      </c>
      <c r="Q7" s="62">
        <f>T15+T20+T36+T39+T43+T46+T49</f>
        <v>239000</v>
      </c>
      <c r="W7" s="63"/>
    </row>
    <row r="8">
      <c r="A8" s="12" t="s">
        <v>267</v>
      </c>
      <c r="B8" s="15" t="s">
        <v>35</v>
      </c>
      <c r="C8" s="12" t="s">
        <v>271</v>
      </c>
      <c r="D8" s="12" t="s">
        <v>274</v>
      </c>
      <c r="E8" s="12" t="s">
        <v>275</v>
      </c>
      <c r="F8" s="12" t="s">
        <v>278</v>
      </c>
      <c r="G8" s="12" t="s">
        <v>77</v>
      </c>
      <c r="H8" s="64" t="s">
        <v>280</v>
      </c>
      <c r="I8" s="12" t="s">
        <v>77</v>
      </c>
      <c r="J8" s="12" t="s">
        <v>283</v>
      </c>
      <c r="K8" s="12" t="s">
        <v>81</v>
      </c>
      <c r="L8" s="64" t="s">
        <v>284</v>
      </c>
      <c r="M8" s="64" t="s">
        <v>285</v>
      </c>
      <c r="N8" s="34" t="s">
        <v>89</v>
      </c>
      <c r="Q8" s="66" t="s">
        <v>85</v>
      </c>
      <c r="R8" s="66" t="s">
        <v>87</v>
      </c>
      <c r="S8" s="66" t="s">
        <v>88</v>
      </c>
      <c r="T8" s="66" t="s">
        <v>1</v>
      </c>
      <c r="U8" s="66" t="s">
        <v>90</v>
      </c>
    </row>
    <row r="9">
      <c r="A9" s="12" t="s">
        <v>291</v>
      </c>
      <c r="B9" s="14" t="s">
        <v>292</v>
      </c>
      <c r="C9" s="12" t="s">
        <v>294</v>
      </c>
      <c r="D9" s="12" t="s">
        <v>297</v>
      </c>
      <c r="E9" s="12" t="s">
        <v>298</v>
      </c>
      <c r="F9" s="12" t="s">
        <v>300</v>
      </c>
      <c r="G9" s="12" t="s">
        <v>303</v>
      </c>
      <c r="H9" s="12" t="s">
        <v>304</v>
      </c>
      <c r="I9" s="12" t="s">
        <v>306</v>
      </c>
      <c r="J9" s="12" t="s">
        <v>308</v>
      </c>
      <c r="K9" s="12" t="s">
        <v>309</v>
      </c>
      <c r="L9" s="12" t="s">
        <v>312</v>
      </c>
      <c r="M9" s="12" t="s">
        <v>313</v>
      </c>
      <c r="N9" s="69">
        <f>P11+P14+P15+P17+P18+P19</f>
        <v>381000</v>
      </c>
      <c r="Q9" s="70" t="s">
        <v>314</v>
      </c>
      <c r="R9" s="71" t="s">
        <v>106</v>
      </c>
      <c r="S9" s="71">
        <v>7.0</v>
      </c>
      <c r="T9" s="71">
        <f>S9*1000</f>
        <v>7000</v>
      </c>
      <c r="U9" s="72">
        <f>S9*20</f>
        <v>140</v>
      </c>
    </row>
    <row r="10">
      <c r="A10" s="12" t="s">
        <v>325</v>
      </c>
      <c r="B10" s="14" t="s">
        <v>326</v>
      </c>
      <c r="C10" s="12" t="s">
        <v>328</v>
      </c>
      <c r="E10" s="12" t="s">
        <v>329</v>
      </c>
      <c r="F10" s="12" t="s">
        <v>330</v>
      </c>
      <c r="G10" s="12" t="s">
        <v>331</v>
      </c>
      <c r="H10" s="12" t="s">
        <v>332</v>
      </c>
      <c r="I10" s="12" t="s">
        <v>333</v>
      </c>
      <c r="J10" s="12" t="s">
        <v>334</v>
      </c>
      <c r="K10" s="12" t="s">
        <v>335</v>
      </c>
      <c r="L10" s="12" t="s">
        <v>336</v>
      </c>
      <c r="M10" s="12" t="s">
        <v>337</v>
      </c>
      <c r="N10" s="66" t="s">
        <v>130</v>
      </c>
      <c r="O10" s="66" t="s">
        <v>135</v>
      </c>
      <c r="P10" s="66" t="s">
        <v>1</v>
      </c>
      <c r="R10" s="71" t="s">
        <v>338</v>
      </c>
      <c r="S10" s="71">
        <v>0.5</v>
      </c>
      <c r="T10" s="72">
        <f>S10*3000</f>
        <v>1500</v>
      </c>
      <c r="U10" s="72">
        <f>S10*40</f>
        <v>20</v>
      </c>
    </row>
    <row r="11">
      <c r="A11" s="12" t="s">
        <v>346</v>
      </c>
      <c r="B11" s="14" t="s">
        <v>350</v>
      </c>
      <c r="C11" s="12" t="s">
        <v>351</v>
      </c>
      <c r="E11" s="12" t="s">
        <v>353</v>
      </c>
      <c r="F11" s="12" t="s">
        <v>355</v>
      </c>
      <c r="G11" s="12" t="s">
        <v>166</v>
      </c>
      <c r="H11" s="12" t="s">
        <v>359</v>
      </c>
      <c r="I11" s="12" t="s">
        <v>195</v>
      </c>
      <c r="J11" s="12" t="s">
        <v>363</v>
      </c>
      <c r="K11" s="12" t="s">
        <v>365</v>
      </c>
      <c r="L11" s="12" t="s">
        <v>367</v>
      </c>
      <c r="M11" s="12" t="s">
        <v>368</v>
      </c>
      <c r="N11" s="50" t="s">
        <v>373</v>
      </c>
      <c r="O11" s="14" t="s">
        <v>374</v>
      </c>
      <c r="P11" s="50">
        <f>12000+25000</f>
        <v>37000</v>
      </c>
      <c r="R11" s="71" t="s">
        <v>181</v>
      </c>
      <c r="S11" s="71">
        <v>1.0</v>
      </c>
      <c r="T11" s="72">
        <f>S11*8000</f>
        <v>8000</v>
      </c>
      <c r="U11" s="72">
        <f>S11*80</f>
        <v>80</v>
      </c>
    </row>
    <row r="12">
      <c r="A12" s="12" t="s">
        <v>391</v>
      </c>
      <c r="B12" s="14" t="s">
        <v>393</v>
      </c>
      <c r="C12" s="12" t="s">
        <v>394</v>
      </c>
      <c r="E12" s="12" t="s">
        <v>396</v>
      </c>
      <c r="F12" s="11" t="s">
        <v>397</v>
      </c>
      <c r="G12" s="12" t="s">
        <v>398</v>
      </c>
      <c r="H12" s="12" t="s">
        <v>400</v>
      </c>
      <c r="I12" s="12" t="s">
        <v>218</v>
      </c>
      <c r="J12" s="12" t="s">
        <v>401</v>
      </c>
      <c r="K12" s="12" t="s">
        <v>402</v>
      </c>
      <c r="L12" s="12" t="s">
        <v>403</v>
      </c>
      <c r="M12" s="12" t="s">
        <v>405</v>
      </c>
      <c r="O12" s="14" t="s">
        <v>407</v>
      </c>
      <c r="R12" s="71" t="s">
        <v>215</v>
      </c>
    </row>
    <row r="13">
      <c r="A13" s="12" t="s">
        <v>410</v>
      </c>
      <c r="B13" s="14" t="s">
        <v>412</v>
      </c>
      <c r="C13" s="12" t="s">
        <v>415</v>
      </c>
      <c r="E13" s="12" t="s">
        <v>416</v>
      </c>
      <c r="F13" s="12" t="s">
        <v>417</v>
      </c>
      <c r="G13" s="12" t="s">
        <v>418</v>
      </c>
      <c r="H13" s="12" t="s">
        <v>419</v>
      </c>
      <c r="I13" s="12" t="s">
        <v>420</v>
      </c>
      <c r="J13" s="12" t="s">
        <v>421</v>
      </c>
      <c r="K13" s="12" t="s">
        <v>422</v>
      </c>
      <c r="L13" s="12" t="s">
        <v>423</v>
      </c>
      <c r="M13" s="12" t="s">
        <v>424</v>
      </c>
      <c r="O13" s="11" t="s">
        <v>282</v>
      </c>
      <c r="R13" s="71">
        <v>100.0</v>
      </c>
      <c r="S13" s="71">
        <v>3.5</v>
      </c>
      <c r="T13" s="72">
        <f t="shared" ref="T13:T14" si="1">S13*1500</f>
        <v>5250</v>
      </c>
      <c r="U13" s="72">
        <f t="shared" ref="U13:U14" si="2">S13*60</f>
        <v>210</v>
      </c>
    </row>
    <row r="14">
      <c r="A14" s="12" t="s">
        <v>438</v>
      </c>
      <c r="B14" s="14" t="s">
        <v>440</v>
      </c>
      <c r="C14" s="12" t="s">
        <v>442</v>
      </c>
      <c r="E14" s="12" t="s">
        <v>443</v>
      </c>
      <c r="G14" s="12" t="s">
        <v>444</v>
      </c>
      <c r="H14" s="12" t="s">
        <v>445</v>
      </c>
      <c r="I14" s="12" t="s">
        <v>447</v>
      </c>
      <c r="J14" s="12" t="s">
        <v>448</v>
      </c>
      <c r="K14" s="12" t="s">
        <v>449</v>
      </c>
      <c r="L14" s="12" t="s">
        <v>450</v>
      </c>
      <c r="M14" s="58">
        <v>50000.0</v>
      </c>
      <c r="N14" s="50" t="s">
        <v>451</v>
      </c>
      <c r="O14" s="14" t="s">
        <v>452</v>
      </c>
      <c r="P14" s="50">
        <f>1000</f>
        <v>1000</v>
      </c>
      <c r="R14" s="71" t="s">
        <v>457</v>
      </c>
      <c r="S14" s="71">
        <v>1.0</v>
      </c>
      <c r="T14" s="72">
        <f t="shared" si="1"/>
        <v>1500</v>
      </c>
      <c r="U14" s="72">
        <f t="shared" si="2"/>
        <v>60</v>
      </c>
    </row>
    <row r="15">
      <c r="A15" s="12" t="s">
        <v>462</v>
      </c>
      <c r="B15" s="14" t="s">
        <v>463</v>
      </c>
      <c r="C15" s="12" t="s">
        <v>464</v>
      </c>
      <c r="E15" s="12" t="s">
        <v>466</v>
      </c>
      <c r="F15" s="11" t="s">
        <v>470</v>
      </c>
      <c r="G15" s="12" t="s">
        <v>408</v>
      </c>
      <c r="H15" s="12" t="s">
        <v>471</v>
      </c>
      <c r="I15" s="12" t="s">
        <v>473</v>
      </c>
      <c r="J15" s="12" t="s">
        <v>474</v>
      </c>
      <c r="K15" s="12" t="s">
        <v>475</v>
      </c>
      <c r="N15" s="14" t="s">
        <v>476</v>
      </c>
      <c r="O15" s="14" t="s">
        <v>241</v>
      </c>
      <c r="P15" s="14">
        <v>3000.0</v>
      </c>
      <c r="R15" s="75" t="s">
        <v>118</v>
      </c>
      <c r="T15" s="76">
        <f t="shared" ref="T15:U15" si="3">T9+T10+T13+T14+T11</f>
        <v>23250</v>
      </c>
      <c r="U15" s="76">
        <f t="shared" si="3"/>
        <v>510</v>
      </c>
    </row>
    <row r="16">
      <c r="A16" s="12" t="s">
        <v>488</v>
      </c>
      <c r="B16" s="14" t="s">
        <v>489</v>
      </c>
      <c r="C16" s="12" t="s">
        <v>492</v>
      </c>
      <c r="E16" s="12" t="s">
        <v>494</v>
      </c>
      <c r="F16" s="77">
        <v>-10000.0</v>
      </c>
      <c r="G16" s="12" t="s">
        <v>496</v>
      </c>
      <c r="H16" s="12" t="s">
        <v>499</v>
      </c>
      <c r="I16" s="12" t="s">
        <v>501</v>
      </c>
      <c r="J16" s="12" t="s">
        <v>504</v>
      </c>
      <c r="O16" s="14" t="s">
        <v>196</v>
      </c>
      <c r="Q16" s="70" t="s">
        <v>507</v>
      </c>
      <c r="R16" s="71" t="s">
        <v>106</v>
      </c>
      <c r="S16" s="71">
        <v>2.0</v>
      </c>
      <c r="T16" s="71">
        <f>S16*1000</f>
        <v>2000</v>
      </c>
      <c r="U16" s="72">
        <f>S16*20</f>
        <v>40</v>
      </c>
    </row>
    <row r="17">
      <c r="A17" s="12" t="s">
        <v>515</v>
      </c>
      <c r="B17" s="15" t="s">
        <v>40</v>
      </c>
      <c r="C17" s="12" t="s">
        <v>516</v>
      </c>
      <c r="E17" s="12" t="s">
        <v>517</v>
      </c>
      <c r="F17" s="12" t="s">
        <v>83</v>
      </c>
      <c r="G17" s="12" t="s">
        <v>208</v>
      </c>
      <c r="I17" s="12" t="s">
        <v>519</v>
      </c>
      <c r="J17" s="12" t="s">
        <v>522</v>
      </c>
      <c r="N17" s="14" t="s">
        <v>524</v>
      </c>
      <c r="O17" s="11" t="s">
        <v>526</v>
      </c>
      <c r="P17" s="14">
        <v>15000.0</v>
      </c>
      <c r="R17" s="71" t="s">
        <v>215</v>
      </c>
    </row>
    <row r="18">
      <c r="A18" s="12" t="s">
        <v>530</v>
      </c>
      <c r="B18" s="14" t="s">
        <v>532</v>
      </c>
      <c r="C18" s="12" t="s">
        <v>533</v>
      </c>
      <c r="E18" s="12" t="s">
        <v>534</v>
      </c>
      <c r="G18" s="12" t="s">
        <v>295</v>
      </c>
      <c r="H18" s="64" t="s">
        <v>535</v>
      </c>
      <c r="I18" s="12" t="s">
        <v>519</v>
      </c>
      <c r="J18" s="12" t="s">
        <v>540</v>
      </c>
      <c r="N18" s="14" t="s">
        <v>541</v>
      </c>
      <c r="O18" s="11" t="s">
        <v>347</v>
      </c>
      <c r="P18" s="14">
        <v>25000.0</v>
      </c>
      <c r="R18" s="71">
        <v>100.0</v>
      </c>
      <c r="S18" s="71">
        <v>0.5</v>
      </c>
      <c r="T18" s="72">
        <f t="shared" ref="T18:T19" si="4">S18*1500</f>
        <v>750</v>
      </c>
      <c r="U18" s="72">
        <f t="shared" ref="U18:U19" si="5">S18*60</f>
        <v>30</v>
      </c>
    </row>
    <row r="19">
      <c r="A19" s="12" t="s">
        <v>549</v>
      </c>
      <c r="B19" s="14" t="s">
        <v>550</v>
      </c>
      <c r="C19" s="12" t="s">
        <v>551</v>
      </c>
      <c r="E19" s="12" t="s">
        <v>556</v>
      </c>
      <c r="F19" s="68"/>
      <c r="G19" s="12" t="s">
        <v>557</v>
      </c>
      <c r="I19" s="12" t="s">
        <v>562</v>
      </c>
      <c r="J19" s="12" t="s">
        <v>563</v>
      </c>
      <c r="N19" s="11" t="s">
        <v>446</v>
      </c>
      <c r="P19" s="11">
        <v>300000.0</v>
      </c>
      <c r="R19" s="71" t="s">
        <v>564</v>
      </c>
      <c r="S19" s="71">
        <v>2.0</v>
      </c>
      <c r="T19" s="72">
        <f t="shared" si="4"/>
        <v>3000</v>
      </c>
      <c r="U19" s="72">
        <f t="shared" si="5"/>
        <v>120</v>
      </c>
    </row>
    <row r="20">
      <c r="A20" s="12" t="s">
        <v>568</v>
      </c>
      <c r="B20" s="15" t="s">
        <v>44</v>
      </c>
      <c r="C20" s="12" t="s">
        <v>569</v>
      </c>
      <c r="E20" s="12" t="s">
        <v>570</v>
      </c>
      <c r="F20" s="12"/>
      <c r="G20" s="12" t="s">
        <v>571</v>
      </c>
      <c r="H20" s="64" t="s">
        <v>572</v>
      </c>
      <c r="I20" s="12" t="s">
        <v>573</v>
      </c>
      <c r="R20" s="75" t="s">
        <v>118</v>
      </c>
      <c r="T20" s="76">
        <f t="shared" ref="T20:U20" si="6">T16+T18+T19</f>
        <v>5750</v>
      </c>
      <c r="U20" s="76">
        <f t="shared" si="6"/>
        <v>190</v>
      </c>
    </row>
    <row r="21">
      <c r="A21" s="12" t="s">
        <v>584</v>
      </c>
      <c r="B21" s="14" t="s">
        <v>42</v>
      </c>
      <c r="C21" s="12" t="s">
        <v>586</v>
      </c>
      <c r="E21" s="12" t="s">
        <v>587</v>
      </c>
      <c r="F21" s="11" t="s">
        <v>588</v>
      </c>
      <c r="G21" s="12" t="s">
        <v>444</v>
      </c>
      <c r="I21" s="12" t="s">
        <v>590</v>
      </c>
      <c r="Q21" s="70" t="s">
        <v>591</v>
      </c>
      <c r="R21" s="71" t="s">
        <v>106</v>
      </c>
      <c r="S21" s="71">
        <v>6.5</v>
      </c>
      <c r="T21" s="71">
        <f>S21*1000</f>
        <v>6500</v>
      </c>
      <c r="U21" s="72">
        <f t="shared" ref="U21:U22" si="7">S21*20</f>
        <v>130</v>
      </c>
    </row>
    <row r="22">
      <c r="A22" s="12" t="s">
        <v>610</v>
      </c>
      <c r="C22" s="12" t="s">
        <v>612</v>
      </c>
      <c r="E22" s="11" t="s">
        <v>614</v>
      </c>
      <c r="F22" s="57">
        <v>100000.0</v>
      </c>
      <c r="G22" s="12" t="s">
        <v>616</v>
      </c>
      <c r="I22" s="12" t="s">
        <v>559</v>
      </c>
      <c r="R22" s="71" t="s">
        <v>361</v>
      </c>
      <c r="S22" s="71">
        <v>1.0</v>
      </c>
      <c r="T22" s="71">
        <f t="shared" ref="T22:T23" si="8">S22*2000</f>
        <v>2000</v>
      </c>
      <c r="U22" s="72">
        <f t="shared" si="7"/>
        <v>20</v>
      </c>
    </row>
    <row r="23">
      <c r="A23" s="12" t="s">
        <v>634</v>
      </c>
      <c r="C23" s="12" t="s">
        <v>636</v>
      </c>
      <c r="E23" s="57">
        <v>40000.0</v>
      </c>
      <c r="F23" s="12" t="s">
        <v>637</v>
      </c>
      <c r="G23" s="12" t="s">
        <v>134</v>
      </c>
      <c r="I23" s="12" t="s">
        <v>559</v>
      </c>
      <c r="R23" s="71" t="s">
        <v>161</v>
      </c>
      <c r="S23" s="71">
        <v>1.5</v>
      </c>
      <c r="T23" s="72">
        <f t="shared" si="8"/>
        <v>3000</v>
      </c>
      <c r="U23" s="72">
        <f t="shared" ref="U23:U24" si="9">S23*40</f>
        <v>60</v>
      </c>
    </row>
    <row r="24">
      <c r="A24" s="12" t="s">
        <v>656</v>
      </c>
      <c r="C24" s="12" t="s">
        <v>154</v>
      </c>
      <c r="E24" s="14" t="s">
        <v>658</v>
      </c>
      <c r="G24" s="12" t="s">
        <v>660</v>
      </c>
      <c r="I24" s="12" t="s">
        <v>662</v>
      </c>
      <c r="R24" s="71" t="s">
        <v>338</v>
      </c>
      <c r="S24" s="71">
        <v>2.0</v>
      </c>
      <c r="T24" s="72">
        <f>S24*3000</f>
        <v>6000</v>
      </c>
      <c r="U24" s="72">
        <f t="shared" si="9"/>
        <v>80</v>
      </c>
    </row>
    <row r="25">
      <c r="A25" s="33" t="s">
        <v>667</v>
      </c>
      <c r="C25" s="12" t="s">
        <v>670</v>
      </c>
      <c r="G25" s="12" t="s">
        <v>672</v>
      </c>
      <c r="I25" s="12" t="s">
        <v>195</v>
      </c>
      <c r="R25" s="71" t="s">
        <v>199</v>
      </c>
      <c r="S25" s="71">
        <v>6.0</v>
      </c>
      <c r="T25" s="72">
        <f>S25*5000</f>
        <v>30000</v>
      </c>
      <c r="U25" s="72">
        <f>S25*100</f>
        <v>600</v>
      </c>
    </row>
    <row r="26">
      <c r="A26" s="33" t="s">
        <v>688</v>
      </c>
      <c r="C26" s="12" t="s">
        <v>690</v>
      </c>
      <c r="E26" s="11" t="s">
        <v>455</v>
      </c>
      <c r="G26" s="12" t="s">
        <v>418</v>
      </c>
      <c r="I26" s="12" t="s">
        <v>573</v>
      </c>
      <c r="R26" s="71" t="s">
        <v>138</v>
      </c>
      <c r="S26" s="71">
        <v>4.5</v>
      </c>
      <c r="T26" s="71">
        <f>S26*6000</f>
        <v>27000</v>
      </c>
      <c r="U26" s="72">
        <f>S26*40</f>
        <v>180</v>
      </c>
    </row>
    <row r="27">
      <c r="A27" s="33" t="s">
        <v>719</v>
      </c>
      <c r="C27" s="12" t="s">
        <v>721</v>
      </c>
      <c r="E27" s="57">
        <v>100000.0</v>
      </c>
      <c r="G27" s="12" t="s">
        <v>227</v>
      </c>
      <c r="I27" s="12" t="s">
        <v>723</v>
      </c>
      <c r="R27" s="71" t="s">
        <v>181</v>
      </c>
      <c r="S27" s="71">
        <v>8.0</v>
      </c>
      <c r="T27" s="72">
        <f>S27*8000</f>
        <v>64000</v>
      </c>
      <c r="U27" s="72">
        <f>S27*80</f>
        <v>640</v>
      </c>
    </row>
    <row r="28">
      <c r="A28" s="33" t="s">
        <v>732</v>
      </c>
      <c r="C28" s="12" t="s">
        <v>733</v>
      </c>
      <c r="E28" s="14" t="s">
        <v>734</v>
      </c>
      <c r="G28" s="12" t="s">
        <v>736</v>
      </c>
      <c r="I28" s="12" t="s">
        <v>166</v>
      </c>
      <c r="R28" s="71" t="s">
        <v>223</v>
      </c>
      <c r="S28" s="71">
        <v>3.0</v>
      </c>
      <c r="T28" s="72">
        <f>S28*10000</f>
        <v>30000</v>
      </c>
      <c r="U28" s="72">
        <f>S28*100</f>
        <v>300</v>
      </c>
    </row>
    <row r="29">
      <c r="C29" s="12" t="s">
        <v>748</v>
      </c>
      <c r="E29" s="14" t="s">
        <v>751</v>
      </c>
      <c r="G29" s="12" t="s">
        <v>752</v>
      </c>
      <c r="I29" s="12" t="s">
        <v>178</v>
      </c>
      <c r="R29" s="71" t="s">
        <v>215</v>
      </c>
    </row>
    <row r="30">
      <c r="C30" s="12" t="s">
        <v>754</v>
      </c>
      <c r="E30" s="14" t="s">
        <v>755</v>
      </c>
      <c r="G30" s="12" t="s">
        <v>757</v>
      </c>
      <c r="I30" s="12" t="s">
        <v>358</v>
      </c>
      <c r="R30" s="71">
        <v>100.0</v>
      </c>
      <c r="S30" s="71">
        <v>3.0</v>
      </c>
      <c r="T30" s="72">
        <f t="shared" ref="T30:T35" si="10">S30*1500</f>
        <v>4500</v>
      </c>
      <c r="U30" s="72">
        <f t="shared" ref="U30:U35" si="11">S30*60</f>
        <v>180</v>
      </c>
    </row>
    <row r="31">
      <c r="C31" s="12" t="s">
        <v>769</v>
      </c>
      <c r="E31" s="14" t="s">
        <v>770</v>
      </c>
      <c r="G31" s="12" t="s">
        <v>134</v>
      </c>
      <c r="I31" s="12" t="s">
        <v>286</v>
      </c>
      <c r="R31" s="71" t="s">
        <v>491</v>
      </c>
      <c r="S31" s="71">
        <v>4.0</v>
      </c>
      <c r="T31" s="72">
        <f t="shared" si="10"/>
        <v>6000</v>
      </c>
      <c r="U31" s="72">
        <f t="shared" si="11"/>
        <v>240</v>
      </c>
    </row>
    <row r="32">
      <c r="C32" s="12" t="s">
        <v>788</v>
      </c>
      <c r="G32" s="12" t="s">
        <v>791</v>
      </c>
      <c r="I32" s="12" t="s">
        <v>263</v>
      </c>
      <c r="R32" s="71" t="s">
        <v>251</v>
      </c>
      <c r="S32" s="71">
        <v>3.0</v>
      </c>
      <c r="T32" s="72">
        <f t="shared" si="10"/>
        <v>4500</v>
      </c>
      <c r="U32" s="72">
        <f t="shared" si="11"/>
        <v>180</v>
      </c>
    </row>
    <row r="33">
      <c r="C33" s="12" t="s">
        <v>803</v>
      </c>
      <c r="G33" s="12" t="s">
        <v>804</v>
      </c>
      <c r="I33" s="12" t="s">
        <v>806</v>
      </c>
      <c r="R33" s="71" t="s">
        <v>289</v>
      </c>
      <c r="S33" s="71">
        <v>5.0</v>
      </c>
      <c r="T33" s="72">
        <f t="shared" si="10"/>
        <v>7500</v>
      </c>
      <c r="U33" s="72">
        <f t="shared" si="11"/>
        <v>300</v>
      </c>
    </row>
    <row r="34">
      <c r="C34" s="12" t="s">
        <v>319</v>
      </c>
      <c r="G34" s="12" t="s">
        <v>571</v>
      </c>
      <c r="I34" s="12" t="s">
        <v>436</v>
      </c>
      <c r="R34" s="71" t="s">
        <v>259</v>
      </c>
      <c r="S34" s="71">
        <v>2.0</v>
      </c>
      <c r="T34" s="72">
        <f t="shared" si="10"/>
        <v>3000</v>
      </c>
      <c r="U34" s="72">
        <f t="shared" si="11"/>
        <v>120</v>
      </c>
    </row>
    <row r="35">
      <c r="C35" s="12" t="s">
        <v>821</v>
      </c>
      <c r="G35" s="12" t="s">
        <v>408</v>
      </c>
      <c r="I35" s="12" t="s">
        <v>286</v>
      </c>
      <c r="R35" s="71" t="s">
        <v>564</v>
      </c>
      <c r="S35" s="71">
        <v>4.0</v>
      </c>
      <c r="T35" s="72">
        <f t="shared" si="10"/>
        <v>6000</v>
      </c>
      <c r="U35" s="72">
        <f t="shared" si="11"/>
        <v>240</v>
      </c>
    </row>
    <row r="36">
      <c r="G36" s="12" t="s">
        <v>496</v>
      </c>
      <c r="I36" s="12" t="s">
        <v>590</v>
      </c>
      <c r="R36" s="75" t="s">
        <v>118</v>
      </c>
      <c r="T36" s="76">
        <f t="shared" ref="T36:U36" si="12">T21+T22+T23+T24+T25+T26+T27+T30+T31+T32+T33+T34+T35+T28</f>
        <v>200000</v>
      </c>
      <c r="U36" s="76">
        <f t="shared" si="12"/>
        <v>3270</v>
      </c>
    </row>
    <row r="37">
      <c r="G37" s="12" t="s">
        <v>850</v>
      </c>
      <c r="I37" s="12" t="s">
        <v>852</v>
      </c>
      <c r="Q37" s="70" t="s">
        <v>862</v>
      </c>
      <c r="R37" s="71" t="s">
        <v>215</v>
      </c>
    </row>
    <row r="38">
      <c r="G38" s="12" t="s">
        <v>166</v>
      </c>
      <c r="I38" s="12" t="s">
        <v>195</v>
      </c>
      <c r="R38" s="71">
        <v>100.0</v>
      </c>
      <c r="S38" s="71">
        <v>0.5</v>
      </c>
      <c r="T38" s="72">
        <f>S38*1500</f>
        <v>750</v>
      </c>
      <c r="U38" s="72">
        <f>S38*60</f>
        <v>30</v>
      </c>
    </row>
    <row r="39">
      <c r="G39" s="12" t="s">
        <v>189</v>
      </c>
      <c r="I39" s="12" t="s">
        <v>263</v>
      </c>
      <c r="R39" s="75" t="s">
        <v>118</v>
      </c>
      <c r="T39" s="76">
        <f t="shared" ref="T39:U39" si="13">T38</f>
        <v>750</v>
      </c>
      <c r="U39" s="76">
        <f t="shared" si="13"/>
        <v>30</v>
      </c>
    </row>
    <row r="40">
      <c r="G40" s="12" t="s">
        <v>905</v>
      </c>
      <c r="I40" s="12" t="s">
        <v>908</v>
      </c>
      <c r="Q40" s="70" t="s">
        <v>909</v>
      </c>
      <c r="R40" s="71" t="s">
        <v>181</v>
      </c>
      <c r="S40" s="71">
        <v>0.5</v>
      </c>
      <c r="T40" s="72">
        <f>S40*8000</f>
        <v>4000</v>
      </c>
      <c r="U40" s="72">
        <f>S40*80</f>
        <v>40</v>
      </c>
    </row>
    <row r="41">
      <c r="G41" s="12" t="s">
        <v>925</v>
      </c>
      <c r="I41" s="12" t="s">
        <v>195</v>
      </c>
      <c r="R41" s="71" t="s">
        <v>215</v>
      </c>
    </row>
    <row r="42">
      <c r="G42" s="12" t="s">
        <v>227</v>
      </c>
      <c r="I42" s="12" t="s">
        <v>559</v>
      </c>
      <c r="R42" s="71">
        <v>100.0</v>
      </c>
      <c r="S42" s="71">
        <v>0.5</v>
      </c>
      <c r="T42" s="72">
        <f>S42*1500</f>
        <v>750</v>
      </c>
      <c r="U42" s="72">
        <f>S42*60</f>
        <v>30</v>
      </c>
    </row>
    <row r="43">
      <c r="G43" s="12" t="s">
        <v>946</v>
      </c>
      <c r="I43" s="12" t="s">
        <v>947</v>
      </c>
      <c r="R43" s="75" t="s">
        <v>118</v>
      </c>
      <c r="T43" s="76">
        <f t="shared" ref="T43:U43" si="14">T42+T40</f>
        <v>4750</v>
      </c>
      <c r="U43" s="76">
        <f t="shared" si="14"/>
        <v>70</v>
      </c>
    </row>
    <row r="44">
      <c r="G44" s="12" t="s">
        <v>166</v>
      </c>
      <c r="I44" s="12" t="s">
        <v>195</v>
      </c>
      <c r="Q44" s="70" t="s">
        <v>961</v>
      </c>
      <c r="R44" s="71" t="s">
        <v>215</v>
      </c>
    </row>
    <row r="45">
      <c r="G45" s="12" t="s">
        <v>973</v>
      </c>
      <c r="I45" s="12" t="s">
        <v>559</v>
      </c>
      <c r="R45" s="71">
        <v>100.0</v>
      </c>
      <c r="S45" s="71">
        <v>2.0</v>
      </c>
      <c r="T45" s="72">
        <f>S45*1500</f>
        <v>3000</v>
      </c>
      <c r="U45" s="72">
        <f>S45*60</f>
        <v>120</v>
      </c>
    </row>
    <row r="46">
      <c r="G46" s="12" t="s">
        <v>386</v>
      </c>
      <c r="I46" s="12" t="s">
        <v>991</v>
      </c>
      <c r="R46" s="75" t="s">
        <v>118</v>
      </c>
      <c r="T46" s="76">
        <f t="shared" ref="T46:U46" si="15">T45</f>
        <v>3000</v>
      </c>
      <c r="U46" s="76">
        <f t="shared" si="15"/>
        <v>120</v>
      </c>
    </row>
    <row r="47">
      <c r="G47" s="12" t="s">
        <v>1001</v>
      </c>
      <c r="I47" s="12" t="s">
        <v>195</v>
      </c>
      <c r="Q47" s="70" t="s">
        <v>646</v>
      </c>
      <c r="R47" s="71" t="s">
        <v>215</v>
      </c>
    </row>
    <row r="48">
      <c r="G48" s="12" t="s">
        <v>1012</v>
      </c>
      <c r="I48" s="12" t="s">
        <v>1014</v>
      </c>
      <c r="R48" s="71" t="s">
        <v>457</v>
      </c>
      <c r="S48" s="71">
        <v>1.0</v>
      </c>
      <c r="T48" s="72">
        <f>S48*1500</f>
        <v>1500</v>
      </c>
      <c r="U48" s="72">
        <f>S48*60</f>
        <v>60</v>
      </c>
    </row>
    <row r="49">
      <c r="G49" s="12" t="s">
        <v>925</v>
      </c>
      <c r="I49" s="12" t="s">
        <v>1026</v>
      </c>
      <c r="R49" s="75" t="s">
        <v>118</v>
      </c>
      <c r="T49" s="76">
        <f t="shared" ref="T49:U49" si="16">T48</f>
        <v>1500</v>
      </c>
      <c r="U49" s="76">
        <f t="shared" si="16"/>
        <v>60</v>
      </c>
    </row>
    <row r="50">
      <c r="G50" s="12" t="s">
        <v>1001</v>
      </c>
      <c r="I50" s="12" t="s">
        <v>134</v>
      </c>
    </row>
    <row r="51">
      <c r="I51" s="12" t="s">
        <v>536</v>
      </c>
    </row>
    <row r="52">
      <c r="I52" s="12" t="s">
        <v>1040</v>
      </c>
      <c r="K52" s="113"/>
      <c r="L52" s="113"/>
      <c r="M52" s="113"/>
      <c r="N52" s="113"/>
      <c r="O52" s="113"/>
      <c r="P52" s="113"/>
      <c r="R52" s="113"/>
      <c r="S52" s="113"/>
      <c r="T52" s="113"/>
      <c r="U52" s="113"/>
      <c r="V52" s="113"/>
    </row>
    <row r="53">
      <c r="I53" s="12" t="s">
        <v>505</v>
      </c>
      <c r="K53" s="113"/>
      <c r="L53" s="113"/>
      <c r="M53" s="113"/>
      <c r="N53" s="113"/>
      <c r="O53" s="113"/>
      <c r="P53" s="113"/>
      <c r="R53" s="113"/>
      <c r="S53" s="113"/>
      <c r="T53" s="113"/>
      <c r="U53" s="113"/>
      <c r="V53" s="113"/>
    </row>
    <row r="54">
      <c r="I54" s="12" t="s">
        <v>545</v>
      </c>
      <c r="K54" s="113"/>
      <c r="L54" s="113"/>
      <c r="M54" s="113"/>
      <c r="N54" s="113"/>
      <c r="O54" s="113"/>
      <c r="P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>
      <c r="I55" s="12" t="s">
        <v>1077</v>
      </c>
      <c r="K55" s="113"/>
      <c r="L55" s="113"/>
      <c r="M55" s="113"/>
      <c r="N55" s="113"/>
      <c r="O55" s="113"/>
      <c r="P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>
      <c r="I56" s="12" t="s">
        <v>436</v>
      </c>
      <c r="K56" s="113"/>
      <c r="L56" s="113"/>
      <c r="M56" s="113"/>
      <c r="N56" s="113"/>
      <c r="O56" s="113"/>
      <c r="P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>
      <c r="I57" s="12" t="s">
        <v>545</v>
      </c>
      <c r="K57" s="113"/>
      <c r="L57" s="113"/>
      <c r="M57" s="113"/>
      <c r="N57" s="113"/>
      <c r="O57" s="113"/>
      <c r="P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>
      <c r="I58" s="12" t="s">
        <v>1099</v>
      </c>
      <c r="K58" s="113"/>
      <c r="L58" s="113"/>
      <c r="M58" s="113"/>
      <c r="N58" s="113"/>
      <c r="O58" s="113"/>
      <c r="P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>
      <c r="K59" s="113"/>
      <c r="L59" s="113"/>
      <c r="M59" s="113"/>
      <c r="N59" s="113"/>
      <c r="O59" s="113"/>
      <c r="P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>
      <c r="K60" s="113"/>
      <c r="L60" s="113"/>
      <c r="M60" s="113"/>
      <c r="N60" s="113"/>
      <c r="O60" s="113"/>
      <c r="P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>
      <c r="K61" s="113"/>
      <c r="L61" s="113"/>
      <c r="M61" s="113"/>
      <c r="N61" s="113"/>
      <c r="O61" s="113"/>
      <c r="P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71">
      <c r="A71" s="82" t="s">
        <v>1130</v>
      </c>
      <c r="F71" s="113"/>
    </row>
    <row r="72">
      <c r="A72" s="82">
        <f>A136+A115+A101+A74+A152+A167+A193+A206</f>
        <v>1104685</v>
      </c>
      <c r="F72" s="113"/>
    </row>
    <row r="73">
      <c r="A73" s="84" t="s">
        <v>1137</v>
      </c>
      <c r="F73" s="113"/>
    </row>
    <row r="74">
      <c r="A74" s="84">
        <v>145500.0</v>
      </c>
      <c r="F74" s="113"/>
    </row>
    <row r="75">
      <c r="A75" s="84">
        <v>2026.0</v>
      </c>
      <c r="F75" s="113"/>
    </row>
    <row r="76">
      <c r="A76" s="118" t="s">
        <v>1142</v>
      </c>
      <c r="F76" s="113"/>
    </row>
    <row r="77">
      <c r="A77" s="84" t="s">
        <v>1144</v>
      </c>
      <c r="F77" s="113"/>
    </row>
    <row r="78">
      <c r="A78" s="85" t="s">
        <v>576</v>
      </c>
      <c r="B78" s="85" t="s">
        <v>577</v>
      </c>
      <c r="C78" s="85" t="s">
        <v>578</v>
      </c>
      <c r="D78" s="85" t="s">
        <v>579</v>
      </c>
      <c r="E78" s="85" t="s">
        <v>580</v>
      </c>
      <c r="F78" s="113"/>
    </row>
    <row r="79">
      <c r="A79" s="64" t="s">
        <v>1151</v>
      </c>
      <c r="B79" s="64" t="s">
        <v>1153</v>
      </c>
      <c r="C79" s="64" t="s">
        <v>1151</v>
      </c>
      <c r="D79" s="64" t="s">
        <v>1155</v>
      </c>
      <c r="E79" s="64" t="s">
        <v>1157</v>
      </c>
    </row>
    <row r="80">
      <c r="A80" s="58" t="s">
        <v>1162</v>
      </c>
      <c r="B80" s="58" t="s">
        <v>1163</v>
      </c>
      <c r="C80" s="58" t="s">
        <v>1106</v>
      </c>
      <c r="D80" s="58" t="s">
        <v>1164</v>
      </c>
      <c r="E80" s="58" t="s">
        <v>1165</v>
      </c>
    </row>
    <row r="81">
      <c r="A81" s="58" t="s">
        <v>1166</v>
      </c>
      <c r="B81" s="58" t="s">
        <v>1166</v>
      </c>
      <c r="C81" s="58" t="s">
        <v>1166</v>
      </c>
      <c r="D81" s="58" t="s">
        <v>1166</v>
      </c>
      <c r="E81" s="58" t="s">
        <v>1166</v>
      </c>
    </row>
    <row r="82">
      <c r="A82" s="58" t="s">
        <v>1168</v>
      </c>
      <c r="B82" s="12" t="s">
        <v>797</v>
      </c>
      <c r="C82" s="58" t="s">
        <v>1169</v>
      </c>
      <c r="D82" s="12" t="s">
        <v>1170</v>
      </c>
      <c r="E82" s="12" t="s">
        <v>1171</v>
      </c>
    </row>
    <row r="83">
      <c r="A83" s="58" t="s">
        <v>1172</v>
      </c>
      <c r="B83" s="12" t="s">
        <v>783</v>
      </c>
      <c r="C83" s="58" t="s">
        <v>1172</v>
      </c>
      <c r="D83" s="12" t="s">
        <v>1173</v>
      </c>
      <c r="E83" s="12" t="s">
        <v>1174</v>
      </c>
    </row>
    <row r="84">
      <c r="A84" s="12" t="s">
        <v>1175</v>
      </c>
      <c r="B84" s="12" t="s">
        <v>1171</v>
      </c>
      <c r="C84" s="12" t="s">
        <v>1176</v>
      </c>
      <c r="D84" s="58" t="s">
        <v>1177</v>
      </c>
      <c r="E84" s="58" t="s">
        <v>1178</v>
      </c>
    </row>
    <row r="85">
      <c r="A85" s="12" t="s">
        <v>717</v>
      </c>
      <c r="B85" s="58" t="s">
        <v>420</v>
      </c>
      <c r="C85" s="12" t="s">
        <v>717</v>
      </c>
      <c r="D85" s="58" t="s">
        <v>1172</v>
      </c>
      <c r="E85" s="58" t="s">
        <v>1172</v>
      </c>
    </row>
    <row r="86">
      <c r="A86" s="119" t="s">
        <v>1179</v>
      </c>
      <c r="B86" s="58" t="s">
        <v>1172</v>
      </c>
      <c r="C86" s="119" t="s">
        <v>1180</v>
      </c>
      <c r="D86" s="12" t="s">
        <v>1170</v>
      </c>
      <c r="E86" s="12" t="s">
        <v>1181</v>
      </c>
      <c r="K86" s="113"/>
    </row>
    <row r="87">
      <c r="A87" s="119" t="s">
        <v>878</v>
      </c>
      <c r="B87" s="12" t="s">
        <v>1182</v>
      </c>
      <c r="C87" s="119" t="s">
        <v>878</v>
      </c>
      <c r="D87" s="12" t="s">
        <v>783</v>
      </c>
      <c r="E87" s="12" t="s">
        <v>1183</v>
      </c>
      <c r="K87" s="113"/>
    </row>
    <row r="88">
      <c r="B88" s="12" t="s">
        <v>717</v>
      </c>
      <c r="D88" s="12" t="s">
        <v>815</v>
      </c>
      <c r="E88" s="12" t="s">
        <v>1184</v>
      </c>
      <c r="G88" s="22"/>
      <c r="K88" s="113"/>
    </row>
    <row r="89">
      <c r="B89" s="12" t="s">
        <v>1171</v>
      </c>
      <c r="D89" s="12" t="s">
        <v>1185</v>
      </c>
      <c r="E89" s="12" t="s">
        <v>1186</v>
      </c>
      <c r="G89" s="22"/>
      <c r="K89" s="113"/>
    </row>
    <row r="90">
      <c r="B90" s="12" t="s">
        <v>1187</v>
      </c>
      <c r="D90" s="12" t="s">
        <v>717</v>
      </c>
      <c r="E90" s="12" t="s">
        <v>1188</v>
      </c>
      <c r="G90" s="11"/>
      <c r="K90" s="113"/>
    </row>
    <row r="91">
      <c r="B91" s="12" t="s">
        <v>878</v>
      </c>
      <c r="D91" s="12" t="s">
        <v>815</v>
      </c>
      <c r="E91" s="12" t="s">
        <v>717</v>
      </c>
      <c r="G91" s="120"/>
      <c r="K91" s="113"/>
    </row>
    <row r="92">
      <c r="B92" s="12" t="s">
        <v>1189</v>
      </c>
      <c r="D92" s="119" t="s">
        <v>1191</v>
      </c>
      <c r="E92" s="12" t="s">
        <v>1186</v>
      </c>
      <c r="K92" s="113"/>
    </row>
    <row r="93">
      <c r="B93" s="12" t="s">
        <v>1192</v>
      </c>
      <c r="D93" s="119" t="s">
        <v>878</v>
      </c>
      <c r="E93" s="12" t="s">
        <v>1193</v>
      </c>
      <c r="G93" s="113"/>
      <c r="I93" s="113"/>
      <c r="J93" s="113"/>
      <c r="K93" s="113"/>
    </row>
    <row r="94">
      <c r="B94" s="12" t="s">
        <v>653</v>
      </c>
      <c r="E94" s="12" t="s">
        <v>878</v>
      </c>
      <c r="G94" s="113"/>
      <c r="H94" s="113"/>
      <c r="I94" s="113"/>
      <c r="J94" s="113"/>
      <c r="K94" s="113"/>
    </row>
    <row r="95">
      <c r="E95" s="12" t="s">
        <v>1186</v>
      </c>
      <c r="G95" s="113"/>
      <c r="H95" s="113"/>
      <c r="I95" s="113"/>
      <c r="J95" s="113"/>
      <c r="K95" s="113"/>
    </row>
    <row r="96">
      <c r="A96" s="14" t="s">
        <v>583</v>
      </c>
      <c r="G96" s="113"/>
      <c r="H96" s="113"/>
      <c r="I96" s="113"/>
      <c r="J96" s="113"/>
      <c r="K96" s="113"/>
    </row>
    <row r="97">
      <c r="A97" s="14" t="s">
        <v>1207</v>
      </c>
      <c r="G97" s="113"/>
      <c r="H97" s="113"/>
      <c r="I97" s="113"/>
      <c r="J97" s="113"/>
      <c r="K97" s="113"/>
    </row>
    <row r="98">
      <c r="A98" s="116" t="s">
        <v>1211</v>
      </c>
      <c r="G98" s="113"/>
      <c r="H98" s="113"/>
      <c r="I98" s="113"/>
      <c r="J98" s="113"/>
    </row>
    <row r="99">
      <c r="A99" s="86"/>
      <c r="G99" s="113"/>
      <c r="H99" s="113"/>
      <c r="I99" s="113"/>
      <c r="J99" s="113"/>
    </row>
    <row r="100">
      <c r="A100" s="87" t="s">
        <v>840</v>
      </c>
      <c r="G100" s="113"/>
      <c r="H100" s="113"/>
      <c r="I100" s="113"/>
      <c r="J100" s="113"/>
    </row>
    <row r="101">
      <c r="A101" s="87">
        <v>24980.0</v>
      </c>
      <c r="G101" s="113"/>
      <c r="H101" s="113"/>
      <c r="I101" s="113"/>
      <c r="J101" s="113"/>
    </row>
    <row r="102">
      <c r="A102" s="88">
        <v>2026.0</v>
      </c>
      <c r="G102" s="113"/>
      <c r="H102" s="113"/>
      <c r="I102" s="113"/>
      <c r="J102" s="113"/>
    </row>
    <row r="103">
      <c r="A103" s="85" t="s">
        <v>592</v>
      </c>
      <c r="B103" s="85" t="s">
        <v>593</v>
      </c>
      <c r="C103" s="85" t="s">
        <v>594</v>
      </c>
      <c r="D103" s="85" t="s">
        <v>595</v>
      </c>
      <c r="E103" s="85" t="s">
        <v>596</v>
      </c>
      <c r="F103" s="85" t="s">
        <v>597</v>
      </c>
      <c r="G103" s="113"/>
      <c r="H103" s="113"/>
      <c r="I103" s="113"/>
      <c r="J103" s="113"/>
    </row>
    <row r="104">
      <c r="A104" s="64" t="s">
        <v>1227</v>
      </c>
      <c r="B104" s="64" t="s">
        <v>684</v>
      </c>
      <c r="C104" s="64" t="s">
        <v>1230</v>
      </c>
      <c r="G104" s="113"/>
      <c r="H104" s="113"/>
      <c r="I104" s="113"/>
      <c r="J104" s="113"/>
    </row>
    <row r="105">
      <c r="A105" s="12" t="s">
        <v>1233</v>
      </c>
      <c r="B105" s="12" t="s">
        <v>1165</v>
      </c>
      <c r="C105" s="12" t="s">
        <v>1164</v>
      </c>
      <c r="G105" s="113"/>
      <c r="H105" s="113"/>
      <c r="I105" s="113"/>
      <c r="J105" s="113"/>
    </row>
    <row r="106">
      <c r="A106" s="12" t="s">
        <v>1239</v>
      </c>
      <c r="B106" s="12" t="s">
        <v>638</v>
      </c>
      <c r="C106" s="12" t="s">
        <v>1241</v>
      </c>
    </row>
    <row r="107">
      <c r="A107" s="12" t="s">
        <v>1244</v>
      </c>
      <c r="B107" s="12" t="s">
        <v>1244</v>
      </c>
    </row>
    <row r="108">
      <c r="A108" s="12" t="s">
        <v>820</v>
      </c>
    </row>
    <row r="109">
      <c r="A109" s="12" t="s">
        <v>609</v>
      </c>
    </row>
    <row r="110">
      <c r="A110" s="12" t="s">
        <v>1283</v>
      </c>
    </row>
    <row r="111">
      <c r="A111" s="12" t="s">
        <v>604</v>
      </c>
    </row>
    <row r="112">
      <c r="A112" s="12" t="s">
        <v>609</v>
      </c>
    </row>
    <row r="113">
      <c r="A113" s="86"/>
    </row>
    <row r="114">
      <c r="A114" s="6" t="s">
        <v>659</v>
      </c>
    </row>
    <row r="115">
      <c r="A115" s="6">
        <v>38800.0</v>
      </c>
    </row>
    <row r="116">
      <c r="A116" s="35">
        <v>2026.0</v>
      </c>
    </row>
    <row r="117">
      <c r="A117" s="96" t="s">
        <v>1302</v>
      </c>
    </row>
    <row r="118">
      <c r="A118" s="85" t="s">
        <v>666</v>
      </c>
      <c r="B118" s="85" t="s">
        <v>668</v>
      </c>
      <c r="C118" s="85" t="s">
        <v>671</v>
      </c>
      <c r="D118" s="85" t="s">
        <v>674</v>
      </c>
      <c r="E118" s="85" t="s">
        <v>675</v>
      </c>
      <c r="F118" s="85" t="s">
        <v>676</v>
      </c>
      <c r="G118" s="85" t="s">
        <v>678</v>
      </c>
      <c r="H118" s="85" t="s">
        <v>680</v>
      </c>
    </row>
    <row r="119">
      <c r="A119" s="68" t="s">
        <v>1314</v>
      </c>
      <c r="B119" s="68" t="s">
        <v>683</v>
      </c>
      <c r="C119" s="68" t="s">
        <v>1315</v>
      </c>
      <c r="D119" s="68" t="s">
        <v>1316</v>
      </c>
      <c r="E119" s="68" t="s">
        <v>683</v>
      </c>
      <c r="F119" s="68" t="s">
        <v>683</v>
      </c>
      <c r="G119" s="68" t="s">
        <v>1317</v>
      </c>
      <c r="H119" s="68" t="s">
        <v>687</v>
      </c>
    </row>
    <row r="120">
      <c r="A120" s="12" t="s">
        <v>1319</v>
      </c>
      <c r="C120" s="12" t="s">
        <v>1321</v>
      </c>
      <c r="D120" s="12" t="s">
        <v>1325</v>
      </c>
      <c r="G120" s="12" t="s">
        <v>331</v>
      </c>
      <c r="H120" s="12" t="s">
        <v>1326</v>
      </c>
    </row>
    <row r="121">
      <c r="A121" s="12" t="s">
        <v>604</v>
      </c>
      <c r="C121" s="12" t="s">
        <v>717</v>
      </c>
      <c r="D121" s="12" t="s">
        <v>710</v>
      </c>
      <c r="G121" s="12" t="s">
        <v>605</v>
      </c>
      <c r="H121" s="12" t="s">
        <v>605</v>
      </c>
    </row>
    <row r="122">
      <c r="C122" s="12" t="s">
        <v>1338</v>
      </c>
      <c r="D122" s="12" t="s">
        <v>1339</v>
      </c>
      <c r="G122" s="12" t="s">
        <v>713</v>
      </c>
      <c r="H122" s="12" t="s">
        <v>702</v>
      </c>
    </row>
    <row r="123">
      <c r="C123" s="12" t="s">
        <v>653</v>
      </c>
      <c r="D123" s="12" t="s">
        <v>653</v>
      </c>
      <c r="H123" s="12" t="s">
        <v>1342</v>
      </c>
    </row>
    <row r="124">
      <c r="C124" s="12" t="s">
        <v>1343</v>
      </c>
      <c r="D124" s="12" t="s">
        <v>1345</v>
      </c>
    </row>
    <row r="125">
      <c r="C125" s="12" t="s">
        <v>604</v>
      </c>
      <c r="D125" s="12" t="s">
        <v>626</v>
      </c>
    </row>
    <row r="126">
      <c r="C126" s="12" t="s">
        <v>531</v>
      </c>
      <c r="D126" s="12" t="s">
        <v>723</v>
      </c>
    </row>
    <row r="127">
      <c r="D127" s="12" t="s">
        <v>653</v>
      </c>
    </row>
    <row r="135">
      <c r="A135" s="97" t="s">
        <v>1095</v>
      </c>
    </row>
    <row r="136">
      <c r="A136" s="97">
        <f>A139</f>
        <v>93455</v>
      </c>
    </row>
    <row r="137">
      <c r="A137" s="97">
        <v>2026.0</v>
      </c>
    </row>
    <row r="138">
      <c r="A138" s="97" t="s">
        <v>1348</v>
      </c>
    </row>
    <row r="139">
      <c r="A139" s="97">
        <f>A142+B142+C142+D142+E142+F142+G142+H142</f>
        <v>93455</v>
      </c>
    </row>
    <row r="140">
      <c r="A140" s="85" t="s">
        <v>762</v>
      </c>
      <c r="B140" s="85" t="s">
        <v>764</v>
      </c>
      <c r="C140" s="85" t="s">
        <v>765</v>
      </c>
      <c r="D140" s="85" t="s">
        <v>767</v>
      </c>
      <c r="E140" s="85" t="s">
        <v>768</v>
      </c>
      <c r="F140" s="85" t="s">
        <v>771</v>
      </c>
      <c r="G140" s="85" t="s">
        <v>772</v>
      </c>
      <c r="H140" s="85" t="s">
        <v>773</v>
      </c>
    </row>
    <row r="141">
      <c r="A141" s="11" t="s">
        <v>683</v>
      </c>
      <c r="B141" s="11" t="s">
        <v>683</v>
      </c>
      <c r="C141" s="11" t="s">
        <v>1025</v>
      </c>
      <c r="D141" s="11" t="s">
        <v>683</v>
      </c>
      <c r="E141" s="11" t="s">
        <v>683</v>
      </c>
      <c r="F141" s="11" t="s">
        <v>683</v>
      </c>
      <c r="G141" s="11" t="s">
        <v>683</v>
      </c>
      <c r="H141" s="11" t="s">
        <v>683</v>
      </c>
    </row>
    <row r="142">
      <c r="A142" s="85">
        <v>7500.0</v>
      </c>
      <c r="B142" s="85">
        <v>18000.0</v>
      </c>
      <c r="C142" s="85">
        <v>26305.0</v>
      </c>
      <c r="D142" s="85">
        <v>0.0</v>
      </c>
      <c r="E142" s="85">
        <v>20400.0</v>
      </c>
      <c r="F142" s="85">
        <v>0.0</v>
      </c>
      <c r="G142" s="85">
        <v>21250.0</v>
      </c>
      <c r="H142" s="85">
        <v>0.0</v>
      </c>
    </row>
    <row r="143">
      <c r="A143" s="12" t="s">
        <v>242</v>
      </c>
      <c r="B143" s="12" t="s">
        <v>1413</v>
      </c>
      <c r="C143" s="12" t="s">
        <v>1420</v>
      </c>
      <c r="E143" s="12" t="s">
        <v>333</v>
      </c>
      <c r="G143" s="12" t="s">
        <v>373</v>
      </c>
    </row>
    <row r="144">
      <c r="A144" s="12" t="s">
        <v>1062</v>
      </c>
      <c r="B144" s="12" t="s">
        <v>1194</v>
      </c>
      <c r="C144" s="12" t="s">
        <v>792</v>
      </c>
      <c r="D144" s="11"/>
      <c r="E144" s="12" t="s">
        <v>604</v>
      </c>
      <c r="G144" s="12" t="s">
        <v>1083</v>
      </c>
    </row>
    <row r="145">
      <c r="A145" s="12" t="s">
        <v>795</v>
      </c>
      <c r="C145" s="12" t="s">
        <v>1113</v>
      </c>
      <c r="E145" s="12" t="s">
        <v>800</v>
      </c>
      <c r="G145" s="12" t="s">
        <v>1110</v>
      </c>
    </row>
    <row r="146">
      <c r="C146" s="12" t="s">
        <v>1117</v>
      </c>
      <c r="G146" s="12" t="s">
        <v>799</v>
      </c>
    </row>
    <row r="147">
      <c r="G147" s="12" t="s">
        <v>1436</v>
      </c>
    </row>
    <row r="148">
      <c r="G148" s="12" t="s">
        <v>1136</v>
      </c>
    </row>
    <row r="149">
      <c r="G149" s="12" t="s">
        <v>796</v>
      </c>
    </row>
    <row r="151">
      <c r="A151" s="99" t="s">
        <v>1129</v>
      </c>
    </row>
    <row r="152">
      <c r="A152" s="99">
        <f>A155</f>
        <v>89900</v>
      </c>
    </row>
    <row r="153">
      <c r="A153" s="99">
        <v>2026.0</v>
      </c>
    </row>
    <row r="154">
      <c r="A154" s="99" t="s">
        <v>749</v>
      </c>
    </row>
    <row r="155">
      <c r="A155" s="117">
        <f>A158+B158+C158+D158+E158+F158+G158+H158+I158+J158</f>
        <v>89900</v>
      </c>
    </row>
    <row r="156">
      <c r="A156" s="111" t="s">
        <v>834</v>
      </c>
      <c r="B156" s="111" t="s">
        <v>835</v>
      </c>
      <c r="C156" s="111" t="s">
        <v>836</v>
      </c>
      <c r="D156" s="111" t="s">
        <v>837</v>
      </c>
      <c r="E156" s="111" t="s">
        <v>838</v>
      </c>
      <c r="F156" s="111" t="s">
        <v>839</v>
      </c>
      <c r="G156" s="111" t="s">
        <v>841</v>
      </c>
      <c r="H156" s="111" t="s">
        <v>843</v>
      </c>
      <c r="I156" s="104" t="s">
        <v>846</v>
      </c>
      <c r="J156" s="104" t="s">
        <v>847</v>
      </c>
    </row>
    <row r="157">
      <c r="A157" s="11" t="s">
        <v>683</v>
      </c>
      <c r="B157" s="11" t="s">
        <v>683</v>
      </c>
      <c r="C157" s="11" t="s">
        <v>683</v>
      </c>
      <c r="D157" s="11" t="s">
        <v>683</v>
      </c>
      <c r="E157" s="11" t="s">
        <v>683</v>
      </c>
      <c r="F157" s="11" t="s">
        <v>683</v>
      </c>
      <c r="G157" s="11" t="s">
        <v>683</v>
      </c>
      <c r="H157" s="11" t="s">
        <v>683</v>
      </c>
      <c r="I157" s="11" t="s">
        <v>683</v>
      </c>
      <c r="J157" s="11" t="s">
        <v>683</v>
      </c>
    </row>
    <row r="158">
      <c r="A158" s="85">
        <v>10000.0</v>
      </c>
      <c r="B158" s="85">
        <v>0.0</v>
      </c>
      <c r="C158" s="85">
        <v>0.0</v>
      </c>
      <c r="D158" s="85">
        <v>29000.0</v>
      </c>
      <c r="E158" s="85">
        <v>0.0</v>
      </c>
      <c r="F158" s="85">
        <v>2000.0</v>
      </c>
      <c r="G158" s="85">
        <v>18000.0</v>
      </c>
      <c r="H158" s="85">
        <v>4900.0</v>
      </c>
      <c r="I158" s="85">
        <v>26000.0</v>
      </c>
      <c r="J158" s="85">
        <v>0.0</v>
      </c>
    </row>
    <row r="159">
      <c r="A159" s="12" t="s">
        <v>1492</v>
      </c>
      <c r="D159" s="12" t="s">
        <v>1493</v>
      </c>
      <c r="F159" s="12" t="s">
        <v>1319</v>
      </c>
      <c r="G159" s="12" t="s">
        <v>1494</v>
      </c>
      <c r="H159" s="12" t="s">
        <v>1496</v>
      </c>
      <c r="I159" s="12" t="s">
        <v>1497</v>
      </c>
    </row>
    <row r="160">
      <c r="A160" s="12" t="s">
        <v>728</v>
      </c>
      <c r="D160" s="12" t="s">
        <v>1160</v>
      </c>
      <c r="F160" s="12" t="s">
        <v>653</v>
      </c>
      <c r="G160" s="12" t="s">
        <v>698</v>
      </c>
      <c r="H160" s="12" t="s">
        <v>914</v>
      </c>
      <c r="I160" s="12" t="s">
        <v>1503</v>
      </c>
    </row>
    <row r="161">
      <c r="A161" s="12" t="s">
        <v>873</v>
      </c>
      <c r="D161" s="12" t="s">
        <v>507</v>
      </c>
      <c r="G161" s="12" t="s">
        <v>873</v>
      </c>
      <c r="H161" s="12" t="s">
        <v>1504</v>
      </c>
      <c r="I161" s="12" t="s">
        <v>902</v>
      </c>
    </row>
    <row r="162">
      <c r="A162" s="12" t="s">
        <v>902</v>
      </c>
      <c r="D162" s="12" t="s">
        <v>710</v>
      </c>
      <c r="G162" s="12" t="s">
        <v>557</v>
      </c>
      <c r="H162" s="12" t="s">
        <v>653</v>
      </c>
      <c r="I162" s="12" t="s">
        <v>1506</v>
      </c>
    </row>
    <row r="163">
      <c r="A163" s="12" t="s">
        <v>1509</v>
      </c>
      <c r="G163" s="12" t="s">
        <v>653</v>
      </c>
      <c r="H163" s="12" t="s">
        <v>476</v>
      </c>
      <c r="I163" s="12" t="s">
        <v>653</v>
      </c>
    </row>
    <row r="164">
      <c r="A164" s="12" t="s">
        <v>653</v>
      </c>
      <c r="H164" s="12" t="s">
        <v>653</v>
      </c>
    </row>
    <row r="165">
      <c r="A165" s="108" t="s">
        <v>938</v>
      </c>
    </row>
    <row r="166">
      <c r="A166" s="109" t="s">
        <v>940</v>
      </c>
    </row>
    <row r="167">
      <c r="A167" s="109">
        <f>A170</f>
        <v>271900</v>
      </c>
    </row>
    <row r="168">
      <c r="A168" s="109">
        <v>2026.0</v>
      </c>
    </row>
    <row r="169">
      <c r="A169" s="109" t="s">
        <v>749</v>
      </c>
    </row>
    <row r="170">
      <c r="A170" s="110">
        <f>A173+B173+C173+D173+E173+F173+G173+H173+I173+J173</f>
        <v>271900</v>
      </c>
    </row>
    <row r="171">
      <c r="A171" s="85" t="s">
        <v>959</v>
      </c>
      <c r="B171" s="85" t="s">
        <v>960</v>
      </c>
      <c r="C171" s="85" t="s">
        <v>963</v>
      </c>
      <c r="D171" s="85" t="s">
        <v>964</v>
      </c>
      <c r="E171" s="85" t="s">
        <v>966</v>
      </c>
      <c r="F171" s="85" t="s">
        <v>967</v>
      </c>
      <c r="G171" s="111" t="s">
        <v>969</v>
      </c>
      <c r="H171" s="107" t="s">
        <v>972</v>
      </c>
      <c r="I171" s="107" t="s">
        <v>975</v>
      </c>
      <c r="J171" s="107" t="s">
        <v>976</v>
      </c>
    </row>
    <row r="172">
      <c r="A172" s="11" t="s">
        <v>683</v>
      </c>
      <c r="B172" s="11" t="s">
        <v>683</v>
      </c>
      <c r="C172" s="11" t="s">
        <v>683</v>
      </c>
      <c r="D172" s="11" t="s">
        <v>683</v>
      </c>
      <c r="E172" s="11" t="s">
        <v>683</v>
      </c>
      <c r="F172" s="11" t="s">
        <v>683</v>
      </c>
      <c r="G172" s="11" t="s">
        <v>683</v>
      </c>
      <c r="H172" s="34" t="s">
        <v>683</v>
      </c>
      <c r="I172" s="34" t="s">
        <v>683</v>
      </c>
      <c r="J172" s="34" t="s">
        <v>683</v>
      </c>
    </row>
    <row r="173">
      <c r="A173" s="85">
        <v>26500.0</v>
      </c>
      <c r="B173" s="85">
        <v>15500.0</v>
      </c>
      <c r="C173" s="85">
        <v>28500.0</v>
      </c>
      <c r="D173" s="85"/>
      <c r="E173" s="85">
        <v>29000.0</v>
      </c>
      <c r="F173" s="85"/>
      <c r="G173" s="85"/>
      <c r="H173" s="85">
        <f>41000+116400</f>
        <v>157400</v>
      </c>
      <c r="I173" s="85">
        <v>1000.0</v>
      </c>
      <c r="J173" s="85">
        <v>14000.0</v>
      </c>
    </row>
    <row r="174">
      <c r="A174" s="12" t="s">
        <v>1165</v>
      </c>
      <c r="B174" s="12" t="s">
        <v>1545</v>
      </c>
      <c r="C174" s="12" t="s">
        <v>1413</v>
      </c>
      <c r="E174" s="12" t="s">
        <v>314</v>
      </c>
      <c r="H174" s="12" t="s">
        <v>1549</v>
      </c>
      <c r="I174" s="12" t="s">
        <v>1551</v>
      </c>
      <c r="J174" s="12" t="s">
        <v>373</v>
      </c>
    </row>
    <row r="175">
      <c r="A175" s="12" t="s">
        <v>930</v>
      </c>
      <c r="B175" s="12" t="s">
        <v>930</v>
      </c>
      <c r="C175" s="12" t="s">
        <v>1557</v>
      </c>
      <c r="E175" s="12" t="s">
        <v>1559</v>
      </c>
      <c r="H175" s="12" t="s">
        <v>605</v>
      </c>
      <c r="I175" s="12" t="s">
        <v>605</v>
      </c>
      <c r="J175" s="12" t="s">
        <v>698</v>
      </c>
    </row>
    <row r="176">
      <c r="A176" s="12" t="s">
        <v>989</v>
      </c>
      <c r="B176" s="12" t="s">
        <v>989</v>
      </c>
      <c r="C176" s="12" t="s">
        <v>1200</v>
      </c>
      <c r="E176" s="12" t="s">
        <v>1565</v>
      </c>
      <c r="H176" s="12" t="s">
        <v>1205</v>
      </c>
    </row>
    <row r="177">
      <c r="A177" s="12" t="s">
        <v>999</v>
      </c>
      <c r="B177" s="12" t="s">
        <v>999</v>
      </c>
      <c r="C177" s="12" t="s">
        <v>267</v>
      </c>
      <c r="E177" s="12" t="s">
        <v>1195</v>
      </c>
      <c r="H177" s="12" t="s">
        <v>1339</v>
      </c>
    </row>
    <row r="178">
      <c r="A178" s="12" t="s">
        <v>1197</v>
      </c>
      <c r="C178" s="12" t="s">
        <v>777</v>
      </c>
      <c r="E178" s="12" t="s">
        <v>1576</v>
      </c>
      <c r="H178" s="12" t="s">
        <v>1569</v>
      </c>
    </row>
    <row r="179">
      <c r="E179" s="12" t="s">
        <v>878</v>
      </c>
      <c r="H179" s="12" t="s">
        <v>989</v>
      </c>
    </row>
    <row r="180">
      <c r="H180" s="12" t="s">
        <v>1204</v>
      </c>
    </row>
    <row r="181">
      <c r="H181" s="12" t="s">
        <v>1205</v>
      </c>
    </row>
    <row r="182">
      <c r="H182" s="12" t="s">
        <v>1588</v>
      </c>
    </row>
    <row r="183">
      <c r="H183" s="12" t="s">
        <v>605</v>
      </c>
    </row>
    <row r="184">
      <c r="H184" s="12" t="s">
        <v>989</v>
      </c>
    </row>
    <row r="185">
      <c r="H185" s="12" t="s">
        <v>1204</v>
      </c>
    </row>
    <row r="186">
      <c r="H186" s="12" t="s">
        <v>1205</v>
      </c>
    </row>
    <row r="192">
      <c r="A192" s="112" t="s">
        <v>1015</v>
      </c>
    </row>
    <row r="193">
      <c r="A193" s="112">
        <f>A196</f>
        <v>48150</v>
      </c>
    </row>
    <row r="194">
      <c r="A194" s="112">
        <v>2026.0</v>
      </c>
    </row>
    <row r="195">
      <c r="A195" s="112" t="s">
        <v>749</v>
      </c>
    </row>
    <row r="196">
      <c r="A196" s="112">
        <f>A199+B199+C199+D199+E199+F199+G199+H199</f>
        <v>48150</v>
      </c>
    </row>
    <row r="197">
      <c r="A197" s="85" t="s">
        <v>1035</v>
      </c>
      <c r="B197" s="85" t="s">
        <v>1013</v>
      </c>
      <c r="C197" s="85" t="s">
        <v>1016</v>
      </c>
      <c r="D197" s="85" t="s">
        <v>1023</v>
      </c>
      <c r="E197" s="85" t="s">
        <v>1037</v>
      </c>
      <c r="F197" s="85" t="s">
        <v>1038</v>
      </c>
      <c r="G197" s="85" t="s">
        <v>1039</v>
      </c>
      <c r="H197" s="85" t="s">
        <v>1033</v>
      </c>
    </row>
    <row r="198">
      <c r="A198" s="11" t="s">
        <v>683</v>
      </c>
      <c r="B198" s="11" t="s">
        <v>683</v>
      </c>
      <c r="C198" s="11" t="s">
        <v>683</v>
      </c>
      <c r="D198" s="11" t="s">
        <v>683</v>
      </c>
      <c r="E198" s="11" t="s">
        <v>683</v>
      </c>
      <c r="F198" s="11" t="s">
        <v>683</v>
      </c>
      <c r="G198" s="11" t="s">
        <v>683</v>
      </c>
      <c r="H198" s="11" t="s">
        <v>683</v>
      </c>
    </row>
    <row r="199">
      <c r="A199" s="85">
        <v>0.0</v>
      </c>
      <c r="B199" s="85">
        <v>1000.0</v>
      </c>
      <c r="C199" s="85">
        <v>0.0</v>
      </c>
      <c r="D199" s="85">
        <f>2750+44400</f>
        <v>47150</v>
      </c>
      <c r="E199" s="85">
        <v>0.0</v>
      </c>
      <c r="F199" s="85">
        <v>0.0</v>
      </c>
      <c r="G199" s="85">
        <v>0.0</v>
      </c>
      <c r="H199" s="85">
        <v>0.0</v>
      </c>
    </row>
    <row r="200">
      <c r="B200" s="12" t="s">
        <v>1326</v>
      </c>
      <c r="D200" s="12" t="s">
        <v>1612</v>
      </c>
    </row>
    <row r="201">
      <c r="B201" s="12" t="s">
        <v>605</v>
      </c>
      <c r="D201" s="12" t="s">
        <v>605</v>
      </c>
    </row>
    <row r="202">
      <c r="D202" s="12" t="s">
        <v>1615</v>
      </c>
    </row>
    <row r="203">
      <c r="D203" s="12" t="s">
        <v>1616</v>
      </c>
    </row>
    <row r="205">
      <c r="A205" s="114" t="s">
        <v>1048</v>
      </c>
    </row>
    <row r="206">
      <c r="A206" s="114">
        <f>A209</f>
        <v>392000</v>
      </c>
    </row>
    <row r="207">
      <c r="A207" s="114">
        <v>2026.0</v>
      </c>
    </row>
    <row r="208">
      <c r="A208" s="114" t="s">
        <v>749</v>
      </c>
    </row>
    <row r="209">
      <c r="A209" s="115">
        <f>A212+B212+C212+D212+E212+F212+G212+H212+I212+J212</f>
        <v>392000</v>
      </c>
    </row>
    <row r="210">
      <c r="A210" s="85" t="s">
        <v>1066</v>
      </c>
      <c r="B210" s="85" t="s">
        <v>1068</v>
      </c>
      <c r="C210" s="85" t="s">
        <v>1069</v>
      </c>
      <c r="D210" s="85" t="s">
        <v>1070</v>
      </c>
      <c r="E210" s="85" t="s">
        <v>1072</v>
      </c>
      <c r="F210" s="85" t="s">
        <v>1073</v>
      </c>
      <c r="G210" s="85" t="s">
        <v>1074</v>
      </c>
      <c r="H210" s="85" t="s">
        <v>1076</v>
      </c>
      <c r="I210" s="85" t="s">
        <v>1078</v>
      </c>
      <c r="J210" s="85" t="s">
        <v>1080</v>
      </c>
    </row>
    <row r="211">
      <c r="A211" s="11" t="s">
        <v>683</v>
      </c>
      <c r="B211" s="11" t="s">
        <v>683</v>
      </c>
      <c r="C211" s="11" t="s">
        <v>683</v>
      </c>
      <c r="D211" s="11" t="s">
        <v>683</v>
      </c>
      <c r="E211" s="11" t="s">
        <v>683</v>
      </c>
      <c r="F211" s="11" t="s">
        <v>683</v>
      </c>
      <c r="G211" s="11" t="s">
        <v>683</v>
      </c>
      <c r="H211" s="34" t="s">
        <v>683</v>
      </c>
      <c r="I211" s="34" t="s">
        <v>683</v>
      </c>
      <c r="J211" s="34" t="s">
        <v>683</v>
      </c>
    </row>
    <row r="212">
      <c r="A212" s="85">
        <v>0.0</v>
      </c>
      <c r="B212" s="85">
        <v>6000.0</v>
      </c>
      <c r="C212" s="85">
        <v>194000.0</v>
      </c>
      <c r="D212" s="85">
        <v>0.0</v>
      </c>
      <c r="E212" s="85">
        <v>30000.0</v>
      </c>
      <c r="F212" s="85">
        <v>65000.0</v>
      </c>
      <c r="G212" s="85">
        <v>0.0</v>
      </c>
      <c r="H212" s="85">
        <v>97000.0</v>
      </c>
      <c r="I212" s="85">
        <v>0.0</v>
      </c>
      <c r="J212" s="85">
        <v>0.0</v>
      </c>
    </row>
    <row r="213">
      <c r="B213" s="12" t="s">
        <v>1628</v>
      </c>
      <c r="C213" s="12" t="s">
        <v>314</v>
      </c>
      <c r="E213" s="12" t="s">
        <v>1492</v>
      </c>
      <c r="F213" s="12" t="s">
        <v>1551</v>
      </c>
      <c r="H213" s="12" t="s">
        <v>1165</v>
      </c>
    </row>
    <row r="214">
      <c r="B214" s="12" t="s">
        <v>653</v>
      </c>
      <c r="C214" s="12" t="s">
        <v>1092</v>
      </c>
      <c r="E214" s="12" t="s">
        <v>1002</v>
      </c>
      <c r="F214" s="12" t="s">
        <v>728</v>
      </c>
      <c r="H214" s="12" t="s">
        <v>1634</v>
      </c>
    </row>
    <row r="215">
      <c r="B215" s="12" t="s">
        <v>1636</v>
      </c>
      <c r="C215" s="12" t="s">
        <v>1637</v>
      </c>
      <c r="F215" s="12" t="s">
        <v>1638</v>
      </c>
      <c r="H215" s="12" t="s">
        <v>1177</v>
      </c>
    </row>
    <row r="216">
      <c r="B216" s="12" t="s">
        <v>653</v>
      </c>
      <c r="C216" s="12" t="s">
        <v>653</v>
      </c>
      <c r="F216" s="12" t="s">
        <v>1557</v>
      </c>
      <c r="H216" s="12" t="s">
        <v>1641</v>
      </c>
    </row>
    <row r="217">
      <c r="B217" s="12" t="s">
        <v>1642</v>
      </c>
      <c r="C217" s="12" t="s">
        <v>1643</v>
      </c>
      <c r="F217" s="12" t="s">
        <v>1644</v>
      </c>
      <c r="H217" s="12" t="s">
        <v>1645</v>
      </c>
    </row>
    <row r="218">
      <c r="B218" s="12" t="s">
        <v>653</v>
      </c>
      <c r="C218" s="12" t="s">
        <v>1647</v>
      </c>
      <c r="F218" s="12" t="s">
        <v>1083</v>
      </c>
      <c r="H218" s="12" t="s">
        <v>1648</v>
      </c>
    </row>
    <row r="219">
      <c r="C219" s="12" t="s">
        <v>1649</v>
      </c>
      <c r="F219" s="12" t="s">
        <v>1650</v>
      </c>
    </row>
    <row r="220">
      <c r="C220" s="12" t="s">
        <v>653</v>
      </c>
      <c r="F220" s="12" t="s">
        <v>653</v>
      </c>
    </row>
    <row r="221">
      <c r="F221" s="12" t="s">
        <v>806</v>
      </c>
    </row>
    <row r="222">
      <c r="F222" s="12" t="s">
        <v>1559</v>
      </c>
    </row>
    <row r="223">
      <c r="F223" s="12" t="s">
        <v>1652</v>
      </c>
    </row>
    <row r="224">
      <c r="F224" s="12" t="s">
        <v>1521</v>
      </c>
    </row>
  </sheetData>
  <mergeCells count="88">
    <mergeCell ref="A77:E77"/>
    <mergeCell ref="A96:E96"/>
    <mergeCell ref="A97:E97"/>
    <mergeCell ref="A98:E98"/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67:J167"/>
    <mergeCell ref="A168:J168"/>
    <mergeCell ref="A169:J169"/>
    <mergeCell ref="A206:J206"/>
    <mergeCell ref="A207:J207"/>
    <mergeCell ref="A208:J208"/>
    <mergeCell ref="A209:J209"/>
    <mergeCell ref="A170:J170"/>
    <mergeCell ref="A192:H192"/>
    <mergeCell ref="A193:H193"/>
    <mergeCell ref="A194:H194"/>
    <mergeCell ref="A195:H195"/>
    <mergeCell ref="A196:H196"/>
    <mergeCell ref="A205:J205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Q21:Q36"/>
    <mergeCell ref="Q37:Q39"/>
    <mergeCell ref="Q40:Q43"/>
    <mergeCell ref="Q44:Q46"/>
    <mergeCell ref="Q47:Q49"/>
    <mergeCell ref="R15:S15"/>
    <mergeCell ref="Q16:Q20"/>
    <mergeCell ref="R17:U17"/>
    <mergeCell ref="R20:S20"/>
    <mergeCell ref="R29:U29"/>
    <mergeCell ref="R37:U37"/>
    <mergeCell ref="P15:P16"/>
    <mergeCell ref="R36:S36"/>
    <mergeCell ref="R39:S39"/>
    <mergeCell ref="R41:U41"/>
    <mergeCell ref="R43:S43"/>
    <mergeCell ref="R44:U44"/>
    <mergeCell ref="R46:S46"/>
    <mergeCell ref="R47:U47"/>
    <mergeCell ref="R49:S49"/>
    <mergeCell ref="A71:E71"/>
    <mergeCell ref="A72:E72"/>
    <mergeCell ref="A73:E73"/>
    <mergeCell ref="A74:E74"/>
    <mergeCell ref="A75:E75"/>
    <mergeCell ref="A76:E76"/>
    <mergeCell ref="N8:P8"/>
    <mergeCell ref="N9:P9"/>
    <mergeCell ref="Q9:Q15"/>
    <mergeCell ref="R12:U12"/>
    <mergeCell ref="N11:N13"/>
    <mergeCell ref="P11:P13"/>
    <mergeCell ref="N15:N16"/>
    <mergeCell ref="N19:O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3" width="15.13"/>
    <col customWidth="1" min="14" max="14" width="16.0"/>
  </cols>
  <sheetData>
    <row r="1">
      <c r="A1" s="121" t="s">
        <v>1206</v>
      </c>
    </row>
    <row r="2">
      <c r="A2" s="121" t="s">
        <v>1209</v>
      </c>
    </row>
    <row r="3">
      <c r="A3" s="121" t="s">
        <v>6</v>
      </c>
    </row>
    <row r="4">
      <c r="A4" s="122">
        <f>100000+B6+C6+D6+E6+F6+G6+A53+C17+F12+J6+M6</f>
        <v>2661410</v>
      </c>
    </row>
    <row r="5">
      <c r="A5" s="11" t="s">
        <v>19</v>
      </c>
      <c r="B5" s="11" t="s">
        <v>22</v>
      </c>
      <c r="C5" s="11" t="s">
        <v>1214</v>
      </c>
      <c r="D5" s="11" t="s">
        <v>1216</v>
      </c>
      <c r="E5" s="11" t="s">
        <v>54</v>
      </c>
      <c r="F5" s="11" t="s">
        <v>1218</v>
      </c>
      <c r="G5" s="11" t="s">
        <v>50</v>
      </c>
      <c r="J5" s="11" t="s">
        <v>56</v>
      </c>
      <c r="M5" s="109" t="s">
        <v>60</v>
      </c>
    </row>
    <row r="6">
      <c r="A6" s="12" t="s">
        <v>1220</v>
      </c>
      <c r="B6" s="122">
        <v>-170000.0</v>
      </c>
      <c r="C6" s="122">
        <v>-3000.0</v>
      </c>
      <c r="D6" s="122">
        <v>1000.0</v>
      </c>
      <c r="E6" s="122">
        <v>35000.0</v>
      </c>
      <c r="F6" s="122">
        <v>-10000.0</v>
      </c>
      <c r="G6" s="122">
        <v>-15000.0</v>
      </c>
      <c r="J6" s="123">
        <f>J8</f>
        <v>11000</v>
      </c>
      <c r="M6" s="124">
        <f>P16+P19+P23+P26+P29+P33+P36</f>
        <v>133750</v>
      </c>
      <c r="S6" s="22"/>
    </row>
    <row r="7">
      <c r="A7" s="12" t="s">
        <v>1226</v>
      </c>
      <c r="B7" s="15" t="s">
        <v>35</v>
      </c>
      <c r="C7" s="12" t="s">
        <v>1228</v>
      </c>
      <c r="D7" s="12" t="s">
        <v>1229</v>
      </c>
      <c r="E7" s="12" t="s">
        <v>77</v>
      </c>
      <c r="F7" s="12" t="s">
        <v>83</v>
      </c>
      <c r="G7" s="12" t="s">
        <v>77</v>
      </c>
      <c r="H7" s="12" t="s">
        <v>1231</v>
      </c>
      <c r="I7" s="12" t="s">
        <v>81</v>
      </c>
      <c r="J7" s="125" t="s">
        <v>89</v>
      </c>
      <c r="M7" s="126" t="s">
        <v>85</v>
      </c>
      <c r="N7" s="126" t="s">
        <v>87</v>
      </c>
      <c r="O7" s="126" t="s">
        <v>88</v>
      </c>
      <c r="P7" s="126" t="s">
        <v>1</v>
      </c>
      <c r="Q7" s="66" t="s">
        <v>90</v>
      </c>
      <c r="S7" s="127"/>
    </row>
    <row r="8">
      <c r="A8" s="12" t="s">
        <v>1232</v>
      </c>
      <c r="B8" s="14" t="s">
        <v>339</v>
      </c>
      <c r="C8" s="12" t="s">
        <v>1234</v>
      </c>
      <c r="E8" s="12" t="s">
        <v>1235</v>
      </c>
      <c r="G8" s="12" t="s">
        <v>1236</v>
      </c>
      <c r="H8" s="12" t="s">
        <v>1237</v>
      </c>
      <c r="I8" s="12" t="s">
        <v>1238</v>
      </c>
      <c r="J8" s="128">
        <f>L10+L12+L14+L15</f>
        <v>11000</v>
      </c>
      <c r="M8" s="70" t="s">
        <v>1240</v>
      </c>
      <c r="N8" s="71" t="s">
        <v>106</v>
      </c>
      <c r="O8" s="71">
        <v>18.0</v>
      </c>
      <c r="P8" s="71">
        <f>O8*1000</f>
        <v>18000</v>
      </c>
      <c r="Q8" s="72">
        <f>O8*20</f>
        <v>360</v>
      </c>
    </row>
    <row r="9">
      <c r="A9" s="12" t="s">
        <v>1242</v>
      </c>
      <c r="B9" s="14" t="s">
        <v>378</v>
      </c>
      <c r="C9" s="12" t="s">
        <v>1243</v>
      </c>
      <c r="E9" s="12" t="s">
        <v>1245</v>
      </c>
      <c r="G9" s="12" t="s">
        <v>1246</v>
      </c>
      <c r="H9" s="12" t="s">
        <v>1247</v>
      </c>
      <c r="I9" s="12" t="s">
        <v>1248</v>
      </c>
      <c r="J9" s="129" t="s">
        <v>130</v>
      </c>
      <c r="K9" s="129" t="s">
        <v>135</v>
      </c>
      <c r="L9" s="129" t="s">
        <v>1</v>
      </c>
      <c r="N9" s="71" t="s">
        <v>161</v>
      </c>
      <c r="O9" s="71">
        <v>5.0</v>
      </c>
      <c r="P9" s="72">
        <f>O9*2000</f>
        <v>10000</v>
      </c>
      <c r="Q9" s="72">
        <f>O9*40</f>
        <v>200</v>
      </c>
    </row>
    <row r="10">
      <c r="A10" s="12" t="s">
        <v>1249</v>
      </c>
      <c r="B10" s="12" t="s">
        <v>425</v>
      </c>
      <c r="C10" s="12" t="s">
        <v>1250</v>
      </c>
      <c r="E10" s="12" t="s">
        <v>166</v>
      </c>
      <c r="G10" s="12" t="s">
        <v>505</v>
      </c>
      <c r="H10" s="12" t="s">
        <v>1251</v>
      </c>
      <c r="J10" s="50" t="s">
        <v>1240</v>
      </c>
      <c r="K10" s="50" t="s">
        <v>150</v>
      </c>
      <c r="L10" s="50">
        <v>2000.0</v>
      </c>
      <c r="N10" s="71" t="s">
        <v>181</v>
      </c>
      <c r="O10" s="71">
        <v>3.0</v>
      </c>
      <c r="P10" s="72">
        <f>O10*8000</f>
        <v>24000</v>
      </c>
      <c r="Q10" s="72">
        <f t="shared" ref="Q10:Q11" si="1">O10*80</f>
        <v>240</v>
      </c>
    </row>
    <row r="11">
      <c r="A11" s="12" t="s">
        <v>1252</v>
      </c>
      <c r="B11" s="15" t="s">
        <v>40</v>
      </c>
      <c r="C11" s="12" t="s">
        <v>1253</v>
      </c>
      <c r="E11" s="12" t="s">
        <v>1254</v>
      </c>
      <c r="F11" s="11" t="s">
        <v>1255</v>
      </c>
      <c r="G11" s="12" t="s">
        <v>1256</v>
      </c>
      <c r="H11" s="12" t="s">
        <v>1258</v>
      </c>
      <c r="K11" s="50" t="s">
        <v>196</v>
      </c>
      <c r="N11" s="71" t="s">
        <v>223</v>
      </c>
      <c r="O11" s="71">
        <v>3.0</v>
      </c>
      <c r="P11" s="72">
        <f>O11*10000</f>
        <v>30000</v>
      </c>
      <c r="Q11" s="72">
        <f t="shared" si="1"/>
        <v>240</v>
      </c>
    </row>
    <row r="12">
      <c r="A12" s="12" t="s">
        <v>1261</v>
      </c>
      <c r="B12" s="14" t="s">
        <v>42</v>
      </c>
      <c r="C12" s="12" t="s">
        <v>1263</v>
      </c>
      <c r="E12" s="12" t="s">
        <v>1264</v>
      </c>
      <c r="F12" s="122">
        <v>-10000.0</v>
      </c>
      <c r="G12" s="12" t="s">
        <v>1265</v>
      </c>
      <c r="H12" s="12" t="s">
        <v>1267</v>
      </c>
      <c r="J12" s="50" t="s">
        <v>1268</v>
      </c>
      <c r="K12" s="50" t="s">
        <v>160</v>
      </c>
      <c r="L12" s="50">
        <v>6000.0</v>
      </c>
      <c r="N12" s="71" t="s">
        <v>215</v>
      </c>
    </row>
    <row r="13">
      <c r="A13" s="12" t="s">
        <v>1270</v>
      </c>
      <c r="B13" s="15" t="s">
        <v>44</v>
      </c>
      <c r="E13" s="12" t="s">
        <v>1272</v>
      </c>
      <c r="F13" s="12" t="s">
        <v>1274</v>
      </c>
      <c r="G13" s="12" t="s">
        <v>166</v>
      </c>
      <c r="H13" s="12" t="s">
        <v>1275</v>
      </c>
      <c r="K13" s="50" t="s">
        <v>249</v>
      </c>
      <c r="N13" s="71" t="s">
        <v>251</v>
      </c>
      <c r="O13" s="71">
        <v>1.0</v>
      </c>
      <c r="P13" s="72">
        <f t="shared" ref="P13:P15" si="2">O13*1500</f>
        <v>1500</v>
      </c>
      <c r="Q13" s="72">
        <f t="shared" ref="Q13:Q15" si="3">O13*60</f>
        <v>60</v>
      </c>
    </row>
    <row r="14">
      <c r="A14" s="12" t="s">
        <v>1277</v>
      </c>
      <c r="B14" s="14" t="s">
        <v>509</v>
      </c>
      <c r="E14" s="12" t="s">
        <v>496</v>
      </c>
      <c r="G14" s="12" t="s">
        <v>536</v>
      </c>
      <c r="J14" s="50" t="s">
        <v>1232</v>
      </c>
      <c r="K14" s="50" t="s">
        <v>150</v>
      </c>
      <c r="L14" s="50">
        <v>1000.0</v>
      </c>
      <c r="N14" s="71" t="s">
        <v>289</v>
      </c>
      <c r="O14" s="71">
        <v>9.0</v>
      </c>
      <c r="P14" s="72">
        <f t="shared" si="2"/>
        <v>13500</v>
      </c>
      <c r="Q14" s="72">
        <f t="shared" si="3"/>
        <v>540</v>
      </c>
    </row>
    <row r="15">
      <c r="A15" s="12" t="s">
        <v>1278</v>
      </c>
      <c r="B15" s="14" t="s">
        <v>521</v>
      </c>
      <c r="E15" s="12" t="s">
        <v>1279</v>
      </c>
      <c r="G15" s="12" t="s">
        <v>436</v>
      </c>
      <c r="J15" s="50" t="s">
        <v>1280</v>
      </c>
      <c r="K15" s="50" t="s">
        <v>241</v>
      </c>
      <c r="L15" s="50">
        <v>2000.0</v>
      </c>
      <c r="N15" s="71" t="s">
        <v>564</v>
      </c>
      <c r="O15" s="71">
        <v>1.0</v>
      </c>
      <c r="P15" s="72">
        <f t="shared" si="2"/>
        <v>1500</v>
      </c>
      <c r="Q15" s="72">
        <f t="shared" si="3"/>
        <v>60</v>
      </c>
    </row>
    <row r="16">
      <c r="A16" s="12" t="s">
        <v>1281</v>
      </c>
      <c r="B16" s="14" t="s">
        <v>538</v>
      </c>
      <c r="C16" s="34" t="s">
        <v>614</v>
      </c>
      <c r="D16" s="11" t="s">
        <v>1282</v>
      </c>
      <c r="E16" s="12" t="s">
        <v>208</v>
      </c>
      <c r="G16" s="12" t="s">
        <v>545</v>
      </c>
      <c r="N16" s="130" t="s">
        <v>118</v>
      </c>
      <c r="P16" s="131">
        <f t="shared" ref="P16:Q16" si="4">P8+P9+P10+P13+P14+P15+P11</f>
        <v>98500</v>
      </c>
      <c r="Q16" s="131">
        <f t="shared" si="4"/>
        <v>1700</v>
      </c>
    </row>
    <row r="17">
      <c r="A17" s="12" t="s">
        <v>1286</v>
      </c>
      <c r="B17" s="14" t="s">
        <v>1287</v>
      </c>
      <c r="C17" s="132">
        <v>10000.0</v>
      </c>
      <c r="D17" s="12" t="s">
        <v>1289</v>
      </c>
      <c r="E17" s="12" t="s">
        <v>1272</v>
      </c>
      <c r="G17" s="12" t="s">
        <v>590</v>
      </c>
      <c r="M17" s="70" t="s">
        <v>1292</v>
      </c>
      <c r="N17" s="71" t="s">
        <v>215</v>
      </c>
    </row>
    <row r="18">
      <c r="A18" s="12" t="s">
        <v>1295</v>
      </c>
      <c r="B18" s="14" t="s">
        <v>1296</v>
      </c>
      <c r="C18" s="133" t="s">
        <v>1298</v>
      </c>
      <c r="E18" s="12" t="s">
        <v>1299</v>
      </c>
      <c r="G18" s="12" t="s">
        <v>1300</v>
      </c>
      <c r="N18" s="71" t="s">
        <v>289</v>
      </c>
      <c r="O18" s="71">
        <v>4.5</v>
      </c>
      <c r="P18" s="72">
        <f>O18*1500</f>
        <v>6750</v>
      </c>
      <c r="Q18" s="72">
        <f>O18*60</f>
        <v>270</v>
      </c>
    </row>
    <row r="19">
      <c r="A19" s="12" t="s">
        <v>1301</v>
      </c>
      <c r="B19" s="14" t="s">
        <v>1303</v>
      </c>
      <c r="E19" s="12" t="s">
        <v>166</v>
      </c>
      <c r="G19" s="12" t="s">
        <v>166</v>
      </c>
      <c r="J19" s="134"/>
      <c r="K19" s="134"/>
      <c r="L19" s="134"/>
      <c r="N19" s="130" t="s">
        <v>118</v>
      </c>
      <c r="P19" s="131">
        <f t="shared" ref="P19:Q19" si="5">P18</f>
        <v>6750</v>
      </c>
      <c r="Q19" s="131">
        <f t="shared" si="5"/>
        <v>270</v>
      </c>
    </row>
    <row r="20">
      <c r="A20" s="12" t="s">
        <v>1304</v>
      </c>
      <c r="B20" s="14" t="s">
        <v>1306</v>
      </c>
      <c r="E20" s="12" t="s">
        <v>1308</v>
      </c>
      <c r="G20" s="12" t="s">
        <v>178</v>
      </c>
      <c r="J20" s="134"/>
      <c r="K20" s="134"/>
      <c r="L20" s="134"/>
      <c r="M20" s="70" t="s">
        <v>1309</v>
      </c>
      <c r="N20" s="71" t="s">
        <v>215</v>
      </c>
    </row>
    <row r="21">
      <c r="A21" s="12" t="s">
        <v>1310</v>
      </c>
      <c r="B21" s="14" t="s">
        <v>1311</v>
      </c>
      <c r="E21" s="12" t="s">
        <v>1313</v>
      </c>
      <c r="G21" s="12" t="s">
        <v>195</v>
      </c>
      <c r="J21" s="134"/>
      <c r="K21" s="134"/>
      <c r="L21" s="134"/>
      <c r="N21" s="71" t="s">
        <v>289</v>
      </c>
      <c r="O21" s="71">
        <v>5.0</v>
      </c>
      <c r="P21" s="72">
        <f t="shared" ref="P21:P22" si="6">O21*1500</f>
        <v>7500</v>
      </c>
      <c r="Q21" s="72">
        <f t="shared" ref="Q21:Q22" si="7">O21*60</f>
        <v>300</v>
      </c>
    </row>
    <row r="22">
      <c r="A22" s="12" t="s">
        <v>1318</v>
      </c>
      <c r="B22" s="14" t="s">
        <v>1320</v>
      </c>
      <c r="E22" s="12" t="s">
        <v>736</v>
      </c>
      <c r="G22" s="12" t="s">
        <v>263</v>
      </c>
      <c r="J22" s="134"/>
      <c r="K22" s="134"/>
      <c r="L22" s="134"/>
      <c r="N22" s="71" t="s">
        <v>564</v>
      </c>
      <c r="O22" s="71">
        <v>2.0</v>
      </c>
      <c r="P22" s="72">
        <f t="shared" si="6"/>
        <v>3000</v>
      </c>
      <c r="Q22" s="72">
        <f t="shared" si="7"/>
        <v>120</v>
      </c>
    </row>
    <row r="23">
      <c r="A23" s="12" t="s">
        <v>1322</v>
      </c>
      <c r="B23" s="14" t="s">
        <v>1323</v>
      </c>
      <c r="E23" s="12" t="s">
        <v>1324</v>
      </c>
      <c r="G23" s="12" t="s">
        <v>505</v>
      </c>
      <c r="N23" s="130" t="s">
        <v>118</v>
      </c>
      <c r="P23" s="131">
        <f t="shared" ref="P23:Q23" si="8">P21+P22</f>
        <v>10500</v>
      </c>
      <c r="Q23" s="131">
        <f t="shared" si="8"/>
        <v>420</v>
      </c>
    </row>
    <row r="24">
      <c r="A24" s="12" t="s">
        <v>1327</v>
      </c>
      <c r="E24" s="12" t="s">
        <v>208</v>
      </c>
      <c r="G24" s="12" t="s">
        <v>286</v>
      </c>
      <c r="M24" s="70" t="s">
        <v>1328</v>
      </c>
      <c r="N24" s="71" t="s">
        <v>215</v>
      </c>
    </row>
    <row r="25">
      <c r="A25" s="12" t="s">
        <v>1329</v>
      </c>
      <c r="E25" s="12" t="s">
        <v>496</v>
      </c>
      <c r="G25" s="12" t="s">
        <v>1330</v>
      </c>
      <c r="N25" s="71" t="s">
        <v>289</v>
      </c>
      <c r="O25" s="71">
        <v>4.0</v>
      </c>
      <c r="P25" s="72">
        <f>O25*1500</f>
        <v>6000</v>
      </c>
      <c r="Q25" s="72">
        <f>O25*60</f>
        <v>240</v>
      </c>
    </row>
    <row r="26">
      <c r="E26" s="12" t="s">
        <v>1331</v>
      </c>
      <c r="G26" s="12" t="s">
        <v>195</v>
      </c>
      <c r="N26" s="130" t="s">
        <v>118</v>
      </c>
      <c r="P26" s="131">
        <f t="shared" ref="P26:Q26" si="9">P25</f>
        <v>6000</v>
      </c>
      <c r="Q26" s="131">
        <f t="shared" si="9"/>
        <v>240</v>
      </c>
    </row>
    <row r="27">
      <c r="E27" s="12" t="s">
        <v>1332</v>
      </c>
      <c r="G27" s="12" t="s">
        <v>1333</v>
      </c>
      <c r="M27" s="70" t="s">
        <v>1334</v>
      </c>
      <c r="N27" s="71" t="s">
        <v>215</v>
      </c>
    </row>
    <row r="28">
      <c r="E28" s="12" t="s">
        <v>1335</v>
      </c>
      <c r="G28" s="12" t="s">
        <v>1336</v>
      </c>
      <c r="N28" s="71" t="s">
        <v>289</v>
      </c>
      <c r="O28" s="71">
        <v>3.0</v>
      </c>
      <c r="P28" s="72">
        <f>O28*1500</f>
        <v>4500</v>
      </c>
      <c r="Q28" s="72">
        <f>O28*60</f>
        <v>180</v>
      </c>
    </row>
    <row r="29">
      <c r="E29" s="12" t="s">
        <v>1337</v>
      </c>
      <c r="G29" s="12" t="s">
        <v>505</v>
      </c>
      <c r="N29" s="130" t="s">
        <v>118</v>
      </c>
      <c r="P29" s="131">
        <f t="shared" ref="P29:Q29" si="10">P28</f>
        <v>4500</v>
      </c>
      <c r="Q29" s="131">
        <f t="shared" si="10"/>
        <v>180</v>
      </c>
    </row>
    <row r="30">
      <c r="E30" s="12" t="s">
        <v>166</v>
      </c>
      <c r="G30" s="12" t="s">
        <v>1333</v>
      </c>
      <c r="M30" s="70" t="s">
        <v>1340</v>
      </c>
      <c r="N30" s="71" t="s">
        <v>215</v>
      </c>
    </row>
    <row r="31">
      <c r="E31" s="12" t="s">
        <v>672</v>
      </c>
      <c r="N31" s="71" t="s">
        <v>289</v>
      </c>
      <c r="O31" s="71">
        <v>3.0</v>
      </c>
      <c r="P31" s="72">
        <f t="shared" ref="P31:P32" si="11">O31*1500</f>
        <v>4500</v>
      </c>
      <c r="Q31" s="72">
        <f t="shared" ref="Q31:Q32" si="12">O31*60</f>
        <v>180</v>
      </c>
    </row>
    <row r="32">
      <c r="E32" s="12" t="s">
        <v>1341</v>
      </c>
      <c r="N32" s="71" t="s">
        <v>1344</v>
      </c>
      <c r="O32" s="71">
        <v>1.0</v>
      </c>
      <c r="P32" s="72">
        <f t="shared" si="11"/>
        <v>1500</v>
      </c>
      <c r="Q32" s="72">
        <f t="shared" si="12"/>
        <v>60</v>
      </c>
    </row>
    <row r="33">
      <c r="E33" s="12" t="s">
        <v>208</v>
      </c>
      <c r="N33" s="130" t="s">
        <v>118</v>
      </c>
      <c r="P33" s="131">
        <f t="shared" ref="P33:Q33" si="13">P31+P32</f>
        <v>6000</v>
      </c>
      <c r="Q33" s="131">
        <f t="shared" si="13"/>
        <v>240</v>
      </c>
    </row>
    <row r="34">
      <c r="E34" s="12" t="s">
        <v>736</v>
      </c>
      <c r="M34" s="70" t="s">
        <v>1346</v>
      </c>
      <c r="N34" s="71" t="s">
        <v>215</v>
      </c>
    </row>
    <row r="35">
      <c r="E35" s="12" t="s">
        <v>1261</v>
      </c>
      <c r="N35" s="71" t="s">
        <v>1344</v>
      </c>
      <c r="O35" s="71">
        <v>1.0</v>
      </c>
      <c r="P35" s="72">
        <f>O35*1500</f>
        <v>1500</v>
      </c>
      <c r="Q35" s="72">
        <f>O35*60</f>
        <v>60</v>
      </c>
    </row>
    <row r="36">
      <c r="E36" s="12" t="s">
        <v>166</v>
      </c>
      <c r="N36" s="130" t="s">
        <v>118</v>
      </c>
      <c r="P36" s="131">
        <f t="shared" ref="P36:Q36" si="14">P35</f>
        <v>1500</v>
      </c>
      <c r="Q36" s="131">
        <f t="shared" si="14"/>
        <v>60</v>
      </c>
    </row>
    <row r="37">
      <c r="E37" s="12" t="s">
        <v>1347</v>
      </c>
    </row>
    <row r="38">
      <c r="E38" s="12" t="s">
        <v>208</v>
      </c>
    </row>
    <row r="39">
      <c r="E39" s="12" t="s">
        <v>1349</v>
      </c>
    </row>
    <row r="40">
      <c r="E40" s="12" t="s">
        <v>1350</v>
      </c>
    </row>
    <row r="41">
      <c r="E41" s="12" t="s">
        <v>1332</v>
      </c>
    </row>
    <row r="42">
      <c r="E42" s="12" t="s">
        <v>1349</v>
      </c>
    </row>
    <row r="43">
      <c r="E43" s="68" t="s">
        <v>1351</v>
      </c>
    </row>
    <row r="45">
      <c r="E45" s="64" t="s">
        <v>1352</v>
      </c>
    </row>
    <row r="46">
      <c r="E46" s="12" t="s">
        <v>1245</v>
      </c>
    </row>
    <row r="47">
      <c r="E47" s="12" t="s">
        <v>1353</v>
      </c>
    </row>
    <row r="49">
      <c r="E49" s="64" t="s">
        <v>1354</v>
      </c>
    </row>
    <row r="52">
      <c r="A52" s="82" t="s">
        <v>567</v>
      </c>
    </row>
    <row r="53">
      <c r="A53" s="82">
        <f>A55+A73+A89+A105+A121+A141+A172+A204</f>
        <v>2578660</v>
      </c>
    </row>
    <row r="54">
      <c r="A54" s="84" t="s">
        <v>575</v>
      </c>
    </row>
    <row r="55">
      <c r="A55" s="84">
        <v>44550.0</v>
      </c>
    </row>
    <row r="56">
      <c r="A56" s="84">
        <v>2026.0</v>
      </c>
    </row>
    <row r="57">
      <c r="A57" s="85" t="s">
        <v>576</v>
      </c>
      <c r="B57" s="85" t="s">
        <v>577</v>
      </c>
      <c r="C57" s="85" t="s">
        <v>578</v>
      </c>
      <c r="D57" s="85" t="s">
        <v>579</v>
      </c>
      <c r="E57" s="85" t="s">
        <v>580</v>
      </c>
    </row>
    <row r="58">
      <c r="B58" s="64" t="s">
        <v>1357</v>
      </c>
      <c r="C58" s="64" t="s">
        <v>1358</v>
      </c>
      <c r="E58" s="64" t="s">
        <v>1359</v>
      </c>
    </row>
    <row r="59">
      <c r="B59" s="12" t="s">
        <v>1360</v>
      </c>
      <c r="C59" s="12" t="s">
        <v>1240</v>
      </c>
      <c r="E59" s="12" t="s">
        <v>1245</v>
      </c>
    </row>
    <row r="60">
      <c r="B60" s="12" t="s">
        <v>777</v>
      </c>
      <c r="C60" s="12" t="s">
        <v>777</v>
      </c>
      <c r="E60" s="12" t="s">
        <v>777</v>
      </c>
    </row>
    <row r="61">
      <c r="B61" s="12" t="s">
        <v>783</v>
      </c>
      <c r="C61" s="12" t="s">
        <v>1244</v>
      </c>
      <c r="E61" s="12" t="s">
        <v>1244</v>
      </c>
    </row>
    <row r="62">
      <c r="B62" s="12" t="s">
        <v>1361</v>
      </c>
      <c r="C62" s="12" t="s">
        <v>820</v>
      </c>
      <c r="E62" s="12" t="s">
        <v>1362</v>
      </c>
    </row>
    <row r="63">
      <c r="B63" s="12" t="s">
        <v>1364</v>
      </c>
      <c r="C63" s="12" t="s">
        <v>783</v>
      </c>
      <c r="E63" s="12" t="s">
        <v>1186</v>
      </c>
    </row>
    <row r="64">
      <c r="B64" s="12" t="s">
        <v>797</v>
      </c>
      <c r="C64" s="12" t="s">
        <v>1366</v>
      </c>
    </row>
    <row r="65">
      <c r="C65" s="12" t="s">
        <v>1292</v>
      </c>
    </row>
    <row r="66">
      <c r="C66" s="12" t="s">
        <v>620</v>
      </c>
    </row>
    <row r="67">
      <c r="C67" s="12" t="s">
        <v>1368</v>
      </c>
    </row>
    <row r="68">
      <c r="C68" s="12" t="s">
        <v>1369</v>
      </c>
    </row>
    <row r="69">
      <c r="C69" s="12" t="s">
        <v>1372</v>
      </c>
    </row>
    <row r="70">
      <c r="C70" s="12" t="s">
        <v>605</v>
      </c>
    </row>
    <row r="71">
      <c r="A71" s="86"/>
    </row>
    <row r="72">
      <c r="A72" s="87" t="s">
        <v>840</v>
      </c>
    </row>
    <row r="73">
      <c r="A73" s="87">
        <v>29860.0</v>
      </c>
    </row>
    <row r="74">
      <c r="A74" s="88">
        <v>2026.0</v>
      </c>
    </row>
    <row r="75">
      <c r="A75" s="85" t="s">
        <v>592</v>
      </c>
      <c r="B75" s="85" t="s">
        <v>593</v>
      </c>
      <c r="C75" s="85" t="s">
        <v>594</v>
      </c>
      <c r="D75" s="85" t="s">
        <v>595</v>
      </c>
      <c r="E75" s="85" t="s">
        <v>596</v>
      </c>
      <c r="F75" s="85" t="s">
        <v>597</v>
      </c>
    </row>
    <row r="76">
      <c r="B76" s="64" t="s">
        <v>1387</v>
      </c>
      <c r="C76" s="64" t="s">
        <v>1314</v>
      </c>
      <c r="E76" s="64" t="s">
        <v>1388</v>
      </c>
      <c r="F76" s="64" t="s">
        <v>1390</v>
      </c>
    </row>
    <row r="77">
      <c r="B77" s="12" t="s">
        <v>1391</v>
      </c>
      <c r="C77" s="12" t="s">
        <v>1360</v>
      </c>
      <c r="E77" s="12" t="s">
        <v>1240</v>
      </c>
      <c r="F77" s="12" t="s">
        <v>1394</v>
      </c>
    </row>
    <row r="78">
      <c r="B78" s="12" t="s">
        <v>922</v>
      </c>
      <c r="C78" s="12" t="s">
        <v>604</v>
      </c>
      <c r="E78" s="12" t="s">
        <v>607</v>
      </c>
      <c r="F78" s="12" t="s">
        <v>638</v>
      </c>
    </row>
    <row r="79">
      <c r="B79" s="12" t="s">
        <v>783</v>
      </c>
      <c r="E79" s="12" t="s">
        <v>613</v>
      </c>
      <c r="F79" s="12" t="s">
        <v>621</v>
      </c>
    </row>
    <row r="80">
      <c r="E80" s="12" t="s">
        <v>1403</v>
      </c>
      <c r="F80" s="12" t="s">
        <v>1404</v>
      </c>
    </row>
    <row r="81">
      <c r="E81" s="12" t="s">
        <v>1292</v>
      </c>
      <c r="F81" s="12" t="s">
        <v>872</v>
      </c>
    </row>
    <row r="82">
      <c r="E82" s="12" t="s">
        <v>1410</v>
      </c>
      <c r="F82" s="12" t="s">
        <v>621</v>
      </c>
    </row>
    <row r="83">
      <c r="E83" s="12" t="s">
        <v>1403</v>
      </c>
    </row>
    <row r="84">
      <c r="E84" s="12" t="s">
        <v>1415</v>
      </c>
    </row>
    <row r="85">
      <c r="E85" s="12" t="s">
        <v>1418</v>
      </c>
    </row>
    <row r="86">
      <c r="E86" s="12" t="s">
        <v>1403</v>
      </c>
    </row>
    <row r="87">
      <c r="A87" s="86"/>
    </row>
    <row r="88">
      <c r="A88" s="6" t="s">
        <v>1425</v>
      </c>
    </row>
    <row r="89">
      <c r="A89" s="6">
        <v>34800.0</v>
      </c>
    </row>
    <row r="90">
      <c r="A90" s="35">
        <v>2026.0</v>
      </c>
    </row>
    <row r="91">
      <c r="A91" s="96" t="s">
        <v>1432</v>
      </c>
    </row>
    <row r="92">
      <c r="A92" s="85" t="s">
        <v>666</v>
      </c>
      <c r="B92" s="85" t="s">
        <v>668</v>
      </c>
      <c r="C92" s="85" t="s">
        <v>671</v>
      </c>
      <c r="D92" s="85" t="s">
        <v>674</v>
      </c>
      <c r="E92" s="85" t="s">
        <v>675</v>
      </c>
      <c r="F92" s="85" t="s">
        <v>676</v>
      </c>
      <c r="G92" s="85" t="s">
        <v>678</v>
      </c>
      <c r="H92" s="85" t="s">
        <v>680</v>
      </c>
    </row>
    <row r="93">
      <c r="A93" s="68" t="s">
        <v>683</v>
      </c>
      <c r="B93" s="68" t="s">
        <v>683</v>
      </c>
      <c r="C93" s="68" t="s">
        <v>1435</v>
      </c>
      <c r="D93" s="68" t="s">
        <v>1314</v>
      </c>
      <c r="E93" s="68" t="s">
        <v>683</v>
      </c>
      <c r="F93" s="68" t="s">
        <v>1439</v>
      </c>
      <c r="G93" s="68" t="s">
        <v>683</v>
      </c>
      <c r="H93" s="68" t="s">
        <v>1441</v>
      </c>
    </row>
    <row r="94">
      <c r="C94" s="12" t="s">
        <v>1240</v>
      </c>
      <c r="D94" s="12" t="s">
        <v>1445</v>
      </c>
      <c r="F94" s="12" t="s">
        <v>1246</v>
      </c>
      <c r="H94" s="12" t="s">
        <v>1447</v>
      </c>
    </row>
    <row r="95">
      <c r="C95" s="12" t="s">
        <v>606</v>
      </c>
      <c r="D95" s="12" t="s">
        <v>604</v>
      </c>
      <c r="F95" s="12" t="s">
        <v>872</v>
      </c>
      <c r="H95" s="12" t="s">
        <v>606</v>
      </c>
    </row>
    <row r="96">
      <c r="C96" s="12" t="s">
        <v>209</v>
      </c>
      <c r="F96" s="12" t="s">
        <v>1452</v>
      </c>
      <c r="H96" s="12" t="s">
        <v>276</v>
      </c>
    </row>
    <row r="97">
      <c r="C97" s="12" t="s">
        <v>1458</v>
      </c>
      <c r="F97" s="12" t="s">
        <v>323</v>
      </c>
      <c r="H97" s="12" t="s">
        <v>1292</v>
      </c>
    </row>
    <row r="98">
      <c r="C98" s="12" t="s">
        <v>604</v>
      </c>
      <c r="F98" s="12" t="s">
        <v>209</v>
      </c>
      <c r="H98" s="12" t="s">
        <v>698</v>
      </c>
    </row>
    <row r="99">
      <c r="F99" s="12" t="s">
        <v>1460</v>
      </c>
      <c r="H99" s="12" t="s">
        <v>276</v>
      </c>
    </row>
    <row r="100">
      <c r="F100" s="12" t="s">
        <v>1463</v>
      </c>
    </row>
    <row r="101">
      <c r="F101" s="12" t="s">
        <v>531</v>
      </c>
    </row>
    <row r="102">
      <c r="F102" s="12" t="s">
        <v>1464</v>
      </c>
    </row>
    <row r="103">
      <c r="F103" s="12" t="s">
        <v>962</v>
      </c>
    </row>
    <row r="104">
      <c r="A104" s="97" t="s">
        <v>1095</v>
      </c>
    </row>
    <row r="105">
      <c r="A105" s="97">
        <f>A108</f>
        <v>80700</v>
      </c>
    </row>
    <row r="106">
      <c r="A106" s="97">
        <v>2026.0</v>
      </c>
    </row>
    <row r="107">
      <c r="A107" s="97" t="s">
        <v>1484</v>
      </c>
    </row>
    <row r="108">
      <c r="A108" s="97">
        <f>A111+B111+C111+D111+E111+F111+G111+H111</f>
        <v>80700</v>
      </c>
    </row>
    <row r="109">
      <c r="A109" s="85" t="s">
        <v>762</v>
      </c>
      <c r="B109" s="85" t="s">
        <v>764</v>
      </c>
      <c r="C109" s="85" t="s">
        <v>765</v>
      </c>
      <c r="D109" s="85" t="s">
        <v>767</v>
      </c>
      <c r="E109" s="85" t="s">
        <v>768</v>
      </c>
      <c r="F109" s="85" t="s">
        <v>771</v>
      </c>
      <c r="G109" s="85" t="s">
        <v>772</v>
      </c>
      <c r="H109" s="85" t="s">
        <v>773</v>
      </c>
    </row>
    <row r="110">
      <c r="A110" s="11" t="s">
        <v>776</v>
      </c>
      <c r="B110" s="11" t="s">
        <v>683</v>
      </c>
      <c r="C110" s="11" t="s">
        <v>683</v>
      </c>
      <c r="D110" s="11" t="s">
        <v>683</v>
      </c>
      <c r="E110" s="11" t="s">
        <v>683</v>
      </c>
      <c r="F110" s="11" t="s">
        <v>683</v>
      </c>
      <c r="G110" s="11" t="s">
        <v>683</v>
      </c>
      <c r="H110" s="11" t="s">
        <v>683</v>
      </c>
    </row>
    <row r="111">
      <c r="A111" s="85">
        <v>29000.0</v>
      </c>
      <c r="B111" s="85">
        <v>0.0</v>
      </c>
      <c r="C111" s="85">
        <v>0.0</v>
      </c>
      <c r="D111" s="85">
        <v>0.0</v>
      </c>
      <c r="E111" s="85">
        <v>0.0</v>
      </c>
      <c r="F111" s="85">
        <v>38750.0</v>
      </c>
      <c r="G111" s="85">
        <v>1000.0</v>
      </c>
      <c r="H111" s="85">
        <v>11950.0</v>
      </c>
    </row>
    <row r="112">
      <c r="A112" s="12" t="s">
        <v>1245</v>
      </c>
      <c r="F112" s="12" t="s">
        <v>1240</v>
      </c>
      <c r="G112" s="12" t="s">
        <v>1220</v>
      </c>
      <c r="H112" s="12" t="s">
        <v>1514</v>
      </c>
    </row>
    <row r="113">
      <c r="A113" s="12" t="s">
        <v>792</v>
      </c>
      <c r="F113" s="12" t="s">
        <v>792</v>
      </c>
      <c r="G113" s="12" t="s">
        <v>605</v>
      </c>
      <c r="H113" s="12" t="s">
        <v>653</v>
      </c>
    </row>
    <row r="114">
      <c r="A114" s="12" t="s">
        <v>1518</v>
      </c>
      <c r="F114" s="12" t="s">
        <v>1292</v>
      </c>
      <c r="H114" s="12" t="s">
        <v>802</v>
      </c>
    </row>
    <row r="115">
      <c r="A115" s="12" t="s">
        <v>1361</v>
      </c>
      <c r="F115" s="12" t="s">
        <v>1194</v>
      </c>
    </row>
    <row r="116">
      <c r="A116" s="12" t="s">
        <v>1115</v>
      </c>
      <c r="F116" s="12" t="s">
        <v>796</v>
      </c>
    </row>
    <row r="117">
      <c r="A117" s="12" t="s">
        <v>1464</v>
      </c>
    </row>
    <row r="118">
      <c r="A118" s="12" t="s">
        <v>605</v>
      </c>
    </row>
    <row r="120">
      <c r="A120" s="99" t="s">
        <v>1129</v>
      </c>
    </row>
    <row r="121">
      <c r="A121" s="99">
        <f>A124</f>
        <v>116900</v>
      </c>
    </row>
    <row r="122">
      <c r="A122" s="99">
        <v>2026.0</v>
      </c>
    </row>
    <row r="123">
      <c r="A123" s="99" t="s">
        <v>749</v>
      </c>
    </row>
    <row r="124">
      <c r="A124" s="117">
        <f>A127+B127+C127+D127+E127+F127+G127+H127+I127+J127</f>
        <v>116900</v>
      </c>
    </row>
    <row r="125">
      <c r="A125" s="111" t="s">
        <v>834</v>
      </c>
      <c r="B125" s="111" t="s">
        <v>835</v>
      </c>
      <c r="C125" s="111" t="s">
        <v>836</v>
      </c>
      <c r="D125" s="111" t="s">
        <v>837</v>
      </c>
      <c r="E125" s="111" t="s">
        <v>838</v>
      </c>
      <c r="F125" s="111" t="s">
        <v>839</v>
      </c>
      <c r="G125" s="111" t="s">
        <v>841</v>
      </c>
      <c r="H125" s="111" t="s">
        <v>843</v>
      </c>
      <c r="I125" s="104" t="s">
        <v>846</v>
      </c>
      <c r="J125" s="104" t="s">
        <v>847</v>
      </c>
    </row>
    <row r="126">
      <c r="A126" s="11" t="s">
        <v>683</v>
      </c>
      <c r="B126" s="11" t="s">
        <v>683</v>
      </c>
      <c r="C126" s="11" t="s">
        <v>683</v>
      </c>
      <c r="D126" s="11" t="s">
        <v>683</v>
      </c>
      <c r="E126" s="11" t="s">
        <v>683</v>
      </c>
      <c r="F126" s="11" t="s">
        <v>683</v>
      </c>
      <c r="G126" s="11" t="s">
        <v>683</v>
      </c>
      <c r="H126" s="11" t="s">
        <v>683</v>
      </c>
      <c r="I126" s="11" t="s">
        <v>683</v>
      </c>
      <c r="J126" s="11" t="s">
        <v>683</v>
      </c>
    </row>
    <row r="127">
      <c r="A127" s="85">
        <v>1700.0</v>
      </c>
      <c r="B127" s="85">
        <v>3100.0</v>
      </c>
      <c r="C127" s="85">
        <v>28000.0</v>
      </c>
      <c r="D127" s="85">
        <v>0.0</v>
      </c>
      <c r="E127" s="85">
        <v>0.0</v>
      </c>
      <c r="F127" s="85">
        <v>66500.0</v>
      </c>
      <c r="G127" s="85">
        <v>15400.0</v>
      </c>
      <c r="H127" s="85">
        <v>0.0</v>
      </c>
      <c r="I127" s="85">
        <v>0.0</v>
      </c>
      <c r="J127" s="85">
        <v>2200.0</v>
      </c>
    </row>
    <row r="128">
      <c r="A128" s="12" t="s">
        <v>1542</v>
      </c>
      <c r="B128" s="12" t="s">
        <v>1543</v>
      </c>
      <c r="C128" s="12" t="s">
        <v>1544</v>
      </c>
      <c r="F128" s="12" t="s">
        <v>1245</v>
      </c>
      <c r="G128" s="12" t="s">
        <v>1445</v>
      </c>
      <c r="J128" s="12" t="s">
        <v>1547</v>
      </c>
    </row>
    <row r="129">
      <c r="A129" s="12" t="s">
        <v>604</v>
      </c>
      <c r="B129" s="12" t="s">
        <v>1552</v>
      </c>
      <c r="C129" s="12" t="s">
        <v>1553</v>
      </c>
      <c r="F129" s="12" t="s">
        <v>912</v>
      </c>
      <c r="G129" s="12" t="s">
        <v>700</v>
      </c>
      <c r="J129" s="12" t="s">
        <v>872</v>
      </c>
    </row>
    <row r="130">
      <c r="A130" s="12" t="s">
        <v>1560</v>
      </c>
      <c r="B130" s="12" t="s">
        <v>879</v>
      </c>
      <c r="C130" s="12" t="s">
        <v>1561</v>
      </c>
      <c r="F130" s="12" t="s">
        <v>1562</v>
      </c>
      <c r="G130" s="12" t="s">
        <v>1404</v>
      </c>
    </row>
    <row r="131">
      <c r="A131" s="12" t="s">
        <v>1364</v>
      </c>
      <c r="C131" s="12" t="s">
        <v>653</v>
      </c>
      <c r="F131" s="12" t="s">
        <v>1569</v>
      </c>
      <c r="G131" s="12" t="s">
        <v>700</v>
      </c>
    </row>
    <row r="132">
      <c r="C132" s="12" t="s">
        <v>1572</v>
      </c>
      <c r="F132" s="12" t="s">
        <v>873</v>
      </c>
      <c r="G132" s="12" t="s">
        <v>1309</v>
      </c>
    </row>
    <row r="133">
      <c r="C133" s="12" t="s">
        <v>653</v>
      </c>
      <c r="F133" s="12" t="s">
        <v>902</v>
      </c>
      <c r="G133" s="12" t="s">
        <v>1135</v>
      </c>
    </row>
    <row r="134">
      <c r="C134" s="12" t="s">
        <v>1578</v>
      </c>
      <c r="F134" s="12" t="s">
        <v>1579</v>
      </c>
    </row>
    <row r="135">
      <c r="C135" s="12" t="s">
        <v>1128</v>
      </c>
      <c r="F135" s="12" t="s">
        <v>1225</v>
      </c>
    </row>
    <row r="136">
      <c r="A136" s="108" t="s">
        <v>938</v>
      </c>
    </row>
    <row r="140">
      <c r="A140" s="109" t="s">
        <v>1594</v>
      </c>
    </row>
    <row r="141">
      <c r="A141" s="109">
        <f>-350000+A145</f>
        <v>1005200</v>
      </c>
    </row>
    <row r="142">
      <c r="A142" s="109">
        <v>2026.0</v>
      </c>
    </row>
    <row r="143">
      <c r="A143" s="156" t="s">
        <v>1605</v>
      </c>
    </row>
    <row r="144">
      <c r="A144" s="109" t="s">
        <v>749</v>
      </c>
    </row>
    <row r="145">
      <c r="A145" s="110">
        <f>A148+B148+C148+D148+E148+F148+G148+H148+I148+J148</f>
        <v>1355200</v>
      </c>
    </row>
    <row r="146">
      <c r="A146" s="85" t="s">
        <v>959</v>
      </c>
      <c r="B146" s="85" t="s">
        <v>960</v>
      </c>
      <c r="C146" s="85" t="s">
        <v>963</v>
      </c>
      <c r="D146" s="85" t="s">
        <v>964</v>
      </c>
      <c r="E146" s="85" t="s">
        <v>966</v>
      </c>
      <c r="F146" s="85" t="s">
        <v>967</v>
      </c>
      <c r="G146" s="111" t="s">
        <v>969</v>
      </c>
      <c r="H146" s="107" t="s">
        <v>972</v>
      </c>
      <c r="I146" s="107" t="s">
        <v>975</v>
      </c>
      <c r="J146" s="107" t="s">
        <v>976</v>
      </c>
    </row>
    <row r="147">
      <c r="A147" s="11" t="s">
        <v>683</v>
      </c>
      <c r="B147" s="11" t="s">
        <v>683</v>
      </c>
      <c r="C147" s="11" t="s">
        <v>683</v>
      </c>
      <c r="D147" s="11" t="s">
        <v>683</v>
      </c>
      <c r="E147" s="11" t="s">
        <v>683</v>
      </c>
      <c r="F147" s="11" t="s">
        <v>683</v>
      </c>
      <c r="G147" s="11" t="s">
        <v>683</v>
      </c>
      <c r="H147" s="34" t="s">
        <v>683</v>
      </c>
      <c r="I147" s="34" t="s">
        <v>683</v>
      </c>
      <c r="J147" s="34" t="s">
        <v>683</v>
      </c>
    </row>
    <row r="148">
      <c r="A148" s="85">
        <v>138000.0</v>
      </c>
      <c r="B148" s="85">
        <v>371000.0</v>
      </c>
      <c r="C148" s="85">
        <v>127000.0</v>
      </c>
      <c r="D148" s="85">
        <f>186000+97800</f>
        <v>283800</v>
      </c>
      <c r="E148" s="85"/>
      <c r="F148" s="85"/>
      <c r="G148" s="85">
        <v>93000.0</v>
      </c>
      <c r="H148" s="85">
        <f>90000+40400</f>
        <v>130400</v>
      </c>
      <c r="I148" s="85">
        <v>94500.0</v>
      </c>
      <c r="J148" s="85">
        <v>117500.0</v>
      </c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>
      <c r="A149" s="58" t="s">
        <v>1630</v>
      </c>
      <c r="B149" s="58" t="s">
        <v>1246</v>
      </c>
      <c r="C149" s="58" t="s">
        <v>1632</v>
      </c>
      <c r="D149" s="58" t="s">
        <v>1544</v>
      </c>
      <c r="E149" s="113"/>
      <c r="F149" s="113"/>
      <c r="G149" s="58" t="s">
        <v>1639</v>
      </c>
      <c r="H149" s="58" t="s">
        <v>1240</v>
      </c>
      <c r="I149" s="58" t="s">
        <v>1640</v>
      </c>
      <c r="J149" s="58" t="s">
        <v>1547</v>
      </c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>
      <c r="A150" s="58" t="s">
        <v>1651</v>
      </c>
      <c r="B150" s="58" t="s">
        <v>1651</v>
      </c>
      <c r="C150" s="58" t="s">
        <v>1651</v>
      </c>
      <c r="D150" s="58" t="s">
        <v>1651</v>
      </c>
      <c r="E150" s="113"/>
      <c r="F150" s="113"/>
      <c r="G150" s="58" t="s">
        <v>1651</v>
      </c>
      <c r="H150" s="58" t="s">
        <v>1651</v>
      </c>
      <c r="I150" s="58" t="s">
        <v>1651</v>
      </c>
      <c r="J150" s="58" t="s">
        <v>1651</v>
      </c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>
      <c r="A151" s="12" t="s">
        <v>1204</v>
      </c>
      <c r="B151" s="12" t="s">
        <v>1005</v>
      </c>
      <c r="C151" s="12" t="s">
        <v>1204</v>
      </c>
      <c r="D151" s="12" t="s">
        <v>989</v>
      </c>
      <c r="E151" s="113"/>
      <c r="F151" s="113"/>
      <c r="G151" s="58" t="s">
        <v>1006</v>
      </c>
      <c r="H151" s="58" t="s">
        <v>1655</v>
      </c>
      <c r="I151" s="12" t="s">
        <v>989</v>
      </c>
      <c r="J151" s="12" t="s">
        <v>1005</v>
      </c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>
      <c r="A152" s="12" t="s">
        <v>1658</v>
      </c>
      <c r="B152" s="12" t="s">
        <v>999</v>
      </c>
      <c r="C152" s="12" t="s">
        <v>1659</v>
      </c>
      <c r="D152" s="58" t="s">
        <v>999</v>
      </c>
      <c r="E152" s="113"/>
      <c r="F152" s="113"/>
      <c r="G152" s="113"/>
      <c r="H152" s="113"/>
      <c r="I152" s="58" t="s">
        <v>999</v>
      </c>
      <c r="J152" s="58" t="s">
        <v>999</v>
      </c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>
      <c r="A153" s="58" t="s">
        <v>1458</v>
      </c>
      <c r="B153" s="12" t="s">
        <v>1006</v>
      </c>
      <c r="C153" s="58" t="s">
        <v>1222</v>
      </c>
      <c r="D153" s="12" t="s">
        <v>1006</v>
      </c>
      <c r="E153" s="113"/>
      <c r="F153" s="113"/>
      <c r="G153" s="113"/>
      <c r="H153" s="113"/>
      <c r="I153" s="113"/>
      <c r="J153" s="58" t="s">
        <v>1662</v>
      </c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>
      <c r="A154" s="58" t="s">
        <v>1663</v>
      </c>
      <c r="B154" s="12" t="s">
        <v>1664</v>
      </c>
      <c r="C154" s="58" t="s">
        <v>1665</v>
      </c>
      <c r="D154" s="12" t="s">
        <v>1666</v>
      </c>
      <c r="E154" s="113"/>
      <c r="F154" s="113"/>
      <c r="G154" s="113"/>
      <c r="H154" s="113"/>
      <c r="I154" s="113"/>
      <c r="J154" s="58" t="s">
        <v>1093</v>
      </c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>
      <c r="A155" s="12" t="s">
        <v>999</v>
      </c>
      <c r="B155" s="58" t="s">
        <v>1667</v>
      </c>
      <c r="C155" s="58" t="s">
        <v>1668</v>
      </c>
      <c r="D155" s="12" t="s">
        <v>1669</v>
      </c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>
      <c r="A156" s="58" t="s">
        <v>1197</v>
      </c>
      <c r="B156" s="58" t="s">
        <v>1196</v>
      </c>
      <c r="C156" s="12" t="s">
        <v>1204</v>
      </c>
      <c r="D156" s="58" t="s">
        <v>1115</v>
      </c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>
      <c r="A157" s="113"/>
      <c r="B157" s="12" t="s">
        <v>1691</v>
      </c>
      <c r="C157" s="113"/>
      <c r="D157" s="12" t="s">
        <v>1646</v>
      </c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>
      <c r="A158" s="113"/>
      <c r="B158" s="58" t="s">
        <v>1136</v>
      </c>
      <c r="C158" s="113"/>
      <c r="D158" s="12" t="s">
        <v>1572</v>
      </c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>
      <c r="A159" s="113"/>
      <c r="B159" s="12" t="s">
        <v>1697</v>
      </c>
      <c r="C159" s="113"/>
      <c r="D159" s="58" t="s">
        <v>1634</v>
      </c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>
      <c r="A160" s="113"/>
      <c r="B160" s="58" t="s">
        <v>1154</v>
      </c>
      <c r="C160" s="113"/>
      <c r="D160" s="12" t="s">
        <v>1700</v>
      </c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>
      <c r="A161" s="113"/>
      <c r="B161" s="12" t="s">
        <v>999</v>
      </c>
      <c r="C161" s="113"/>
      <c r="D161" s="12" t="s">
        <v>1646</v>
      </c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>
      <c r="A162" s="113"/>
      <c r="B162" s="12" t="s">
        <v>1702</v>
      </c>
      <c r="C162" s="113"/>
      <c r="D162" s="12" t="s">
        <v>1703</v>
      </c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>
      <c r="A163" s="113"/>
      <c r="B163" s="58" t="s">
        <v>1062</v>
      </c>
      <c r="C163" s="113"/>
      <c r="D163" s="58" t="s">
        <v>1706</v>
      </c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>
      <c r="A164" s="113"/>
      <c r="B164" s="12" t="s">
        <v>999</v>
      </c>
      <c r="C164" s="113"/>
      <c r="D164" s="12" t="s">
        <v>1646</v>
      </c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>
      <c r="A165" s="113"/>
      <c r="B165" s="12" t="s">
        <v>1707</v>
      </c>
      <c r="C165" s="113"/>
      <c r="D165" s="58" t="s">
        <v>1708</v>
      </c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>
      <c r="A166" s="113"/>
      <c r="B166" s="58" t="s">
        <v>700</v>
      </c>
      <c r="C166" s="113"/>
      <c r="D166" s="58" t="s">
        <v>1011</v>
      </c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>
      <c r="A167" s="113"/>
      <c r="B167" s="113"/>
      <c r="C167" s="113"/>
      <c r="D167" s="58" t="s">
        <v>999</v>
      </c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>
      <c r="A168" s="113"/>
      <c r="B168" s="113"/>
      <c r="C168" s="113"/>
      <c r="D168" s="12" t="s">
        <v>1646</v>
      </c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>
      <c r="A171" s="112" t="s">
        <v>1015</v>
      </c>
    </row>
    <row r="172">
      <c r="A172" s="112">
        <f>A175</f>
        <v>453650</v>
      </c>
    </row>
    <row r="173">
      <c r="A173" s="112">
        <v>2026.0</v>
      </c>
    </row>
    <row r="174">
      <c r="A174" s="112" t="s">
        <v>749</v>
      </c>
    </row>
    <row r="175">
      <c r="A175" s="112">
        <f>A178+B178+C178+D178+E178+F178+G178+H178</f>
        <v>453650</v>
      </c>
    </row>
    <row r="176">
      <c r="A176" s="85" t="s">
        <v>1035</v>
      </c>
      <c r="B176" s="85" t="s">
        <v>1013</v>
      </c>
      <c r="C176" s="85" t="s">
        <v>1016</v>
      </c>
      <c r="D176" s="85" t="s">
        <v>1023</v>
      </c>
      <c r="E176" s="85" t="s">
        <v>1037</v>
      </c>
      <c r="F176" s="85" t="s">
        <v>1038</v>
      </c>
      <c r="G176" s="85" t="s">
        <v>1039</v>
      </c>
      <c r="H176" s="85" t="s">
        <v>1033</v>
      </c>
    </row>
    <row r="177">
      <c r="A177" s="11" t="s">
        <v>683</v>
      </c>
      <c r="B177" s="11" t="s">
        <v>683</v>
      </c>
      <c r="C177" s="11" t="s">
        <v>683</v>
      </c>
      <c r="D177" s="11" t="s">
        <v>683</v>
      </c>
      <c r="E177" s="11" t="s">
        <v>683</v>
      </c>
      <c r="F177" s="11" t="s">
        <v>683</v>
      </c>
      <c r="G177" s="11" t="s">
        <v>683</v>
      </c>
      <c r="H177" s="11" t="s">
        <v>683</v>
      </c>
    </row>
    <row r="178">
      <c r="A178" s="85">
        <v>82750.0</v>
      </c>
      <c r="B178" s="85">
        <v>0.0</v>
      </c>
      <c r="C178" s="85">
        <f>116000+74400</f>
        <v>190400</v>
      </c>
      <c r="D178" s="85">
        <v>0.0</v>
      </c>
      <c r="E178" s="85">
        <v>129000.0</v>
      </c>
      <c r="F178" s="85">
        <v>16750.0</v>
      </c>
      <c r="G178" s="85">
        <v>0.0</v>
      </c>
      <c r="H178" s="85">
        <f>12750+22000</f>
        <v>34750</v>
      </c>
    </row>
    <row r="179">
      <c r="A179" s="12" t="s">
        <v>1723</v>
      </c>
      <c r="C179" s="12" t="s">
        <v>1724</v>
      </c>
      <c r="E179" s="12" t="s">
        <v>1544</v>
      </c>
      <c r="F179" s="12" t="s">
        <v>1246</v>
      </c>
      <c r="H179" s="12" t="s">
        <v>1360</v>
      </c>
    </row>
    <row r="180">
      <c r="A180" s="12" t="s">
        <v>1725</v>
      </c>
      <c r="C180" s="12" t="s">
        <v>1726</v>
      </c>
      <c r="E180" s="12" t="s">
        <v>1727</v>
      </c>
      <c r="F180" s="12" t="s">
        <v>1634</v>
      </c>
      <c r="H180" s="12" t="s">
        <v>878</v>
      </c>
    </row>
    <row r="181">
      <c r="A181" s="12" t="s">
        <v>1615</v>
      </c>
      <c r="C181" s="12" t="s">
        <v>1262</v>
      </c>
      <c r="E181" s="12" t="s">
        <v>1698</v>
      </c>
      <c r="F181" s="12" t="s">
        <v>1698</v>
      </c>
      <c r="H181" s="12" t="s">
        <v>1728</v>
      </c>
    </row>
    <row r="182">
      <c r="A182" s="12" t="s">
        <v>1698</v>
      </c>
      <c r="C182" s="12" t="s">
        <v>1698</v>
      </c>
      <c r="E182" s="12" t="s">
        <v>1458</v>
      </c>
      <c r="H182" s="12" t="s">
        <v>1615</v>
      </c>
    </row>
    <row r="183">
      <c r="A183" s="12" t="s">
        <v>1265</v>
      </c>
      <c r="C183" s="12" t="s">
        <v>1688</v>
      </c>
      <c r="E183" s="12" t="s">
        <v>878</v>
      </c>
      <c r="H183" s="12" t="s">
        <v>1266</v>
      </c>
    </row>
    <row r="184">
      <c r="A184" s="12" t="s">
        <v>1312</v>
      </c>
      <c r="C184" s="12" t="s">
        <v>1729</v>
      </c>
      <c r="E184" s="12" t="s">
        <v>1262</v>
      </c>
    </row>
    <row r="185">
      <c r="A185" s="12" t="s">
        <v>1730</v>
      </c>
      <c r="C185" s="12" t="s">
        <v>710</v>
      </c>
      <c r="E185" s="12" t="s">
        <v>1615</v>
      </c>
    </row>
    <row r="186">
      <c r="A186" s="12" t="s">
        <v>605</v>
      </c>
      <c r="C186" s="12" t="s">
        <v>1688</v>
      </c>
      <c r="E186" s="12" t="s">
        <v>1415</v>
      </c>
    </row>
    <row r="187">
      <c r="A187" s="12" t="s">
        <v>1731</v>
      </c>
      <c r="C187" s="12" t="s">
        <v>1732</v>
      </c>
      <c r="E187" s="12" t="s">
        <v>1733</v>
      </c>
    </row>
    <row r="188">
      <c r="A188" s="12" t="s">
        <v>620</v>
      </c>
      <c r="C188" s="12" t="s">
        <v>698</v>
      </c>
      <c r="E188" s="12" t="s">
        <v>1734</v>
      </c>
    </row>
    <row r="189">
      <c r="A189" s="12" t="s">
        <v>1262</v>
      </c>
      <c r="C189" s="12" t="s">
        <v>1688</v>
      </c>
      <c r="E189" s="12" t="s">
        <v>1194</v>
      </c>
    </row>
    <row r="190">
      <c r="A190" s="12" t="s">
        <v>1698</v>
      </c>
      <c r="C190" s="12" t="s">
        <v>1735</v>
      </c>
    </row>
    <row r="191">
      <c r="C191" s="12" t="s">
        <v>605</v>
      </c>
    </row>
    <row r="192">
      <c r="C192" s="12" t="s">
        <v>1688</v>
      </c>
    </row>
    <row r="193">
      <c r="C193" s="12" t="s">
        <v>1736</v>
      </c>
    </row>
    <row r="194">
      <c r="C194" s="12" t="s">
        <v>728</v>
      </c>
    </row>
    <row r="195">
      <c r="C195" s="12" t="s">
        <v>1615</v>
      </c>
    </row>
    <row r="196">
      <c r="C196" s="12" t="s">
        <v>1688</v>
      </c>
    </row>
    <row r="197">
      <c r="C197" s="12" t="s">
        <v>1737</v>
      </c>
    </row>
    <row r="198">
      <c r="C198" s="12" t="s">
        <v>620</v>
      </c>
    </row>
    <row r="199">
      <c r="C199" s="12" t="s">
        <v>1688</v>
      </c>
    </row>
    <row r="203">
      <c r="A203" s="114" t="s">
        <v>1048</v>
      </c>
    </row>
    <row r="204">
      <c r="A204" s="114">
        <f>A207</f>
        <v>813000</v>
      </c>
    </row>
    <row r="205">
      <c r="A205" s="114">
        <v>2026.0</v>
      </c>
    </row>
    <row r="206">
      <c r="A206" s="114" t="s">
        <v>749</v>
      </c>
    </row>
    <row r="207">
      <c r="A207" s="115">
        <f>A210+B210+C210+D210+E210+F210+G210+H210+I210+J210</f>
        <v>813000</v>
      </c>
    </row>
    <row r="208">
      <c r="A208" s="85" t="s">
        <v>1066</v>
      </c>
      <c r="B208" s="85" t="s">
        <v>1068</v>
      </c>
      <c r="C208" s="85" t="s">
        <v>1069</v>
      </c>
      <c r="D208" s="85" t="s">
        <v>1070</v>
      </c>
      <c r="E208" s="85" t="s">
        <v>1072</v>
      </c>
      <c r="F208" s="85" t="s">
        <v>1073</v>
      </c>
      <c r="G208" s="85" t="s">
        <v>1074</v>
      </c>
      <c r="H208" s="85" t="s">
        <v>1076</v>
      </c>
      <c r="I208" s="85" t="s">
        <v>1078</v>
      </c>
      <c r="J208" s="85" t="s">
        <v>1080</v>
      </c>
    </row>
    <row r="209">
      <c r="A209" s="11" t="s">
        <v>683</v>
      </c>
      <c r="B209" s="11" t="s">
        <v>683</v>
      </c>
      <c r="C209" s="11" t="s">
        <v>683</v>
      </c>
      <c r="D209" s="11" t="s">
        <v>683</v>
      </c>
      <c r="E209" s="11" t="s">
        <v>683</v>
      </c>
      <c r="F209" s="11" t="s">
        <v>683</v>
      </c>
      <c r="G209" s="11" t="s">
        <v>683</v>
      </c>
      <c r="H209" s="34" t="s">
        <v>683</v>
      </c>
      <c r="I209" s="34" t="s">
        <v>683</v>
      </c>
      <c r="J209" s="34" t="s">
        <v>683</v>
      </c>
    </row>
    <row r="210">
      <c r="A210" s="85">
        <v>0.0</v>
      </c>
      <c r="B210" s="85">
        <v>200000.0</v>
      </c>
      <c r="C210" s="85">
        <v>90000.0</v>
      </c>
      <c r="D210" s="85">
        <v>8000.0</v>
      </c>
      <c r="E210" s="85">
        <v>53000.0</v>
      </c>
      <c r="F210" s="85">
        <v>55000.0</v>
      </c>
      <c r="G210" s="85">
        <v>42000.0</v>
      </c>
      <c r="H210" s="85">
        <v>0.0</v>
      </c>
      <c r="I210" s="85">
        <v>210000.0</v>
      </c>
      <c r="J210" s="85">
        <v>155000.0</v>
      </c>
    </row>
    <row r="211">
      <c r="B211" s="12" t="s">
        <v>1738</v>
      </c>
      <c r="C211" s="12" t="s">
        <v>1547</v>
      </c>
      <c r="D211" s="12" t="s">
        <v>1639</v>
      </c>
      <c r="E211" s="12" t="s">
        <v>1739</v>
      </c>
      <c r="F211" s="12" t="s">
        <v>1632</v>
      </c>
      <c r="G211" s="12" t="s">
        <v>1514</v>
      </c>
      <c r="I211" s="12" t="s">
        <v>1740</v>
      </c>
      <c r="J211" s="12" t="s">
        <v>1741</v>
      </c>
    </row>
    <row r="212">
      <c r="B212" s="12" t="s">
        <v>1717</v>
      </c>
      <c r="C212" s="12" t="s">
        <v>1647</v>
      </c>
      <c r="D212" s="12" t="s">
        <v>1083</v>
      </c>
      <c r="E212" s="12" t="s">
        <v>1634</v>
      </c>
      <c r="F212" s="12" t="s">
        <v>1742</v>
      </c>
      <c r="G212" s="12" t="s">
        <v>1743</v>
      </c>
      <c r="I212" s="12" t="s">
        <v>1717</v>
      </c>
      <c r="J212" s="12" t="s">
        <v>1744</v>
      </c>
    </row>
    <row r="213">
      <c r="B213" s="12" t="s">
        <v>1361</v>
      </c>
      <c r="E213" s="12" t="s">
        <v>1667</v>
      </c>
      <c r="I213" s="12" t="s">
        <v>1745</v>
      </c>
    </row>
    <row r="214">
      <c r="B214" s="12" t="s">
        <v>1733</v>
      </c>
      <c r="E214" s="12" t="s">
        <v>1746</v>
      </c>
      <c r="I214" s="12" t="s">
        <v>1742</v>
      </c>
    </row>
    <row r="215">
      <c r="B215" s="12" t="s">
        <v>1309</v>
      </c>
      <c r="I215" s="12" t="s">
        <v>1368</v>
      </c>
    </row>
    <row r="216">
      <c r="B216" s="12" t="s">
        <v>1199</v>
      </c>
      <c r="I216" s="12" t="s">
        <v>1663</v>
      </c>
    </row>
    <row r="217">
      <c r="I217" s="12" t="s">
        <v>1747</v>
      </c>
    </row>
    <row r="218">
      <c r="I218" s="12" t="s">
        <v>1748</v>
      </c>
    </row>
  </sheetData>
  <mergeCells count="78"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204:J204"/>
    <mergeCell ref="A205:J205"/>
    <mergeCell ref="A206:J206"/>
    <mergeCell ref="A207:J207"/>
    <mergeCell ref="A145:J145"/>
    <mergeCell ref="A171:H171"/>
    <mergeCell ref="A172:H172"/>
    <mergeCell ref="A173:H173"/>
    <mergeCell ref="A174:H174"/>
    <mergeCell ref="A175:H175"/>
    <mergeCell ref="A203:J203"/>
    <mergeCell ref="A1:Q1"/>
    <mergeCell ref="A2:Q2"/>
    <mergeCell ref="A3:Q3"/>
    <mergeCell ref="A4:Q4"/>
    <mergeCell ref="G5:I5"/>
    <mergeCell ref="J5:L5"/>
    <mergeCell ref="M5:Q5"/>
    <mergeCell ref="J10:J11"/>
    <mergeCell ref="J12:J13"/>
    <mergeCell ref="L12:L13"/>
    <mergeCell ref="N12:Q12"/>
    <mergeCell ref="M8:M16"/>
    <mergeCell ref="M17:M19"/>
    <mergeCell ref="M20:M23"/>
    <mergeCell ref="M24:M26"/>
    <mergeCell ref="M27:M29"/>
    <mergeCell ref="M30:M33"/>
    <mergeCell ref="M34:M36"/>
    <mergeCell ref="G6:I6"/>
    <mergeCell ref="J6:L6"/>
    <mergeCell ref="M6:Q6"/>
    <mergeCell ref="J7:L7"/>
    <mergeCell ref="J8:L8"/>
    <mergeCell ref="L10:L11"/>
    <mergeCell ref="N17:Q17"/>
    <mergeCell ref="N16:O16"/>
    <mergeCell ref="N19:O19"/>
    <mergeCell ref="N20:Q20"/>
    <mergeCell ref="N23:O23"/>
    <mergeCell ref="N24:Q24"/>
    <mergeCell ref="N26:O26"/>
    <mergeCell ref="N27:Q27"/>
    <mergeCell ref="N29:O29"/>
    <mergeCell ref="N30:Q30"/>
    <mergeCell ref="N33:O33"/>
    <mergeCell ref="N34:Q34"/>
    <mergeCell ref="N36:O36"/>
    <mergeCell ref="A52:E52"/>
    <mergeCell ref="A53:E5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</cols>
  <sheetData>
    <row r="1">
      <c r="A1" s="36" t="s">
        <v>1284</v>
      </c>
    </row>
    <row r="2">
      <c r="A2" s="18" t="s">
        <v>1285</v>
      </c>
    </row>
    <row r="3">
      <c r="A3" s="36" t="s">
        <v>6</v>
      </c>
    </row>
    <row r="4">
      <c r="A4" s="65">
        <f>100000</f>
        <v>100000</v>
      </c>
    </row>
    <row r="5">
      <c r="A5" s="11" t="s">
        <v>19</v>
      </c>
    </row>
    <row r="6">
      <c r="A6" s="12" t="s">
        <v>1288</v>
      </c>
    </row>
    <row r="7">
      <c r="A7" s="12" t="s">
        <v>1290</v>
      </c>
    </row>
    <row r="8">
      <c r="A8" s="12" t="s">
        <v>1291</v>
      </c>
    </row>
    <row r="9">
      <c r="A9" s="12" t="s">
        <v>1293</v>
      </c>
    </row>
    <row r="10">
      <c r="A10" s="12" t="s">
        <v>1294</v>
      </c>
    </row>
    <row r="11">
      <c r="A11" s="12" t="s">
        <v>1297</v>
      </c>
    </row>
  </sheetData>
  <mergeCells count="4">
    <mergeCell ref="A1:J1"/>
    <mergeCell ref="A2:J2"/>
    <mergeCell ref="A3:J3"/>
    <mergeCell ref="A4:J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</cols>
  <sheetData>
    <row r="1">
      <c r="A1" s="135" t="s">
        <v>1355</v>
      </c>
    </row>
    <row r="2">
      <c r="A2" s="135" t="s">
        <v>1356</v>
      </c>
    </row>
    <row r="3">
      <c r="A3" s="136" t="s">
        <v>6</v>
      </c>
    </row>
    <row r="4">
      <c r="A4" s="137">
        <f>100000+B6+C6+D6+F6+I6+A38+J6</f>
        <v>835500</v>
      </c>
    </row>
    <row r="5">
      <c r="A5" s="11" t="s">
        <v>19</v>
      </c>
      <c r="B5" s="11" t="s">
        <v>46</v>
      </c>
      <c r="C5" s="11" t="s">
        <v>1363</v>
      </c>
      <c r="D5" s="11" t="s">
        <v>1214</v>
      </c>
      <c r="E5" s="11" t="s">
        <v>49</v>
      </c>
      <c r="F5" s="11" t="s">
        <v>59</v>
      </c>
      <c r="I5" s="11" t="s">
        <v>52</v>
      </c>
      <c r="J5" s="23" t="s">
        <v>234</v>
      </c>
    </row>
    <row r="6">
      <c r="A6" s="12" t="s">
        <v>1365</v>
      </c>
      <c r="B6" s="137">
        <v>-30000.0</v>
      </c>
      <c r="C6" s="137">
        <v>-30000.0</v>
      </c>
      <c r="D6" s="137">
        <v>21000.0</v>
      </c>
      <c r="E6" s="12" t="s">
        <v>1367</v>
      </c>
      <c r="F6" s="137">
        <v>-23000.0</v>
      </c>
      <c r="I6" s="137">
        <v>-10000.0</v>
      </c>
      <c r="J6" s="138">
        <f>J8</f>
        <v>217000</v>
      </c>
    </row>
    <row r="7">
      <c r="A7" s="12" t="s">
        <v>1370</v>
      </c>
      <c r="B7" s="15" t="s">
        <v>35</v>
      </c>
      <c r="C7" s="12" t="s">
        <v>1371</v>
      </c>
      <c r="D7" s="12" t="s">
        <v>1373</v>
      </c>
      <c r="E7" s="12" t="s">
        <v>1374</v>
      </c>
      <c r="F7" s="12" t="s">
        <v>77</v>
      </c>
      <c r="G7" s="12" t="s">
        <v>1375</v>
      </c>
      <c r="H7" s="12" t="s">
        <v>81</v>
      </c>
      <c r="I7" s="12" t="s">
        <v>83</v>
      </c>
      <c r="J7" s="34" t="s">
        <v>89</v>
      </c>
    </row>
    <row r="8">
      <c r="A8" s="12" t="s">
        <v>1376</v>
      </c>
      <c r="B8" s="12" t="s">
        <v>342</v>
      </c>
      <c r="C8" s="12" t="s">
        <v>1377</v>
      </c>
      <c r="D8" s="12" t="s">
        <v>1378</v>
      </c>
      <c r="E8" s="12" t="s">
        <v>1379</v>
      </c>
      <c r="F8" s="12" t="s">
        <v>1380</v>
      </c>
      <c r="G8" s="12" t="s">
        <v>1381</v>
      </c>
      <c r="H8" s="12" t="s">
        <v>1382</v>
      </c>
      <c r="J8" s="139">
        <f>L10+L11+L15+L18+L19</f>
        <v>217000</v>
      </c>
    </row>
    <row r="9">
      <c r="A9" s="12" t="s">
        <v>1383</v>
      </c>
      <c r="B9" s="15" t="s">
        <v>40</v>
      </c>
      <c r="C9" s="12" t="s">
        <v>1384</v>
      </c>
      <c r="D9" s="12" t="s">
        <v>533</v>
      </c>
      <c r="F9" s="12" t="s">
        <v>1385</v>
      </c>
      <c r="G9" s="12" t="s">
        <v>1386</v>
      </c>
      <c r="J9" s="140" t="s">
        <v>130</v>
      </c>
      <c r="K9" s="140" t="s">
        <v>135</v>
      </c>
      <c r="L9" s="140" t="s">
        <v>1</v>
      </c>
    </row>
    <row r="10">
      <c r="A10" s="12" t="s">
        <v>1389</v>
      </c>
      <c r="B10" s="14" t="s">
        <v>42</v>
      </c>
      <c r="F10" s="12" t="s">
        <v>166</v>
      </c>
      <c r="G10" s="12" t="s">
        <v>1392</v>
      </c>
      <c r="J10" s="14" t="s">
        <v>1393</v>
      </c>
      <c r="K10" s="14" t="s">
        <v>150</v>
      </c>
      <c r="L10" s="14">
        <v>1000.0</v>
      </c>
    </row>
    <row r="11">
      <c r="A11" s="12" t="s">
        <v>1395</v>
      </c>
      <c r="B11" s="15" t="s">
        <v>44</v>
      </c>
      <c r="F11" s="12" t="s">
        <v>1396</v>
      </c>
      <c r="G11" s="12" t="s">
        <v>179</v>
      </c>
      <c r="J11" s="50" t="s">
        <v>1397</v>
      </c>
      <c r="K11" s="14" t="s">
        <v>1398</v>
      </c>
      <c r="L11" s="50">
        <v>60000.0</v>
      </c>
    </row>
    <row r="12">
      <c r="A12" s="12" t="s">
        <v>1399</v>
      </c>
      <c r="B12" s="14" t="s">
        <v>42</v>
      </c>
      <c r="F12" s="12" t="s">
        <v>505</v>
      </c>
      <c r="G12" s="12" t="s">
        <v>1400</v>
      </c>
      <c r="K12" s="14" t="s">
        <v>180</v>
      </c>
    </row>
    <row r="13">
      <c r="A13" s="12" t="s">
        <v>1402</v>
      </c>
      <c r="F13" s="12" t="s">
        <v>1333</v>
      </c>
      <c r="G13" s="12" t="s">
        <v>248</v>
      </c>
      <c r="K13" s="14" t="s">
        <v>196</v>
      </c>
    </row>
    <row r="14">
      <c r="A14" s="12" t="s">
        <v>1405</v>
      </c>
      <c r="F14" s="12" t="s">
        <v>1406</v>
      </c>
      <c r="K14" s="11" t="s">
        <v>305</v>
      </c>
    </row>
    <row r="15">
      <c r="A15" s="12" t="s">
        <v>1407</v>
      </c>
      <c r="F15" s="12" t="s">
        <v>505</v>
      </c>
      <c r="J15" s="50" t="s">
        <v>1409</v>
      </c>
      <c r="K15" s="14" t="s">
        <v>241</v>
      </c>
      <c r="L15" s="50">
        <v>5000.0</v>
      </c>
    </row>
    <row r="16">
      <c r="A16" s="12" t="s">
        <v>1411</v>
      </c>
      <c r="F16" s="12" t="s">
        <v>263</v>
      </c>
      <c r="K16" s="14" t="s">
        <v>1412</v>
      </c>
    </row>
    <row r="17">
      <c r="A17" s="12" t="s">
        <v>1414</v>
      </c>
      <c r="K17" s="14" t="s">
        <v>196</v>
      </c>
    </row>
    <row r="18">
      <c r="A18" s="12" t="s">
        <v>1416</v>
      </c>
      <c r="J18" s="14" t="s">
        <v>1417</v>
      </c>
      <c r="K18" s="14" t="s">
        <v>196</v>
      </c>
      <c r="L18" s="14">
        <v>1000.0</v>
      </c>
    </row>
    <row r="19">
      <c r="A19" s="12" t="s">
        <v>1419</v>
      </c>
      <c r="J19" s="11" t="s">
        <v>288</v>
      </c>
      <c r="L19" s="11">
        <v>150000.0</v>
      </c>
    </row>
    <row r="20">
      <c r="A20" s="12" t="s">
        <v>1421</v>
      </c>
    </row>
    <row r="21">
      <c r="A21" s="12" t="s">
        <v>1422</v>
      </c>
      <c r="K21" s="19"/>
    </row>
    <row r="22">
      <c r="A22" s="12" t="s">
        <v>1423</v>
      </c>
      <c r="K22" s="19"/>
    </row>
    <row r="23">
      <c r="A23" s="12" t="s">
        <v>1426</v>
      </c>
      <c r="K23" s="19"/>
    </row>
    <row r="24">
      <c r="A24" s="12" t="s">
        <v>1427</v>
      </c>
      <c r="K24" s="19"/>
    </row>
    <row r="25">
      <c r="A25" s="12" t="s">
        <v>1429</v>
      </c>
      <c r="K25" s="19"/>
    </row>
    <row r="26">
      <c r="A26" s="12" t="s">
        <v>1430</v>
      </c>
      <c r="K26" s="19"/>
    </row>
    <row r="27">
      <c r="A27" s="12" t="s">
        <v>1431</v>
      </c>
      <c r="K27" s="19"/>
    </row>
    <row r="28">
      <c r="K28" s="19"/>
    </row>
    <row r="29">
      <c r="K29" s="19"/>
    </row>
    <row r="30">
      <c r="K30" s="19"/>
    </row>
    <row r="31">
      <c r="K31" s="19"/>
    </row>
    <row r="32">
      <c r="K32" s="19"/>
    </row>
    <row r="33">
      <c r="K33" s="19"/>
    </row>
    <row r="34">
      <c r="K34" s="19"/>
    </row>
    <row r="35">
      <c r="K35" s="19"/>
    </row>
    <row r="36">
      <c r="K36" s="19"/>
    </row>
    <row r="37">
      <c r="A37" s="82" t="s">
        <v>1130</v>
      </c>
      <c r="K37" s="19"/>
    </row>
    <row r="38">
      <c r="A38" s="82">
        <f>A50+A65+A81+A98+A123</f>
        <v>590500</v>
      </c>
      <c r="K38" s="19"/>
    </row>
    <row r="39">
      <c r="A39" s="84" t="s">
        <v>1437</v>
      </c>
      <c r="K39" s="19"/>
    </row>
    <row r="40">
      <c r="A40" s="84">
        <v>2026.0</v>
      </c>
      <c r="K40" s="19"/>
    </row>
    <row r="41">
      <c r="A41" s="85" t="s">
        <v>576</v>
      </c>
      <c r="B41" s="85" t="s">
        <v>577</v>
      </c>
      <c r="C41" s="85" t="s">
        <v>578</v>
      </c>
      <c r="D41" s="85" t="s">
        <v>579</v>
      </c>
      <c r="E41" s="85" t="s">
        <v>580</v>
      </c>
      <c r="K41" s="19"/>
    </row>
    <row r="42">
      <c r="A42" s="11" t="s">
        <v>1448</v>
      </c>
      <c r="K42" s="19"/>
    </row>
    <row r="43">
      <c r="A43" s="86"/>
      <c r="K43" s="19"/>
    </row>
    <row r="44">
      <c r="A44" s="87" t="s">
        <v>1449</v>
      </c>
      <c r="K44" s="19"/>
    </row>
    <row r="45">
      <c r="A45" s="88">
        <v>2026.0</v>
      </c>
      <c r="K45" s="19"/>
    </row>
    <row r="46">
      <c r="A46" s="85" t="s">
        <v>592</v>
      </c>
      <c r="B46" s="85" t="s">
        <v>593</v>
      </c>
      <c r="C46" s="85" t="s">
        <v>594</v>
      </c>
      <c r="D46" s="85" t="s">
        <v>595</v>
      </c>
      <c r="E46" s="85" t="s">
        <v>596</v>
      </c>
      <c r="F46" s="85" t="s">
        <v>597</v>
      </c>
      <c r="K46" s="19"/>
    </row>
    <row r="47">
      <c r="A47" s="34" t="s">
        <v>1448</v>
      </c>
      <c r="K47" s="19"/>
    </row>
    <row r="48">
      <c r="A48" s="86"/>
      <c r="K48" s="19"/>
    </row>
    <row r="49">
      <c r="A49" s="6" t="s">
        <v>1425</v>
      </c>
      <c r="K49" s="19"/>
    </row>
    <row r="50">
      <c r="A50" s="6">
        <v>19100.0</v>
      </c>
      <c r="K50" s="19"/>
    </row>
    <row r="51">
      <c r="A51" s="35">
        <v>2026.0</v>
      </c>
      <c r="K51" s="19"/>
    </row>
    <row r="52">
      <c r="A52" s="96" t="s">
        <v>1462</v>
      </c>
      <c r="K52" s="19"/>
    </row>
    <row r="53">
      <c r="A53" s="85" t="s">
        <v>666</v>
      </c>
      <c r="B53" s="85" t="s">
        <v>668</v>
      </c>
      <c r="C53" s="85" t="s">
        <v>671</v>
      </c>
      <c r="D53" s="85" t="s">
        <v>674</v>
      </c>
      <c r="E53" s="85" t="s">
        <v>675</v>
      </c>
      <c r="F53" s="85" t="s">
        <v>676</v>
      </c>
      <c r="G53" s="85" t="s">
        <v>678</v>
      </c>
      <c r="H53" s="85" t="s">
        <v>680</v>
      </c>
      <c r="K53" s="19"/>
    </row>
    <row r="54">
      <c r="A54" s="68" t="s">
        <v>683</v>
      </c>
      <c r="B54" s="68" t="s">
        <v>1465</v>
      </c>
      <c r="C54" s="68" t="s">
        <v>1314</v>
      </c>
      <c r="D54" s="68" t="s">
        <v>1466</v>
      </c>
      <c r="E54" s="68" t="s">
        <v>683</v>
      </c>
      <c r="F54" s="68" t="s">
        <v>1468</v>
      </c>
      <c r="G54" s="68" t="s">
        <v>683</v>
      </c>
      <c r="H54" s="68" t="s">
        <v>1471</v>
      </c>
      <c r="K54" s="19"/>
    </row>
    <row r="55">
      <c r="B55" s="12" t="s">
        <v>1475</v>
      </c>
      <c r="C55" s="12" t="s">
        <v>1477</v>
      </c>
      <c r="D55" s="12" t="s">
        <v>1478</v>
      </c>
      <c r="F55" s="12" t="s">
        <v>1479</v>
      </c>
      <c r="H55" s="12" t="s">
        <v>1480</v>
      </c>
      <c r="K55" s="19"/>
    </row>
    <row r="56">
      <c r="B56" s="12" t="s">
        <v>604</v>
      </c>
      <c r="C56" s="12" t="s">
        <v>604</v>
      </c>
      <c r="D56" s="12" t="s">
        <v>604</v>
      </c>
      <c r="F56" s="12" t="s">
        <v>700</v>
      </c>
      <c r="H56" s="12" t="s">
        <v>604</v>
      </c>
      <c r="K56" s="19"/>
    </row>
    <row r="57">
      <c r="B57" s="12" t="s">
        <v>146</v>
      </c>
      <c r="D57" s="12" t="s">
        <v>1481</v>
      </c>
      <c r="F57" s="12" t="s">
        <v>1482</v>
      </c>
      <c r="H57" s="12" t="s">
        <v>1483</v>
      </c>
      <c r="K57" s="19"/>
    </row>
    <row r="58">
      <c r="B58" s="12" t="s">
        <v>544</v>
      </c>
      <c r="D58" s="12" t="s">
        <v>604</v>
      </c>
      <c r="F58" s="12" t="s">
        <v>1342</v>
      </c>
      <c r="H58" s="12" t="s">
        <v>604</v>
      </c>
      <c r="K58" s="19"/>
    </row>
    <row r="59">
      <c r="B59" s="12" t="s">
        <v>707</v>
      </c>
      <c r="H59" s="12" t="s">
        <v>1488</v>
      </c>
      <c r="K59" s="19"/>
    </row>
    <row r="60">
      <c r="H60" s="12" t="s">
        <v>604</v>
      </c>
      <c r="K60" s="19"/>
    </row>
    <row r="61">
      <c r="K61" s="19"/>
    </row>
    <row r="62">
      <c r="K62" s="19"/>
    </row>
    <row r="63">
      <c r="K63" s="19"/>
    </row>
    <row r="64">
      <c r="A64" s="97" t="s">
        <v>740</v>
      </c>
      <c r="K64" s="19"/>
    </row>
    <row r="65">
      <c r="A65" s="97">
        <f>A68</f>
        <v>113850</v>
      </c>
      <c r="K65" s="19"/>
    </row>
    <row r="66">
      <c r="A66" s="97">
        <v>2026.0</v>
      </c>
      <c r="K66" s="19"/>
    </row>
    <row r="67">
      <c r="A67" s="97" t="s">
        <v>749</v>
      </c>
      <c r="K67" s="19"/>
    </row>
    <row r="68">
      <c r="A68" s="97">
        <f>A71+B71+C71+D71+E71+F71+G71+H71</f>
        <v>113850</v>
      </c>
      <c r="K68" s="19"/>
    </row>
    <row r="69">
      <c r="A69" s="85" t="s">
        <v>762</v>
      </c>
      <c r="B69" s="85" t="s">
        <v>764</v>
      </c>
      <c r="C69" s="85" t="s">
        <v>765</v>
      </c>
      <c r="D69" s="85" t="s">
        <v>767</v>
      </c>
      <c r="E69" s="85" t="s">
        <v>768</v>
      </c>
      <c r="F69" s="85" t="s">
        <v>771</v>
      </c>
      <c r="G69" s="85" t="s">
        <v>772</v>
      </c>
      <c r="H69" s="85" t="s">
        <v>773</v>
      </c>
      <c r="K69" s="19"/>
    </row>
    <row r="70">
      <c r="A70" s="11" t="s">
        <v>683</v>
      </c>
      <c r="B70" s="11" t="s">
        <v>683</v>
      </c>
      <c r="C70" s="11" t="s">
        <v>683</v>
      </c>
      <c r="D70" s="11" t="s">
        <v>683</v>
      </c>
      <c r="E70" s="11" t="s">
        <v>683</v>
      </c>
      <c r="F70" s="11" t="s">
        <v>683</v>
      </c>
      <c r="G70" s="11" t="s">
        <v>683</v>
      </c>
      <c r="H70" s="11" t="s">
        <v>683</v>
      </c>
      <c r="K70" s="19"/>
    </row>
    <row r="71">
      <c r="A71" s="85">
        <v>12000.0</v>
      </c>
      <c r="B71" s="85">
        <v>0.0</v>
      </c>
      <c r="C71" s="85">
        <v>0.0</v>
      </c>
      <c r="D71" s="85">
        <v>0.0</v>
      </c>
      <c r="E71" s="85">
        <v>83400.0</v>
      </c>
      <c r="F71" s="85">
        <v>0.0</v>
      </c>
      <c r="G71" s="85">
        <v>1500.0</v>
      </c>
      <c r="H71" s="85">
        <v>16950.0</v>
      </c>
      <c r="K71" s="19"/>
    </row>
    <row r="72">
      <c r="A72" s="12" t="s">
        <v>1233</v>
      </c>
      <c r="E72" s="12" t="s">
        <v>1519</v>
      </c>
      <c r="G72" s="12" t="s">
        <v>1520</v>
      </c>
      <c r="H72" s="12" t="s">
        <v>1475</v>
      </c>
      <c r="K72" s="19"/>
    </row>
    <row r="73">
      <c r="A73" s="12" t="s">
        <v>1521</v>
      </c>
      <c r="E73" s="12" t="s">
        <v>604</v>
      </c>
      <c r="G73" s="12" t="s">
        <v>604</v>
      </c>
      <c r="H73" s="12" t="s">
        <v>700</v>
      </c>
      <c r="K73" s="19"/>
    </row>
    <row r="74">
      <c r="E74" s="12" t="s">
        <v>795</v>
      </c>
      <c r="G74" s="12" t="s">
        <v>1526</v>
      </c>
      <c r="H74" s="12" t="s">
        <v>802</v>
      </c>
      <c r="K74" s="19"/>
    </row>
    <row r="75">
      <c r="E75" s="12" t="s">
        <v>1116</v>
      </c>
      <c r="G75" s="12" t="s">
        <v>605</v>
      </c>
      <c r="K75" s="19"/>
    </row>
    <row r="76">
      <c r="E76" s="12" t="s">
        <v>1527</v>
      </c>
      <c r="K76" s="19"/>
    </row>
    <row r="77">
      <c r="E77" s="12" t="s">
        <v>1528</v>
      </c>
      <c r="K77" s="19"/>
    </row>
    <row r="78">
      <c r="E78" s="12" t="s">
        <v>800</v>
      </c>
      <c r="K78" s="19"/>
    </row>
    <row r="79">
      <c r="K79" s="19"/>
    </row>
    <row r="80">
      <c r="A80" s="99" t="s">
        <v>1129</v>
      </c>
      <c r="K80" s="19"/>
    </row>
    <row r="81">
      <c r="A81" s="99">
        <f>A84</f>
        <v>50900</v>
      </c>
      <c r="K81" s="19"/>
    </row>
    <row r="82">
      <c r="A82" s="99">
        <v>2026.0</v>
      </c>
      <c r="K82" s="19"/>
    </row>
    <row r="83">
      <c r="A83" s="99" t="s">
        <v>749</v>
      </c>
      <c r="K83" s="19"/>
    </row>
    <row r="84">
      <c r="A84" s="117">
        <f>A87+B87+C87+D87+E87+F87+G87+H87+I87+J87</f>
        <v>50900</v>
      </c>
      <c r="K84" s="19"/>
    </row>
    <row r="85">
      <c r="A85" s="111" t="s">
        <v>834</v>
      </c>
      <c r="B85" s="111" t="s">
        <v>835</v>
      </c>
      <c r="C85" s="111" t="s">
        <v>836</v>
      </c>
      <c r="D85" s="111" t="s">
        <v>837</v>
      </c>
      <c r="E85" s="111" t="s">
        <v>838</v>
      </c>
      <c r="F85" s="111" t="s">
        <v>839</v>
      </c>
      <c r="G85" s="111" t="s">
        <v>841</v>
      </c>
      <c r="H85" s="111" t="s">
        <v>843</v>
      </c>
      <c r="I85" s="104" t="s">
        <v>846</v>
      </c>
      <c r="J85" s="104" t="s">
        <v>847</v>
      </c>
      <c r="K85" s="19"/>
    </row>
    <row r="86">
      <c r="A86" s="11" t="s">
        <v>683</v>
      </c>
      <c r="B86" s="11" t="s">
        <v>683</v>
      </c>
      <c r="C86" s="11" t="s">
        <v>683</v>
      </c>
      <c r="D86" s="11" t="s">
        <v>683</v>
      </c>
      <c r="E86" s="11" t="s">
        <v>683</v>
      </c>
      <c r="F86" s="11" t="s">
        <v>683</v>
      </c>
      <c r="G86" s="11" t="s">
        <v>683</v>
      </c>
      <c r="H86" s="11" t="s">
        <v>683</v>
      </c>
      <c r="I86" s="11" t="s">
        <v>683</v>
      </c>
      <c r="J86" s="11" t="s">
        <v>683</v>
      </c>
      <c r="K86" s="19"/>
    </row>
    <row r="87">
      <c r="A87" s="85">
        <v>12200.0</v>
      </c>
      <c r="B87" s="85">
        <v>900.0</v>
      </c>
      <c r="C87" s="85">
        <v>1100.0</v>
      </c>
      <c r="D87" s="85">
        <v>1500.0</v>
      </c>
      <c r="E87" s="85">
        <v>0.0</v>
      </c>
      <c r="F87" s="85">
        <v>1100.0</v>
      </c>
      <c r="G87" s="85">
        <v>0.0</v>
      </c>
      <c r="H87" s="85">
        <v>27000.0</v>
      </c>
      <c r="I87" s="85">
        <v>1000.0</v>
      </c>
      <c r="J87" s="85">
        <v>6100.0</v>
      </c>
      <c r="K87" s="19"/>
    </row>
    <row r="88">
      <c r="A88" s="12" t="s">
        <v>1519</v>
      </c>
      <c r="B88" s="12" t="s">
        <v>1478</v>
      </c>
      <c r="C88" s="12" t="s">
        <v>1563</v>
      </c>
      <c r="D88" s="12" t="s">
        <v>1564</v>
      </c>
      <c r="F88" s="12" t="s">
        <v>1567</v>
      </c>
      <c r="H88" s="12" t="s">
        <v>1479</v>
      </c>
      <c r="I88" s="12" t="s">
        <v>1571</v>
      </c>
      <c r="J88" s="12" t="s">
        <v>1385</v>
      </c>
      <c r="K88" s="19"/>
    </row>
    <row r="89">
      <c r="A89" s="12" t="s">
        <v>710</v>
      </c>
      <c r="B89" s="12" t="s">
        <v>914</v>
      </c>
      <c r="C89" s="12" t="s">
        <v>911</v>
      </c>
      <c r="D89" s="12" t="s">
        <v>962</v>
      </c>
      <c r="F89" s="12" t="s">
        <v>1147</v>
      </c>
      <c r="H89" s="12" t="s">
        <v>1210</v>
      </c>
      <c r="I89" s="12" t="s">
        <v>605</v>
      </c>
      <c r="J89" s="12" t="s">
        <v>604</v>
      </c>
      <c r="K89" s="19"/>
    </row>
    <row r="90">
      <c r="A90" s="12" t="s">
        <v>879</v>
      </c>
      <c r="D90" s="12" t="s">
        <v>1583</v>
      </c>
      <c r="F90" s="12" t="s">
        <v>1585</v>
      </c>
      <c r="J90" s="12" t="s">
        <v>1586</v>
      </c>
      <c r="K90" s="19"/>
    </row>
    <row r="91">
      <c r="A91" s="12" t="s">
        <v>1589</v>
      </c>
      <c r="D91" s="12" t="s">
        <v>1591</v>
      </c>
      <c r="F91" s="12" t="s">
        <v>604</v>
      </c>
      <c r="J91" s="12" t="s">
        <v>604</v>
      </c>
      <c r="K91" s="19"/>
    </row>
    <row r="92">
      <c r="A92" s="12" t="s">
        <v>1364</v>
      </c>
      <c r="J92" s="12" t="s">
        <v>1597</v>
      </c>
      <c r="K92" s="19"/>
    </row>
    <row r="93">
      <c r="J93" s="12" t="s">
        <v>1147</v>
      </c>
      <c r="K93" s="19"/>
    </row>
    <row r="94">
      <c r="J94" s="12" t="s">
        <v>1601</v>
      </c>
      <c r="K94" s="19"/>
    </row>
    <row r="95">
      <c r="J95" s="12" t="s">
        <v>717</v>
      </c>
      <c r="K95" s="19"/>
    </row>
    <row r="96">
      <c r="A96" s="108" t="s">
        <v>938</v>
      </c>
      <c r="K96" s="19"/>
    </row>
    <row r="97">
      <c r="A97" s="109" t="s">
        <v>940</v>
      </c>
      <c r="K97" s="19"/>
    </row>
    <row r="98">
      <c r="A98" s="109">
        <f>A101</f>
        <v>170200</v>
      </c>
      <c r="K98" s="19"/>
    </row>
    <row r="99">
      <c r="A99" s="109">
        <v>2026.0</v>
      </c>
      <c r="K99" s="19"/>
    </row>
    <row r="100">
      <c r="A100" s="109" t="s">
        <v>749</v>
      </c>
      <c r="K100" s="19"/>
    </row>
    <row r="101">
      <c r="A101" s="110">
        <f>A104+B104+C104+D104+E104+F104+G104+H104+I104+J104</f>
        <v>170200</v>
      </c>
      <c r="K101" s="19"/>
    </row>
    <row r="102">
      <c r="A102" s="85" t="s">
        <v>959</v>
      </c>
      <c r="B102" s="85" t="s">
        <v>960</v>
      </c>
      <c r="C102" s="85" t="s">
        <v>963</v>
      </c>
      <c r="D102" s="85" t="s">
        <v>964</v>
      </c>
      <c r="E102" s="85" t="s">
        <v>966</v>
      </c>
      <c r="F102" s="85" t="s">
        <v>967</v>
      </c>
      <c r="G102" s="111" t="s">
        <v>969</v>
      </c>
      <c r="H102" s="107" t="s">
        <v>972</v>
      </c>
      <c r="I102" s="107" t="s">
        <v>975</v>
      </c>
      <c r="J102" s="107" t="s">
        <v>976</v>
      </c>
      <c r="K102" s="19"/>
    </row>
    <row r="103">
      <c r="A103" s="11" t="s">
        <v>683</v>
      </c>
      <c r="B103" s="11" t="s">
        <v>683</v>
      </c>
      <c r="C103" s="11" t="s">
        <v>683</v>
      </c>
      <c r="D103" s="11" t="s">
        <v>683</v>
      </c>
      <c r="E103" s="11" t="s">
        <v>683</v>
      </c>
      <c r="F103" s="11" t="s">
        <v>683</v>
      </c>
      <c r="G103" s="11" t="s">
        <v>683</v>
      </c>
      <c r="H103" s="34" t="s">
        <v>683</v>
      </c>
      <c r="I103" s="34" t="s">
        <v>683</v>
      </c>
      <c r="J103" s="34" t="s">
        <v>683</v>
      </c>
      <c r="K103" s="19"/>
    </row>
    <row r="104">
      <c r="A104" s="85"/>
      <c r="B104" s="85"/>
      <c r="C104" s="85">
        <v>1000.0</v>
      </c>
      <c r="D104" s="85">
        <f>45000+58200</f>
        <v>103200</v>
      </c>
      <c r="E104" s="85"/>
      <c r="F104" s="85">
        <v>1000.0</v>
      </c>
      <c r="G104" s="85">
        <v>6500.0</v>
      </c>
      <c r="H104" s="85"/>
      <c r="I104" s="85"/>
      <c r="J104" s="85">
        <v>58500.0</v>
      </c>
      <c r="K104" s="19"/>
    </row>
    <row r="105">
      <c r="C105" s="12" t="s">
        <v>1629</v>
      </c>
      <c r="D105" s="12" t="s">
        <v>1519</v>
      </c>
      <c r="F105" s="12" t="s">
        <v>1633</v>
      </c>
      <c r="G105" s="12" t="s">
        <v>1478</v>
      </c>
      <c r="J105" s="12" t="s">
        <v>1233</v>
      </c>
      <c r="K105" s="19"/>
    </row>
    <row r="106">
      <c r="C106" s="12" t="s">
        <v>605</v>
      </c>
      <c r="D106" s="12" t="s">
        <v>1312</v>
      </c>
      <c r="F106" s="12" t="s">
        <v>605</v>
      </c>
      <c r="G106" s="12" t="s">
        <v>1115</v>
      </c>
      <c r="J106" s="12" t="s">
        <v>985</v>
      </c>
      <c r="K106" s="19"/>
    </row>
    <row r="107">
      <c r="D107" s="12" t="s">
        <v>1646</v>
      </c>
      <c r="J107" s="12" t="s">
        <v>999</v>
      </c>
      <c r="K107" s="19"/>
    </row>
    <row r="108">
      <c r="D108" s="12" t="s">
        <v>1483</v>
      </c>
      <c r="J108" s="12" t="s">
        <v>1585</v>
      </c>
      <c r="K108" s="19"/>
    </row>
    <row r="109">
      <c r="D109" s="12" t="s">
        <v>700</v>
      </c>
      <c r="J109" s="12" t="s">
        <v>930</v>
      </c>
      <c r="K109" s="19"/>
    </row>
    <row r="110">
      <c r="D110" s="12" t="s">
        <v>1200</v>
      </c>
      <c r="J110" s="12" t="s">
        <v>1054</v>
      </c>
      <c r="K110" s="19"/>
    </row>
    <row r="111">
      <c r="D111" s="12" t="s">
        <v>1646</v>
      </c>
      <c r="J111" s="12" t="s">
        <v>605</v>
      </c>
      <c r="K111" s="19"/>
    </row>
    <row r="112">
      <c r="D112" s="12" t="s">
        <v>1653</v>
      </c>
      <c r="J112" s="12" t="s">
        <v>1654</v>
      </c>
      <c r="K112" s="19"/>
    </row>
    <row r="113">
      <c r="D113" s="12" t="s">
        <v>1194</v>
      </c>
      <c r="J113" s="12" t="s">
        <v>1195</v>
      </c>
      <c r="K113" s="19"/>
    </row>
    <row r="114">
      <c r="D114" s="12" t="s">
        <v>1646</v>
      </c>
      <c r="J114" s="12" t="s">
        <v>1656</v>
      </c>
      <c r="K114" s="19"/>
    </row>
    <row r="115">
      <c r="J115" s="12" t="s">
        <v>605</v>
      </c>
      <c r="K115" s="19"/>
    </row>
    <row r="116">
      <c r="K116" s="19"/>
    </row>
    <row r="117">
      <c r="K117" s="19"/>
    </row>
    <row r="118">
      <c r="K118" s="19"/>
    </row>
    <row r="119">
      <c r="K119" s="19"/>
    </row>
    <row r="120">
      <c r="K120" s="19"/>
    </row>
    <row r="121">
      <c r="K121" s="19"/>
    </row>
    <row r="122">
      <c r="A122" s="112" t="s">
        <v>1015</v>
      </c>
      <c r="K122" s="19"/>
    </row>
    <row r="123">
      <c r="A123" s="112">
        <f>A126</f>
        <v>236450</v>
      </c>
      <c r="K123" s="19"/>
    </row>
    <row r="124">
      <c r="A124" s="112">
        <v>2026.0</v>
      </c>
      <c r="K124" s="19"/>
    </row>
    <row r="125">
      <c r="A125" s="112" t="s">
        <v>749</v>
      </c>
      <c r="K125" s="19"/>
    </row>
    <row r="126">
      <c r="A126" s="112">
        <f>A129+B129+C129+D129+E129+F129+G129+H129</f>
        <v>236450</v>
      </c>
      <c r="K126" s="19"/>
    </row>
    <row r="127">
      <c r="A127" s="85" t="s">
        <v>1035</v>
      </c>
      <c r="B127" s="85" t="s">
        <v>1013</v>
      </c>
      <c r="C127" s="85" t="s">
        <v>1016</v>
      </c>
      <c r="D127" s="85" t="s">
        <v>1023</v>
      </c>
      <c r="E127" s="85" t="s">
        <v>1037</v>
      </c>
      <c r="F127" s="85" t="s">
        <v>1038</v>
      </c>
      <c r="G127" s="85" t="s">
        <v>1039</v>
      </c>
      <c r="H127" s="85" t="s">
        <v>1033</v>
      </c>
      <c r="K127" s="19"/>
    </row>
    <row r="128">
      <c r="A128" s="11" t="s">
        <v>683</v>
      </c>
      <c r="B128" s="11" t="s">
        <v>683</v>
      </c>
      <c r="C128" s="11" t="s">
        <v>683</v>
      </c>
      <c r="D128" s="11" t="s">
        <v>683</v>
      </c>
      <c r="E128" s="11" t="s">
        <v>683</v>
      </c>
      <c r="F128" s="11" t="s">
        <v>683</v>
      </c>
      <c r="G128" s="11" t="s">
        <v>683</v>
      </c>
      <c r="H128" s="11" t="s">
        <v>683</v>
      </c>
      <c r="K128" s="19"/>
    </row>
    <row r="129">
      <c r="A129" s="85">
        <v>5750.0</v>
      </c>
      <c r="B129" s="85">
        <v>2000.0</v>
      </c>
      <c r="C129" s="85">
        <f>9000+37200</f>
        <v>46200</v>
      </c>
      <c r="D129" s="85">
        <v>0.0</v>
      </c>
      <c r="E129" s="85">
        <v>3000.0</v>
      </c>
      <c r="F129" s="85">
        <v>4000.0</v>
      </c>
      <c r="G129" s="85">
        <v>0.0</v>
      </c>
      <c r="H129" s="85">
        <f>87500+88000</f>
        <v>175500</v>
      </c>
      <c r="K129" s="19"/>
    </row>
    <row r="130">
      <c r="A130" s="12" t="s">
        <v>1676</v>
      </c>
      <c r="B130" s="12" t="s">
        <v>1220</v>
      </c>
      <c r="C130" s="12" t="s">
        <v>1134</v>
      </c>
      <c r="E130" s="12" t="s">
        <v>1520</v>
      </c>
      <c r="F130" s="12" t="s">
        <v>1633</v>
      </c>
      <c r="H130" s="12" t="s">
        <v>1679</v>
      </c>
      <c r="K130" s="19"/>
    </row>
    <row r="131">
      <c r="A131" s="12" t="s">
        <v>605</v>
      </c>
      <c r="B131" s="12" t="s">
        <v>605</v>
      </c>
      <c r="C131" s="12" t="s">
        <v>605</v>
      </c>
      <c r="E131" s="12" t="s">
        <v>620</v>
      </c>
      <c r="F131" s="12" t="s">
        <v>605</v>
      </c>
      <c r="H131" s="12" t="s">
        <v>1062</v>
      </c>
      <c r="K131" s="19"/>
    </row>
    <row r="132">
      <c r="A132" s="12" t="s">
        <v>1685</v>
      </c>
      <c r="B132" s="12" t="s">
        <v>1687</v>
      </c>
      <c r="C132" s="12" t="s">
        <v>1688</v>
      </c>
      <c r="F132" s="12" t="s">
        <v>1689</v>
      </c>
      <c r="H132" s="12" t="s">
        <v>1266</v>
      </c>
      <c r="K132" s="19"/>
    </row>
    <row r="133">
      <c r="A133" s="12" t="s">
        <v>605</v>
      </c>
      <c r="B133" s="12" t="s">
        <v>605</v>
      </c>
      <c r="C133" s="12" t="s">
        <v>1585</v>
      </c>
      <c r="F133" s="12" t="s">
        <v>653</v>
      </c>
      <c r="H133" s="12" t="s">
        <v>1583</v>
      </c>
      <c r="K133" s="19"/>
    </row>
    <row r="134">
      <c r="A134" s="12" t="s">
        <v>1693</v>
      </c>
      <c r="C134" s="12" t="s">
        <v>605</v>
      </c>
      <c r="F134" s="12" t="s">
        <v>1488</v>
      </c>
      <c r="H134" s="12" t="s">
        <v>1002</v>
      </c>
      <c r="K134" s="19"/>
    </row>
    <row r="135">
      <c r="A135" s="12" t="s">
        <v>605</v>
      </c>
      <c r="C135" s="12" t="s">
        <v>1688</v>
      </c>
      <c r="F135" s="12" t="s">
        <v>605</v>
      </c>
      <c r="H135" s="12" t="s">
        <v>1266</v>
      </c>
      <c r="K135" s="19"/>
    </row>
    <row r="136">
      <c r="A136" s="12" t="s">
        <v>1694</v>
      </c>
      <c r="C136" s="12" t="s">
        <v>1695</v>
      </c>
      <c r="H136" s="12" t="s">
        <v>1696</v>
      </c>
      <c r="K136" s="19"/>
    </row>
    <row r="137">
      <c r="A137" s="12" t="s">
        <v>605</v>
      </c>
      <c r="C137" s="12" t="s">
        <v>700</v>
      </c>
      <c r="H137" s="12" t="s">
        <v>1199</v>
      </c>
      <c r="K137" s="19"/>
    </row>
    <row r="138">
      <c r="A138" s="12" t="s">
        <v>1615</v>
      </c>
      <c r="C138" s="12" t="s">
        <v>1688</v>
      </c>
      <c r="H138" s="12" t="s">
        <v>1615</v>
      </c>
      <c r="K138" s="19"/>
    </row>
    <row r="139">
      <c r="H139" s="12" t="s">
        <v>1698</v>
      </c>
      <c r="K139" s="19"/>
    </row>
    <row r="140">
      <c r="H140" s="12" t="s">
        <v>1266</v>
      </c>
      <c r="K140" s="19"/>
    </row>
    <row r="141">
      <c r="H141" s="12" t="s">
        <v>1699</v>
      </c>
      <c r="K141" s="19"/>
    </row>
    <row r="142">
      <c r="H142" s="12" t="s">
        <v>1062</v>
      </c>
      <c r="K142" s="19"/>
    </row>
    <row r="143">
      <c r="H143" s="12" t="s">
        <v>1615</v>
      </c>
      <c r="K143" s="19"/>
    </row>
    <row r="144">
      <c r="H144" s="12" t="s">
        <v>1266</v>
      </c>
      <c r="K144" s="19"/>
    </row>
    <row r="145">
      <c r="K145" s="19"/>
    </row>
    <row r="146">
      <c r="A146" s="114" t="s">
        <v>1048</v>
      </c>
      <c r="K146" s="19"/>
    </row>
    <row r="147">
      <c r="A147" s="114">
        <f>A150</f>
        <v>207000</v>
      </c>
      <c r="K147" s="19"/>
    </row>
    <row r="148">
      <c r="A148" s="114">
        <v>2026.0</v>
      </c>
      <c r="K148" s="19"/>
    </row>
    <row r="149">
      <c r="A149" s="114" t="s">
        <v>749</v>
      </c>
      <c r="K149" s="19"/>
    </row>
    <row r="150">
      <c r="A150" s="115">
        <f>A153+B153+C153+D153+E153+F153+G153+H153+I153+J153</f>
        <v>207000</v>
      </c>
      <c r="K150" s="19"/>
    </row>
    <row r="151">
      <c r="A151" s="85" t="s">
        <v>1066</v>
      </c>
      <c r="B151" s="85" t="s">
        <v>1068</v>
      </c>
      <c r="C151" s="85" t="s">
        <v>1069</v>
      </c>
      <c r="D151" s="85" t="s">
        <v>1070</v>
      </c>
      <c r="E151" s="85" t="s">
        <v>1072</v>
      </c>
      <c r="F151" s="85" t="s">
        <v>1073</v>
      </c>
      <c r="G151" s="85" t="s">
        <v>1074</v>
      </c>
      <c r="H151" s="85" t="s">
        <v>1076</v>
      </c>
      <c r="I151" s="85" t="s">
        <v>1078</v>
      </c>
      <c r="J151" s="85" t="s">
        <v>1080</v>
      </c>
      <c r="K151" s="19"/>
    </row>
    <row r="152">
      <c r="A152" s="11" t="s">
        <v>683</v>
      </c>
      <c r="B152" s="11" t="s">
        <v>683</v>
      </c>
      <c r="C152" s="11" t="s">
        <v>683</v>
      </c>
      <c r="D152" s="11" t="s">
        <v>683</v>
      </c>
      <c r="E152" s="11" t="s">
        <v>683</v>
      </c>
      <c r="F152" s="11" t="s">
        <v>683</v>
      </c>
      <c r="G152" s="11" t="s">
        <v>683</v>
      </c>
      <c r="H152" s="34" t="s">
        <v>683</v>
      </c>
      <c r="I152" s="34" t="s">
        <v>683</v>
      </c>
      <c r="J152" s="34" t="s">
        <v>683</v>
      </c>
      <c r="K152" s="19"/>
    </row>
    <row r="153">
      <c r="A153" s="85">
        <v>0.0</v>
      </c>
      <c r="B153" s="85">
        <v>8000.0</v>
      </c>
      <c r="C153" s="85">
        <v>26000.0</v>
      </c>
      <c r="D153" s="85">
        <v>2000.0</v>
      </c>
      <c r="E153" s="85">
        <v>18000.0</v>
      </c>
      <c r="F153" s="85">
        <v>115000.0</v>
      </c>
      <c r="G153" s="85">
        <v>0.0</v>
      </c>
      <c r="H153" s="85">
        <v>2000.0</v>
      </c>
      <c r="I153" s="85">
        <v>6000.0</v>
      </c>
      <c r="J153" s="85">
        <v>30000.0</v>
      </c>
      <c r="K153" s="19"/>
    </row>
    <row r="154">
      <c r="B154" s="12" t="s">
        <v>1709</v>
      </c>
      <c r="C154" s="12" t="s">
        <v>1519</v>
      </c>
      <c r="D154" s="12" t="s">
        <v>1365</v>
      </c>
      <c r="E154" s="12" t="s">
        <v>1710</v>
      </c>
      <c r="F154" s="12" t="s">
        <v>1233</v>
      </c>
      <c r="H154" s="12" t="s">
        <v>1711</v>
      </c>
      <c r="I154" s="12" t="s">
        <v>1713</v>
      </c>
      <c r="J154" s="12" t="s">
        <v>1714</v>
      </c>
      <c r="K154" s="19"/>
    </row>
    <row r="155">
      <c r="B155" s="12" t="s">
        <v>653</v>
      </c>
      <c r="C155" s="12" t="s">
        <v>1553</v>
      </c>
      <c r="D155" s="12" t="s">
        <v>653</v>
      </c>
      <c r="E155" s="12" t="s">
        <v>653</v>
      </c>
      <c r="F155" s="12" t="s">
        <v>1717</v>
      </c>
      <c r="H155" s="12" t="s">
        <v>653</v>
      </c>
      <c r="I155" s="12" t="s">
        <v>653</v>
      </c>
      <c r="J155" s="12" t="s">
        <v>653</v>
      </c>
      <c r="K155" s="19"/>
    </row>
    <row r="156">
      <c r="B156" s="12" t="s">
        <v>1687</v>
      </c>
      <c r="C156" s="12" t="s">
        <v>1585</v>
      </c>
      <c r="E156" s="12" t="s">
        <v>1483</v>
      </c>
      <c r="F156" s="12" t="s">
        <v>1526</v>
      </c>
      <c r="I156" s="12" t="s">
        <v>1719</v>
      </c>
      <c r="J156" s="12" t="s">
        <v>1720</v>
      </c>
      <c r="K156" s="19"/>
    </row>
    <row r="157">
      <c r="B157" s="12" t="s">
        <v>653</v>
      </c>
      <c r="C157" s="12" t="s">
        <v>653</v>
      </c>
      <c r="E157" s="12" t="s">
        <v>1559</v>
      </c>
      <c r="F157" s="12" t="s">
        <v>1634</v>
      </c>
      <c r="I157" s="12" t="s">
        <v>653</v>
      </c>
      <c r="J157" s="12" t="s">
        <v>653</v>
      </c>
      <c r="K157" s="19"/>
    </row>
    <row r="158">
      <c r="B158" s="12" t="s">
        <v>1693</v>
      </c>
      <c r="I158" s="12" t="s">
        <v>1054</v>
      </c>
      <c r="J158" s="12" t="s">
        <v>1721</v>
      </c>
      <c r="K158" s="19"/>
    </row>
    <row r="159">
      <c r="B159" s="12" t="s">
        <v>653</v>
      </c>
      <c r="I159" s="12" t="s">
        <v>653</v>
      </c>
      <c r="J159" s="12" t="s">
        <v>653</v>
      </c>
      <c r="K159" s="19"/>
    </row>
    <row r="160">
      <c r="B160" s="12" t="s">
        <v>1383</v>
      </c>
      <c r="J160" s="12" t="s">
        <v>1722</v>
      </c>
      <c r="K160" s="19"/>
    </row>
    <row r="161">
      <c r="B161" s="12" t="s">
        <v>653</v>
      </c>
      <c r="J161" s="12" t="s">
        <v>1553</v>
      </c>
      <c r="K161" s="19"/>
    </row>
    <row r="162">
      <c r="K162" s="19"/>
    </row>
    <row r="163">
      <c r="K163" s="19"/>
    </row>
    <row r="164">
      <c r="K164" s="19"/>
    </row>
    <row r="165">
      <c r="K165" s="19"/>
    </row>
    <row r="166">
      <c r="K166" s="19"/>
    </row>
    <row r="167">
      <c r="K167" s="19"/>
    </row>
    <row r="168">
      <c r="K168" s="19"/>
    </row>
    <row r="169">
      <c r="K169" s="19"/>
    </row>
    <row r="170">
      <c r="K170" s="19"/>
    </row>
    <row r="171">
      <c r="K171" s="19"/>
    </row>
    <row r="172">
      <c r="K172" s="19"/>
    </row>
    <row r="173">
      <c r="K173" s="19"/>
    </row>
    <row r="174">
      <c r="K174" s="19"/>
    </row>
    <row r="175">
      <c r="K175" s="19"/>
    </row>
    <row r="176">
      <c r="K176" s="19"/>
    </row>
    <row r="177">
      <c r="K177" s="19"/>
    </row>
    <row r="178">
      <c r="K178" s="19"/>
    </row>
    <row r="179">
      <c r="K179" s="19"/>
    </row>
    <row r="180">
      <c r="K180" s="19"/>
    </row>
    <row r="181">
      <c r="K181" s="19"/>
    </row>
    <row r="182">
      <c r="K182" s="19"/>
    </row>
    <row r="183">
      <c r="K183" s="19"/>
    </row>
    <row r="184">
      <c r="K184" s="19"/>
    </row>
    <row r="185">
      <c r="K185" s="19"/>
    </row>
    <row r="186">
      <c r="K186" s="19"/>
    </row>
    <row r="187">
      <c r="K187" s="19"/>
    </row>
    <row r="188">
      <c r="K188" s="19"/>
    </row>
    <row r="189">
      <c r="K189" s="19"/>
    </row>
    <row r="190">
      <c r="K190" s="19"/>
    </row>
    <row r="191">
      <c r="K191" s="19"/>
    </row>
    <row r="192">
      <c r="K192" s="19"/>
    </row>
    <row r="193">
      <c r="K193" s="19"/>
    </row>
    <row r="194">
      <c r="K194" s="19"/>
    </row>
    <row r="195">
      <c r="K195" s="19"/>
    </row>
    <row r="196">
      <c r="K196" s="19"/>
    </row>
    <row r="197">
      <c r="K197" s="19"/>
    </row>
    <row r="198">
      <c r="K198" s="19"/>
    </row>
    <row r="199">
      <c r="K199" s="19"/>
    </row>
    <row r="200">
      <c r="K200" s="19"/>
    </row>
    <row r="201">
      <c r="K201" s="19"/>
    </row>
    <row r="202">
      <c r="K202" s="19"/>
    </row>
    <row r="203">
      <c r="K203" s="19"/>
    </row>
    <row r="204">
      <c r="K204" s="19"/>
    </row>
    <row r="205">
      <c r="K205" s="19"/>
    </row>
    <row r="206">
      <c r="K206" s="19"/>
    </row>
    <row r="207">
      <c r="K207" s="19"/>
    </row>
    <row r="208">
      <c r="K208" s="19"/>
    </row>
    <row r="209">
      <c r="K209" s="19"/>
    </row>
    <row r="210">
      <c r="K210" s="19"/>
    </row>
    <row r="211">
      <c r="K211" s="19"/>
    </row>
    <row r="212">
      <c r="K212" s="19"/>
    </row>
    <row r="213">
      <c r="K213" s="19"/>
    </row>
    <row r="214">
      <c r="K214" s="19"/>
    </row>
    <row r="215">
      <c r="K215" s="19"/>
    </row>
    <row r="216">
      <c r="K216" s="19"/>
    </row>
    <row r="217">
      <c r="K217" s="19"/>
    </row>
    <row r="218">
      <c r="K218" s="19"/>
    </row>
    <row r="219">
      <c r="K219" s="19"/>
    </row>
    <row r="220">
      <c r="K220" s="19"/>
    </row>
    <row r="221">
      <c r="K221" s="19"/>
    </row>
    <row r="222">
      <c r="K222" s="19"/>
    </row>
    <row r="223">
      <c r="K223" s="19"/>
    </row>
    <row r="224">
      <c r="K224" s="19"/>
    </row>
    <row r="225">
      <c r="K225" s="19"/>
    </row>
    <row r="226">
      <c r="K226" s="19"/>
    </row>
    <row r="227">
      <c r="K227" s="19"/>
    </row>
    <row r="228">
      <c r="K228" s="19"/>
    </row>
    <row r="229">
      <c r="K229" s="19"/>
    </row>
    <row r="230">
      <c r="K230" s="19"/>
    </row>
    <row r="231">
      <c r="K231" s="19"/>
    </row>
    <row r="232">
      <c r="K232" s="19"/>
    </row>
    <row r="233">
      <c r="K233" s="19"/>
    </row>
    <row r="234">
      <c r="K234" s="19"/>
    </row>
    <row r="235">
      <c r="K235" s="19"/>
    </row>
    <row r="236">
      <c r="K236" s="19"/>
    </row>
    <row r="237">
      <c r="K237" s="19"/>
    </row>
    <row r="238">
      <c r="K238" s="19"/>
    </row>
    <row r="239">
      <c r="K239" s="19"/>
    </row>
    <row r="240">
      <c r="K240" s="19"/>
    </row>
    <row r="241">
      <c r="K241" s="19"/>
    </row>
    <row r="242">
      <c r="K242" s="19"/>
    </row>
    <row r="243">
      <c r="K243" s="19"/>
    </row>
    <row r="244">
      <c r="K244" s="19"/>
    </row>
    <row r="245">
      <c r="K245" s="19"/>
    </row>
    <row r="246">
      <c r="K246" s="19"/>
    </row>
    <row r="247">
      <c r="K247" s="19"/>
    </row>
    <row r="248">
      <c r="K248" s="19"/>
    </row>
    <row r="249">
      <c r="K249" s="19"/>
    </row>
    <row r="250">
      <c r="K250" s="19"/>
    </row>
    <row r="251">
      <c r="K251" s="19"/>
    </row>
    <row r="252">
      <c r="K252" s="19"/>
    </row>
    <row r="253">
      <c r="K253" s="19"/>
    </row>
    <row r="254">
      <c r="K254" s="19"/>
    </row>
    <row r="255">
      <c r="K255" s="19"/>
    </row>
    <row r="256">
      <c r="K256" s="19"/>
    </row>
    <row r="257">
      <c r="K257" s="19"/>
    </row>
    <row r="258">
      <c r="K258" s="19"/>
    </row>
    <row r="259">
      <c r="K259" s="19"/>
    </row>
    <row r="260">
      <c r="K260" s="19"/>
    </row>
    <row r="261">
      <c r="K261" s="19"/>
    </row>
    <row r="262">
      <c r="K262" s="19"/>
    </row>
    <row r="263">
      <c r="K263" s="19"/>
    </row>
    <row r="264">
      <c r="K264" s="19"/>
    </row>
    <row r="265">
      <c r="K265" s="19"/>
    </row>
    <row r="266">
      <c r="K266" s="19"/>
    </row>
    <row r="267">
      <c r="K267" s="19"/>
    </row>
    <row r="268">
      <c r="K268" s="19"/>
    </row>
    <row r="269">
      <c r="K269" s="19"/>
    </row>
    <row r="270">
      <c r="K270" s="19"/>
    </row>
    <row r="271">
      <c r="K271" s="19"/>
    </row>
    <row r="272">
      <c r="K272" s="19"/>
    </row>
    <row r="273">
      <c r="K273" s="19"/>
    </row>
    <row r="274">
      <c r="K274" s="19"/>
    </row>
    <row r="275">
      <c r="K275" s="19"/>
    </row>
    <row r="276">
      <c r="K276" s="19"/>
    </row>
    <row r="277">
      <c r="K277" s="19"/>
    </row>
    <row r="278">
      <c r="K278" s="19"/>
    </row>
    <row r="279">
      <c r="K279" s="19"/>
    </row>
    <row r="280">
      <c r="K280" s="19"/>
    </row>
    <row r="281">
      <c r="K281" s="19"/>
    </row>
    <row r="282">
      <c r="K282" s="19"/>
    </row>
    <row r="283">
      <c r="K283" s="19"/>
    </row>
    <row r="284">
      <c r="K284" s="19"/>
    </row>
    <row r="285">
      <c r="K285" s="19"/>
    </row>
    <row r="286">
      <c r="K286" s="19"/>
    </row>
    <row r="287">
      <c r="K287" s="19"/>
    </row>
    <row r="288">
      <c r="K288" s="19"/>
    </row>
    <row r="289">
      <c r="K289" s="19"/>
    </row>
    <row r="290">
      <c r="K290" s="19"/>
    </row>
    <row r="291">
      <c r="K291" s="19"/>
    </row>
    <row r="292">
      <c r="K292" s="19"/>
    </row>
    <row r="293">
      <c r="K293" s="19"/>
    </row>
    <row r="294">
      <c r="K294" s="19"/>
    </row>
    <row r="295">
      <c r="K295" s="19"/>
    </row>
    <row r="296">
      <c r="K296" s="19"/>
    </row>
    <row r="297">
      <c r="K297" s="19"/>
    </row>
    <row r="298">
      <c r="K298" s="19"/>
    </row>
    <row r="299">
      <c r="K299" s="19"/>
    </row>
    <row r="300">
      <c r="K300" s="19"/>
    </row>
    <row r="301">
      <c r="K301" s="19"/>
    </row>
    <row r="302">
      <c r="K302" s="19"/>
    </row>
    <row r="303">
      <c r="K303" s="19"/>
    </row>
    <row r="304">
      <c r="K304" s="19"/>
    </row>
    <row r="305">
      <c r="K305" s="19"/>
    </row>
    <row r="306">
      <c r="K306" s="19"/>
    </row>
    <row r="307">
      <c r="K307" s="19"/>
    </row>
    <row r="308">
      <c r="K308" s="19"/>
    </row>
    <row r="309">
      <c r="K309" s="19"/>
    </row>
    <row r="310">
      <c r="K310" s="19"/>
    </row>
    <row r="311">
      <c r="K311" s="19"/>
    </row>
    <row r="312">
      <c r="K312" s="19"/>
    </row>
    <row r="313">
      <c r="K313" s="19"/>
    </row>
    <row r="314">
      <c r="K314" s="19"/>
    </row>
    <row r="315">
      <c r="K315" s="19"/>
    </row>
    <row r="316">
      <c r="K316" s="19"/>
    </row>
    <row r="317">
      <c r="K317" s="19"/>
    </row>
    <row r="318">
      <c r="K318" s="19"/>
    </row>
    <row r="319">
      <c r="K319" s="19"/>
    </row>
    <row r="320">
      <c r="K320" s="19"/>
    </row>
    <row r="321">
      <c r="K321" s="19"/>
    </row>
    <row r="322">
      <c r="K322" s="19"/>
    </row>
    <row r="323">
      <c r="K323" s="19"/>
    </row>
    <row r="324">
      <c r="K324" s="19"/>
    </row>
    <row r="325">
      <c r="K325" s="19"/>
    </row>
    <row r="326">
      <c r="K326" s="19"/>
    </row>
    <row r="327">
      <c r="K327" s="19"/>
    </row>
    <row r="328">
      <c r="K328" s="19"/>
    </row>
    <row r="329">
      <c r="K329" s="19"/>
    </row>
    <row r="330">
      <c r="K330" s="19"/>
    </row>
    <row r="331">
      <c r="K331" s="19"/>
    </row>
    <row r="332">
      <c r="K332" s="19"/>
    </row>
    <row r="333">
      <c r="K333" s="19"/>
    </row>
    <row r="334">
      <c r="K334" s="19"/>
    </row>
    <row r="335">
      <c r="K335" s="19"/>
    </row>
    <row r="336">
      <c r="K336" s="19"/>
    </row>
    <row r="337">
      <c r="K337" s="19"/>
    </row>
    <row r="338">
      <c r="K338" s="19"/>
    </row>
    <row r="339">
      <c r="K339" s="19"/>
    </row>
    <row r="340">
      <c r="K340" s="19"/>
    </row>
    <row r="341">
      <c r="K341" s="19"/>
    </row>
    <row r="342">
      <c r="K342" s="19"/>
    </row>
    <row r="343">
      <c r="K343" s="19"/>
    </row>
    <row r="344">
      <c r="K344" s="19"/>
    </row>
    <row r="345">
      <c r="K345" s="19"/>
    </row>
    <row r="346">
      <c r="K346" s="19"/>
    </row>
    <row r="347">
      <c r="K347" s="19"/>
    </row>
    <row r="348">
      <c r="K348" s="19"/>
    </row>
    <row r="349">
      <c r="K349" s="19"/>
    </row>
    <row r="350">
      <c r="K350" s="19"/>
    </row>
    <row r="351">
      <c r="K351" s="19"/>
    </row>
    <row r="352">
      <c r="K352" s="19"/>
    </row>
    <row r="353">
      <c r="K353" s="19"/>
    </row>
    <row r="354">
      <c r="K354" s="19"/>
    </row>
    <row r="355">
      <c r="K355" s="19"/>
    </row>
    <row r="356">
      <c r="K356" s="19"/>
    </row>
    <row r="357">
      <c r="K357" s="19"/>
    </row>
    <row r="358">
      <c r="K358" s="19"/>
    </row>
    <row r="359">
      <c r="K359" s="19"/>
    </row>
    <row r="360">
      <c r="K360" s="19"/>
    </row>
    <row r="361">
      <c r="K361" s="19"/>
    </row>
    <row r="362">
      <c r="K362" s="19"/>
    </row>
    <row r="363">
      <c r="K363" s="19"/>
    </row>
    <row r="364">
      <c r="K364" s="19"/>
    </row>
    <row r="365">
      <c r="K365" s="19"/>
    </row>
    <row r="366">
      <c r="K366" s="19"/>
    </row>
    <row r="367">
      <c r="K367" s="19"/>
    </row>
    <row r="368">
      <c r="K368" s="19"/>
    </row>
    <row r="369">
      <c r="K369" s="19"/>
    </row>
    <row r="370">
      <c r="K370" s="19"/>
    </row>
    <row r="371">
      <c r="K371" s="19"/>
    </row>
    <row r="372">
      <c r="K372" s="19"/>
    </row>
    <row r="373">
      <c r="K373" s="19"/>
    </row>
    <row r="374">
      <c r="K374" s="19"/>
    </row>
    <row r="375">
      <c r="K375" s="19"/>
    </row>
    <row r="376">
      <c r="K376" s="19"/>
    </row>
    <row r="377">
      <c r="K377" s="19"/>
    </row>
    <row r="378">
      <c r="K378" s="19"/>
    </row>
    <row r="379">
      <c r="K379" s="19"/>
    </row>
    <row r="380">
      <c r="K380" s="19"/>
    </row>
    <row r="381">
      <c r="K381" s="19"/>
    </row>
    <row r="382">
      <c r="K382" s="19"/>
    </row>
    <row r="383">
      <c r="K383" s="19"/>
    </row>
    <row r="384">
      <c r="K384" s="19"/>
    </row>
    <row r="385">
      <c r="K385" s="19"/>
    </row>
    <row r="386">
      <c r="K386" s="19"/>
    </row>
    <row r="387">
      <c r="K387" s="19"/>
    </row>
    <row r="388">
      <c r="K388" s="19"/>
    </row>
    <row r="389">
      <c r="K389" s="19"/>
    </row>
    <row r="390">
      <c r="K390" s="19"/>
    </row>
    <row r="391">
      <c r="K391" s="19"/>
    </row>
    <row r="392">
      <c r="K392" s="19"/>
    </row>
    <row r="393">
      <c r="K393" s="19"/>
    </row>
    <row r="394">
      <c r="K394" s="19"/>
    </row>
    <row r="395">
      <c r="K395" s="19"/>
    </row>
    <row r="396">
      <c r="K396" s="19"/>
    </row>
    <row r="397">
      <c r="K397" s="19"/>
    </row>
    <row r="398">
      <c r="K398" s="19"/>
    </row>
    <row r="399">
      <c r="K399" s="19"/>
    </row>
    <row r="400">
      <c r="K400" s="19"/>
    </row>
    <row r="401">
      <c r="K401" s="19"/>
    </row>
    <row r="402">
      <c r="K402" s="19"/>
    </row>
    <row r="403">
      <c r="K403" s="19"/>
    </row>
    <row r="404">
      <c r="K404" s="19"/>
    </row>
    <row r="405">
      <c r="K405" s="19"/>
    </row>
    <row r="406">
      <c r="K406" s="19"/>
    </row>
    <row r="407">
      <c r="K407" s="19"/>
    </row>
    <row r="408">
      <c r="K408" s="19"/>
    </row>
    <row r="409">
      <c r="K409" s="19"/>
    </row>
    <row r="410">
      <c r="K410" s="19"/>
    </row>
    <row r="411">
      <c r="K411" s="19"/>
    </row>
    <row r="412">
      <c r="K412" s="19"/>
    </row>
    <row r="413">
      <c r="K413" s="19"/>
    </row>
    <row r="414">
      <c r="K414" s="19"/>
    </row>
    <row r="415">
      <c r="K415" s="19"/>
    </row>
    <row r="416">
      <c r="K416" s="19"/>
    </row>
    <row r="417">
      <c r="K417" s="19"/>
    </row>
    <row r="418">
      <c r="K418" s="19"/>
    </row>
    <row r="419">
      <c r="K419" s="19"/>
    </row>
    <row r="420">
      <c r="K420" s="19"/>
    </row>
    <row r="421">
      <c r="K421" s="19"/>
    </row>
    <row r="422">
      <c r="K422" s="19"/>
    </row>
    <row r="423">
      <c r="K423" s="19"/>
    </row>
    <row r="424">
      <c r="K424" s="19"/>
    </row>
    <row r="425">
      <c r="K425" s="19"/>
    </row>
    <row r="426">
      <c r="K426" s="19"/>
    </row>
    <row r="427">
      <c r="K427" s="19"/>
    </row>
    <row r="428">
      <c r="K428" s="19"/>
    </row>
    <row r="429">
      <c r="K429" s="19"/>
    </row>
    <row r="430">
      <c r="K430" s="19"/>
    </row>
    <row r="431">
      <c r="K431" s="19"/>
    </row>
    <row r="432">
      <c r="K432" s="19"/>
    </row>
    <row r="433">
      <c r="K433" s="19"/>
    </row>
    <row r="434">
      <c r="K434" s="19"/>
    </row>
    <row r="435">
      <c r="K435" s="19"/>
    </row>
    <row r="436">
      <c r="K436" s="19"/>
    </row>
    <row r="437">
      <c r="K437" s="19"/>
    </row>
    <row r="438">
      <c r="K438" s="19"/>
    </row>
    <row r="439">
      <c r="K439" s="19"/>
    </row>
    <row r="440">
      <c r="K440" s="19"/>
    </row>
    <row r="441">
      <c r="K441" s="19"/>
    </row>
    <row r="442">
      <c r="K442" s="19"/>
    </row>
    <row r="443">
      <c r="K443" s="19"/>
    </row>
    <row r="444">
      <c r="K444" s="19"/>
    </row>
    <row r="445">
      <c r="K445" s="19"/>
    </row>
    <row r="446">
      <c r="K446" s="19"/>
    </row>
    <row r="447">
      <c r="K447" s="19"/>
    </row>
    <row r="448">
      <c r="K448" s="19"/>
    </row>
    <row r="449">
      <c r="K449" s="19"/>
    </row>
    <row r="450">
      <c r="K450" s="19"/>
    </row>
    <row r="451">
      <c r="K451" s="19"/>
    </row>
    <row r="452">
      <c r="K452" s="19"/>
    </row>
    <row r="453">
      <c r="K453" s="19"/>
    </row>
    <row r="454">
      <c r="K454" s="19"/>
    </row>
    <row r="455">
      <c r="K455" s="19"/>
    </row>
    <row r="456">
      <c r="K456" s="19"/>
    </row>
    <row r="457">
      <c r="K457" s="19"/>
    </row>
    <row r="458">
      <c r="K458" s="19"/>
    </row>
    <row r="459">
      <c r="K459" s="19"/>
    </row>
    <row r="460">
      <c r="K460" s="19"/>
    </row>
    <row r="461">
      <c r="K461" s="19"/>
    </row>
    <row r="462">
      <c r="K462" s="19"/>
    </row>
    <row r="463">
      <c r="K463" s="19"/>
    </row>
    <row r="464">
      <c r="K464" s="19"/>
    </row>
    <row r="465">
      <c r="K465" s="19"/>
    </row>
    <row r="466">
      <c r="K466" s="19"/>
    </row>
    <row r="467">
      <c r="K467" s="19"/>
    </row>
    <row r="468">
      <c r="K468" s="19"/>
    </row>
    <row r="469">
      <c r="K469" s="19"/>
    </row>
    <row r="470">
      <c r="K470" s="19"/>
    </row>
    <row r="471">
      <c r="K471" s="19"/>
    </row>
    <row r="472">
      <c r="K472" s="19"/>
    </row>
    <row r="473">
      <c r="K473" s="19"/>
    </row>
    <row r="474">
      <c r="K474" s="19"/>
    </row>
    <row r="475">
      <c r="K475" s="19"/>
    </row>
    <row r="476">
      <c r="K476" s="19"/>
    </row>
    <row r="477">
      <c r="K477" s="19"/>
    </row>
    <row r="478">
      <c r="K478" s="19"/>
    </row>
    <row r="479">
      <c r="K479" s="19"/>
    </row>
    <row r="480">
      <c r="K480" s="19"/>
    </row>
    <row r="481">
      <c r="K481" s="19"/>
    </row>
    <row r="482">
      <c r="K482" s="19"/>
    </row>
    <row r="483">
      <c r="K483" s="19"/>
    </row>
    <row r="484">
      <c r="K484" s="19"/>
    </row>
    <row r="485">
      <c r="K485" s="19"/>
    </row>
    <row r="486">
      <c r="K486" s="19"/>
    </row>
    <row r="487">
      <c r="K487" s="19"/>
    </row>
    <row r="488">
      <c r="K488" s="19"/>
    </row>
    <row r="489">
      <c r="K489" s="19"/>
    </row>
    <row r="490">
      <c r="K490" s="19"/>
    </row>
    <row r="491">
      <c r="K491" s="19"/>
    </row>
    <row r="492">
      <c r="K492" s="19"/>
    </row>
    <row r="493">
      <c r="K493" s="19"/>
    </row>
    <row r="494">
      <c r="K494" s="19"/>
    </row>
    <row r="495">
      <c r="K495" s="19"/>
    </row>
    <row r="496">
      <c r="K496" s="19"/>
    </row>
    <row r="497">
      <c r="K497" s="19"/>
    </row>
    <row r="498">
      <c r="K498" s="19"/>
    </row>
    <row r="499">
      <c r="K499" s="19"/>
    </row>
    <row r="500">
      <c r="K500" s="19"/>
    </row>
    <row r="501">
      <c r="K501" s="19"/>
    </row>
    <row r="502">
      <c r="K502" s="19"/>
    </row>
    <row r="503">
      <c r="K503" s="19"/>
    </row>
    <row r="504">
      <c r="K504" s="19"/>
    </row>
    <row r="505">
      <c r="K505" s="19"/>
    </row>
    <row r="506">
      <c r="K506" s="19"/>
    </row>
    <row r="507">
      <c r="K507" s="19"/>
    </row>
    <row r="508">
      <c r="K508" s="19"/>
    </row>
    <row r="509">
      <c r="K509" s="19"/>
    </row>
    <row r="510">
      <c r="K510" s="19"/>
    </row>
    <row r="511">
      <c r="K511" s="19"/>
    </row>
    <row r="512">
      <c r="K512" s="19"/>
    </row>
    <row r="513">
      <c r="K513" s="19"/>
    </row>
    <row r="514">
      <c r="K514" s="19"/>
    </row>
    <row r="515">
      <c r="K515" s="19"/>
    </row>
    <row r="516">
      <c r="K516" s="19"/>
    </row>
    <row r="517">
      <c r="K517" s="19"/>
    </row>
    <row r="518">
      <c r="K518" s="19"/>
    </row>
    <row r="519">
      <c r="K519" s="19"/>
    </row>
    <row r="520">
      <c r="K520" s="19"/>
    </row>
    <row r="521">
      <c r="K521" s="19"/>
    </row>
    <row r="522">
      <c r="K522" s="19"/>
    </row>
    <row r="523">
      <c r="K523" s="19"/>
    </row>
    <row r="524">
      <c r="K524" s="19"/>
    </row>
    <row r="525">
      <c r="K525" s="19"/>
    </row>
    <row r="526">
      <c r="K526" s="19"/>
    </row>
    <row r="527">
      <c r="K527" s="19"/>
    </row>
    <row r="528">
      <c r="K528" s="19"/>
    </row>
    <row r="529">
      <c r="K529" s="19"/>
    </row>
    <row r="530">
      <c r="K530" s="19"/>
    </row>
    <row r="531">
      <c r="K531" s="19"/>
    </row>
    <row r="532">
      <c r="K532" s="19"/>
    </row>
    <row r="533">
      <c r="K533" s="19"/>
    </row>
    <row r="534">
      <c r="K534" s="19"/>
    </row>
    <row r="535">
      <c r="K535" s="19"/>
    </row>
    <row r="536">
      <c r="K536" s="19"/>
    </row>
    <row r="537">
      <c r="K537" s="19"/>
    </row>
    <row r="538">
      <c r="K538" s="19"/>
    </row>
    <row r="539">
      <c r="K539" s="19"/>
    </row>
    <row r="540">
      <c r="K540" s="19"/>
    </row>
    <row r="541">
      <c r="K541" s="19"/>
    </row>
    <row r="542">
      <c r="K542" s="19"/>
    </row>
    <row r="543">
      <c r="K543" s="19"/>
    </row>
    <row r="544">
      <c r="K544" s="19"/>
    </row>
    <row r="545">
      <c r="K545" s="19"/>
    </row>
    <row r="546">
      <c r="K546" s="19"/>
    </row>
    <row r="547">
      <c r="K547" s="19"/>
    </row>
    <row r="548">
      <c r="K548" s="19"/>
    </row>
    <row r="549">
      <c r="K549" s="19"/>
    </row>
    <row r="550">
      <c r="K550" s="19"/>
    </row>
    <row r="551">
      <c r="K551" s="19"/>
    </row>
    <row r="552">
      <c r="K552" s="19"/>
    </row>
    <row r="553">
      <c r="K553" s="19"/>
    </row>
    <row r="554">
      <c r="K554" s="19"/>
    </row>
    <row r="555">
      <c r="K555" s="19"/>
    </row>
    <row r="556">
      <c r="K556" s="19"/>
    </row>
    <row r="557">
      <c r="K557" s="19"/>
    </row>
    <row r="558">
      <c r="K558" s="19"/>
    </row>
    <row r="559">
      <c r="K559" s="19"/>
    </row>
    <row r="560">
      <c r="K560" s="19"/>
    </row>
    <row r="561">
      <c r="K561" s="19"/>
    </row>
    <row r="562">
      <c r="K562" s="19"/>
    </row>
    <row r="563">
      <c r="K563" s="19"/>
    </row>
    <row r="564">
      <c r="K564" s="19"/>
    </row>
    <row r="565">
      <c r="K565" s="19"/>
    </row>
    <row r="566">
      <c r="K566" s="19"/>
    </row>
    <row r="567">
      <c r="K567" s="19"/>
    </row>
    <row r="568">
      <c r="K568" s="19"/>
    </row>
    <row r="569">
      <c r="K569" s="19"/>
    </row>
    <row r="570">
      <c r="K570" s="19"/>
    </row>
    <row r="571">
      <c r="K571" s="19"/>
    </row>
    <row r="572">
      <c r="K572" s="19"/>
    </row>
    <row r="573">
      <c r="K573" s="19"/>
    </row>
    <row r="574">
      <c r="K574" s="19"/>
    </row>
    <row r="575">
      <c r="K575" s="19"/>
    </row>
    <row r="576">
      <c r="K576" s="19"/>
    </row>
    <row r="577">
      <c r="K577" s="19"/>
    </row>
    <row r="578">
      <c r="K578" s="19"/>
    </row>
    <row r="579">
      <c r="K579" s="19"/>
    </row>
    <row r="580">
      <c r="K580" s="19"/>
    </row>
    <row r="581">
      <c r="K581" s="19"/>
    </row>
    <row r="582">
      <c r="K582" s="19"/>
    </row>
    <row r="583">
      <c r="K583" s="19"/>
    </row>
    <row r="584">
      <c r="K584" s="19"/>
    </row>
    <row r="585">
      <c r="K585" s="19"/>
    </row>
    <row r="586">
      <c r="K586" s="19"/>
    </row>
    <row r="587">
      <c r="K587" s="19"/>
    </row>
    <row r="588">
      <c r="K588" s="19"/>
    </row>
    <row r="589">
      <c r="K589" s="19"/>
    </row>
    <row r="590">
      <c r="K590" s="19"/>
    </row>
    <row r="591">
      <c r="K591" s="19"/>
    </row>
    <row r="592">
      <c r="K592" s="19"/>
    </row>
    <row r="593">
      <c r="K593" s="19"/>
    </row>
    <row r="594">
      <c r="K594" s="19"/>
    </row>
    <row r="595">
      <c r="K595" s="19"/>
    </row>
    <row r="596">
      <c r="K596" s="19"/>
    </row>
    <row r="597">
      <c r="K597" s="19"/>
    </row>
    <row r="598">
      <c r="K598" s="19"/>
    </row>
    <row r="599">
      <c r="K599" s="19"/>
    </row>
    <row r="600">
      <c r="K600" s="19"/>
    </row>
    <row r="601">
      <c r="K601" s="19"/>
    </row>
    <row r="602">
      <c r="K602" s="19"/>
    </row>
    <row r="603">
      <c r="K603" s="19"/>
    </row>
    <row r="604">
      <c r="K604" s="19"/>
    </row>
    <row r="605">
      <c r="K605" s="19"/>
    </row>
    <row r="606">
      <c r="K606" s="19"/>
    </row>
    <row r="607">
      <c r="K607" s="19"/>
    </row>
    <row r="608">
      <c r="K608" s="19"/>
    </row>
    <row r="609">
      <c r="K609" s="19"/>
    </row>
    <row r="610">
      <c r="K610" s="19"/>
    </row>
    <row r="611">
      <c r="K611" s="19"/>
    </row>
    <row r="612">
      <c r="K612" s="19"/>
    </row>
    <row r="613">
      <c r="K613" s="19"/>
    </row>
    <row r="614">
      <c r="K614" s="19"/>
    </row>
    <row r="615">
      <c r="K615" s="19"/>
    </row>
    <row r="616">
      <c r="K616" s="19"/>
    </row>
    <row r="617">
      <c r="K617" s="19"/>
    </row>
    <row r="618">
      <c r="K618" s="19"/>
    </row>
    <row r="619">
      <c r="K619" s="19"/>
    </row>
    <row r="620">
      <c r="K620" s="19"/>
    </row>
    <row r="621">
      <c r="K621" s="19"/>
    </row>
    <row r="622">
      <c r="K622" s="19"/>
    </row>
    <row r="623">
      <c r="K623" s="19"/>
    </row>
    <row r="624">
      <c r="K624" s="19"/>
    </row>
    <row r="625">
      <c r="K625" s="19"/>
    </row>
    <row r="626">
      <c r="K626" s="19"/>
    </row>
    <row r="627">
      <c r="K627" s="19"/>
    </row>
    <row r="628">
      <c r="K628" s="19"/>
    </row>
    <row r="629">
      <c r="K629" s="19"/>
    </row>
    <row r="630">
      <c r="K630" s="19"/>
    </row>
    <row r="631">
      <c r="K631" s="19"/>
    </row>
    <row r="632">
      <c r="K632" s="19"/>
    </row>
    <row r="633">
      <c r="K633" s="19"/>
    </row>
    <row r="634">
      <c r="K634" s="19"/>
    </row>
    <row r="635">
      <c r="K635" s="19"/>
    </row>
    <row r="636">
      <c r="K636" s="19"/>
    </row>
    <row r="637">
      <c r="K637" s="19"/>
    </row>
    <row r="638">
      <c r="K638" s="19"/>
    </row>
    <row r="639">
      <c r="K639" s="19"/>
    </row>
    <row r="640">
      <c r="K640" s="19"/>
    </row>
    <row r="641">
      <c r="K641" s="19"/>
    </row>
    <row r="642">
      <c r="K642" s="19"/>
    </row>
    <row r="643">
      <c r="K643" s="19"/>
    </row>
    <row r="644">
      <c r="K644" s="19"/>
    </row>
    <row r="645">
      <c r="K645" s="19"/>
    </row>
    <row r="646">
      <c r="K646" s="19"/>
    </row>
    <row r="647">
      <c r="K647" s="19"/>
    </row>
    <row r="648">
      <c r="K648" s="19"/>
    </row>
    <row r="649">
      <c r="K649" s="19"/>
    </row>
    <row r="650">
      <c r="K650" s="19"/>
    </row>
    <row r="651">
      <c r="K651" s="19"/>
    </row>
    <row r="652">
      <c r="K652" s="19"/>
    </row>
    <row r="653">
      <c r="K653" s="19"/>
    </row>
    <row r="654">
      <c r="K654" s="19"/>
    </row>
    <row r="655">
      <c r="K655" s="19"/>
    </row>
    <row r="656">
      <c r="K656" s="19"/>
    </row>
    <row r="657">
      <c r="K657" s="19"/>
    </row>
    <row r="658">
      <c r="K658" s="19"/>
    </row>
    <row r="659">
      <c r="K659" s="19"/>
    </row>
    <row r="660">
      <c r="K660" s="19"/>
    </row>
    <row r="661">
      <c r="K661" s="19"/>
    </row>
    <row r="662">
      <c r="K662" s="19"/>
    </row>
    <row r="663">
      <c r="K663" s="19"/>
    </row>
    <row r="664">
      <c r="K664" s="19"/>
    </row>
    <row r="665">
      <c r="K665" s="19"/>
    </row>
    <row r="666">
      <c r="K666" s="19"/>
    </row>
    <row r="667">
      <c r="K667" s="19"/>
    </row>
    <row r="668">
      <c r="K668" s="19"/>
    </row>
    <row r="669">
      <c r="K669" s="19"/>
    </row>
    <row r="670">
      <c r="K670" s="19"/>
    </row>
    <row r="671">
      <c r="K671" s="19"/>
    </row>
    <row r="672">
      <c r="K672" s="19"/>
    </row>
    <row r="673">
      <c r="K673" s="19"/>
    </row>
    <row r="674">
      <c r="K674" s="19"/>
    </row>
    <row r="675">
      <c r="K675" s="19"/>
    </row>
    <row r="676">
      <c r="K676" s="19"/>
    </row>
    <row r="677">
      <c r="K677" s="19"/>
    </row>
    <row r="678">
      <c r="K678" s="19"/>
    </row>
    <row r="679">
      <c r="K679" s="19"/>
    </row>
    <row r="680">
      <c r="K680" s="19"/>
    </row>
    <row r="681">
      <c r="K681" s="19"/>
    </row>
    <row r="682">
      <c r="K682" s="19"/>
    </row>
    <row r="683">
      <c r="K683" s="19"/>
    </row>
    <row r="684">
      <c r="K684" s="19"/>
    </row>
    <row r="685">
      <c r="K685" s="19"/>
    </row>
    <row r="686">
      <c r="K686" s="19"/>
    </row>
    <row r="687">
      <c r="K687" s="19"/>
    </row>
    <row r="688">
      <c r="K688" s="19"/>
    </row>
    <row r="689">
      <c r="K689" s="19"/>
    </row>
    <row r="690">
      <c r="K690" s="19"/>
    </row>
    <row r="691">
      <c r="K691" s="19"/>
    </row>
    <row r="692">
      <c r="K692" s="19"/>
    </row>
    <row r="693">
      <c r="K693" s="19"/>
    </row>
    <row r="694">
      <c r="K694" s="19"/>
    </row>
    <row r="695">
      <c r="K695" s="19"/>
    </row>
    <row r="696">
      <c r="K696" s="19"/>
    </row>
    <row r="697">
      <c r="K697" s="19"/>
    </row>
    <row r="698">
      <c r="K698" s="19"/>
    </row>
    <row r="699">
      <c r="K699" s="19"/>
    </row>
    <row r="700">
      <c r="K700" s="19"/>
    </row>
    <row r="701">
      <c r="K701" s="19"/>
    </row>
    <row r="702">
      <c r="K702" s="19"/>
    </row>
    <row r="703">
      <c r="K703" s="19"/>
    </row>
    <row r="704">
      <c r="K704" s="19"/>
    </row>
    <row r="705">
      <c r="K705" s="19"/>
    </row>
    <row r="706">
      <c r="K706" s="19"/>
    </row>
    <row r="707">
      <c r="K707" s="19"/>
    </row>
    <row r="708">
      <c r="K708" s="19"/>
    </row>
    <row r="709">
      <c r="K709" s="19"/>
    </row>
    <row r="710">
      <c r="K710" s="19"/>
    </row>
    <row r="711">
      <c r="K711" s="19"/>
    </row>
    <row r="712">
      <c r="K712" s="19"/>
    </row>
    <row r="713">
      <c r="K713" s="19"/>
    </row>
    <row r="714">
      <c r="K714" s="19"/>
    </row>
    <row r="715">
      <c r="K715" s="19"/>
    </row>
    <row r="716">
      <c r="K716" s="19"/>
    </row>
    <row r="717">
      <c r="K717" s="19"/>
    </row>
    <row r="718">
      <c r="K718" s="19"/>
    </row>
    <row r="719">
      <c r="K719" s="19"/>
    </row>
    <row r="720">
      <c r="K720" s="19"/>
    </row>
    <row r="721">
      <c r="K721" s="19"/>
    </row>
    <row r="722">
      <c r="K722" s="19"/>
    </row>
    <row r="723">
      <c r="K723" s="19"/>
    </row>
    <row r="724">
      <c r="K724" s="19"/>
    </row>
    <row r="725">
      <c r="K725" s="19"/>
    </row>
    <row r="726">
      <c r="K726" s="19"/>
    </row>
    <row r="727">
      <c r="K727" s="19"/>
    </row>
    <row r="728">
      <c r="K728" s="19"/>
    </row>
    <row r="729">
      <c r="K729" s="19"/>
    </row>
    <row r="730">
      <c r="K730" s="19"/>
    </row>
    <row r="731">
      <c r="K731" s="19"/>
    </row>
    <row r="732">
      <c r="K732" s="19"/>
    </row>
    <row r="733">
      <c r="K733" s="19"/>
    </row>
    <row r="734">
      <c r="K734" s="19"/>
    </row>
    <row r="735">
      <c r="K735" s="19"/>
    </row>
    <row r="736">
      <c r="K736" s="19"/>
    </row>
    <row r="737">
      <c r="K737" s="19"/>
    </row>
    <row r="738">
      <c r="K738" s="19"/>
    </row>
    <row r="739">
      <c r="K739" s="19"/>
    </row>
    <row r="740">
      <c r="K740" s="19"/>
    </row>
    <row r="741">
      <c r="K741" s="19"/>
    </row>
    <row r="742">
      <c r="K742" s="19"/>
    </row>
    <row r="743">
      <c r="K743" s="19"/>
    </row>
    <row r="744">
      <c r="K744" s="19"/>
    </row>
    <row r="745">
      <c r="K745" s="19"/>
    </row>
    <row r="746">
      <c r="K746" s="19"/>
    </row>
    <row r="747">
      <c r="K747" s="19"/>
    </row>
    <row r="748">
      <c r="K748" s="19"/>
    </row>
    <row r="749">
      <c r="K749" s="19"/>
    </row>
    <row r="750">
      <c r="K750" s="19"/>
    </row>
    <row r="751">
      <c r="K751" s="19"/>
    </row>
    <row r="752">
      <c r="K752" s="19"/>
    </row>
    <row r="753">
      <c r="K753" s="19"/>
    </row>
    <row r="754">
      <c r="K754" s="19"/>
    </row>
    <row r="755">
      <c r="K755" s="19"/>
    </row>
    <row r="756">
      <c r="K756" s="19"/>
    </row>
    <row r="757">
      <c r="K757" s="19"/>
    </row>
    <row r="758">
      <c r="K758" s="19"/>
    </row>
    <row r="759">
      <c r="K759" s="19"/>
    </row>
    <row r="760">
      <c r="K760" s="19"/>
    </row>
    <row r="761">
      <c r="K761" s="19"/>
    </row>
    <row r="762">
      <c r="K762" s="19"/>
    </row>
    <row r="763">
      <c r="K763" s="19"/>
    </row>
    <row r="764">
      <c r="K764" s="19"/>
    </row>
    <row r="765">
      <c r="K765" s="19"/>
    </row>
    <row r="766">
      <c r="K766" s="19"/>
    </row>
    <row r="767">
      <c r="K767" s="19"/>
    </row>
    <row r="768">
      <c r="K768" s="19"/>
    </row>
    <row r="769">
      <c r="K769" s="19"/>
    </row>
    <row r="770">
      <c r="K770" s="19"/>
    </row>
    <row r="771">
      <c r="K771" s="19"/>
    </row>
    <row r="772">
      <c r="K772" s="19"/>
    </row>
    <row r="773">
      <c r="K773" s="19"/>
    </row>
    <row r="774">
      <c r="K774" s="19"/>
    </row>
    <row r="775">
      <c r="K775" s="19"/>
    </row>
    <row r="776">
      <c r="K776" s="19"/>
    </row>
    <row r="777">
      <c r="K777" s="19"/>
    </row>
    <row r="778">
      <c r="K778" s="19"/>
    </row>
    <row r="779">
      <c r="K779" s="19"/>
    </row>
    <row r="780">
      <c r="K780" s="19"/>
    </row>
    <row r="781">
      <c r="K781" s="19"/>
    </row>
    <row r="782">
      <c r="K782" s="19"/>
    </row>
    <row r="783">
      <c r="K783" s="19"/>
    </row>
    <row r="784">
      <c r="K784" s="19"/>
    </row>
    <row r="785">
      <c r="K785" s="19"/>
    </row>
    <row r="786">
      <c r="K786" s="19"/>
    </row>
    <row r="787">
      <c r="K787" s="19"/>
    </row>
    <row r="788">
      <c r="K788" s="19"/>
    </row>
    <row r="789">
      <c r="K789" s="19"/>
    </row>
    <row r="790">
      <c r="K790" s="19"/>
    </row>
    <row r="791">
      <c r="K791" s="19"/>
    </row>
    <row r="792">
      <c r="K792" s="19"/>
    </row>
    <row r="793">
      <c r="K793" s="19"/>
    </row>
    <row r="794">
      <c r="K794" s="19"/>
    </row>
    <row r="795">
      <c r="K795" s="19"/>
    </row>
    <row r="796">
      <c r="K796" s="19"/>
    </row>
    <row r="797">
      <c r="K797" s="19"/>
    </row>
    <row r="798">
      <c r="K798" s="19"/>
    </row>
    <row r="799">
      <c r="K799" s="19"/>
    </row>
    <row r="800">
      <c r="K800" s="19"/>
    </row>
    <row r="801">
      <c r="K801" s="19"/>
    </row>
    <row r="802">
      <c r="K802" s="19"/>
    </row>
    <row r="803">
      <c r="K803" s="19"/>
    </row>
    <row r="804">
      <c r="K804" s="19"/>
    </row>
    <row r="805">
      <c r="K805" s="19"/>
    </row>
    <row r="806">
      <c r="K806" s="19"/>
    </row>
    <row r="807">
      <c r="K807" s="19"/>
    </row>
    <row r="808">
      <c r="K808" s="19"/>
    </row>
    <row r="809">
      <c r="K809" s="19"/>
    </row>
    <row r="810">
      <c r="K810" s="19"/>
    </row>
    <row r="811">
      <c r="K811" s="19"/>
    </row>
    <row r="812">
      <c r="K812" s="19"/>
    </row>
    <row r="813">
      <c r="K813" s="19"/>
    </row>
    <row r="814">
      <c r="K814" s="19"/>
    </row>
    <row r="815">
      <c r="K815" s="19"/>
    </row>
    <row r="816">
      <c r="K816" s="19"/>
    </row>
    <row r="817">
      <c r="K817" s="19"/>
    </row>
    <row r="818">
      <c r="K818" s="19"/>
    </row>
    <row r="819">
      <c r="K819" s="19"/>
    </row>
    <row r="820">
      <c r="K820" s="19"/>
    </row>
    <row r="821">
      <c r="K821" s="19"/>
    </row>
    <row r="822">
      <c r="K822" s="19"/>
    </row>
    <row r="823">
      <c r="K823" s="19"/>
    </row>
    <row r="824">
      <c r="K824" s="19"/>
    </row>
    <row r="825">
      <c r="K825" s="19"/>
    </row>
    <row r="826">
      <c r="K826" s="19"/>
    </row>
    <row r="827">
      <c r="K827" s="19"/>
    </row>
    <row r="828">
      <c r="K828" s="19"/>
    </row>
    <row r="829">
      <c r="K829" s="19"/>
    </row>
    <row r="830">
      <c r="K830" s="19"/>
    </row>
    <row r="831">
      <c r="K831" s="19"/>
    </row>
    <row r="832">
      <c r="K832" s="19"/>
    </row>
    <row r="833">
      <c r="K833" s="19"/>
    </row>
    <row r="834">
      <c r="K834" s="19"/>
    </row>
    <row r="835">
      <c r="K835" s="19"/>
    </row>
    <row r="836">
      <c r="K836" s="19"/>
    </row>
    <row r="837">
      <c r="K837" s="19"/>
    </row>
    <row r="838">
      <c r="K838" s="19"/>
    </row>
    <row r="839">
      <c r="K839" s="19"/>
    </row>
    <row r="840">
      <c r="K840" s="19"/>
    </row>
    <row r="841">
      <c r="K841" s="19"/>
    </row>
    <row r="842">
      <c r="K842" s="19"/>
    </row>
    <row r="843">
      <c r="K843" s="19"/>
    </row>
    <row r="844">
      <c r="K844" s="19"/>
    </row>
    <row r="845">
      <c r="K845" s="19"/>
    </row>
    <row r="846">
      <c r="K846" s="19"/>
    </row>
    <row r="847">
      <c r="K847" s="19"/>
    </row>
    <row r="848">
      <c r="K848" s="19"/>
    </row>
    <row r="849">
      <c r="K849" s="19"/>
    </row>
    <row r="850">
      <c r="K850" s="19"/>
    </row>
    <row r="851">
      <c r="K851" s="19"/>
    </row>
    <row r="852">
      <c r="K852" s="19"/>
    </row>
    <row r="853">
      <c r="K853" s="19"/>
    </row>
    <row r="854">
      <c r="K854" s="19"/>
    </row>
    <row r="855">
      <c r="K855" s="19"/>
    </row>
    <row r="856">
      <c r="K856" s="19"/>
    </row>
    <row r="857">
      <c r="K857" s="19"/>
    </row>
    <row r="858">
      <c r="K858" s="19"/>
    </row>
    <row r="859">
      <c r="K859" s="19"/>
    </row>
    <row r="860">
      <c r="K860" s="19"/>
    </row>
    <row r="861">
      <c r="K861" s="19"/>
    </row>
    <row r="862">
      <c r="K862" s="19"/>
    </row>
    <row r="863">
      <c r="K863" s="19"/>
    </row>
    <row r="864">
      <c r="K864" s="19"/>
    </row>
    <row r="865">
      <c r="K865" s="19"/>
    </row>
    <row r="866">
      <c r="K866" s="19"/>
    </row>
    <row r="867">
      <c r="K867" s="19"/>
    </row>
    <row r="868">
      <c r="K868" s="19"/>
    </row>
    <row r="869">
      <c r="K869" s="19"/>
    </row>
    <row r="870">
      <c r="K870" s="19"/>
    </row>
    <row r="871">
      <c r="K871" s="19"/>
    </row>
    <row r="872">
      <c r="K872" s="19"/>
    </row>
    <row r="873">
      <c r="K873" s="19"/>
    </row>
    <row r="874">
      <c r="K874" s="19"/>
    </row>
    <row r="875">
      <c r="K875" s="19"/>
    </row>
    <row r="876">
      <c r="K876" s="19"/>
    </row>
    <row r="877">
      <c r="K877" s="19"/>
    </row>
    <row r="878">
      <c r="K878" s="19"/>
    </row>
    <row r="879">
      <c r="K879" s="19"/>
    </row>
    <row r="880">
      <c r="K880" s="19"/>
    </row>
    <row r="881">
      <c r="K881" s="19"/>
    </row>
    <row r="882">
      <c r="K882" s="19"/>
    </row>
    <row r="883">
      <c r="K883" s="19"/>
    </row>
    <row r="884">
      <c r="K884" s="19"/>
    </row>
    <row r="885">
      <c r="K885" s="19"/>
    </row>
    <row r="886">
      <c r="K886" s="19"/>
    </row>
    <row r="887">
      <c r="K887" s="19"/>
    </row>
    <row r="888">
      <c r="K888" s="19"/>
    </row>
    <row r="889">
      <c r="K889" s="19"/>
    </row>
    <row r="890">
      <c r="K890" s="19"/>
    </row>
    <row r="891">
      <c r="K891" s="19"/>
    </row>
    <row r="892">
      <c r="K892" s="19"/>
    </row>
    <row r="893">
      <c r="K893" s="19"/>
    </row>
    <row r="894">
      <c r="K894" s="19"/>
    </row>
    <row r="895">
      <c r="K895" s="19"/>
    </row>
    <row r="896">
      <c r="K896" s="19"/>
    </row>
    <row r="897">
      <c r="K897" s="19"/>
    </row>
    <row r="898">
      <c r="K898" s="19"/>
    </row>
    <row r="899">
      <c r="K899" s="19"/>
    </row>
    <row r="900">
      <c r="K900" s="19"/>
    </row>
    <row r="901">
      <c r="K901" s="19"/>
    </row>
    <row r="902">
      <c r="K902" s="19"/>
    </row>
    <row r="903">
      <c r="K903" s="19"/>
    </row>
    <row r="904">
      <c r="K904" s="19"/>
    </row>
    <row r="905">
      <c r="K905" s="19"/>
    </row>
    <row r="906">
      <c r="K906" s="19"/>
    </row>
    <row r="907">
      <c r="K907" s="19"/>
    </row>
    <row r="908">
      <c r="K908" s="19"/>
    </row>
    <row r="909">
      <c r="K909" s="19"/>
    </row>
    <row r="910">
      <c r="K910" s="19"/>
    </row>
    <row r="911">
      <c r="K911" s="19"/>
    </row>
    <row r="912">
      <c r="K912" s="19"/>
    </row>
    <row r="913">
      <c r="K913" s="19"/>
    </row>
    <row r="914">
      <c r="K914" s="19"/>
    </row>
    <row r="915">
      <c r="K915" s="19"/>
    </row>
    <row r="916">
      <c r="K916" s="19"/>
    </row>
    <row r="917">
      <c r="K917" s="19"/>
    </row>
    <row r="918">
      <c r="K918" s="19"/>
    </row>
    <row r="919">
      <c r="K919" s="19"/>
    </row>
    <row r="920">
      <c r="K920" s="19"/>
    </row>
    <row r="921">
      <c r="K921" s="19"/>
    </row>
    <row r="922">
      <c r="K922" s="19"/>
    </row>
    <row r="923">
      <c r="K923" s="19"/>
    </row>
    <row r="924">
      <c r="K924" s="19"/>
    </row>
    <row r="925">
      <c r="K925" s="19"/>
    </row>
    <row r="926">
      <c r="K926" s="19"/>
    </row>
    <row r="927">
      <c r="K927" s="19"/>
    </row>
    <row r="928">
      <c r="K928" s="19"/>
    </row>
    <row r="929">
      <c r="K929" s="19"/>
    </row>
    <row r="930">
      <c r="K930" s="19"/>
    </row>
    <row r="931">
      <c r="K931" s="19"/>
    </row>
    <row r="932">
      <c r="K932" s="19"/>
    </row>
    <row r="933">
      <c r="K933" s="19"/>
    </row>
    <row r="934">
      <c r="K934" s="19"/>
    </row>
    <row r="935">
      <c r="K935" s="19"/>
    </row>
    <row r="936">
      <c r="K936" s="19"/>
    </row>
    <row r="937">
      <c r="K937" s="19"/>
    </row>
    <row r="938">
      <c r="K938" s="19"/>
    </row>
    <row r="939">
      <c r="K939" s="19"/>
    </row>
    <row r="940">
      <c r="K940" s="19"/>
    </row>
    <row r="941">
      <c r="K941" s="19"/>
    </row>
    <row r="942">
      <c r="K942" s="19"/>
    </row>
    <row r="943">
      <c r="K943" s="19"/>
    </row>
    <row r="944">
      <c r="K944" s="19"/>
    </row>
    <row r="945">
      <c r="K945" s="19"/>
    </row>
    <row r="946">
      <c r="K946" s="19"/>
    </row>
    <row r="947">
      <c r="K947" s="19"/>
    </row>
    <row r="948">
      <c r="K948" s="19"/>
    </row>
    <row r="949">
      <c r="K949" s="19"/>
    </row>
    <row r="950">
      <c r="K950" s="19"/>
    </row>
    <row r="951">
      <c r="K951" s="19"/>
    </row>
    <row r="952">
      <c r="K952" s="19"/>
    </row>
    <row r="953">
      <c r="K953" s="19"/>
    </row>
    <row r="954">
      <c r="K954" s="19"/>
    </row>
    <row r="955">
      <c r="K955" s="19"/>
    </row>
    <row r="956">
      <c r="K956" s="19"/>
    </row>
    <row r="957">
      <c r="K957" s="19"/>
    </row>
    <row r="958">
      <c r="K958" s="19"/>
    </row>
    <row r="959">
      <c r="K959" s="19"/>
    </row>
    <row r="960">
      <c r="K960" s="19"/>
    </row>
    <row r="961">
      <c r="K961" s="19"/>
    </row>
    <row r="962">
      <c r="K962" s="19"/>
    </row>
    <row r="963">
      <c r="K963" s="19"/>
    </row>
    <row r="964">
      <c r="K964" s="19"/>
    </row>
    <row r="965">
      <c r="K965" s="19"/>
    </row>
    <row r="966">
      <c r="K966" s="19"/>
    </row>
    <row r="967">
      <c r="K967" s="19"/>
    </row>
    <row r="968">
      <c r="K968" s="19"/>
    </row>
    <row r="969">
      <c r="K969" s="19"/>
    </row>
    <row r="970">
      <c r="K970" s="19"/>
    </row>
    <row r="971">
      <c r="K971" s="19"/>
    </row>
    <row r="972">
      <c r="K972" s="19"/>
    </row>
    <row r="973">
      <c r="K973" s="19"/>
    </row>
    <row r="974">
      <c r="K974" s="19"/>
    </row>
    <row r="975">
      <c r="K975" s="19"/>
    </row>
    <row r="976">
      <c r="K976" s="19"/>
    </row>
    <row r="977">
      <c r="K977" s="19"/>
    </row>
    <row r="978">
      <c r="K978" s="19"/>
    </row>
    <row r="979">
      <c r="K979" s="19"/>
    </row>
    <row r="980">
      <c r="K980" s="19"/>
    </row>
    <row r="981">
      <c r="K981" s="19"/>
    </row>
    <row r="982">
      <c r="K982" s="19"/>
    </row>
    <row r="983">
      <c r="K983" s="19"/>
    </row>
    <row r="984">
      <c r="K984" s="19"/>
    </row>
    <row r="985">
      <c r="K985" s="19"/>
    </row>
    <row r="986">
      <c r="K986" s="19"/>
    </row>
    <row r="987">
      <c r="K987" s="19"/>
    </row>
    <row r="988">
      <c r="K988" s="19"/>
    </row>
    <row r="989">
      <c r="K989" s="19"/>
    </row>
    <row r="990">
      <c r="K990" s="19"/>
    </row>
    <row r="991">
      <c r="K991" s="19"/>
    </row>
    <row r="992">
      <c r="K992" s="19"/>
    </row>
    <row r="993">
      <c r="K993" s="19"/>
    </row>
    <row r="994">
      <c r="K994" s="19"/>
    </row>
    <row r="995">
      <c r="K995" s="19"/>
    </row>
    <row r="996">
      <c r="K996" s="19"/>
    </row>
    <row r="997">
      <c r="K997" s="19"/>
    </row>
    <row r="998">
      <c r="K998" s="19"/>
    </row>
    <row r="999">
      <c r="K999" s="19"/>
    </row>
    <row r="1000">
      <c r="K1000" s="19"/>
    </row>
    <row r="1001">
      <c r="K1001" s="19"/>
    </row>
    <row r="1002">
      <c r="K1002" s="19"/>
    </row>
    <row r="1003">
      <c r="K1003" s="19"/>
    </row>
    <row r="1004">
      <c r="K1004" s="19"/>
    </row>
    <row r="1005">
      <c r="K1005" s="19"/>
    </row>
    <row r="1006">
      <c r="K1006" s="19"/>
    </row>
    <row r="1007">
      <c r="K1007" s="19"/>
    </row>
  </sheetData>
  <mergeCells count="55"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6:J146"/>
    <mergeCell ref="A147:J147"/>
    <mergeCell ref="A148:J148"/>
    <mergeCell ref="A149:J149"/>
    <mergeCell ref="A150:J150"/>
    <mergeCell ref="A100:J100"/>
    <mergeCell ref="A101:J101"/>
    <mergeCell ref="A122:H122"/>
    <mergeCell ref="A123:H123"/>
    <mergeCell ref="A124:H124"/>
    <mergeCell ref="A125:H125"/>
    <mergeCell ref="A126:H126"/>
    <mergeCell ref="J15:J17"/>
    <mergeCell ref="L15:L17"/>
    <mergeCell ref="J19:K19"/>
    <mergeCell ref="A1:L1"/>
    <mergeCell ref="A2:L2"/>
    <mergeCell ref="A3:L3"/>
    <mergeCell ref="A4:L4"/>
    <mergeCell ref="F5:H5"/>
    <mergeCell ref="J5:L5"/>
    <mergeCell ref="F6:H6"/>
    <mergeCell ref="J6:L6"/>
    <mergeCell ref="J7:L7"/>
    <mergeCell ref="J8:L8"/>
    <mergeCell ref="J11:J14"/>
    <mergeCell ref="L11:L1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1.25"/>
    <col customWidth="1" min="14" max="14" width="14.5"/>
    <col customWidth="1" min="15" max="15" width="16.75"/>
    <col customWidth="1" min="19" max="19" width="33.5"/>
  </cols>
  <sheetData>
    <row r="1">
      <c r="A1" s="141" t="s">
        <v>1401</v>
      </c>
    </row>
    <row r="2">
      <c r="A2" s="141" t="s">
        <v>1408</v>
      </c>
    </row>
    <row r="3">
      <c r="A3" s="142" t="s">
        <v>17</v>
      </c>
    </row>
    <row r="4">
      <c r="A4" s="143">
        <f>100000+B6+C6+D6+E6+G6+H6+A41+K6+N6</f>
        <v>423490</v>
      </c>
    </row>
    <row r="5">
      <c r="A5" s="11" t="s">
        <v>19</v>
      </c>
      <c r="B5" s="11" t="s">
        <v>22</v>
      </c>
      <c r="C5" s="11" t="s">
        <v>1424</v>
      </c>
      <c r="D5" s="11" t="s">
        <v>1214</v>
      </c>
      <c r="E5" s="11" t="s">
        <v>205</v>
      </c>
      <c r="F5" s="11" t="s">
        <v>49</v>
      </c>
      <c r="G5" s="11" t="s">
        <v>1428</v>
      </c>
      <c r="H5" s="11" t="s">
        <v>59</v>
      </c>
      <c r="K5" s="23" t="s">
        <v>234</v>
      </c>
      <c r="N5" s="144" t="s">
        <v>60</v>
      </c>
      <c r="S5" s="11"/>
    </row>
    <row r="6">
      <c r="A6" s="12" t="s">
        <v>1433</v>
      </c>
      <c r="B6" s="143">
        <v>-60000.0</v>
      </c>
      <c r="C6" s="143">
        <v>16000.0</v>
      </c>
      <c r="D6" s="143">
        <v>-47000.0</v>
      </c>
      <c r="E6" s="143">
        <v>-500.0</v>
      </c>
      <c r="F6" s="12" t="s">
        <v>1434</v>
      </c>
      <c r="G6" s="143">
        <v>-20000.0</v>
      </c>
      <c r="H6" s="143">
        <v>-1000.0</v>
      </c>
      <c r="K6" s="145">
        <f>K8</f>
        <v>23000</v>
      </c>
      <c r="N6" s="146">
        <f>Q19+Q22</f>
        <v>112750</v>
      </c>
      <c r="S6" s="147"/>
    </row>
    <row r="7">
      <c r="A7" s="12" t="s">
        <v>1438</v>
      </c>
      <c r="B7" s="15" t="s">
        <v>35</v>
      </c>
      <c r="C7" s="12" t="s">
        <v>1440</v>
      </c>
      <c r="D7" s="12" t="s">
        <v>1442</v>
      </c>
      <c r="E7" s="12" t="s">
        <v>1443</v>
      </c>
      <c r="F7" s="12" t="s">
        <v>1444</v>
      </c>
      <c r="G7" s="12" t="s">
        <v>83</v>
      </c>
      <c r="H7" s="12" t="s">
        <v>77</v>
      </c>
      <c r="I7" s="12" t="s">
        <v>1446</v>
      </c>
      <c r="J7" s="12" t="s">
        <v>81</v>
      </c>
      <c r="K7" s="148" t="s">
        <v>89</v>
      </c>
      <c r="N7" s="149" t="s">
        <v>85</v>
      </c>
      <c r="O7" s="149" t="s">
        <v>87</v>
      </c>
      <c r="P7" s="149" t="s">
        <v>88</v>
      </c>
      <c r="Q7" s="149" t="s">
        <v>1</v>
      </c>
      <c r="R7" s="149" t="s">
        <v>90</v>
      </c>
    </row>
    <row r="8">
      <c r="A8" s="12" t="s">
        <v>1450</v>
      </c>
      <c r="B8" s="14" t="s">
        <v>344</v>
      </c>
      <c r="C8" s="12" t="s">
        <v>1451</v>
      </c>
      <c r="D8" s="12" t="s">
        <v>1453</v>
      </c>
      <c r="F8" s="12" t="s">
        <v>1454</v>
      </c>
      <c r="G8" s="12" t="s">
        <v>1455</v>
      </c>
      <c r="H8" s="12" t="s">
        <v>1456</v>
      </c>
      <c r="I8" s="12" t="s">
        <v>1457</v>
      </c>
      <c r="J8" s="12" t="s">
        <v>1459</v>
      </c>
      <c r="K8" s="150">
        <f>0+M10+M11+M13+M14+M15</f>
        <v>23000</v>
      </c>
      <c r="N8" s="151" t="s">
        <v>1461</v>
      </c>
      <c r="O8" s="152" t="s">
        <v>106</v>
      </c>
      <c r="P8" s="152">
        <v>30.5</v>
      </c>
      <c r="Q8" s="152">
        <f>P8*1000</f>
        <v>30500</v>
      </c>
      <c r="R8" s="153">
        <f>P8*20</f>
        <v>610</v>
      </c>
    </row>
    <row r="9">
      <c r="A9" s="12" t="s">
        <v>1467</v>
      </c>
      <c r="B9" s="14" t="s">
        <v>380</v>
      </c>
      <c r="C9" s="12" t="s">
        <v>1469</v>
      </c>
      <c r="D9" s="12" t="s">
        <v>1470</v>
      </c>
      <c r="F9" s="12" t="s">
        <v>1472</v>
      </c>
      <c r="H9" s="12" t="s">
        <v>1473</v>
      </c>
      <c r="I9" s="12" t="s">
        <v>1474</v>
      </c>
      <c r="J9" s="12" t="s">
        <v>1476</v>
      </c>
      <c r="K9" s="154" t="s">
        <v>130</v>
      </c>
      <c r="L9" s="154" t="s">
        <v>135</v>
      </c>
      <c r="M9" s="154" t="s">
        <v>1</v>
      </c>
      <c r="O9" s="152" t="s">
        <v>161</v>
      </c>
      <c r="P9" s="152">
        <v>2.5</v>
      </c>
      <c r="Q9" s="153">
        <f>P9*2000</f>
        <v>5000</v>
      </c>
      <c r="R9" s="153">
        <f t="shared" ref="R9:R10" si="1">P9*40</f>
        <v>100</v>
      </c>
    </row>
    <row r="10">
      <c r="A10" s="12" t="s">
        <v>1485</v>
      </c>
      <c r="B10" s="15" t="s">
        <v>40</v>
      </c>
      <c r="C10" s="12" t="s">
        <v>1486</v>
      </c>
      <c r="D10" s="12" t="s">
        <v>1487</v>
      </c>
      <c r="H10" s="12" t="s">
        <v>505</v>
      </c>
      <c r="I10" s="12" t="s">
        <v>1489</v>
      </c>
      <c r="J10" s="12" t="s">
        <v>1490</v>
      </c>
      <c r="K10" s="50" t="s">
        <v>1491</v>
      </c>
      <c r="L10" s="50" t="s">
        <v>1412</v>
      </c>
      <c r="M10" s="50">
        <v>2000.0</v>
      </c>
      <c r="O10" s="152" t="s">
        <v>338</v>
      </c>
      <c r="P10" s="152">
        <v>3.0</v>
      </c>
      <c r="Q10" s="153">
        <f>P10*3000</f>
        <v>9000</v>
      </c>
      <c r="R10" s="153">
        <f t="shared" si="1"/>
        <v>120</v>
      </c>
    </row>
    <row r="11">
      <c r="A11" s="12" t="s">
        <v>1495</v>
      </c>
      <c r="B11" s="14" t="s">
        <v>42</v>
      </c>
      <c r="C11" s="12" t="s">
        <v>1498</v>
      </c>
      <c r="D11" s="12" t="s">
        <v>1499</v>
      </c>
      <c r="H11" s="12" t="s">
        <v>590</v>
      </c>
      <c r="I11" s="12" t="s">
        <v>1500</v>
      </c>
      <c r="J11" s="12" t="s">
        <v>1501</v>
      </c>
      <c r="K11" s="50" t="s">
        <v>1502</v>
      </c>
      <c r="L11" s="14" t="s">
        <v>241</v>
      </c>
      <c r="M11" s="50">
        <v>3000.0</v>
      </c>
      <c r="O11" s="152" t="s">
        <v>199</v>
      </c>
      <c r="P11" s="152">
        <v>1.0</v>
      </c>
      <c r="Q11" s="153">
        <f>P11*5000</f>
        <v>5000</v>
      </c>
      <c r="R11" s="153">
        <f>P11*100</f>
        <v>100</v>
      </c>
    </row>
    <row r="12">
      <c r="A12" s="12" t="s">
        <v>1505</v>
      </c>
      <c r="B12" s="15" t="s">
        <v>44</v>
      </c>
      <c r="C12" s="12" t="s">
        <v>1507</v>
      </c>
      <c r="D12" s="12" t="s">
        <v>1508</v>
      </c>
      <c r="H12" s="12" t="s">
        <v>1510</v>
      </c>
      <c r="I12" s="12" t="s">
        <v>1511</v>
      </c>
      <c r="L12" s="14" t="s">
        <v>1512</v>
      </c>
      <c r="O12" s="152" t="s">
        <v>361</v>
      </c>
      <c r="P12" s="152">
        <v>3.0</v>
      </c>
      <c r="Q12" s="152">
        <f>P12*2000</f>
        <v>6000</v>
      </c>
      <c r="R12" s="153">
        <f>P12*20</f>
        <v>60</v>
      </c>
    </row>
    <row r="13">
      <c r="A13" s="12" t="s">
        <v>1513</v>
      </c>
      <c r="B13" s="14" t="s">
        <v>42</v>
      </c>
      <c r="C13" s="12" t="s">
        <v>1515</v>
      </c>
      <c r="D13" s="12" t="s">
        <v>1516</v>
      </c>
      <c r="H13" s="12" t="s">
        <v>166</v>
      </c>
      <c r="I13" s="12" t="s">
        <v>522</v>
      </c>
      <c r="K13" s="14" t="s">
        <v>1517</v>
      </c>
      <c r="L13" s="14" t="s">
        <v>249</v>
      </c>
      <c r="M13" s="14">
        <v>2000.0</v>
      </c>
      <c r="O13" s="152" t="s">
        <v>138</v>
      </c>
      <c r="P13" s="152">
        <v>2.0</v>
      </c>
      <c r="Q13" s="152">
        <f>P13*6000</f>
        <v>12000</v>
      </c>
      <c r="R13" s="153">
        <f>P13*40</f>
        <v>80</v>
      </c>
    </row>
    <row r="14">
      <c r="A14" s="12" t="s">
        <v>1522</v>
      </c>
      <c r="D14" s="12" t="s">
        <v>1523</v>
      </c>
      <c r="H14" s="12" t="s">
        <v>501</v>
      </c>
      <c r="I14" s="12" t="s">
        <v>1524</v>
      </c>
      <c r="K14" s="50" t="s">
        <v>1525</v>
      </c>
      <c r="L14" s="50" t="s">
        <v>150</v>
      </c>
      <c r="M14" s="50">
        <v>1000.0</v>
      </c>
      <c r="O14" s="152" t="s">
        <v>181</v>
      </c>
      <c r="P14" s="152">
        <v>4.0</v>
      </c>
      <c r="Q14" s="153">
        <f t="shared" ref="Q14:Q15" si="2">P14*8000</f>
        <v>32000</v>
      </c>
      <c r="R14" s="153">
        <f t="shared" ref="R14:R15" si="3">P14*80</f>
        <v>320</v>
      </c>
    </row>
    <row r="15">
      <c r="A15" s="12" t="s">
        <v>1529</v>
      </c>
      <c r="D15" s="12" t="s">
        <v>1530</v>
      </c>
      <c r="H15" s="12" t="s">
        <v>505</v>
      </c>
      <c r="I15" s="12" t="s">
        <v>474</v>
      </c>
      <c r="K15" s="11" t="s">
        <v>1531</v>
      </c>
      <c r="L15" s="11" t="s">
        <v>1532</v>
      </c>
      <c r="M15" s="11">
        <v>15000.0</v>
      </c>
      <c r="O15" s="152" t="s">
        <v>223</v>
      </c>
      <c r="P15" s="152">
        <v>1.0</v>
      </c>
      <c r="Q15" s="153">
        <f t="shared" si="2"/>
        <v>8000</v>
      </c>
      <c r="R15" s="153">
        <f t="shared" si="3"/>
        <v>80</v>
      </c>
    </row>
    <row r="16">
      <c r="A16" s="12" t="s">
        <v>1533</v>
      </c>
      <c r="D16" s="12" t="s">
        <v>1534</v>
      </c>
      <c r="H16" s="12" t="s">
        <v>590</v>
      </c>
      <c r="I16" s="12" t="s">
        <v>310</v>
      </c>
      <c r="K16" s="19"/>
      <c r="L16" s="19"/>
      <c r="M16" s="19"/>
      <c r="O16" s="152" t="s">
        <v>215</v>
      </c>
    </row>
    <row r="17">
      <c r="A17" s="12" t="s">
        <v>1535</v>
      </c>
      <c r="D17" s="12" t="s">
        <v>1536</v>
      </c>
      <c r="H17" s="12" t="s">
        <v>1537</v>
      </c>
      <c r="K17" s="19"/>
      <c r="L17" s="19"/>
      <c r="M17" s="19"/>
      <c r="O17" s="152">
        <v>100.0</v>
      </c>
      <c r="P17" s="152">
        <v>1.5</v>
      </c>
      <c r="Q17" s="153">
        <f t="shared" ref="Q17:Q18" si="4">P17*1500</f>
        <v>2250</v>
      </c>
      <c r="R17" s="153">
        <f t="shared" ref="R17:R18" si="5">P17*40</f>
        <v>60</v>
      </c>
    </row>
    <row r="18">
      <c r="A18" s="12" t="s">
        <v>1538</v>
      </c>
      <c r="D18" s="12" t="s">
        <v>1539</v>
      </c>
      <c r="H18" s="12" t="s">
        <v>195</v>
      </c>
      <c r="K18" s="19"/>
      <c r="L18" s="19"/>
      <c r="M18" s="19"/>
      <c r="O18" s="152" t="s">
        <v>251</v>
      </c>
      <c r="P18" s="152">
        <v>1.0</v>
      </c>
      <c r="Q18" s="153">
        <f t="shared" si="4"/>
        <v>1500</v>
      </c>
      <c r="R18" s="153">
        <f t="shared" si="5"/>
        <v>40</v>
      </c>
    </row>
    <row r="19">
      <c r="A19" s="12" t="s">
        <v>1540</v>
      </c>
      <c r="D19" s="12" t="s">
        <v>1541</v>
      </c>
      <c r="H19" s="12" t="s">
        <v>590</v>
      </c>
      <c r="K19" s="19"/>
      <c r="L19" s="19"/>
      <c r="M19" s="19"/>
      <c r="O19" s="142" t="s">
        <v>118</v>
      </c>
      <c r="Q19" s="155">
        <f t="shared" ref="Q19:R19" si="6">Q8+Q9+Q10+Q11+Q12+Q13+Q14+Q17+Q18+Q15</f>
        <v>111250</v>
      </c>
      <c r="R19" s="155">
        <f t="shared" si="6"/>
        <v>1570</v>
      </c>
    </row>
    <row r="20">
      <c r="A20" s="12" t="s">
        <v>1546</v>
      </c>
      <c r="D20" s="12" t="s">
        <v>1548</v>
      </c>
      <c r="H20" s="12" t="s">
        <v>1550</v>
      </c>
      <c r="N20" s="151" t="s">
        <v>1510</v>
      </c>
      <c r="O20" s="152" t="s">
        <v>215</v>
      </c>
    </row>
    <row r="21">
      <c r="A21" s="12" t="s">
        <v>1554</v>
      </c>
      <c r="D21" s="12" t="s">
        <v>1555</v>
      </c>
      <c r="H21" s="12" t="s">
        <v>1556</v>
      </c>
      <c r="O21" s="152" t="s">
        <v>1558</v>
      </c>
      <c r="P21" s="152">
        <v>1.0</v>
      </c>
      <c r="Q21" s="153">
        <f>P21*1500</f>
        <v>1500</v>
      </c>
      <c r="R21" s="153">
        <f>P21*40</f>
        <v>40</v>
      </c>
    </row>
    <row r="22">
      <c r="A22" s="12" t="s">
        <v>1566</v>
      </c>
      <c r="D22" s="12" t="s">
        <v>1568</v>
      </c>
      <c r="H22" s="12" t="s">
        <v>1570</v>
      </c>
      <c r="O22" s="142" t="s">
        <v>118</v>
      </c>
      <c r="Q22" s="155">
        <f t="shared" ref="Q22:R22" si="7">Q21</f>
        <v>1500</v>
      </c>
      <c r="R22" s="155">
        <f t="shared" si="7"/>
        <v>40</v>
      </c>
    </row>
    <row r="23">
      <c r="A23" s="12" t="s">
        <v>1573</v>
      </c>
      <c r="D23" s="12" t="s">
        <v>1574</v>
      </c>
      <c r="H23" s="12" t="s">
        <v>1014</v>
      </c>
    </row>
    <row r="24">
      <c r="A24" s="12" t="s">
        <v>1575</v>
      </c>
      <c r="D24" s="12" t="s">
        <v>1577</v>
      </c>
      <c r="H24" s="12" t="s">
        <v>559</v>
      </c>
    </row>
    <row r="25">
      <c r="A25" s="12" t="s">
        <v>1580</v>
      </c>
      <c r="H25" s="12" t="s">
        <v>1581</v>
      </c>
    </row>
    <row r="26">
      <c r="A26" s="12" t="s">
        <v>1582</v>
      </c>
      <c r="H26" s="12" t="s">
        <v>166</v>
      </c>
    </row>
    <row r="27">
      <c r="A27" s="12" t="s">
        <v>1584</v>
      </c>
      <c r="H27" s="12" t="s">
        <v>536</v>
      </c>
    </row>
    <row r="28">
      <c r="A28" s="12" t="s">
        <v>1587</v>
      </c>
      <c r="H28" s="12" t="s">
        <v>195</v>
      </c>
    </row>
    <row r="29">
      <c r="A29" s="12" t="s">
        <v>1590</v>
      </c>
      <c r="H29" s="12" t="s">
        <v>545</v>
      </c>
    </row>
    <row r="30">
      <c r="A30" s="12" t="s">
        <v>1592</v>
      </c>
      <c r="H30" s="12" t="s">
        <v>505</v>
      </c>
    </row>
    <row r="31">
      <c r="A31" s="12" t="s">
        <v>1593</v>
      </c>
      <c r="H31" s="12" t="s">
        <v>545</v>
      </c>
    </row>
    <row r="32">
      <c r="A32" s="12" t="s">
        <v>1595</v>
      </c>
      <c r="H32" s="12" t="s">
        <v>1596</v>
      </c>
    </row>
    <row r="33">
      <c r="A33" s="12" t="s">
        <v>1598</v>
      </c>
      <c r="H33" s="12" t="s">
        <v>134</v>
      </c>
    </row>
    <row r="34">
      <c r="A34" s="12" t="s">
        <v>1599</v>
      </c>
      <c r="H34" s="12" t="s">
        <v>1600</v>
      </c>
    </row>
    <row r="35">
      <c r="A35" s="12" t="s">
        <v>1602</v>
      </c>
      <c r="H35" s="12" t="s">
        <v>519</v>
      </c>
    </row>
    <row r="36">
      <c r="A36" s="12" t="s">
        <v>1603</v>
      </c>
      <c r="H36" s="12" t="s">
        <v>505</v>
      </c>
    </row>
    <row r="37">
      <c r="H37" s="12" t="s">
        <v>559</v>
      </c>
    </row>
    <row r="38">
      <c r="H38" s="12" t="s">
        <v>1604</v>
      </c>
    </row>
    <row r="39">
      <c r="H39" s="12" t="s">
        <v>195</v>
      </c>
    </row>
    <row r="40">
      <c r="A40" s="82" t="s">
        <v>567</v>
      </c>
      <c r="H40" s="12" t="s">
        <v>1014</v>
      </c>
    </row>
    <row r="41">
      <c r="A41" s="82">
        <f>A43+A62+A89+A106+A125+A147</f>
        <v>300240</v>
      </c>
      <c r="H41" s="12" t="s">
        <v>1606</v>
      </c>
    </row>
    <row r="42">
      <c r="A42" s="84" t="s">
        <v>575</v>
      </c>
      <c r="H42" s="12" t="s">
        <v>195</v>
      </c>
    </row>
    <row r="43">
      <c r="A43" s="84">
        <v>30650.0</v>
      </c>
      <c r="H43" s="12" t="s">
        <v>559</v>
      </c>
    </row>
    <row r="44">
      <c r="A44" s="84">
        <v>2026.0</v>
      </c>
      <c r="H44" s="12" t="s">
        <v>1522</v>
      </c>
    </row>
    <row r="45">
      <c r="A45" s="85" t="s">
        <v>576</v>
      </c>
      <c r="B45" s="85" t="s">
        <v>577</v>
      </c>
      <c r="C45" s="85" t="s">
        <v>578</v>
      </c>
      <c r="D45" s="85" t="s">
        <v>579</v>
      </c>
      <c r="E45" s="85" t="s">
        <v>580</v>
      </c>
      <c r="H45" s="12" t="s">
        <v>505</v>
      </c>
    </row>
    <row r="46">
      <c r="A46" s="64" t="s">
        <v>1607</v>
      </c>
      <c r="C46" s="64" t="s">
        <v>1471</v>
      </c>
      <c r="E46" s="64" t="s">
        <v>1608</v>
      </c>
      <c r="H46" s="12" t="s">
        <v>559</v>
      </c>
    </row>
    <row r="47">
      <c r="A47" s="12" t="s">
        <v>1609</v>
      </c>
      <c r="C47" s="12" t="s">
        <v>1610</v>
      </c>
      <c r="E47" s="12" t="s">
        <v>1611</v>
      </c>
    </row>
    <row r="48">
      <c r="A48" s="12" t="s">
        <v>878</v>
      </c>
      <c r="C48" s="12" t="s">
        <v>638</v>
      </c>
      <c r="E48" s="12" t="s">
        <v>653</v>
      </c>
    </row>
    <row r="49">
      <c r="A49" s="12" t="s">
        <v>797</v>
      </c>
      <c r="E49" s="12" t="s">
        <v>1171</v>
      </c>
    </row>
    <row r="50">
      <c r="E50" s="12" t="s">
        <v>1613</v>
      </c>
    </row>
    <row r="51">
      <c r="E51" s="12" t="s">
        <v>1186</v>
      </c>
    </row>
    <row r="52">
      <c r="E52" s="12" t="s">
        <v>1614</v>
      </c>
    </row>
    <row r="53">
      <c r="E53" s="12" t="s">
        <v>826</v>
      </c>
    </row>
    <row r="54">
      <c r="E54" s="12" t="s">
        <v>797</v>
      </c>
    </row>
    <row r="55">
      <c r="E55" s="12" t="s">
        <v>1186</v>
      </c>
    </row>
    <row r="56">
      <c r="E56" s="12" t="s">
        <v>1617</v>
      </c>
    </row>
    <row r="57">
      <c r="E57" s="12" t="s">
        <v>638</v>
      </c>
    </row>
    <row r="58">
      <c r="E58" s="12" t="s">
        <v>783</v>
      </c>
    </row>
    <row r="59">
      <c r="E59" s="12" t="s">
        <v>1186</v>
      </c>
    </row>
    <row r="60">
      <c r="A60" s="86"/>
    </row>
    <row r="61">
      <c r="A61" s="87" t="s">
        <v>840</v>
      </c>
    </row>
    <row r="62">
      <c r="A62" s="87">
        <v>37690.0</v>
      </c>
    </row>
    <row r="63">
      <c r="A63" s="88">
        <v>2026.0</v>
      </c>
    </row>
    <row r="64">
      <c r="A64" s="85" t="s">
        <v>592</v>
      </c>
      <c r="B64" s="85" t="s">
        <v>593</v>
      </c>
      <c r="C64" s="85" t="s">
        <v>594</v>
      </c>
      <c r="D64" s="85" t="s">
        <v>595</v>
      </c>
      <c r="E64" s="85" t="s">
        <v>596</v>
      </c>
      <c r="F64" s="85" t="s">
        <v>597</v>
      </c>
    </row>
    <row r="65">
      <c r="A65" s="64" t="s">
        <v>1618</v>
      </c>
      <c r="C65" s="64" t="s">
        <v>1466</v>
      </c>
      <c r="D65" s="64" t="s">
        <v>1619</v>
      </c>
      <c r="F65" s="64" t="s">
        <v>1620</v>
      </c>
    </row>
    <row r="66">
      <c r="A66" s="12" t="s">
        <v>1473</v>
      </c>
      <c r="C66" s="12" t="s">
        <v>1621</v>
      </c>
      <c r="D66" s="12" t="s">
        <v>1622</v>
      </c>
      <c r="F66" s="12" t="s">
        <v>1623</v>
      </c>
    </row>
    <row r="67">
      <c r="A67" s="12" t="s">
        <v>1062</v>
      </c>
      <c r="C67" s="12" t="s">
        <v>605</v>
      </c>
      <c r="D67" s="12" t="s">
        <v>1624</v>
      </c>
      <c r="F67" s="12" t="s">
        <v>605</v>
      </c>
    </row>
    <row r="68">
      <c r="A68" s="12" t="s">
        <v>609</v>
      </c>
      <c r="D68" s="12" t="s">
        <v>896</v>
      </c>
      <c r="F68" s="12" t="s">
        <v>783</v>
      </c>
    </row>
    <row r="69">
      <c r="A69" s="12" t="s">
        <v>1625</v>
      </c>
      <c r="F69" s="12" t="s">
        <v>621</v>
      </c>
    </row>
    <row r="70">
      <c r="A70" s="12" t="s">
        <v>1626</v>
      </c>
    </row>
    <row r="71">
      <c r="A71" s="12" t="s">
        <v>609</v>
      </c>
    </row>
    <row r="72">
      <c r="A72" s="12" t="s">
        <v>1627</v>
      </c>
    </row>
    <row r="73">
      <c r="A73" s="12" t="s">
        <v>604</v>
      </c>
    </row>
    <row r="74">
      <c r="A74" s="12" t="s">
        <v>609</v>
      </c>
    </row>
    <row r="75">
      <c r="A75" s="12" t="s">
        <v>1550</v>
      </c>
    </row>
    <row r="76">
      <c r="A76" s="12" t="s">
        <v>604</v>
      </c>
    </row>
    <row r="77">
      <c r="A77" s="12" t="s">
        <v>609</v>
      </c>
    </row>
    <row r="78">
      <c r="A78" s="86"/>
    </row>
    <row r="79">
      <c r="A79" s="6" t="s">
        <v>1631</v>
      </c>
    </row>
    <row r="80">
      <c r="A80" s="35">
        <v>2026.0</v>
      </c>
    </row>
    <row r="81">
      <c r="A81" s="96" t="s">
        <v>1635</v>
      </c>
    </row>
    <row r="82">
      <c r="A82" s="85" t="s">
        <v>666</v>
      </c>
      <c r="B82" s="85" t="s">
        <v>668</v>
      </c>
      <c r="C82" s="85" t="s">
        <v>671</v>
      </c>
      <c r="D82" s="85" t="s">
        <v>674</v>
      </c>
      <c r="E82" s="85" t="s">
        <v>675</v>
      </c>
      <c r="F82" s="85" t="s">
        <v>676</v>
      </c>
      <c r="G82" s="85" t="s">
        <v>678</v>
      </c>
      <c r="H82" s="85" t="s">
        <v>680</v>
      </c>
    </row>
    <row r="83">
      <c r="A83" s="68" t="s">
        <v>683</v>
      </c>
      <c r="B83" s="68" t="s">
        <v>683</v>
      </c>
      <c r="C83" s="68" t="s">
        <v>683</v>
      </c>
      <c r="D83" s="68" t="s">
        <v>683</v>
      </c>
      <c r="E83" s="68" t="s">
        <v>683</v>
      </c>
      <c r="F83" s="68" t="s">
        <v>683</v>
      </c>
      <c r="G83" s="68" t="s">
        <v>683</v>
      </c>
      <c r="H83" s="68" t="s">
        <v>683</v>
      </c>
    </row>
    <row r="88">
      <c r="A88" s="97" t="s">
        <v>740</v>
      </c>
    </row>
    <row r="89">
      <c r="A89" s="97">
        <f>A92</f>
        <v>27500</v>
      </c>
    </row>
    <row r="90">
      <c r="A90" s="97">
        <v>2026.0</v>
      </c>
    </row>
    <row r="91">
      <c r="A91" s="97" t="s">
        <v>749</v>
      </c>
    </row>
    <row r="92">
      <c r="A92" s="97">
        <f>A95+B95+C95+D95+E95+F95+G95+H95</f>
        <v>27500</v>
      </c>
    </row>
    <row r="93">
      <c r="A93" s="85" t="s">
        <v>762</v>
      </c>
      <c r="B93" s="85" t="s">
        <v>764</v>
      </c>
      <c r="C93" s="85" t="s">
        <v>765</v>
      </c>
      <c r="D93" s="85" t="s">
        <v>767</v>
      </c>
      <c r="E93" s="85" t="s">
        <v>768</v>
      </c>
      <c r="F93" s="85" t="s">
        <v>771</v>
      </c>
      <c r="G93" s="85" t="s">
        <v>772</v>
      </c>
      <c r="H93" s="85" t="s">
        <v>773</v>
      </c>
    </row>
    <row r="94">
      <c r="A94" s="11" t="s">
        <v>683</v>
      </c>
      <c r="B94" s="11" t="s">
        <v>683</v>
      </c>
      <c r="C94" s="11" t="s">
        <v>683</v>
      </c>
      <c r="D94" s="11" t="s">
        <v>683</v>
      </c>
      <c r="E94" s="11" t="s">
        <v>683</v>
      </c>
      <c r="F94" s="11" t="s">
        <v>683</v>
      </c>
      <c r="G94" s="11" t="s">
        <v>683</v>
      </c>
      <c r="H94" s="11" t="s">
        <v>683</v>
      </c>
    </row>
    <row r="95">
      <c r="A95" s="85">
        <v>9500.0</v>
      </c>
      <c r="B95" s="85">
        <v>0.0</v>
      </c>
      <c r="C95" s="85">
        <v>0.0</v>
      </c>
      <c r="D95" s="85">
        <v>0.0</v>
      </c>
      <c r="E95" s="85">
        <v>0.0</v>
      </c>
      <c r="F95" s="85">
        <v>0.0</v>
      </c>
      <c r="G95" s="85">
        <v>8250.0</v>
      </c>
      <c r="H95" s="85">
        <v>9750.0</v>
      </c>
    </row>
    <row r="96">
      <c r="A96" s="12" t="s">
        <v>1473</v>
      </c>
      <c r="G96" s="12" t="s">
        <v>1611</v>
      </c>
      <c r="H96" s="54" t="s">
        <v>1657</v>
      </c>
    </row>
    <row r="97">
      <c r="A97" s="12" t="s">
        <v>700</v>
      </c>
      <c r="G97" s="12" t="s">
        <v>777</v>
      </c>
      <c r="H97" s="54" t="s">
        <v>1195</v>
      </c>
    </row>
    <row r="98">
      <c r="A98" s="12" t="s">
        <v>795</v>
      </c>
      <c r="G98" s="12" t="s">
        <v>1625</v>
      </c>
      <c r="H98" s="54" t="s">
        <v>1113</v>
      </c>
    </row>
    <row r="99">
      <c r="A99" s="12" t="s">
        <v>1660</v>
      </c>
      <c r="G99" s="12" t="s">
        <v>620</v>
      </c>
    </row>
    <row r="100">
      <c r="A100" s="12" t="s">
        <v>605</v>
      </c>
      <c r="G100" s="12" t="s">
        <v>1113</v>
      </c>
    </row>
    <row r="101">
      <c r="G101" s="12" t="s">
        <v>1661</v>
      </c>
    </row>
    <row r="102">
      <c r="G102" s="12" t="s">
        <v>605</v>
      </c>
    </row>
    <row r="105">
      <c r="A105" s="99" t="s">
        <v>1129</v>
      </c>
    </row>
    <row r="106">
      <c r="A106" s="99">
        <f>A109</f>
        <v>55900</v>
      </c>
    </row>
    <row r="107">
      <c r="A107" s="99">
        <v>2026.0</v>
      </c>
    </row>
    <row r="108">
      <c r="A108" s="99" t="s">
        <v>749</v>
      </c>
    </row>
    <row r="109">
      <c r="A109" s="117">
        <f>A112+B112+C112+D112+E112+F112+G112+H112+I112+J112</f>
        <v>55900</v>
      </c>
    </row>
    <row r="110">
      <c r="A110" s="111" t="s">
        <v>834</v>
      </c>
      <c r="B110" s="111" t="s">
        <v>835</v>
      </c>
      <c r="C110" s="111" t="s">
        <v>836</v>
      </c>
      <c r="D110" s="111" t="s">
        <v>837</v>
      </c>
      <c r="E110" s="111" t="s">
        <v>838</v>
      </c>
      <c r="F110" s="111" t="s">
        <v>839</v>
      </c>
      <c r="G110" s="111" t="s">
        <v>841</v>
      </c>
      <c r="H110" s="111" t="s">
        <v>843</v>
      </c>
      <c r="I110" s="104" t="s">
        <v>846</v>
      </c>
      <c r="J110" s="104" t="s">
        <v>847</v>
      </c>
    </row>
    <row r="111">
      <c r="A111" s="11" t="s">
        <v>683</v>
      </c>
      <c r="B111" s="11" t="s">
        <v>683</v>
      </c>
      <c r="C111" s="11" t="s">
        <v>683</v>
      </c>
      <c r="D111" s="11" t="s">
        <v>683</v>
      </c>
      <c r="E111" s="11" t="s">
        <v>683</v>
      </c>
      <c r="F111" s="11" t="s">
        <v>683</v>
      </c>
      <c r="G111" s="11" t="s">
        <v>683</v>
      </c>
      <c r="H111" s="11" t="s">
        <v>683</v>
      </c>
      <c r="I111" s="11" t="s">
        <v>683</v>
      </c>
      <c r="J111" s="11" t="s">
        <v>683</v>
      </c>
    </row>
    <row r="112">
      <c r="A112" s="85">
        <v>1700.0</v>
      </c>
      <c r="B112" s="85">
        <v>13500.0</v>
      </c>
      <c r="C112" s="85">
        <v>0.0</v>
      </c>
      <c r="D112" s="85">
        <v>10500.0</v>
      </c>
      <c r="E112" s="85">
        <v>0.0</v>
      </c>
      <c r="F112" s="85">
        <v>15600.0</v>
      </c>
      <c r="G112" s="85">
        <v>500.0</v>
      </c>
      <c r="H112" s="85">
        <v>9200.0</v>
      </c>
      <c r="I112" s="85">
        <v>4900.0</v>
      </c>
      <c r="J112" s="85">
        <v>0.0</v>
      </c>
    </row>
    <row r="113">
      <c r="A113" s="12" t="s">
        <v>1670</v>
      </c>
      <c r="B113" s="12" t="s">
        <v>1461</v>
      </c>
      <c r="D113" s="12" t="s">
        <v>1671</v>
      </c>
      <c r="F113" s="12" t="s">
        <v>1672</v>
      </c>
      <c r="G113" s="12" t="s">
        <v>1673</v>
      </c>
      <c r="H113" s="12" t="s">
        <v>1622</v>
      </c>
      <c r="I113" s="12" t="s">
        <v>1674</v>
      </c>
    </row>
    <row r="114">
      <c r="A114" s="12" t="s">
        <v>1364</v>
      </c>
      <c r="B114" s="12" t="s">
        <v>1115</v>
      </c>
      <c r="D114" s="12" t="s">
        <v>777</v>
      </c>
      <c r="F114" s="12" t="s">
        <v>1195</v>
      </c>
      <c r="G114" s="12" t="s">
        <v>604</v>
      </c>
      <c r="H114" s="12" t="s">
        <v>1225</v>
      </c>
      <c r="I114" s="12" t="s">
        <v>914</v>
      </c>
    </row>
    <row r="115">
      <c r="A115" s="12" t="s">
        <v>1675</v>
      </c>
      <c r="B115" s="12" t="s">
        <v>873</v>
      </c>
      <c r="D115" s="12" t="s">
        <v>1677</v>
      </c>
      <c r="F115" s="12" t="s">
        <v>902</v>
      </c>
      <c r="H115" s="12" t="s">
        <v>1678</v>
      </c>
      <c r="I115" s="12" t="s">
        <v>879</v>
      </c>
    </row>
    <row r="116">
      <c r="A116" s="12" t="s">
        <v>604</v>
      </c>
      <c r="B116" s="12" t="s">
        <v>902</v>
      </c>
      <c r="D116" s="12" t="s">
        <v>605</v>
      </c>
      <c r="F116" s="12" t="s">
        <v>1680</v>
      </c>
      <c r="H116" s="12" t="s">
        <v>826</v>
      </c>
      <c r="I116" s="12" t="s">
        <v>1681</v>
      </c>
    </row>
    <row r="117">
      <c r="B117" s="12" t="s">
        <v>1682</v>
      </c>
      <c r="D117" s="12" t="s">
        <v>1683</v>
      </c>
      <c r="F117" s="12" t="s">
        <v>604</v>
      </c>
      <c r="I117" s="12" t="s">
        <v>653</v>
      </c>
    </row>
    <row r="118">
      <c r="B118" s="12" t="s">
        <v>604</v>
      </c>
      <c r="D118" s="12" t="s">
        <v>1062</v>
      </c>
      <c r="F118" s="12" t="s">
        <v>1684</v>
      </c>
      <c r="I118" s="12" t="s">
        <v>879</v>
      </c>
    </row>
    <row r="119">
      <c r="B119" s="12" t="s">
        <v>1686</v>
      </c>
      <c r="F119" s="12" t="s">
        <v>923</v>
      </c>
    </row>
    <row r="120">
      <c r="B120" s="12" t="s">
        <v>620</v>
      </c>
      <c r="F120" s="12" t="s">
        <v>1690</v>
      </c>
    </row>
    <row r="121">
      <c r="B121" s="12" t="s">
        <v>1692</v>
      </c>
      <c r="F121" s="12" t="s">
        <v>777</v>
      </c>
    </row>
    <row r="122">
      <c r="B122" s="12" t="s">
        <v>604</v>
      </c>
    </row>
    <row r="123">
      <c r="A123" s="108" t="s">
        <v>938</v>
      </c>
    </row>
    <row r="124">
      <c r="A124" s="109" t="s">
        <v>940</v>
      </c>
    </row>
    <row r="125">
      <c r="A125" s="109">
        <f>A128</f>
        <v>62500</v>
      </c>
    </row>
    <row r="126">
      <c r="A126" s="109">
        <v>2026.0</v>
      </c>
    </row>
    <row r="127">
      <c r="A127" s="109" t="s">
        <v>749</v>
      </c>
    </row>
    <row r="128">
      <c r="A128" s="110">
        <f>A131+B131+C131+D131+E131+F131+G131+H131+I131+J131</f>
        <v>62500</v>
      </c>
    </row>
    <row r="129">
      <c r="A129" s="85" t="s">
        <v>959</v>
      </c>
      <c r="B129" s="85" t="s">
        <v>960</v>
      </c>
      <c r="C129" s="85" t="s">
        <v>963</v>
      </c>
      <c r="D129" s="85" t="s">
        <v>964</v>
      </c>
      <c r="E129" s="85" t="s">
        <v>966</v>
      </c>
      <c r="F129" s="85" t="s">
        <v>967</v>
      </c>
      <c r="G129" s="111" t="s">
        <v>969</v>
      </c>
      <c r="H129" s="107" t="s">
        <v>972</v>
      </c>
      <c r="I129" s="107" t="s">
        <v>975</v>
      </c>
      <c r="J129" s="107" t="s">
        <v>976</v>
      </c>
    </row>
    <row r="130">
      <c r="A130" s="11" t="s">
        <v>683</v>
      </c>
      <c r="B130" s="11" t="s">
        <v>683</v>
      </c>
      <c r="C130" s="11" t="s">
        <v>683</v>
      </c>
      <c r="D130" s="11" t="s">
        <v>683</v>
      </c>
      <c r="E130" s="11" t="s">
        <v>683</v>
      </c>
      <c r="F130" s="11" t="s">
        <v>683</v>
      </c>
      <c r="G130" s="11" t="s">
        <v>683</v>
      </c>
      <c r="H130" s="34" t="s">
        <v>683</v>
      </c>
      <c r="I130" s="34" t="s">
        <v>683</v>
      </c>
      <c r="J130" s="34" t="s">
        <v>683</v>
      </c>
    </row>
    <row r="131">
      <c r="A131" s="85">
        <v>40500.0</v>
      </c>
      <c r="B131" s="85"/>
      <c r="C131" s="85"/>
      <c r="D131" s="85"/>
      <c r="E131" s="85">
        <v>3000.0</v>
      </c>
      <c r="F131" s="85"/>
      <c r="G131" s="85">
        <v>19000.0</v>
      </c>
      <c r="H131" s="85"/>
      <c r="I131" s="85"/>
      <c r="J131" s="85"/>
    </row>
    <row r="132">
      <c r="A132" s="12" t="s">
        <v>1672</v>
      </c>
      <c r="E132" s="12" t="s">
        <v>1701</v>
      </c>
      <c r="G132" s="12" t="s">
        <v>1674</v>
      </c>
    </row>
    <row r="133">
      <c r="A133" s="12" t="s">
        <v>1312</v>
      </c>
      <c r="E133" s="12" t="s">
        <v>605</v>
      </c>
      <c r="G133" s="12" t="s">
        <v>878</v>
      </c>
    </row>
    <row r="134">
      <c r="A134" s="12" t="s">
        <v>989</v>
      </c>
      <c r="E134" s="12" t="s">
        <v>1704</v>
      </c>
      <c r="G134" s="12" t="s">
        <v>1625</v>
      </c>
    </row>
    <row r="135">
      <c r="A135" s="12" t="s">
        <v>1204</v>
      </c>
      <c r="E135" s="12" t="s">
        <v>605</v>
      </c>
      <c r="G135" s="12" t="s">
        <v>1521</v>
      </c>
    </row>
    <row r="136">
      <c r="A136" s="12" t="s">
        <v>1197</v>
      </c>
      <c r="E136" s="12" t="s">
        <v>1705</v>
      </c>
      <c r="G136" s="12" t="s">
        <v>1006</v>
      </c>
    </row>
    <row r="137">
      <c r="E137" s="12" t="s">
        <v>605</v>
      </c>
    </row>
    <row r="146">
      <c r="A146" s="112" t="s">
        <v>1015</v>
      </c>
    </row>
    <row r="147">
      <c r="A147" s="112">
        <f>A150</f>
        <v>86000</v>
      </c>
    </row>
    <row r="148">
      <c r="A148" s="112">
        <v>2026.0</v>
      </c>
    </row>
    <row r="149">
      <c r="A149" s="112" t="s">
        <v>749</v>
      </c>
    </row>
    <row r="150">
      <c r="A150" s="112">
        <f>A153+B153+C153+D153+E153+F153+G153+H153</f>
        <v>86000</v>
      </c>
    </row>
    <row r="151">
      <c r="A151" s="85" t="s">
        <v>1035</v>
      </c>
      <c r="B151" s="85" t="s">
        <v>1013</v>
      </c>
      <c r="C151" s="85" t="s">
        <v>1016</v>
      </c>
      <c r="D151" s="85" t="s">
        <v>1023</v>
      </c>
      <c r="E151" s="85" t="s">
        <v>1037</v>
      </c>
      <c r="F151" s="85" t="s">
        <v>1038</v>
      </c>
      <c r="G151" s="85" t="s">
        <v>1039</v>
      </c>
      <c r="H151" s="85" t="s">
        <v>1033</v>
      </c>
    </row>
    <row r="152">
      <c r="A152" s="11" t="s">
        <v>683</v>
      </c>
      <c r="B152" s="11" t="s">
        <v>683</v>
      </c>
      <c r="C152" s="11" t="s">
        <v>683</v>
      </c>
      <c r="D152" s="11" t="s">
        <v>683</v>
      </c>
      <c r="E152" s="11" t="s">
        <v>683</v>
      </c>
      <c r="F152" s="11" t="s">
        <v>683</v>
      </c>
      <c r="G152" s="11" t="s">
        <v>683</v>
      </c>
      <c r="H152" s="11" t="s">
        <v>683</v>
      </c>
    </row>
    <row r="153">
      <c r="A153" s="85">
        <v>0.0</v>
      </c>
      <c r="B153" s="85">
        <v>0.0</v>
      </c>
      <c r="C153" s="85">
        <v>0.0</v>
      </c>
      <c r="D153" s="85">
        <v>0.0</v>
      </c>
      <c r="E153" s="85">
        <v>1000.0</v>
      </c>
      <c r="F153" s="85">
        <v>0.0</v>
      </c>
      <c r="G153" s="85">
        <v>0.0</v>
      </c>
      <c r="H153" s="85">
        <f>19000+66000</f>
        <v>85000</v>
      </c>
    </row>
    <row r="154">
      <c r="E154" s="12" t="s">
        <v>1672</v>
      </c>
      <c r="H154" s="12" t="s">
        <v>1712</v>
      </c>
    </row>
    <row r="155">
      <c r="E155" s="12" t="s">
        <v>605</v>
      </c>
      <c r="H155" s="12" t="s">
        <v>605</v>
      </c>
    </row>
    <row r="156">
      <c r="H156" s="12" t="s">
        <v>1715</v>
      </c>
    </row>
    <row r="157">
      <c r="H157" s="12" t="s">
        <v>1266</v>
      </c>
    </row>
    <row r="158">
      <c r="H158" s="12" t="s">
        <v>1716</v>
      </c>
    </row>
    <row r="159">
      <c r="H159" s="12" t="s">
        <v>605</v>
      </c>
    </row>
    <row r="160">
      <c r="H160" s="12" t="s">
        <v>1266</v>
      </c>
    </row>
    <row r="161">
      <c r="H161" s="12" t="s">
        <v>1718</v>
      </c>
    </row>
    <row r="162">
      <c r="H162" s="12" t="s">
        <v>710</v>
      </c>
    </row>
    <row r="163">
      <c r="H163" s="12" t="s">
        <v>1615</v>
      </c>
    </row>
    <row r="164">
      <c r="H164" s="12" t="s">
        <v>1266</v>
      </c>
    </row>
    <row r="169">
      <c r="A169" s="157" t="s">
        <v>1048</v>
      </c>
    </row>
    <row r="170">
      <c r="A170" s="157">
        <f>A173</f>
        <v>0</v>
      </c>
    </row>
    <row r="171">
      <c r="A171" s="157">
        <v>2026.0</v>
      </c>
    </row>
    <row r="172">
      <c r="A172" s="157" t="s">
        <v>749</v>
      </c>
    </row>
    <row r="173">
      <c r="A173" s="158">
        <f>A176+B176+C176+D176+E176+F176+G176+H176+I176+J176</f>
        <v>0</v>
      </c>
    </row>
    <row r="174">
      <c r="A174" s="105" t="s">
        <v>1066</v>
      </c>
      <c r="B174" s="105" t="s">
        <v>1068</v>
      </c>
      <c r="C174" s="105" t="s">
        <v>1069</v>
      </c>
      <c r="D174" s="105" t="s">
        <v>1070</v>
      </c>
      <c r="E174" s="105" t="s">
        <v>1072</v>
      </c>
      <c r="F174" s="105" t="s">
        <v>1073</v>
      </c>
      <c r="G174" s="105" t="s">
        <v>1074</v>
      </c>
      <c r="H174" s="105" t="s">
        <v>1076</v>
      </c>
      <c r="I174" s="105" t="s">
        <v>1078</v>
      </c>
      <c r="J174" s="105" t="s">
        <v>1080</v>
      </c>
    </row>
    <row r="175">
      <c r="A175" s="34" t="s">
        <v>683</v>
      </c>
      <c r="B175" s="34" t="s">
        <v>683</v>
      </c>
      <c r="C175" s="34" t="s">
        <v>683</v>
      </c>
      <c r="D175" s="34" t="s">
        <v>683</v>
      </c>
      <c r="E175" s="34" t="s">
        <v>683</v>
      </c>
      <c r="F175" s="34" t="s">
        <v>683</v>
      </c>
      <c r="G175" s="34" t="s">
        <v>683</v>
      </c>
      <c r="H175" s="34" t="s">
        <v>683</v>
      </c>
      <c r="I175" s="34" t="s">
        <v>683</v>
      </c>
      <c r="J175" s="34" t="s">
        <v>683</v>
      </c>
    </row>
    <row r="176">
      <c r="A176" s="105">
        <v>0.0</v>
      </c>
      <c r="B176" s="105">
        <v>0.0</v>
      </c>
      <c r="C176" s="105">
        <v>0.0</v>
      </c>
      <c r="D176" s="105">
        <v>0.0</v>
      </c>
      <c r="E176" s="105">
        <v>0.0</v>
      </c>
      <c r="F176" s="105">
        <v>0.0</v>
      </c>
      <c r="G176" s="105">
        <v>0.0</v>
      </c>
      <c r="H176" s="105">
        <v>0.0</v>
      </c>
      <c r="I176" s="105">
        <v>0.0</v>
      </c>
      <c r="J176" s="105">
        <v>0.0</v>
      </c>
    </row>
  </sheetData>
  <mergeCells count="59">
    <mergeCell ref="A106:J106"/>
    <mergeCell ref="A107:J107"/>
    <mergeCell ref="A108:J108"/>
    <mergeCell ref="A109:J109"/>
    <mergeCell ref="A123:J123"/>
    <mergeCell ref="A124:J124"/>
    <mergeCell ref="A125:J125"/>
    <mergeCell ref="A150:H150"/>
    <mergeCell ref="A169:J169"/>
    <mergeCell ref="A170:J170"/>
    <mergeCell ref="A171:J171"/>
    <mergeCell ref="A172:J172"/>
    <mergeCell ref="A173:J173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M11:M12"/>
    <mergeCell ref="O16:R16"/>
    <mergeCell ref="N8:N19"/>
    <mergeCell ref="N20:N22"/>
    <mergeCell ref="H6:J6"/>
    <mergeCell ref="K6:M6"/>
    <mergeCell ref="N6:R6"/>
    <mergeCell ref="K7:M7"/>
    <mergeCell ref="K8:M8"/>
    <mergeCell ref="K11:K12"/>
    <mergeCell ref="O20:R20"/>
    <mergeCell ref="O19:P19"/>
    <mergeCell ref="O22:P22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23.38"/>
    <col customWidth="1" min="16" max="16" width="14.88"/>
    <col customWidth="1" min="17" max="17" width="18.13"/>
    <col customWidth="1" min="22" max="22" width="29.75"/>
  </cols>
  <sheetData>
    <row r="1">
      <c r="A1" s="159" t="s">
        <v>1749</v>
      </c>
    </row>
    <row r="2">
      <c r="A2" s="160" t="s">
        <v>1752</v>
      </c>
    </row>
    <row r="3">
      <c r="A3" s="159" t="s">
        <v>6</v>
      </c>
    </row>
    <row r="4">
      <c r="A4" s="161">
        <f>100000+B6+C6+E6+E10+F6+G6+H6+A50+B22+K6+M6+P6</f>
        <v>2544385</v>
      </c>
    </row>
    <row r="5">
      <c r="A5" s="11" t="s">
        <v>19</v>
      </c>
      <c r="B5" s="163" t="s">
        <v>46</v>
      </c>
      <c r="C5" s="160" t="s">
        <v>1214</v>
      </c>
      <c r="D5" s="11" t="s">
        <v>26</v>
      </c>
      <c r="E5" s="163" t="s">
        <v>1216</v>
      </c>
      <c r="F5" s="11" t="s">
        <v>1757</v>
      </c>
      <c r="G5" s="163" t="s">
        <v>1758</v>
      </c>
      <c r="H5" s="11" t="s">
        <v>59</v>
      </c>
      <c r="K5" s="165" t="s">
        <v>232</v>
      </c>
      <c r="M5" s="11" t="s">
        <v>65</v>
      </c>
      <c r="P5" s="166" t="s">
        <v>60</v>
      </c>
    </row>
    <row r="6">
      <c r="A6" s="12" t="s">
        <v>1759</v>
      </c>
      <c r="B6" s="161">
        <v>-160000.0</v>
      </c>
      <c r="C6" s="161">
        <v>17000.0</v>
      </c>
      <c r="D6" s="12" t="s">
        <v>1764</v>
      </c>
      <c r="E6" s="161">
        <v>2000.0</v>
      </c>
      <c r="F6" s="161">
        <v>14200.0</v>
      </c>
      <c r="G6" s="161">
        <v>-20000.0</v>
      </c>
      <c r="H6" s="161">
        <v>42000.0</v>
      </c>
      <c r="K6" s="167">
        <v>5000.0</v>
      </c>
      <c r="M6" s="161">
        <f>-100000+O9+O11+O14+O16+O19+O20+O18+O21</f>
        <v>222000</v>
      </c>
      <c r="P6" s="161">
        <f>S13+S20+S30+S33</f>
        <v>224250</v>
      </c>
      <c r="V6" s="11"/>
    </row>
    <row r="7">
      <c r="A7" s="12" t="s">
        <v>1775</v>
      </c>
      <c r="B7" s="15" t="s">
        <v>35</v>
      </c>
      <c r="C7" s="12" t="s">
        <v>1779</v>
      </c>
      <c r="D7" s="12" t="s">
        <v>1781</v>
      </c>
      <c r="E7" s="12" t="s">
        <v>1783</v>
      </c>
      <c r="F7" s="12" t="s">
        <v>77</v>
      </c>
      <c r="G7" s="12" t="s">
        <v>83</v>
      </c>
      <c r="H7" s="85" t="s">
        <v>77</v>
      </c>
      <c r="K7" s="64" t="s">
        <v>284</v>
      </c>
      <c r="L7" s="64" t="s">
        <v>285</v>
      </c>
      <c r="M7" s="11" t="s">
        <v>1787</v>
      </c>
      <c r="P7" s="168" t="s">
        <v>85</v>
      </c>
      <c r="Q7" s="165" t="s">
        <v>87</v>
      </c>
      <c r="R7" s="165" t="s">
        <v>88</v>
      </c>
      <c r="S7" s="165" t="s">
        <v>1</v>
      </c>
      <c r="T7" s="165" t="s">
        <v>90</v>
      </c>
      <c r="V7" s="169"/>
    </row>
    <row r="8">
      <c r="A8" s="12" t="s">
        <v>1794</v>
      </c>
      <c r="B8" s="14" t="s">
        <v>345</v>
      </c>
      <c r="C8" s="12" t="s">
        <v>1795</v>
      </c>
      <c r="D8" s="12" t="s">
        <v>1796</v>
      </c>
      <c r="E8" s="12" t="s">
        <v>1797</v>
      </c>
      <c r="F8" s="12" t="s">
        <v>1799</v>
      </c>
      <c r="G8" s="12" t="s">
        <v>99</v>
      </c>
      <c r="H8" s="11" t="s">
        <v>1802</v>
      </c>
      <c r="I8" s="11" t="s">
        <v>1805</v>
      </c>
      <c r="J8" s="11" t="s">
        <v>81</v>
      </c>
      <c r="K8" s="12" t="s">
        <v>336</v>
      </c>
      <c r="L8" s="12" t="s">
        <v>1809</v>
      </c>
      <c r="M8" s="160" t="s">
        <v>130</v>
      </c>
      <c r="N8" s="160" t="s">
        <v>135</v>
      </c>
      <c r="O8" s="160" t="s">
        <v>1</v>
      </c>
      <c r="P8" s="170" t="s">
        <v>1810</v>
      </c>
      <c r="Q8" s="171" t="s">
        <v>106</v>
      </c>
      <c r="R8" s="171">
        <v>10.0</v>
      </c>
      <c r="S8" s="171">
        <f>R8*1000</f>
        <v>10000</v>
      </c>
      <c r="T8" s="172">
        <f>R8*20</f>
        <v>200</v>
      </c>
    </row>
    <row r="9">
      <c r="A9" s="12" t="s">
        <v>1825</v>
      </c>
      <c r="B9" s="14" t="s">
        <v>382</v>
      </c>
      <c r="C9" s="12" t="s">
        <v>1827</v>
      </c>
      <c r="D9" s="12" t="s">
        <v>1828</v>
      </c>
      <c r="E9" s="11" t="s">
        <v>1829</v>
      </c>
      <c r="F9" s="12" t="s">
        <v>1830</v>
      </c>
      <c r="H9" s="12" t="s">
        <v>1162</v>
      </c>
      <c r="I9" s="12" t="s">
        <v>1831</v>
      </c>
      <c r="J9" s="12" t="s">
        <v>1832</v>
      </c>
      <c r="M9" s="50" t="s">
        <v>1164</v>
      </c>
      <c r="N9" s="14" t="s">
        <v>160</v>
      </c>
      <c r="O9" s="50">
        <v>6000.0</v>
      </c>
      <c r="Q9" s="171" t="s">
        <v>338</v>
      </c>
      <c r="R9" s="171">
        <v>4.0</v>
      </c>
      <c r="S9" s="172">
        <f>R9*3000</f>
        <v>12000</v>
      </c>
      <c r="T9" s="172">
        <f>R9*40</f>
        <v>160</v>
      </c>
    </row>
    <row r="10">
      <c r="A10" s="12" t="s">
        <v>1838</v>
      </c>
      <c r="B10" s="14" t="s">
        <v>426</v>
      </c>
      <c r="C10" s="12" t="s">
        <v>1839</v>
      </c>
      <c r="D10" s="12" t="s">
        <v>1840</v>
      </c>
      <c r="E10" s="161">
        <v>-1000.0</v>
      </c>
      <c r="F10" s="12" t="s">
        <v>134</v>
      </c>
      <c r="H10" s="12" t="s">
        <v>505</v>
      </c>
      <c r="I10" s="12" t="s">
        <v>179</v>
      </c>
      <c r="J10" s="12" t="s">
        <v>1841</v>
      </c>
      <c r="N10" s="14" t="s">
        <v>249</v>
      </c>
      <c r="Q10" s="171" t="s">
        <v>199</v>
      </c>
      <c r="R10" s="171">
        <v>1.0</v>
      </c>
      <c r="S10" s="172">
        <f>R10*5000</f>
        <v>5000</v>
      </c>
      <c r="T10" s="172">
        <f>R10*100</f>
        <v>100</v>
      </c>
    </row>
    <row r="11">
      <c r="A11" s="12" t="s">
        <v>1845</v>
      </c>
      <c r="B11" s="14" t="s">
        <v>456</v>
      </c>
      <c r="C11" s="12" t="s">
        <v>1846</v>
      </c>
      <c r="D11" s="12" t="s">
        <v>1847</v>
      </c>
      <c r="E11" s="12" t="s">
        <v>1849</v>
      </c>
      <c r="F11" s="12" t="s">
        <v>672</v>
      </c>
      <c r="H11" s="12" t="s">
        <v>388</v>
      </c>
      <c r="I11" s="12" t="s">
        <v>1850</v>
      </c>
      <c r="J11" s="12" t="s">
        <v>1851</v>
      </c>
      <c r="M11" s="50" t="s">
        <v>1852</v>
      </c>
      <c r="N11" s="14" t="s">
        <v>241</v>
      </c>
      <c r="O11" s="50">
        <v>5000.0</v>
      </c>
      <c r="Q11" s="171" t="s">
        <v>215</v>
      </c>
    </row>
    <row r="12">
      <c r="A12" s="12" t="s">
        <v>1856</v>
      </c>
      <c r="B12" s="15" t="s">
        <v>40</v>
      </c>
      <c r="C12" s="12" t="s">
        <v>1508</v>
      </c>
      <c r="D12" s="12" t="s">
        <v>1857</v>
      </c>
      <c r="E12" s="12" t="s">
        <v>1858</v>
      </c>
      <c r="F12" s="12" t="s">
        <v>1859</v>
      </c>
      <c r="H12" s="12" t="s">
        <v>1860</v>
      </c>
      <c r="I12" s="12" t="s">
        <v>1862</v>
      </c>
      <c r="J12" s="12" t="s">
        <v>1863</v>
      </c>
      <c r="N12" s="14" t="s">
        <v>1412</v>
      </c>
      <c r="Q12" s="171" t="s">
        <v>251</v>
      </c>
      <c r="R12" s="171">
        <v>1.5</v>
      </c>
      <c r="S12" s="172">
        <f>R12*1500</f>
        <v>2250</v>
      </c>
      <c r="T12" s="172">
        <f>R12*40</f>
        <v>60</v>
      </c>
    </row>
    <row r="13">
      <c r="A13" s="12" t="s">
        <v>1872</v>
      </c>
      <c r="B13" s="14" t="s">
        <v>500</v>
      </c>
      <c r="C13" s="12" t="s">
        <v>1873</v>
      </c>
      <c r="D13" s="12" t="s">
        <v>1874</v>
      </c>
      <c r="F13" s="12" t="s">
        <v>571</v>
      </c>
      <c r="H13" s="12" t="s">
        <v>166</v>
      </c>
      <c r="I13" s="12" t="s">
        <v>1876</v>
      </c>
      <c r="J13" s="12" t="s">
        <v>1877</v>
      </c>
      <c r="N13" s="14" t="s">
        <v>196</v>
      </c>
      <c r="Q13" s="159" t="s">
        <v>118</v>
      </c>
      <c r="S13" s="177">
        <f t="shared" ref="S13:T13" si="1">S8+S9+S10+S12</f>
        <v>29250</v>
      </c>
      <c r="T13" s="177">
        <f t="shared" si="1"/>
        <v>520</v>
      </c>
    </row>
    <row r="14">
      <c r="A14" s="12" t="s">
        <v>1891</v>
      </c>
      <c r="B14" s="15" t="s">
        <v>44</v>
      </c>
      <c r="C14" s="12" t="s">
        <v>1892</v>
      </c>
      <c r="D14" s="12" t="s">
        <v>1894</v>
      </c>
      <c r="F14" s="12" t="s">
        <v>736</v>
      </c>
      <c r="H14" s="12" t="s">
        <v>1040</v>
      </c>
      <c r="I14" s="12" t="s">
        <v>563</v>
      </c>
      <c r="J14" s="12" t="s">
        <v>1895</v>
      </c>
      <c r="M14" s="50" t="s">
        <v>1896</v>
      </c>
      <c r="N14" s="14" t="s">
        <v>241</v>
      </c>
      <c r="O14" s="50">
        <v>3000.0</v>
      </c>
      <c r="P14" s="170" t="s">
        <v>1900</v>
      </c>
      <c r="Q14" s="179" t="s">
        <v>106</v>
      </c>
      <c r="R14" s="179">
        <v>3.0</v>
      </c>
      <c r="S14" s="179">
        <f>R14*1000</f>
        <v>3000</v>
      </c>
      <c r="T14" s="172">
        <f>R14*20</f>
        <v>60</v>
      </c>
    </row>
    <row r="15">
      <c r="A15" s="12" t="s">
        <v>1905</v>
      </c>
      <c r="B15" s="14" t="s">
        <v>523</v>
      </c>
      <c r="C15" s="12" t="s">
        <v>1907</v>
      </c>
      <c r="F15" s="12" t="s">
        <v>386</v>
      </c>
      <c r="H15" s="12" t="s">
        <v>1556</v>
      </c>
      <c r="I15" s="12" t="s">
        <v>1912</v>
      </c>
      <c r="N15" s="14" t="s">
        <v>150</v>
      </c>
      <c r="Q15" s="179" t="s">
        <v>161</v>
      </c>
      <c r="R15" s="179">
        <v>0.5</v>
      </c>
      <c r="S15" s="181">
        <f>R15*2000</f>
        <v>1000</v>
      </c>
      <c r="T15" s="172">
        <f t="shared" ref="T15:T16" si="2">R15*40</f>
        <v>20</v>
      </c>
    </row>
    <row r="16">
      <c r="A16" s="12" t="s">
        <v>1921</v>
      </c>
      <c r="B16" s="14" t="s">
        <v>539</v>
      </c>
      <c r="C16" s="12" t="s">
        <v>1499</v>
      </c>
      <c r="F16" s="12" t="s">
        <v>1335</v>
      </c>
      <c r="H16" s="12" t="s">
        <v>388</v>
      </c>
      <c r="I16" s="12" t="s">
        <v>264</v>
      </c>
      <c r="M16" s="50" t="s">
        <v>1925</v>
      </c>
      <c r="N16" s="14" t="s">
        <v>241</v>
      </c>
      <c r="O16" s="50">
        <v>3000.0</v>
      </c>
      <c r="Q16" s="179" t="s">
        <v>338</v>
      </c>
      <c r="R16" s="179">
        <v>0.5</v>
      </c>
      <c r="S16" s="181">
        <f>R16*3000</f>
        <v>1500</v>
      </c>
      <c r="T16" s="172">
        <f t="shared" si="2"/>
        <v>20</v>
      </c>
    </row>
    <row r="17">
      <c r="A17" s="12" t="s">
        <v>1934</v>
      </c>
      <c r="B17" s="14" t="s">
        <v>546</v>
      </c>
      <c r="C17" s="12" t="s">
        <v>1935</v>
      </c>
      <c r="F17" s="12" t="s">
        <v>1900</v>
      </c>
      <c r="H17" s="12" t="s">
        <v>1099</v>
      </c>
      <c r="I17" s="12" t="s">
        <v>1937</v>
      </c>
      <c r="N17" s="14" t="s">
        <v>150</v>
      </c>
      <c r="Q17" s="171" t="s">
        <v>199</v>
      </c>
      <c r="R17" s="171">
        <v>3.5</v>
      </c>
      <c r="S17" s="172">
        <f>R17*5000</f>
        <v>17500</v>
      </c>
      <c r="T17" s="172">
        <f>R17*100</f>
        <v>350</v>
      </c>
    </row>
    <row r="18">
      <c r="A18" s="12" t="s">
        <v>1944</v>
      </c>
      <c r="C18" s="12" t="s">
        <v>74</v>
      </c>
      <c r="F18" s="12" t="s">
        <v>386</v>
      </c>
      <c r="H18" s="12" t="s">
        <v>573</v>
      </c>
      <c r="M18" s="12" t="s">
        <v>1952</v>
      </c>
      <c r="N18" s="11" t="s">
        <v>526</v>
      </c>
      <c r="O18" s="14">
        <v>15000.0</v>
      </c>
      <c r="Q18" s="171" t="s">
        <v>215</v>
      </c>
    </row>
    <row r="19">
      <c r="A19" s="12" t="s">
        <v>1954</v>
      </c>
      <c r="C19" s="12" t="s">
        <v>1955</v>
      </c>
      <c r="F19" s="12" t="s">
        <v>736</v>
      </c>
      <c r="H19" s="12" t="s">
        <v>1956</v>
      </c>
      <c r="M19" s="11" t="s">
        <v>1957</v>
      </c>
      <c r="O19" s="14">
        <v>100000.0</v>
      </c>
      <c r="Q19" s="171" t="s">
        <v>564</v>
      </c>
      <c r="R19" s="171">
        <v>1.5</v>
      </c>
      <c r="S19" s="172">
        <f>R19*1500</f>
        <v>2250</v>
      </c>
      <c r="T19" s="172">
        <f>R19*40</f>
        <v>60</v>
      </c>
    </row>
    <row r="20">
      <c r="A20" s="12" t="s">
        <v>1965</v>
      </c>
      <c r="C20" s="12" t="s">
        <v>636</v>
      </c>
      <c r="F20" s="12" t="s">
        <v>1966</v>
      </c>
      <c r="H20" s="12" t="s">
        <v>505</v>
      </c>
      <c r="M20" s="11" t="s">
        <v>798</v>
      </c>
      <c r="O20" s="14">
        <v>40000.0</v>
      </c>
      <c r="Q20" s="159" t="s">
        <v>118</v>
      </c>
      <c r="S20" s="177">
        <f t="shared" ref="S20:T20" si="3">S14+S15+S16+S19+S17</f>
        <v>25250</v>
      </c>
      <c r="T20" s="177">
        <f t="shared" si="3"/>
        <v>510</v>
      </c>
    </row>
    <row r="21">
      <c r="A21" s="12" t="s">
        <v>1978</v>
      </c>
      <c r="B21" s="184" t="s">
        <v>1979</v>
      </c>
      <c r="C21" s="12" t="s">
        <v>1981</v>
      </c>
      <c r="F21" s="12" t="s">
        <v>208</v>
      </c>
      <c r="H21" s="12" t="s">
        <v>388</v>
      </c>
      <c r="M21" s="11" t="s">
        <v>288</v>
      </c>
      <c r="O21" s="11">
        <v>150000.0</v>
      </c>
      <c r="P21" s="170" t="s">
        <v>1988</v>
      </c>
      <c r="Q21" s="171" t="s">
        <v>338</v>
      </c>
      <c r="R21" s="171">
        <v>7.0</v>
      </c>
      <c r="S21" s="172">
        <f>R21*3000</f>
        <v>21000</v>
      </c>
      <c r="T21" s="172">
        <f>R21*40</f>
        <v>280</v>
      </c>
    </row>
    <row r="22">
      <c r="A22" s="12" t="s">
        <v>1995</v>
      </c>
      <c r="B22" s="186">
        <v>10000.0</v>
      </c>
      <c r="C22" s="12" t="s">
        <v>612</v>
      </c>
      <c r="F22" s="12" t="s">
        <v>1335</v>
      </c>
      <c r="H22" s="12" t="s">
        <v>1997</v>
      </c>
      <c r="Q22" s="171" t="s">
        <v>199</v>
      </c>
      <c r="R22" s="171">
        <v>4.0</v>
      </c>
      <c r="S22" s="172">
        <f>R22*5000</f>
        <v>20000</v>
      </c>
      <c r="T22" s="172">
        <f>R22*100</f>
        <v>400</v>
      </c>
    </row>
    <row r="23">
      <c r="A23" s="12" t="s">
        <v>2002</v>
      </c>
      <c r="B23" s="12" t="s">
        <v>2003</v>
      </c>
      <c r="C23" s="12" t="s">
        <v>2004</v>
      </c>
      <c r="F23" s="12" t="s">
        <v>2005</v>
      </c>
      <c r="H23" s="12" t="s">
        <v>166</v>
      </c>
      <c r="Q23" s="171" t="s">
        <v>181</v>
      </c>
      <c r="R23" s="171">
        <v>8.0</v>
      </c>
      <c r="S23" s="172">
        <f t="shared" ref="S23:S24" si="4">R23*8000</f>
        <v>64000</v>
      </c>
      <c r="T23" s="172">
        <f t="shared" ref="T23:T24" si="5">R23*80</f>
        <v>640</v>
      </c>
    </row>
    <row r="24">
      <c r="A24" s="12" t="s">
        <v>2011</v>
      </c>
      <c r="B24" s="12" t="s">
        <v>2012</v>
      </c>
      <c r="F24" s="12" t="s">
        <v>166</v>
      </c>
      <c r="H24" s="12" t="s">
        <v>156</v>
      </c>
      <c r="Q24" s="171" t="s">
        <v>223</v>
      </c>
      <c r="R24" s="171">
        <v>5.0</v>
      </c>
      <c r="S24" s="172">
        <f t="shared" si="4"/>
        <v>40000</v>
      </c>
      <c r="T24" s="172">
        <f t="shared" si="5"/>
        <v>400</v>
      </c>
    </row>
    <row r="25">
      <c r="A25" s="12" t="s">
        <v>2017</v>
      </c>
      <c r="B25" s="12" t="s">
        <v>2018</v>
      </c>
      <c r="F25" s="12" t="s">
        <v>1254</v>
      </c>
      <c r="H25" s="12" t="s">
        <v>195</v>
      </c>
      <c r="Q25" s="171" t="s">
        <v>215</v>
      </c>
    </row>
    <row r="26">
      <c r="A26" s="12" t="s">
        <v>2022</v>
      </c>
      <c r="F26" s="12" t="s">
        <v>571</v>
      </c>
      <c r="H26" s="12" t="s">
        <v>1014</v>
      </c>
      <c r="Q26" s="171" t="s">
        <v>259</v>
      </c>
      <c r="R26" s="171">
        <v>3.0</v>
      </c>
      <c r="S26" s="172">
        <f t="shared" ref="S26:S29" si="6">R26*1500</f>
        <v>4500</v>
      </c>
      <c r="T26" s="172">
        <f t="shared" ref="T26:T29" si="7">R26*40</f>
        <v>120</v>
      </c>
    </row>
    <row r="27">
      <c r="A27" s="12" t="s">
        <v>2030</v>
      </c>
      <c r="F27" s="12" t="s">
        <v>1272</v>
      </c>
      <c r="H27" s="12" t="s">
        <v>2031</v>
      </c>
      <c r="Q27" s="171" t="s">
        <v>2032</v>
      </c>
      <c r="R27" s="171">
        <v>1.0</v>
      </c>
      <c r="S27" s="172">
        <f t="shared" si="6"/>
        <v>1500</v>
      </c>
      <c r="T27" s="172">
        <f t="shared" si="7"/>
        <v>40</v>
      </c>
    </row>
    <row r="28">
      <c r="A28" s="12" t="s">
        <v>2033</v>
      </c>
      <c r="F28" s="12" t="s">
        <v>386</v>
      </c>
      <c r="H28" s="12" t="s">
        <v>2034</v>
      </c>
      <c r="Q28" s="171" t="s">
        <v>251</v>
      </c>
      <c r="R28" s="171">
        <v>10.5</v>
      </c>
      <c r="S28" s="172">
        <f t="shared" si="6"/>
        <v>15750</v>
      </c>
      <c r="T28" s="172">
        <f t="shared" si="7"/>
        <v>420</v>
      </c>
    </row>
    <row r="29">
      <c r="A29" s="12" t="s">
        <v>2036</v>
      </c>
      <c r="F29" s="12" t="s">
        <v>408</v>
      </c>
      <c r="H29" s="12" t="s">
        <v>501</v>
      </c>
      <c r="Q29" s="171" t="s">
        <v>268</v>
      </c>
      <c r="R29" s="171">
        <v>1.5</v>
      </c>
      <c r="S29" s="172">
        <f t="shared" si="6"/>
        <v>2250</v>
      </c>
      <c r="T29" s="172">
        <f t="shared" si="7"/>
        <v>60</v>
      </c>
    </row>
    <row r="30">
      <c r="A30" s="12" t="s">
        <v>2037</v>
      </c>
      <c r="F30" s="12" t="s">
        <v>2038</v>
      </c>
      <c r="H30" s="12" t="s">
        <v>1040</v>
      </c>
      <c r="Q30" s="159" t="s">
        <v>118</v>
      </c>
      <c r="S30" s="177">
        <f t="shared" ref="S30:T30" si="8">S21+S22+S23+S26+S27+S28+S29+S24</f>
        <v>169000</v>
      </c>
      <c r="T30" s="177">
        <f t="shared" si="8"/>
        <v>2360</v>
      </c>
    </row>
    <row r="31">
      <c r="F31" s="12" t="s">
        <v>2042</v>
      </c>
      <c r="H31" s="12" t="s">
        <v>1600</v>
      </c>
      <c r="P31" s="188" t="s">
        <v>1925</v>
      </c>
      <c r="Q31" s="171" t="s">
        <v>215</v>
      </c>
    </row>
    <row r="32">
      <c r="F32" s="12" t="s">
        <v>408</v>
      </c>
      <c r="H32" s="12" t="s">
        <v>358</v>
      </c>
      <c r="Q32" s="171" t="s">
        <v>564</v>
      </c>
      <c r="R32" s="171">
        <v>0.5</v>
      </c>
      <c r="S32" s="172">
        <f>R32*1500</f>
        <v>750</v>
      </c>
      <c r="T32" s="172">
        <f>R32*40</f>
        <v>20</v>
      </c>
    </row>
    <row r="33">
      <c r="F33" s="12" t="s">
        <v>227</v>
      </c>
      <c r="H33" s="12" t="s">
        <v>590</v>
      </c>
      <c r="Q33" s="159" t="s">
        <v>118</v>
      </c>
      <c r="S33" s="177">
        <f t="shared" ref="S33:T33" si="9">S32</f>
        <v>750</v>
      </c>
      <c r="T33" s="177">
        <f t="shared" si="9"/>
        <v>20</v>
      </c>
    </row>
    <row r="34">
      <c r="F34" s="12" t="s">
        <v>2045</v>
      </c>
      <c r="H34" s="12" t="s">
        <v>1099</v>
      </c>
    </row>
    <row r="35">
      <c r="F35" s="12" t="s">
        <v>386</v>
      </c>
      <c r="H35" s="12" t="s">
        <v>2047</v>
      </c>
    </row>
    <row r="36">
      <c r="F36" s="12" t="s">
        <v>227</v>
      </c>
      <c r="H36" s="12" t="s">
        <v>195</v>
      </c>
    </row>
    <row r="37">
      <c r="F37" s="12" t="s">
        <v>2048</v>
      </c>
      <c r="H37" s="12" t="s">
        <v>1099</v>
      </c>
    </row>
    <row r="38">
      <c r="H38" s="12" t="s">
        <v>2049</v>
      </c>
    </row>
    <row r="39">
      <c r="H39" s="12" t="s">
        <v>134</v>
      </c>
    </row>
    <row r="40">
      <c r="H40" s="12" t="s">
        <v>473</v>
      </c>
    </row>
    <row r="41">
      <c r="H41" s="12" t="s">
        <v>178</v>
      </c>
    </row>
    <row r="42">
      <c r="H42" s="12" t="s">
        <v>2050</v>
      </c>
    </row>
    <row r="43">
      <c r="H43" s="12" t="s">
        <v>2052</v>
      </c>
    </row>
    <row r="44">
      <c r="H44" s="12" t="s">
        <v>286</v>
      </c>
    </row>
    <row r="45">
      <c r="I45" s="12"/>
    </row>
    <row r="46">
      <c r="I46" s="12"/>
    </row>
    <row r="47">
      <c r="I47" s="12"/>
    </row>
    <row r="48">
      <c r="I48" s="12"/>
    </row>
    <row r="49">
      <c r="A49" s="82" t="s">
        <v>567</v>
      </c>
    </row>
    <row r="50">
      <c r="A50" s="82">
        <f>A52+A75+A91+A110+A130+A149+A181+A210</f>
        <v>2088935</v>
      </c>
    </row>
    <row r="51">
      <c r="A51" s="84" t="s">
        <v>575</v>
      </c>
    </row>
    <row r="52">
      <c r="A52" s="84">
        <v>54150.0</v>
      </c>
    </row>
    <row r="53">
      <c r="A53" s="84">
        <v>2026.0</v>
      </c>
    </row>
    <row r="54">
      <c r="A54" s="85" t="s">
        <v>576</v>
      </c>
      <c r="B54" s="85" t="s">
        <v>577</v>
      </c>
      <c r="C54" s="85" t="s">
        <v>578</v>
      </c>
      <c r="D54" s="85" t="s">
        <v>579</v>
      </c>
      <c r="E54" s="85" t="s">
        <v>580</v>
      </c>
    </row>
    <row r="55">
      <c r="A55" s="64" t="s">
        <v>1468</v>
      </c>
      <c r="C55" s="64" t="s">
        <v>599</v>
      </c>
      <c r="D55" s="64" t="s">
        <v>2057</v>
      </c>
      <c r="E55" s="64" t="s">
        <v>2058</v>
      </c>
    </row>
    <row r="56">
      <c r="A56" s="12" t="s">
        <v>2059</v>
      </c>
      <c r="C56" s="12" t="s">
        <v>2060</v>
      </c>
      <c r="D56" s="12" t="s">
        <v>2061</v>
      </c>
      <c r="E56" s="12" t="s">
        <v>2062</v>
      </c>
    </row>
    <row r="57">
      <c r="A57" s="12" t="s">
        <v>777</v>
      </c>
      <c r="C57" s="12" t="s">
        <v>1364</v>
      </c>
      <c r="D57" s="12" t="s">
        <v>620</v>
      </c>
      <c r="E57" s="12" t="s">
        <v>699</v>
      </c>
    </row>
    <row r="58">
      <c r="A58" s="12" t="s">
        <v>797</v>
      </c>
      <c r="D58" s="12" t="s">
        <v>820</v>
      </c>
      <c r="E58" s="12" t="s">
        <v>797</v>
      </c>
    </row>
    <row r="59">
      <c r="A59" s="12" t="s">
        <v>1181</v>
      </c>
      <c r="D59" s="12" t="s">
        <v>1244</v>
      </c>
      <c r="E59" s="12" t="s">
        <v>2069</v>
      </c>
    </row>
    <row r="60">
      <c r="A60" s="12" t="s">
        <v>2070</v>
      </c>
      <c r="D60" s="12" t="s">
        <v>815</v>
      </c>
      <c r="E60" s="12" t="s">
        <v>1186</v>
      </c>
    </row>
    <row r="61">
      <c r="A61" s="12" t="s">
        <v>2073</v>
      </c>
      <c r="D61" s="12" t="s">
        <v>2074</v>
      </c>
      <c r="E61" s="189" t="s">
        <v>2076</v>
      </c>
    </row>
    <row r="62">
      <c r="A62" s="12" t="s">
        <v>620</v>
      </c>
      <c r="D62" s="12" t="s">
        <v>699</v>
      </c>
      <c r="E62" s="189" t="s">
        <v>605</v>
      </c>
    </row>
    <row r="63">
      <c r="A63" s="12" t="s">
        <v>2078</v>
      </c>
      <c r="D63" s="12" t="s">
        <v>815</v>
      </c>
    </row>
    <row r="64">
      <c r="A64" s="12" t="s">
        <v>638</v>
      </c>
      <c r="D64" s="12" t="s">
        <v>2080</v>
      </c>
    </row>
    <row r="65">
      <c r="A65" s="12" t="s">
        <v>1171</v>
      </c>
      <c r="D65" s="12" t="s">
        <v>605</v>
      </c>
    </row>
    <row r="66">
      <c r="D66" s="12" t="s">
        <v>2069</v>
      </c>
    </row>
    <row r="67">
      <c r="D67" s="12" t="s">
        <v>797</v>
      </c>
    </row>
    <row r="68">
      <c r="D68" s="12" t="s">
        <v>2085</v>
      </c>
    </row>
    <row r="69">
      <c r="D69" s="12" t="s">
        <v>815</v>
      </c>
    </row>
    <row r="70">
      <c r="D70" s="12" t="s">
        <v>2090</v>
      </c>
    </row>
    <row r="71">
      <c r="D71" s="12" t="s">
        <v>1364</v>
      </c>
    </row>
    <row r="72">
      <c r="D72" s="12" t="s">
        <v>815</v>
      </c>
    </row>
    <row r="73">
      <c r="A73" s="86"/>
    </row>
    <row r="74">
      <c r="A74" s="87" t="s">
        <v>840</v>
      </c>
    </row>
    <row r="75">
      <c r="A75" s="87">
        <v>42660.0</v>
      </c>
    </row>
    <row r="76">
      <c r="A76" s="88">
        <v>2026.0</v>
      </c>
    </row>
    <row r="77">
      <c r="A77" s="85" t="s">
        <v>592</v>
      </c>
      <c r="B77" s="85" t="s">
        <v>593</v>
      </c>
      <c r="C77" s="85" t="s">
        <v>594</v>
      </c>
      <c r="D77" s="85" t="s">
        <v>595</v>
      </c>
      <c r="E77" s="85" t="s">
        <v>596</v>
      </c>
      <c r="F77" s="85" t="s">
        <v>597</v>
      </c>
    </row>
    <row r="78">
      <c r="A78" s="64" t="s">
        <v>598</v>
      </c>
      <c r="B78" s="64" t="s">
        <v>2104</v>
      </c>
      <c r="C78" s="64" t="s">
        <v>1465</v>
      </c>
      <c r="D78" s="64" t="s">
        <v>2105</v>
      </c>
      <c r="E78" s="64" t="s">
        <v>2106</v>
      </c>
      <c r="F78" s="64" t="s">
        <v>2108</v>
      </c>
    </row>
    <row r="79">
      <c r="A79" s="12" t="s">
        <v>1496</v>
      </c>
      <c r="B79" s="12" t="s">
        <v>2062</v>
      </c>
      <c r="C79" s="12" t="s">
        <v>2061</v>
      </c>
      <c r="D79" s="12" t="s">
        <v>2059</v>
      </c>
      <c r="E79" s="12" t="s">
        <v>2116</v>
      </c>
      <c r="F79" s="12" t="s">
        <v>2118</v>
      </c>
    </row>
    <row r="80">
      <c r="A80" s="12" t="s">
        <v>604</v>
      </c>
      <c r="B80" s="12" t="s">
        <v>2121</v>
      </c>
      <c r="C80" s="12" t="s">
        <v>2122</v>
      </c>
      <c r="D80" s="12" t="s">
        <v>2123</v>
      </c>
      <c r="E80" s="12" t="s">
        <v>604</v>
      </c>
      <c r="F80" s="12" t="s">
        <v>2124</v>
      </c>
    </row>
    <row r="81">
      <c r="A81" s="12" t="s">
        <v>609</v>
      </c>
      <c r="B81" s="12" t="s">
        <v>2073</v>
      </c>
      <c r="C81" s="12" t="s">
        <v>2127</v>
      </c>
      <c r="D81" s="12" t="s">
        <v>2069</v>
      </c>
      <c r="E81" s="12" t="s">
        <v>1403</v>
      </c>
      <c r="F81" s="12" t="s">
        <v>2128</v>
      </c>
    </row>
    <row r="82">
      <c r="B82" s="12" t="s">
        <v>1463</v>
      </c>
      <c r="C82" s="12" t="s">
        <v>604</v>
      </c>
      <c r="D82" s="12" t="s">
        <v>615</v>
      </c>
      <c r="E82" s="12" t="s">
        <v>2130</v>
      </c>
      <c r="F82" s="12" t="s">
        <v>783</v>
      </c>
    </row>
    <row r="83">
      <c r="B83" s="12" t="s">
        <v>2134</v>
      </c>
      <c r="C83" s="12" t="s">
        <v>2135</v>
      </c>
      <c r="E83" s="12" t="s">
        <v>604</v>
      </c>
      <c r="F83" s="12" t="s">
        <v>621</v>
      </c>
    </row>
    <row r="84">
      <c r="B84" s="12" t="s">
        <v>604</v>
      </c>
      <c r="C84" s="12" t="s">
        <v>604</v>
      </c>
      <c r="E84" s="12" t="s">
        <v>1183</v>
      </c>
      <c r="F84" s="12" t="s">
        <v>2139</v>
      </c>
    </row>
    <row r="85">
      <c r="B85" s="12" t="s">
        <v>2128</v>
      </c>
      <c r="C85" s="12" t="s">
        <v>783</v>
      </c>
      <c r="E85" s="12" t="s">
        <v>630</v>
      </c>
      <c r="F85" s="12" t="s">
        <v>2143</v>
      </c>
    </row>
    <row r="86">
      <c r="B86" s="12" t="s">
        <v>783</v>
      </c>
      <c r="C86" s="12" t="s">
        <v>2146</v>
      </c>
      <c r="E86" s="12" t="s">
        <v>1403</v>
      </c>
      <c r="F86" s="12" t="s">
        <v>621</v>
      </c>
    </row>
    <row r="87">
      <c r="C87" s="12" t="s">
        <v>1128</v>
      </c>
    </row>
    <row r="88">
      <c r="C88" s="12" t="s">
        <v>783</v>
      </c>
    </row>
    <row r="89">
      <c r="A89" s="86"/>
    </row>
    <row r="90">
      <c r="A90" s="6" t="s">
        <v>659</v>
      </c>
    </row>
    <row r="91">
      <c r="A91" s="6">
        <v>118800.0</v>
      </c>
    </row>
    <row r="92">
      <c r="A92" s="35">
        <v>2026.0</v>
      </c>
    </row>
    <row r="93">
      <c r="A93" s="96" t="s">
        <v>2162</v>
      </c>
    </row>
    <row r="94">
      <c r="A94" s="85" t="s">
        <v>666</v>
      </c>
      <c r="B94" s="85" t="s">
        <v>668</v>
      </c>
      <c r="C94" s="85" t="s">
        <v>671</v>
      </c>
      <c r="D94" s="85" t="s">
        <v>674</v>
      </c>
      <c r="E94" s="85" t="s">
        <v>675</v>
      </c>
      <c r="F94" s="85" t="s">
        <v>676</v>
      </c>
      <c r="G94" s="85" t="s">
        <v>678</v>
      </c>
      <c r="H94" s="85" t="s">
        <v>680</v>
      </c>
    </row>
    <row r="95">
      <c r="A95" s="68" t="s">
        <v>2174</v>
      </c>
      <c r="B95" s="68" t="s">
        <v>2175</v>
      </c>
      <c r="C95" s="68" t="s">
        <v>2176</v>
      </c>
      <c r="D95" s="68" t="s">
        <v>2178</v>
      </c>
      <c r="E95" s="68" t="s">
        <v>2179</v>
      </c>
      <c r="F95" s="68" t="s">
        <v>1435</v>
      </c>
      <c r="G95" s="68" t="s">
        <v>683</v>
      </c>
      <c r="H95" s="68" t="s">
        <v>2180</v>
      </c>
    </row>
    <row r="96">
      <c r="A96" s="12" t="s">
        <v>2181</v>
      </c>
      <c r="B96" s="12" t="s">
        <v>2183</v>
      </c>
      <c r="C96" s="12" t="s">
        <v>2184</v>
      </c>
      <c r="D96" s="12" t="s">
        <v>1810</v>
      </c>
      <c r="E96" s="12" t="s">
        <v>2186</v>
      </c>
      <c r="F96" s="12" t="s">
        <v>2188</v>
      </c>
      <c r="H96" s="12" t="s">
        <v>1830</v>
      </c>
    </row>
    <row r="97">
      <c r="A97" s="12" t="s">
        <v>777</v>
      </c>
      <c r="B97" s="12" t="s">
        <v>878</v>
      </c>
      <c r="C97" s="12" t="s">
        <v>777</v>
      </c>
      <c r="D97" s="12" t="s">
        <v>606</v>
      </c>
      <c r="E97" s="12" t="s">
        <v>930</v>
      </c>
      <c r="F97" s="12" t="s">
        <v>1062</v>
      </c>
      <c r="H97" s="12" t="s">
        <v>1663</v>
      </c>
    </row>
    <row r="98">
      <c r="A98" s="12" t="s">
        <v>2197</v>
      </c>
      <c r="B98" s="12" t="s">
        <v>1342</v>
      </c>
      <c r="C98" s="12" t="s">
        <v>2201</v>
      </c>
      <c r="D98" s="12" t="s">
        <v>2202</v>
      </c>
      <c r="E98" s="12" t="s">
        <v>531</v>
      </c>
      <c r="H98" s="12" t="s">
        <v>2205</v>
      </c>
    </row>
    <row r="99">
      <c r="A99" s="12" t="s">
        <v>777</v>
      </c>
      <c r="B99" s="12" t="s">
        <v>707</v>
      </c>
      <c r="C99" s="12" t="s">
        <v>717</v>
      </c>
      <c r="D99" s="12" t="s">
        <v>2208</v>
      </c>
      <c r="E99" s="12" t="s">
        <v>1085</v>
      </c>
      <c r="H99" s="12" t="s">
        <v>2209</v>
      </c>
    </row>
    <row r="100">
      <c r="C100" s="12" t="s">
        <v>2210</v>
      </c>
      <c r="D100" s="12" t="s">
        <v>2211</v>
      </c>
      <c r="H100" s="12" t="s">
        <v>700</v>
      </c>
    </row>
    <row r="101">
      <c r="C101" s="12" t="s">
        <v>1342</v>
      </c>
      <c r="D101" s="12" t="s">
        <v>1559</v>
      </c>
      <c r="H101" s="12" t="s">
        <v>2202</v>
      </c>
    </row>
    <row r="102">
      <c r="C102" s="12" t="s">
        <v>616</v>
      </c>
      <c r="D102" s="12" t="s">
        <v>2202</v>
      </c>
      <c r="H102" s="12" t="s">
        <v>702</v>
      </c>
    </row>
    <row r="103">
      <c r="C103" s="12" t="s">
        <v>1062</v>
      </c>
      <c r="D103" s="12" t="s">
        <v>1342</v>
      </c>
      <c r="H103" s="12" t="s">
        <v>2214</v>
      </c>
    </row>
    <row r="104">
      <c r="C104" s="12" t="s">
        <v>715</v>
      </c>
      <c r="H104" s="12" t="s">
        <v>604</v>
      </c>
    </row>
    <row r="105">
      <c r="C105" s="12" t="s">
        <v>2216</v>
      </c>
      <c r="H105" s="12" t="s">
        <v>2217</v>
      </c>
    </row>
    <row r="106">
      <c r="C106" s="12" t="s">
        <v>1083</v>
      </c>
      <c r="H106" s="12" t="s">
        <v>604</v>
      </c>
    </row>
    <row r="109">
      <c r="A109" s="97" t="s">
        <v>2218</v>
      </c>
    </row>
    <row r="110">
      <c r="A110" s="97">
        <f>-160000+A114+45000</f>
        <v>583275</v>
      </c>
    </row>
    <row r="111">
      <c r="A111" s="97">
        <v>2026.0</v>
      </c>
    </row>
    <row r="112">
      <c r="A112" s="193" t="s">
        <v>2222</v>
      </c>
    </row>
    <row r="113">
      <c r="A113" s="97" t="s">
        <v>2225</v>
      </c>
    </row>
    <row r="114">
      <c r="A114" s="97">
        <f>A117+B117+C117+D117+E117+F117+G117+H117</f>
        <v>698275</v>
      </c>
    </row>
    <row r="115">
      <c r="A115" s="85" t="s">
        <v>762</v>
      </c>
      <c r="B115" s="85" t="s">
        <v>764</v>
      </c>
      <c r="C115" s="85" t="s">
        <v>765</v>
      </c>
      <c r="D115" s="85" t="s">
        <v>767</v>
      </c>
      <c r="E115" s="85" t="s">
        <v>768</v>
      </c>
      <c r="F115" s="85" t="s">
        <v>771</v>
      </c>
      <c r="G115" s="85" t="s">
        <v>772</v>
      </c>
      <c r="H115" s="85" t="s">
        <v>773</v>
      </c>
    </row>
    <row r="116">
      <c r="A116" s="11" t="s">
        <v>683</v>
      </c>
      <c r="B116" s="11" t="s">
        <v>776</v>
      </c>
      <c r="C116" s="11" t="s">
        <v>776</v>
      </c>
      <c r="D116" s="11" t="s">
        <v>776</v>
      </c>
      <c r="E116" s="11" t="s">
        <v>776</v>
      </c>
      <c r="F116" s="11" t="s">
        <v>776</v>
      </c>
      <c r="G116" s="11" t="s">
        <v>683</v>
      </c>
      <c r="H116" s="11" t="s">
        <v>776</v>
      </c>
    </row>
    <row r="117">
      <c r="A117" s="85">
        <v>92000.0</v>
      </c>
      <c r="B117" s="85">
        <v>78000.0</v>
      </c>
      <c r="C117" s="85">
        <v>96675.0</v>
      </c>
      <c r="D117" s="85">
        <v>71500.0</v>
      </c>
      <c r="E117" s="85">
        <v>112150.0</v>
      </c>
      <c r="F117" s="85">
        <v>73750.0</v>
      </c>
      <c r="G117" s="85">
        <v>82750.0</v>
      </c>
      <c r="H117" s="85">
        <v>91450.0</v>
      </c>
    </row>
    <row r="118">
      <c r="A118" s="12" t="s">
        <v>2062</v>
      </c>
      <c r="B118" s="12" t="s">
        <v>1639</v>
      </c>
      <c r="C118" s="12" t="s">
        <v>2116</v>
      </c>
      <c r="D118" s="12" t="s">
        <v>1164</v>
      </c>
      <c r="E118" s="12" t="s">
        <v>2235</v>
      </c>
      <c r="F118" s="12" t="s">
        <v>2236</v>
      </c>
      <c r="G118" s="12" t="s">
        <v>2237</v>
      </c>
      <c r="H118" s="12" t="s">
        <v>2238</v>
      </c>
    </row>
    <row r="119">
      <c r="A119" s="12" t="s">
        <v>2239</v>
      </c>
      <c r="B119" s="12" t="s">
        <v>2239</v>
      </c>
      <c r="C119" s="12" t="s">
        <v>2239</v>
      </c>
      <c r="D119" s="12" t="s">
        <v>2239</v>
      </c>
      <c r="E119" s="12" t="s">
        <v>2239</v>
      </c>
      <c r="F119" s="12" t="s">
        <v>2239</v>
      </c>
      <c r="G119" s="12" t="s">
        <v>2239</v>
      </c>
      <c r="H119" s="12" t="s">
        <v>2239</v>
      </c>
    </row>
    <row r="120">
      <c r="A120" s="12" t="s">
        <v>2240</v>
      </c>
      <c r="B120" s="12" t="s">
        <v>2241</v>
      </c>
      <c r="C120" s="12" t="s">
        <v>2242</v>
      </c>
      <c r="D120" s="12" t="s">
        <v>2244</v>
      </c>
      <c r="E120" s="12" t="s">
        <v>2245</v>
      </c>
      <c r="F120" s="12" t="s">
        <v>1112</v>
      </c>
      <c r="G120" s="12" t="s">
        <v>796</v>
      </c>
      <c r="H120" s="12" t="s">
        <v>1113</v>
      </c>
    </row>
    <row r="121">
      <c r="A121" s="12" t="s">
        <v>884</v>
      </c>
      <c r="B121" s="12" t="s">
        <v>884</v>
      </c>
      <c r="C121" s="12" t="s">
        <v>2073</v>
      </c>
      <c r="D121" s="12" t="s">
        <v>884</v>
      </c>
      <c r="E121" s="12" t="s">
        <v>2130</v>
      </c>
      <c r="F121" s="12" t="s">
        <v>796</v>
      </c>
      <c r="G121" s="12" t="s">
        <v>2247</v>
      </c>
      <c r="H121" s="12" t="s">
        <v>2249</v>
      </c>
    </row>
    <row r="122">
      <c r="A122" s="12" t="s">
        <v>2250</v>
      </c>
      <c r="B122" s="12" t="s">
        <v>2251</v>
      </c>
      <c r="C122" s="12" t="s">
        <v>884</v>
      </c>
      <c r="D122" s="12" t="s">
        <v>2252</v>
      </c>
      <c r="E122" s="12" t="s">
        <v>884</v>
      </c>
      <c r="F122" s="12" t="s">
        <v>2253</v>
      </c>
      <c r="G122" s="12" t="s">
        <v>884</v>
      </c>
      <c r="H122" s="12" t="s">
        <v>2254</v>
      </c>
    </row>
    <row r="123">
      <c r="A123" s="12" t="s">
        <v>2256</v>
      </c>
      <c r="B123" s="12" t="s">
        <v>653</v>
      </c>
      <c r="C123" s="12" t="s">
        <v>1117</v>
      </c>
      <c r="D123" s="12" t="s">
        <v>605</v>
      </c>
      <c r="E123" s="12" t="s">
        <v>796</v>
      </c>
      <c r="F123" s="12" t="s">
        <v>884</v>
      </c>
      <c r="G123" s="12" t="s">
        <v>2259</v>
      </c>
      <c r="H123" s="12" t="s">
        <v>884</v>
      </c>
    </row>
    <row r="124">
      <c r="A124" s="12" t="s">
        <v>605</v>
      </c>
      <c r="B124" s="12" t="s">
        <v>2260</v>
      </c>
      <c r="C124" s="12" t="s">
        <v>2261</v>
      </c>
      <c r="D124" s="12" t="s">
        <v>2262</v>
      </c>
      <c r="E124" s="12" t="s">
        <v>800</v>
      </c>
      <c r="G124" s="12" t="s">
        <v>1195</v>
      </c>
      <c r="H124" s="12" t="s">
        <v>802</v>
      </c>
    </row>
    <row r="125">
      <c r="A125" s="12" t="s">
        <v>2263</v>
      </c>
      <c r="B125" s="12" t="s">
        <v>1222</v>
      </c>
      <c r="C125" s="12" t="s">
        <v>710</v>
      </c>
      <c r="D125" s="12" t="s">
        <v>604</v>
      </c>
      <c r="G125" s="12" t="s">
        <v>2267</v>
      </c>
    </row>
    <row r="126">
      <c r="A126" s="12" t="s">
        <v>605</v>
      </c>
      <c r="B126" s="12" t="s">
        <v>2269</v>
      </c>
      <c r="C126" s="12" t="s">
        <v>1117</v>
      </c>
      <c r="G126" s="12" t="s">
        <v>620</v>
      </c>
    </row>
    <row r="127">
      <c r="B127" s="12" t="s">
        <v>604</v>
      </c>
    </row>
    <row r="128">
      <c r="A128" s="116" t="s">
        <v>2273</v>
      </c>
    </row>
    <row r="129">
      <c r="A129" s="99" t="s">
        <v>1129</v>
      </c>
    </row>
    <row r="130">
      <c r="A130" s="99">
        <f>A133</f>
        <v>184800</v>
      </c>
    </row>
    <row r="131">
      <c r="A131" s="99">
        <v>2026.0</v>
      </c>
    </row>
    <row r="132">
      <c r="A132" s="99" t="s">
        <v>749</v>
      </c>
    </row>
    <row r="133">
      <c r="A133" s="117">
        <f>A136+B136+C136+D136+E136+F136+G136+H136+I136+J136</f>
        <v>184800</v>
      </c>
    </row>
    <row r="134">
      <c r="A134" s="111" t="s">
        <v>834</v>
      </c>
      <c r="B134" s="111" t="s">
        <v>835</v>
      </c>
      <c r="C134" s="111" t="s">
        <v>836</v>
      </c>
      <c r="D134" s="111" t="s">
        <v>837</v>
      </c>
      <c r="E134" s="111" t="s">
        <v>838</v>
      </c>
      <c r="F134" s="111" t="s">
        <v>839</v>
      </c>
      <c r="G134" s="111" t="s">
        <v>841</v>
      </c>
      <c r="H134" s="111" t="s">
        <v>843</v>
      </c>
      <c r="I134" s="104" t="s">
        <v>846</v>
      </c>
      <c r="J134" s="104" t="s">
        <v>847</v>
      </c>
    </row>
    <row r="135">
      <c r="A135" s="11" t="s">
        <v>683</v>
      </c>
      <c r="B135" s="11" t="s">
        <v>683</v>
      </c>
      <c r="C135" s="11" t="s">
        <v>683</v>
      </c>
      <c r="D135" s="11" t="s">
        <v>683</v>
      </c>
      <c r="E135" s="11" t="s">
        <v>683</v>
      </c>
      <c r="F135" s="11" t="s">
        <v>683</v>
      </c>
      <c r="G135" s="11" t="s">
        <v>683</v>
      </c>
      <c r="H135" s="11" t="s">
        <v>683</v>
      </c>
      <c r="I135" s="11" t="s">
        <v>683</v>
      </c>
      <c r="J135" s="11" t="s">
        <v>683</v>
      </c>
    </row>
    <row r="136">
      <c r="A136" s="85">
        <v>63000.0</v>
      </c>
      <c r="B136" s="85">
        <v>36000.0</v>
      </c>
      <c r="C136" s="85">
        <v>17700.0</v>
      </c>
      <c r="D136" s="85">
        <v>10100.0</v>
      </c>
      <c r="E136" s="85">
        <v>28500.0</v>
      </c>
      <c r="F136" s="85">
        <v>0.0</v>
      </c>
      <c r="G136" s="85">
        <v>15500.0</v>
      </c>
      <c r="H136" s="85">
        <v>13500.0</v>
      </c>
      <c r="I136" s="85">
        <v>0.0</v>
      </c>
      <c r="J136" s="85">
        <v>500.0</v>
      </c>
    </row>
    <row r="137">
      <c r="A137" s="12" t="s">
        <v>2059</v>
      </c>
      <c r="B137" s="12" t="s">
        <v>2294</v>
      </c>
      <c r="C137" s="196" t="s">
        <v>2296</v>
      </c>
      <c r="D137" s="196" t="s">
        <v>2298</v>
      </c>
      <c r="E137" s="196" t="s">
        <v>2300</v>
      </c>
      <c r="G137" s="196" t="s">
        <v>2188</v>
      </c>
      <c r="H137" s="196" t="s">
        <v>2302</v>
      </c>
      <c r="J137" s="12" t="s">
        <v>2303</v>
      </c>
    </row>
    <row r="138">
      <c r="A138" s="12" t="s">
        <v>912</v>
      </c>
      <c r="B138" s="12" t="s">
        <v>1706</v>
      </c>
      <c r="C138" s="12" t="s">
        <v>1559</v>
      </c>
      <c r="D138" s="12" t="s">
        <v>1147</v>
      </c>
      <c r="E138" s="12" t="s">
        <v>1093</v>
      </c>
      <c r="G138" s="12" t="s">
        <v>1634</v>
      </c>
      <c r="H138" s="12" t="s">
        <v>604</v>
      </c>
      <c r="J138" s="12" t="s">
        <v>604</v>
      </c>
    </row>
    <row r="139">
      <c r="A139" s="196" t="s">
        <v>2074</v>
      </c>
      <c r="B139" s="12" t="s">
        <v>2307</v>
      </c>
      <c r="C139" s="196" t="s">
        <v>2308</v>
      </c>
      <c r="D139" s="196" t="s">
        <v>2309</v>
      </c>
      <c r="E139" s="196" t="s">
        <v>2311</v>
      </c>
      <c r="G139" s="196" t="s">
        <v>2313</v>
      </c>
      <c r="H139" s="196" t="s">
        <v>2314</v>
      </c>
    </row>
    <row r="140">
      <c r="A140" s="12" t="s">
        <v>1663</v>
      </c>
      <c r="B140" s="12" t="s">
        <v>1559</v>
      </c>
      <c r="C140" s="12" t="s">
        <v>911</v>
      </c>
      <c r="D140" s="12" t="s">
        <v>1011</v>
      </c>
      <c r="E140" s="12" t="s">
        <v>604</v>
      </c>
      <c r="G140" s="12" t="s">
        <v>604</v>
      </c>
      <c r="H140" s="12" t="s">
        <v>2291</v>
      </c>
    </row>
    <row r="141">
      <c r="A141" s="196" t="s">
        <v>2327</v>
      </c>
      <c r="B141" s="12" t="s">
        <v>873</v>
      </c>
      <c r="C141" s="196" t="s">
        <v>2329</v>
      </c>
      <c r="D141" s="12" t="s">
        <v>902</v>
      </c>
      <c r="E141" s="196" t="s">
        <v>2331</v>
      </c>
    </row>
    <row r="142">
      <c r="A142" s="12" t="s">
        <v>1559</v>
      </c>
      <c r="B142" s="12" t="s">
        <v>902</v>
      </c>
      <c r="C142" s="12" t="s">
        <v>1147</v>
      </c>
      <c r="E142" s="12" t="s">
        <v>1083</v>
      </c>
    </row>
    <row r="143">
      <c r="A143" s="196" t="s">
        <v>2334</v>
      </c>
    </row>
    <row r="144">
      <c r="A144" s="12" t="s">
        <v>604</v>
      </c>
    </row>
    <row r="145">
      <c r="A145" s="196" t="s">
        <v>2338</v>
      </c>
    </row>
    <row r="146">
      <c r="A146" s="12" t="s">
        <v>604</v>
      </c>
    </row>
    <row r="147">
      <c r="A147" s="108" t="s">
        <v>938</v>
      </c>
    </row>
    <row r="148">
      <c r="A148" s="109" t="s">
        <v>940</v>
      </c>
    </row>
    <row r="149">
      <c r="A149" s="109">
        <f>A152</f>
        <v>682000</v>
      </c>
    </row>
    <row r="150">
      <c r="A150" s="109">
        <v>2026.0</v>
      </c>
    </row>
    <row r="151">
      <c r="A151" s="109" t="s">
        <v>749</v>
      </c>
    </row>
    <row r="152">
      <c r="A152" s="110">
        <f>A155+B155+C155+D155+E155+F155+G155+H155+I155+J155</f>
        <v>682000</v>
      </c>
    </row>
    <row r="153">
      <c r="A153" s="85" t="s">
        <v>959</v>
      </c>
      <c r="B153" s="85" t="s">
        <v>960</v>
      </c>
      <c r="C153" s="85" t="s">
        <v>963</v>
      </c>
      <c r="D153" s="85" t="s">
        <v>964</v>
      </c>
      <c r="E153" s="85" t="s">
        <v>966</v>
      </c>
      <c r="F153" s="85" t="s">
        <v>967</v>
      </c>
      <c r="G153" s="111" t="s">
        <v>969</v>
      </c>
      <c r="H153" s="107" t="s">
        <v>972</v>
      </c>
      <c r="I153" s="107" t="s">
        <v>975</v>
      </c>
      <c r="J153" s="107" t="s">
        <v>976</v>
      </c>
    </row>
    <row r="154">
      <c r="A154" s="11" t="s">
        <v>683</v>
      </c>
      <c r="B154" s="11" t="s">
        <v>683</v>
      </c>
      <c r="C154" s="11" t="s">
        <v>683</v>
      </c>
      <c r="D154" s="11" t="s">
        <v>683</v>
      </c>
      <c r="E154" s="11" t="s">
        <v>683</v>
      </c>
      <c r="F154" s="11" t="s">
        <v>683</v>
      </c>
      <c r="G154" s="11" t="s">
        <v>683</v>
      </c>
      <c r="H154" s="34" t="s">
        <v>683</v>
      </c>
      <c r="I154" s="34" t="s">
        <v>683</v>
      </c>
      <c r="J154" s="34" t="s">
        <v>683</v>
      </c>
    </row>
    <row r="155">
      <c r="A155" s="85">
        <v>210000.0</v>
      </c>
      <c r="B155" s="85">
        <v>1000.0</v>
      </c>
      <c r="C155" s="85">
        <v>54500.0</v>
      </c>
      <c r="D155" s="85"/>
      <c r="E155" s="85">
        <v>144500.0</v>
      </c>
      <c r="F155" s="85"/>
      <c r="G155" s="85">
        <v>168000.0</v>
      </c>
      <c r="H155" s="85"/>
      <c r="I155" s="85"/>
      <c r="J155" s="85">
        <v>104000.0</v>
      </c>
    </row>
    <row r="156">
      <c r="A156" s="12" t="s">
        <v>2062</v>
      </c>
      <c r="B156" s="12" t="s">
        <v>2373</v>
      </c>
      <c r="C156" s="12" t="s">
        <v>1164</v>
      </c>
      <c r="E156" s="12" t="s">
        <v>2059</v>
      </c>
      <c r="G156" s="12" t="s">
        <v>2376</v>
      </c>
      <c r="J156" s="12" t="s">
        <v>304</v>
      </c>
    </row>
    <row r="157">
      <c r="A157" s="12" t="s">
        <v>1196</v>
      </c>
      <c r="B157" s="12" t="s">
        <v>605</v>
      </c>
      <c r="C157" s="12" t="s">
        <v>1196</v>
      </c>
      <c r="E157" s="12" t="s">
        <v>1651</v>
      </c>
      <c r="G157" s="12" t="s">
        <v>1196</v>
      </c>
      <c r="J157" s="12" t="s">
        <v>1196</v>
      </c>
    </row>
    <row r="158">
      <c r="A158" s="12" t="s">
        <v>2381</v>
      </c>
      <c r="C158" s="12" t="s">
        <v>989</v>
      </c>
      <c r="E158" s="12" t="s">
        <v>2074</v>
      </c>
      <c r="G158" s="12" t="s">
        <v>989</v>
      </c>
      <c r="J158" s="12" t="s">
        <v>989</v>
      </c>
    </row>
    <row r="159">
      <c r="A159" s="12" t="s">
        <v>2385</v>
      </c>
      <c r="C159" s="12" t="s">
        <v>999</v>
      </c>
      <c r="E159" s="12" t="s">
        <v>1196</v>
      </c>
      <c r="G159" s="12" t="s">
        <v>2388</v>
      </c>
      <c r="J159" s="12" t="s">
        <v>1204</v>
      </c>
    </row>
    <row r="160">
      <c r="A160" s="12" t="s">
        <v>1197</v>
      </c>
      <c r="E160" s="12" t="s">
        <v>2392</v>
      </c>
      <c r="G160" s="12" t="s">
        <v>2244</v>
      </c>
      <c r="J160" s="12" t="s">
        <v>2393</v>
      </c>
    </row>
    <row r="161">
      <c r="A161" s="12" t="s">
        <v>2394</v>
      </c>
      <c r="E161" s="12" t="s">
        <v>1128</v>
      </c>
      <c r="G161" s="12" t="s">
        <v>985</v>
      </c>
      <c r="J161" s="12" t="s">
        <v>1093</v>
      </c>
    </row>
    <row r="162">
      <c r="A162" s="12" t="s">
        <v>985</v>
      </c>
      <c r="E162" s="12" t="s">
        <v>989</v>
      </c>
      <c r="G162" s="12" t="s">
        <v>989</v>
      </c>
      <c r="J162" s="12" t="s">
        <v>2395</v>
      </c>
    </row>
    <row r="163">
      <c r="A163" s="12" t="s">
        <v>999</v>
      </c>
      <c r="E163" s="12" t="s">
        <v>999</v>
      </c>
      <c r="G163" s="12" t="s">
        <v>2398</v>
      </c>
      <c r="J163" s="12" t="s">
        <v>1195</v>
      </c>
    </row>
    <row r="164">
      <c r="A164" s="12" t="s">
        <v>1197</v>
      </c>
      <c r="G164" s="12" t="s">
        <v>2401</v>
      </c>
      <c r="J164" s="12" t="s">
        <v>999</v>
      </c>
    </row>
    <row r="165">
      <c r="A165" s="12" t="s">
        <v>2402</v>
      </c>
      <c r="G165" s="12" t="s">
        <v>2403</v>
      </c>
      <c r="J165" s="12" t="s">
        <v>2404</v>
      </c>
    </row>
    <row r="166">
      <c r="A166" s="12" t="s">
        <v>2405</v>
      </c>
      <c r="G166" s="12" t="s">
        <v>987</v>
      </c>
      <c r="J166" s="12" t="s">
        <v>1160</v>
      </c>
    </row>
    <row r="167">
      <c r="A167" s="12" t="s">
        <v>1197</v>
      </c>
    </row>
    <row r="168">
      <c r="A168" s="12" t="s">
        <v>2406</v>
      </c>
    </row>
    <row r="169">
      <c r="A169" s="12" t="s">
        <v>605</v>
      </c>
    </row>
    <row r="170">
      <c r="A170" s="12" t="s">
        <v>1005</v>
      </c>
    </row>
    <row r="171">
      <c r="A171" s="12" t="s">
        <v>999</v>
      </c>
    </row>
    <row r="172">
      <c r="A172" s="12" t="s">
        <v>1197</v>
      </c>
    </row>
    <row r="173">
      <c r="A173" s="12" t="s">
        <v>2414</v>
      </c>
    </row>
    <row r="174">
      <c r="A174" s="12" t="s">
        <v>605</v>
      </c>
    </row>
    <row r="175">
      <c r="A175" s="12" t="s">
        <v>989</v>
      </c>
    </row>
    <row r="176">
      <c r="A176" s="12" t="s">
        <v>2415</v>
      </c>
    </row>
    <row r="177">
      <c r="A177" s="12" t="s">
        <v>1197</v>
      </c>
    </row>
    <row r="180">
      <c r="A180" s="112" t="s">
        <v>1015</v>
      </c>
    </row>
    <row r="181">
      <c r="A181" s="112">
        <f>A184</f>
        <v>251250</v>
      </c>
    </row>
    <row r="182">
      <c r="A182" s="112">
        <v>2026.0</v>
      </c>
    </row>
    <row r="183">
      <c r="A183" s="112" t="s">
        <v>749</v>
      </c>
    </row>
    <row r="184">
      <c r="A184" s="112">
        <f>A187+B187+C187+D187+E187+F187+G187+H187</f>
        <v>251250</v>
      </c>
    </row>
    <row r="185">
      <c r="A185" s="85" t="s">
        <v>1035</v>
      </c>
      <c r="B185" s="85" t="s">
        <v>1013</v>
      </c>
      <c r="C185" s="85" t="s">
        <v>1016</v>
      </c>
      <c r="D185" s="85" t="s">
        <v>1023</v>
      </c>
      <c r="E185" s="85" t="s">
        <v>1037</v>
      </c>
      <c r="F185" s="85" t="s">
        <v>1038</v>
      </c>
      <c r="G185" s="85" t="s">
        <v>1039</v>
      </c>
      <c r="H185" s="85" t="s">
        <v>1033</v>
      </c>
    </row>
    <row r="186">
      <c r="A186" s="11" t="s">
        <v>683</v>
      </c>
      <c r="B186" s="11" t="s">
        <v>683</v>
      </c>
      <c r="C186" s="11" t="s">
        <v>683</v>
      </c>
      <c r="D186" s="11" t="s">
        <v>683</v>
      </c>
      <c r="E186" s="11" t="s">
        <v>683</v>
      </c>
      <c r="F186" s="11" t="s">
        <v>683</v>
      </c>
      <c r="G186" s="11" t="s">
        <v>683</v>
      </c>
      <c r="H186" s="11" t="s">
        <v>683</v>
      </c>
    </row>
    <row r="187">
      <c r="A187" s="85">
        <v>0.0</v>
      </c>
      <c r="B187" s="85">
        <v>4500.0</v>
      </c>
      <c r="C187" s="85">
        <v>0.0</v>
      </c>
      <c r="D187" s="85">
        <v>0.0</v>
      </c>
      <c r="E187" s="85">
        <v>31000.0</v>
      </c>
      <c r="F187" s="85">
        <v>12000.0</v>
      </c>
      <c r="G187" s="85">
        <v>146750.0</v>
      </c>
      <c r="H187" s="85">
        <f>35000+22000</f>
        <v>57000</v>
      </c>
    </row>
    <row r="188">
      <c r="B188" s="12" t="s">
        <v>2373</v>
      </c>
      <c r="E188" s="12" t="s">
        <v>2430</v>
      </c>
      <c r="F188" s="12" t="s">
        <v>2431</v>
      </c>
      <c r="G188" s="12" t="s">
        <v>2116</v>
      </c>
      <c r="H188" s="12" t="s">
        <v>2059</v>
      </c>
    </row>
    <row r="189">
      <c r="B189" s="12" t="s">
        <v>605</v>
      </c>
      <c r="E189" s="12" t="s">
        <v>1002</v>
      </c>
      <c r="F189" s="12" t="s">
        <v>1521</v>
      </c>
      <c r="G189" s="12" t="s">
        <v>1717</v>
      </c>
      <c r="H189" s="12" t="s">
        <v>1154</v>
      </c>
    </row>
    <row r="190">
      <c r="B190" s="12" t="s">
        <v>1262</v>
      </c>
      <c r="E190" s="12" t="s">
        <v>2433</v>
      </c>
      <c r="G190" s="12" t="s">
        <v>1698</v>
      </c>
      <c r="H190" s="12" t="s">
        <v>1266</v>
      </c>
    </row>
    <row r="191">
      <c r="E191" s="12" t="s">
        <v>605</v>
      </c>
      <c r="G191" s="12" t="s">
        <v>2139</v>
      </c>
    </row>
    <row r="192">
      <c r="G192" s="12" t="s">
        <v>698</v>
      </c>
    </row>
    <row r="193">
      <c r="G193" s="12" t="s">
        <v>2437</v>
      </c>
    </row>
    <row r="194">
      <c r="G194" s="12" t="s">
        <v>1120</v>
      </c>
    </row>
    <row r="195">
      <c r="G195" s="12" t="s">
        <v>2404</v>
      </c>
    </row>
    <row r="196">
      <c r="G196" s="12" t="s">
        <v>605</v>
      </c>
    </row>
    <row r="197">
      <c r="G197" s="12" t="s">
        <v>2031</v>
      </c>
    </row>
    <row r="198">
      <c r="G198" s="12" t="s">
        <v>1083</v>
      </c>
    </row>
    <row r="199">
      <c r="G199" s="12" t="s">
        <v>1262</v>
      </c>
    </row>
    <row r="200">
      <c r="G200" s="12" t="s">
        <v>1698</v>
      </c>
    </row>
    <row r="201">
      <c r="G201" s="12" t="s">
        <v>2047</v>
      </c>
    </row>
    <row r="202">
      <c r="G202" s="12" t="s">
        <v>605</v>
      </c>
    </row>
    <row r="203">
      <c r="G203" s="12" t="s">
        <v>1615</v>
      </c>
    </row>
    <row r="204">
      <c r="G204" s="12" t="s">
        <v>2049</v>
      </c>
    </row>
    <row r="205">
      <c r="G205" s="12" t="s">
        <v>605</v>
      </c>
    </row>
    <row r="206">
      <c r="G206" s="12" t="s">
        <v>2445</v>
      </c>
    </row>
    <row r="207">
      <c r="G207" s="12" t="s">
        <v>620</v>
      </c>
    </row>
    <row r="209">
      <c r="A209" s="157" t="s">
        <v>1048</v>
      </c>
    </row>
    <row r="210">
      <c r="A210" s="157">
        <f>A213</f>
        <v>172000</v>
      </c>
    </row>
    <row r="211">
      <c r="A211" s="157">
        <v>2026.0</v>
      </c>
    </row>
    <row r="212">
      <c r="A212" s="157" t="s">
        <v>749</v>
      </c>
    </row>
    <row r="213">
      <c r="A213" s="158">
        <f>A216+B216+C216+D216+E216+F216+G216+H216+I216+J216</f>
        <v>172000</v>
      </c>
    </row>
    <row r="214">
      <c r="A214" s="105" t="s">
        <v>1066</v>
      </c>
      <c r="B214" s="105" t="s">
        <v>1068</v>
      </c>
      <c r="C214" s="105" t="s">
        <v>1069</v>
      </c>
      <c r="D214" s="105" t="s">
        <v>1070</v>
      </c>
      <c r="E214" s="105" t="s">
        <v>1072</v>
      </c>
      <c r="F214" s="105" t="s">
        <v>1073</v>
      </c>
      <c r="G214" s="105" t="s">
        <v>1074</v>
      </c>
      <c r="H214" s="105" t="s">
        <v>1076</v>
      </c>
      <c r="I214" s="105" t="s">
        <v>1078</v>
      </c>
      <c r="J214" s="105" t="s">
        <v>1080</v>
      </c>
    </row>
    <row r="215">
      <c r="A215" s="34" t="s">
        <v>683</v>
      </c>
      <c r="B215" s="34" t="s">
        <v>683</v>
      </c>
      <c r="C215" s="34" t="s">
        <v>683</v>
      </c>
      <c r="D215" s="34" t="s">
        <v>683</v>
      </c>
      <c r="E215" s="34" t="s">
        <v>683</v>
      </c>
      <c r="F215" s="34" t="s">
        <v>683</v>
      </c>
      <c r="G215" s="34" t="s">
        <v>683</v>
      </c>
      <c r="H215" s="34" t="s">
        <v>683</v>
      </c>
      <c r="I215" s="34" t="s">
        <v>683</v>
      </c>
      <c r="J215" s="34" t="s">
        <v>683</v>
      </c>
    </row>
    <row r="216">
      <c r="A216" s="105">
        <v>0.0</v>
      </c>
      <c r="B216" s="105">
        <v>0.0</v>
      </c>
      <c r="C216" s="107">
        <v>2000.0</v>
      </c>
      <c r="D216" s="107">
        <v>55000.0</v>
      </c>
      <c r="E216" s="107">
        <v>2000.0</v>
      </c>
      <c r="F216" s="107">
        <v>27000.0</v>
      </c>
      <c r="G216" s="107">
        <v>30000.0</v>
      </c>
      <c r="H216" s="107">
        <v>32000.0</v>
      </c>
      <c r="I216" s="105">
        <v>0.0</v>
      </c>
      <c r="J216" s="107">
        <v>24000.0</v>
      </c>
    </row>
    <row r="217">
      <c r="C217" s="12" t="s">
        <v>2467</v>
      </c>
      <c r="D217" s="12" t="s">
        <v>2235</v>
      </c>
      <c r="E217" s="12" t="s">
        <v>2469</v>
      </c>
      <c r="F217" s="12" t="s">
        <v>2061</v>
      </c>
      <c r="G217" s="12" t="s">
        <v>2059</v>
      </c>
      <c r="H217" s="12" t="s">
        <v>2062</v>
      </c>
      <c r="J217" s="12" t="s">
        <v>304</v>
      </c>
    </row>
    <row r="218">
      <c r="C218" s="12" t="s">
        <v>653</v>
      </c>
      <c r="D218" s="12" t="s">
        <v>1158</v>
      </c>
      <c r="E218" s="12" t="s">
        <v>653</v>
      </c>
      <c r="F218" s="12" t="s">
        <v>1210</v>
      </c>
      <c r="G218" s="12" t="s">
        <v>1002</v>
      </c>
      <c r="H218" s="12" t="s">
        <v>728</v>
      </c>
      <c r="J218" s="12" t="s">
        <v>1553</v>
      </c>
    </row>
    <row r="219">
      <c r="D219" s="12" t="s">
        <v>2253</v>
      </c>
      <c r="H219" s="12" t="s">
        <v>2478</v>
      </c>
    </row>
    <row r="220">
      <c r="D220" s="12" t="s">
        <v>1195</v>
      </c>
      <c r="H220" s="12" t="s">
        <v>1210</v>
      </c>
    </row>
    <row r="221">
      <c r="D221" s="12" t="s">
        <v>2078</v>
      </c>
    </row>
    <row r="222">
      <c r="D222" s="12" t="s">
        <v>1093</v>
      </c>
    </row>
  </sheetData>
  <mergeCells count="79"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  <mergeCell ref="A131:J131"/>
    <mergeCell ref="A132:J132"/>
    <mergeCell ref="A133:J133"/>
    <mergeCell ref="A147:J147"/>
    <mergeCell ref="A148:J148"/>
    <mergeCell ref="A149:J149"/>
    <mergeCell ref="A150:J150"/>
    <mergeCell ref="A151:J151"/>
    <mergeCell ref="A152:J152"/>
    <mergeCell ref="A180:H180"/>
    <mergeCell ref="A212:J212"/>
    <mergeCell ref="A213:J213"/>
    <mergeCell ref="A181:H181"/>
    <mergeCell ref="A182:H182"/>
    <mergeCell ref="A183:H183"/>
    <mergeCell ref="A184:H184"/>
    <mergeCell ref="A209:J209"/>
    <mergeCell ref="A210:J210"/>
    <mergeCell ref="A211:J211"/>
    <mergeCell ref="A1:T1"/>
    <mergeCell ref="A2:T2"/>
    <mergeCell ref="A3:T3"/>
    <mergeCell ref="A4:T4"/>
    <mergeCell ref="K5:L5"/>
    <mergeCell ref="M5:O5"/>
    <mergeCell ref="P5:T5"/>
    <mergeCell ref="M7:O7"/>
    <mergeCell ref="M9:M10"/>
    <mergeCell ref="O9:O10"/>
    <mergeCell ref="Q11:T11"/>
    <mergeCell ref="Q13:R13"/>
    <mergeCell ref="Q18:T18"/>
    <mergeCell ref="Q20:R20"/>
    <mergeCell ref="Q25:T25"/>
    <mergeCell ref="Q30:R30"/>
    <mergeCell ref="Q31:T31"/>
    <mergeCell ref="Q33:R33"/>
    <mergeCell ref="H5:J5"/>
    <mergeCell ref="H6:J6"/>
    <mergeCell ref="K6:L6"/>
    <mergeCell ref="M6:O6"/>
    <mergeCell ref="P6:T6"/>
    <mergeCell ref="H7:J7"/>
    <mergeCell ref="P8:P13"/>
    <mergeCell ref="P21:P30"/>
    <mergeCell ref="P31:P33"/>
    <mergeCell ref="A49:E49"/>
    <mergeCell ref="A50:E50"/>
    <mergeCell ref="A51:E51"/>
    <mergeCell ref="A52:E52"/>
    <mergeCell ref="A53:E53"/>
    <mergeCell ref="M21:N21"/>
    <mergeCell ref="M19:N19"/>
    <mergeCell ref="M20:N20"/>
    <mergeCell ref="M11:M13"/>
    <mergeCell ref="O11:O13"/>
    <mergeCell ref="M14:M15"/>
    <mergeCell ref="O14:O15"/>
    <mergeCell ref="P14:P20"/>
    <mergeCell ref="M16:M17"/>
    <mergeCell ref="O16:O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9.75"/>
    <col customWidth="1" min="7" max="7" width="34.13"/>
    <col customWidth="1" min="8" max="8" width="28.13"/>
    <col customWidth="1" min="9" max="9" width="22.0"/>
    <col customWidth="1" min="10" max="10" width="25.88"/>
    <col customWidth="1" min="11" max="12" width="21.38"/>
    <col customWidth="1" min="14" max="14" width="19.5"/>
    <col customWidth="1" min="15" max="15" width="16.75"/>
    <col customWidth="1" min="20" max="20" width="35.25"/>
  </cols>
  <sheetData>
    <row r="1">
      <c r="A1" s="4" t="s">
        <v>1750</v>
      </c>
    </row>
    <row r="2">
      <c r="A2" s="4" t="s">
        <v>1751</v>
      </c>
    </row>
    <row r="3">
      <c r="A3" s="8" t="s">
        <v>17</v>
      </c>
    </row>
    <row r="4">
      <c r="A4" s="65">
        <f>100000+B6+C6+E6+E12+F6+G6+H6+A69+F13+D17+K6+N6</f>
        <v>1979550</v>
      </c>
    </row>
    <row r="5">
      <c r="A5" s="11" t="s">
        <v>19</v>
      </c>
      <c r="B5" s="11" t="s">
        <v>46</v>
      </c>
      <c r="C5" s="11" t="s">
        <v>1214</v>
      </c>
      <c r="D5" s="11" t="s">
        <v>49</v>
      </c>
      <c r="E5" s="11" t="s">
        <v>1753</v>
      </c>
      <c r="F5" s="11" t="s">
        <v>1754</v>
      </c>
      <c r="G5" s="11" t="s">
        <v>54</v>
      </c>
      <c r="H5" s="11" t="s">
        <v>59</v>
      </c>
      <c r="K5" s="11" t="s">
        <v>56</v>
      </c>
      <c r="N5" s="162" t="s">
        <v>60</v>
      </c>
      <c r="T5" s="11"/>
    </row>
    <row r="6">
      <c r="A6" s="12" t="s">
        <v>1755</v>
      </c>
      <c r="B6" s="65">
        <v>-230000.0</v>
      </c>
      <c r="C6" s="65">
        <v>7000.0</v>
      </c>
      <c r="D6" s="12" t="s">
        <v>1756</v>
      </c>
      <c r="E6" s="65">
        <v>3000.0</v>
      </c>
      <c r="F6" s="65">
        <v>-40000.0</v>
      </c>
      <c r="G6" s="65">
        <v>17000.0</v>
      </c>
      <c r="H6" s="65">
        <v>-10500.0</v>
      </c>
      <c r="K6" s="164">
        <f>K8</f>
        <v>8000</v>
      </c>
      <c r="N6" s="164">
        <f>Q23+Q28+Q43+Q50+Q58</f>
        <v>533000</v>
      </c>
      <c r="T6" s="30"/>
    </row>
    <row r="7">
      <c r="A7" s="12" t="s">
        <v>1760</v>
      </c>
      <c r="B7" s="15" t="s">
        <v>35</v>
      </c>
      <c r="C7" s="12" t="s">
        <v>1761</v>
      </c>
      <c r="D7" s="12" t="s">
        <v>1762</v>
      </c>
      <c r="E7" s="12" t="s">
        <v>1763</v>
      </c>
      <c r="F7" s="12" t="s">
        <v>83</v>
      </c>
      <c r="G7" s="12" t="s">
        <v>77</v>
      </c>
      <c r="H7" s="12" t="s">
        <v>77</v>
      </c>
      <c r="I7" s="12" t="s">
        <v>1765</v>
      </c>
      <c r="J7" s="12" t="s">
        <v>81</v>
      </c>
      <c r="K7" s="11" t="s">
        <v>89</v>
      </c>
      <c r="N7" s="88" t="s">
        <v>85</v>
      </c>
      <c r="O7" s="88" t="s">
        <v>87</v>
      </c>
      <c r="P7" s="88" t="s">
        <v>88</v>
      </c>
      <c r="Q7" s="88" t="s">
        <v>1</v>
      </c>
      <c r="R7" s="88" t="s">
        <v>90</v>
      </c>
    </row>
    <row r="8">
      <c r="A8" s="12" t="s">
        <v>1766</v>
      </c>
      <c r="B8" s="14" t="s">
        <v>348</v>
      </c>
      <c r="C8" s="12" t="s">
        <v>1767</v>
      </c>
      <c r="D8" s="12" t="s">
        <v>1768</v>
      </c>
      <c r="E8" s="12" t="s">
        <v>1769</v>
      </c>
      <c r="F8" s="12" t="s">
        <v>1455</v>
      </c>
      <c r="G8" s="12" t="s">
        <v>1380</v>
      </c>
      <c r="H8" s="12" t="s">
        <v>1770</v>
      </c>
      <c r="I8" s="12" t="s">
        <v>1771</v>
      </c>
      <c r="J8" s="12" t="s">
        <v>1772</v>
      </c>
      <c r="K8" s="43">
        <f>M9+M10+M11+M12+M13</f>
        <v>8000</v>
      </c>
      <c r="N8" s="38" t="s">
        <v>1773</v>
      </c>
      <c r="O8" s="36" t="s">
        <v>106</v>
      </c>
      <c r="P8" s="36">
        <v>12.0</v>
      </c>
      <c r="Q8" s="36">
        <f>P8*1000</f>
        <v>12000</v>
      </c>
      <c r="R8" s="39">
        <f>P8*20</f>
        <v>240</v>
      </c>
    </row>
    <row r="9">
      <c r="A9" s="12" t="s">
        <v>1774</v>
      </c>
      <c r="B9" s="14" t="s">
        <v>387</v>
      </c>
      <c r="C9" s="12" t="s">
        <v>1776</v>
      </c>
      <c r="D9" s="12" t="s">
        <v>1777</v>
      </c>
      <c r="E9" s="12" t="s">
        <v>1778</v>
      </c>
      <c r="F9" s="68" t="s">
        <v>1780</v>
      </c>
      <c r="G9" s="12" t="s">
        <v>694</v>
      </c>
      <c r="H9" s="12" t="s">
        <v>1782</v>
      </c>
      <c r="I9" s="12" t="s">
        <v>1784</v>
      </c>
      <c r="J9" s="12" t="s">
        <v>1785</v>
      </c>
      <c r="K9" s="14" t="s">
        <v>1786</v>
      </c>
      <c r="L9" s="14" t="s">
        <v>241</v>
      </c>
      <c r="M9" s="14">
        <v>2000.0</v>
      </c>
      <c r="O9" s="36" t="s">
        <v>161</v>
      </c>
      <c r="P9" s="36">
        <v>5.0</v>
      </c>
      <c r="Q9" s="39">
        <f>P9*2000</f>
        <v>10000</v>
      </c>
      <c r="R9" s="39">
        <f t="shared" ref="R9:R10" si="1">P9*40</f>
        <v>200</v>
      </c>
    </row>
    <row r="10">
      <c r="A10" s="12" t="s">
        <v>1788</v>
      </c>
      <c r="B10" s="14" t="s">
        <v>428</v>
      </c>
      <c r="C10" s="12" t="s">
        <v>1789</v>
      </c>
      <c r="D10" s="12" t="s">
        <v>1790</v>
      </c>
      <c r="F10" s="12" t="s">
        <v>1791</v>
      </c>
      <c r="G10" s="12" t="s">
        <v>208</v>
      </c>
      <c r="H10" s="12" t="s">
        <v>166</v>
      </c>
      <c r="I10" s="12" t="s">
        <v>1792</v>
      </c>
      <c r="K10" s="14" t="s">
        <v>1793</v>
      </c>
      <c r="L10" s="14" t="s">
        <v>1412</v>
      </c>
      <c r="M10" s="14">
        <v>2000.0</v>
      </c>
      <c r="O10" s="36" t="s">
        <v>338</v>
      </c>
      <c r="P10" s="36">
        <v>2.5</v>
      </c>
      <c r="Q10" s="39">
        <f>P10*3000</f>
        <v>7500</v>
      </c>
      <c r="R10" s="39">
        <f t="shared" si="1"/>
        <v>100</v>
      </c>
    </row>
    <row r="11">
      <c r="A11" s="12" t="s">
        <v>1798</v>
      </c>
      <c r="B11" s="14" t="s">
        <v>458</v>
      </c>
      <c r="C11" s="12" t="s">
        <v>1800</v>
      </c>
      <c r="D11" s="12" t="s">
        <v>1801</v>
      </c>
      <c r="E11" s="11" t="s">
        <v>205</v>
      </c>
      <c r="G11" s="12" t="s">
        <v>1803</v>
      </c>
      <c r="H11" s="12" t="s">
        <v>1804</v>
      </c>
      <c r="I11" s="12" t="s">
        <v>1806</v>
      </c>
      <c r="K11" s="14" t="s">
        <v>1807</v>
      </c>
      <c r="L11" s="14" t="s">
        <v>1512</v>
      </c>
      <c r="M11" s="14">
        <v>1000.0</v>
      </c>
      <c r="O11" s="36" t="s">
        <v>1808</v>
      </c>
      <c r="P11" s="36">
        <v>3.0</v>
      </c>
      <c r="Q11" s="39">
        <f>P11*4000</f>
        <v>12000</v>
      </c>
      <c r="R11" s="39">
        <f>P11*80</f>
        <v>240</v>
      </c>
    </row>
    <row r="12">
      <c r="A12" s="12" t="s">
        <v>1811</v>
      </c>
      <c r="B12" s="14" t="s">
        <v>481</v>
      </c>
      <c r="C12" s="12" t="s">
        <v>1812</v>
      </c>
      <c r="D12" s="12" t="s">
        <v>1813</v>
      </c>
      <c r="E12" s="65">
        <v>-500.0</v>
      </c>
      <c r="F12" s="11" t="s">
        <v>1814</v>
      </c>
      <c r="G12" s="12" t="s">
        <v>1815</v>
      </c>
      <c r="H12" s="12" t="s">
        <v>195</v>
      </c>
      <c r="I12" s="12" t="s">
        <v>1816</v>
      </c>
      <c r="K12" s="14" t="s">
        <v>1817</v>
      </c>
      <c r="L12" s="14" t="s">
        <v>241</v>
      </c>
      <c r="M12" s="14">
        <v>2000.0</v>
      </c>
      <c r="O12" s="36" t="s">
        <v>138</v>
      </c>
      <c r="P12" s="36">
        <v>8.0</v>
      </c>
      <c r="Q12" s="36">
        <f>P12*6000</f>
        <v>48000</v>
      </c>
      <c r="R12" s="39">
        <f>P12*40</f>
        <v>320</v>
      </c>
    </row>
    <row r="13">
      <c r="A13" s="12" t="s">
        <v>1819</v>
      </c>
      <c r="B13" s="14" t="s">
        <v>502</v>
      </c>
      <c r="C13" s="12" t="s">
        <v>1820</v>
      </c>
      <c r="D13" s="12" t="s">
        <v>1822</v>
      </c>
      <c r="E13" s="12" t="s">
        <v>1823</v>
      </c>
      <c r="F13" s="65">
        <v>18000.0</v>
      </c>
      <c r="G13" s="12" t="s">
        <v>1308</v>
      </c>
      <c r="H13" s="12" t="s">
        <v>1099</v>
      </c>
      <c r="I13" s="12" t="s">
        <v>1824</v>
      </c>
      <c r="K13" s="14" t="s">
        <v>1826</v>
      </c>
      <c r="L13" s="14" t="s">
        <v>1512</v>
      </c>
      <c r="M13" s="14">
        <v>1000.0</v>
      </c>
      <c r="O13" s="36" t="s">
        <v>181</v>
      </c>
      <c r="P13" s="36">
        <v>5.0</v>
      </c>
      <c r="Q13" s="39">
        <f>P13*8000</f>
        <v>40000</v>
      </c>
      <c r="R13" s="39">
        <f>P13*80</f>
        <v>400</v>
      </c>
    </row>
    <row r="14">
      <c r="A14" s="12" t="s">
        <v>1833</v>
      </c>
      <c r="B14" s="14" t="s">
        <v>510</v>
      </c>
      <c r="C14" s="12" t="s">
        <v>1834</v>
      </c>
      <c r="D14" s="12" t="s">
        <v>1835</v>
      </c>
      <c r="F14" s="12" t="s">
        <v>1836</v>
      </c>
      <c r="G14" s="12" t="s">
        <v>1837</v>
      </c>
      <c r="H14" s="12" t="s">
        <v>505</v>
      </c>
      <c r="K14" s="19"/>
      <c r="L14" s="19"/>
      <c r="M14" s="19"/>
      <c r="O14" s="36" t="s">
        <v>199</v>
      </c>
      <c r="P14" s="36">
        <v>1.0</v>
      </c>
      <c r="Q14" s="39">
        <f>P14*5000</f>
        <v>5000</v>
      </c>
      <c r="R14" s="39">
        <f t="shared" ref="R14:R15" si="2">P14*100</f>
        <v>100</v>
      </c>
    </row>
    <row r="15">
      <c r="A15" s="12" t="s">
        <v>1842</v>
      </c>
      <c r="B15" s="14" t="s">
        <v>525</v>
      </c>
      <c r="C15" s="12" t="s">
        <v>269</v>
      </c>
      <c r="F15" s="12" t="s">
        <v>1843</v>
      </c>
      <c r="G15" s="12" t="s">
        <v>386</v>
      </c>
      <c r="H15" s="12" t="s">
        <v>218</v>
      </c>
      <c r="K15" s="19"/>
      <c r="L15" s="19"/>
      <c r="M15" s="19"/>
      <c r="O15" s="36" t="s">
        <v>223</v>
      </c>
      <c r="P15" s="36">
        <v>6.0</v>
      </c>
      <c r="Q15" s="39">
        <f>P15*10000</f>
        <v>60000</v>
      </c>
      <c r="R15" s="39">
        <f t="shared" si="2"/>
        <v>600</v>
      </c>
    </row>
    <row r="16">
      <c r="A16" s="12" t="s">
        <v>1853</v>
      </c>
      <c r="B16" s="15" t="s">
        <v>40</v>
      </c>
      <c r="C16" s="12" t="s">
        <v>1854</v>
      </c>
      <c r="D16" s="11" t="s">
        <v>614</v>
      </c>
      <c r="F16" s="12" t="s">
        <v>1855</v>
      </c>
      <c r="G16" s="12" t="s">
        <v>736</v>
      </c>
      <c r="H16" s="12" t="s">
        <v>1837</v>
      </c>
      <c r="K16" s="19"/>
      <c r="L16" s="19"/>
      <c r="M16" s="19"/>
      <c r="O16" s="36" t="s">
        <v>215</v>
      </c>
    </row>
    <row r="17">
      <c r="A17" s="12" t="s">
        <v>1861</v>
      </c>
      <c r="B17" s="14" t="s">
        <v>42</v>
      </c>
      <c r="C17" s="12" t="s">
        <v>1864</v>
      </c>
      <c r="D17" s="74">
        <v>20000.0</v>
      </c>
      <c r="G17" s="12" t="s">
        <v>1865</v>
      </c>
      <c r="H17" s="12" t="s">
        <v>166</v>
      </c>
      <c r="K17" s="19"/>
      <c r="L17" s="19"/>
      <c r="M17" s="19"/>
      <c r="O17" s="36" t="s">
        <v>491</v>
      </c>
      <c r="P17" s="36">
        <v>10.0</v>
      </c>
      <c r="Q17" s="39">
        <f t="shared" ref="Q17:Q22" si="3">P17*1500</f>
        <v>15000</v>
      </c>
      <c r="R17" s="39">
        <f t="shared" ref="R17:R22" si="4">P17*40</f>
        <v>400</v>
      </c>
    </row>
    <row r="18">
      <c r="A18" s="12" t="s">
        <v>1875</v>
      </c>
      <c r="B18" s="15" t="s">
        <v>44</v>
      </c>
      <c r="C18" s="12" t="s">
        <v>1878</v>
      </c>
      <c r="D18" s="14" t="s">
        <v>1880</v>
      </c>
      <c r="G18" s="12" t="s">
        <v>208</v>
      </c>
      <c r="H18" s="12" t="s">
        <v>1040</v>
      </c>
      <c r="K18" s="19"/>
      <c r="L18" s="19"/>
      <c r="M18" s="19"/>
      <c r="O18" s="36" t="s">
        <v>1886</v>
      </c>
      <c r="P18" s="36">
        <v>1.0</v>
      </c>
      <c r="Q18" s="39">
        <f t="shared" si="3"/>
        <v>1500</v>
      </c>
      <c r="R18" s="39">
        <f t="shared" si="4"/>
        <v>40</v>
      </c>
    </row>
    <row r="19">
      <c r="A19" s="12" t="s">
        <v>1889</v>
      </c>
      <c r="B19" s="14" t="s">
        <v>42</v>
      </c>
      <c r="C19" s="12" t="s">
        <v>1890</v>
      </c>
      <c r="G19" s="12" t="s">
        <v>496</v>
      </c>
      <c r="H19" s="12" t="s">
        <v>505</v>
      </c>
      <c r="K19" s="19"/>
      <c r="L19" s="19"/>
      <c r="M19" s="19"/>
      <c r="O19" s="36" t="s">
        <v>259</v>
      </c>
      <c r="P19" s="36">
        <v>1.0</v>
      </c>
      <c r="Q19" s="39">
        <f t="shared" si="3"/>
        <v>1500</v>
      </c>
      <c r="R19" s="39">
        <f t="shared" si="4"/>
        <v>40</v>
      </c>
    </row>
    <row r="20">
      <c r="A20" s="12" t="s">
        <v>1897</v>
      </c>
      <c r="C20" s="12" t="s">
        <v>1898</v>
      </c>
      <c r="G20" s="12" t="s">
        <v>1899</v>
      </c>
      <c r="H20" s="12" t="s">
        <v>1099</v>
      </c>
      <c r="K20" s="19"/>
      <c r="L20" s="19"/>
      <c r="M20" s="19"/>
      <c r="O20" s="36" t="s">
        <v>251</v>
      </c>
      <c r="P20" s="36">
        <v>1.0</v>
      </c>
      <c r="Q20" s="39">
        <f t="shared" si="3"/>
        <v>1500</v>
      </c>
      <c r="R20" s="39">
        <f t="shared" si="4"/>
        <v>40</v>
      </c>
    </row>
    <row r="21">
      <c r="A21" s="12" t="s">
        <v>1901</v>
      </c>
      <c r="C21" s="12" t="s">
        <v>1902</v>
      </c>
      <c r="G21" s="12" t="s">
        <v>386</v>
      </c>
      <c r="H21" s="12" t="s">
        <v>1903</v>
      </c>
      <c r="K21" s="19"/>
      <c r="L21" s="19"/>
      <c r="M21" s="19"/>
      <c r="O21" s="36" t="s">
        <v>268</v>
      </c>
      <c r="P21" s="36">
        <v>2.0</v>
      </c>
      <c r="Q21" s="39">
        <f t="shared" si="3"/>
        <v>3000</v>
      </c>
      <c r="R21" s="39">
        <f t="shared" si="4"/>
        <v>80</v>
      </c>
    </row>
    <row r="22">
      <c r="A22" s="12" t="s">
        <v>1908</v>
      </c>
      <c r="C22" s="12" t="s">
        <v>1523</v>
      </c>
      <c r="G22" s="12" t="s">
        <v>496</v>
      </c>
      <c r="H22" s="12" t="s">
        <v>195</v>
      </c>
      <c r="K22" s="19"/>
      <c r="L22" s="19"/>
      <c r="M22" s="19"/>
      <c r="O22" s="36" t="s">
        <v>289</v>
      </c>
      <c r="P22" s="36">
        <v>1.0</v>
      </c>
      <c r="Q22" s="39">
        <f t="shared" si="3"/>
        <v>1500</v>
      </c>
      <c r="R22" s="39">
        <f t="shared" si="4"/>
        <v>40</v>
      </c>
    </row>
    <row r="23">
      <c r="A23" s="12" t="s">
        <v>1915</v>
      </c>
      <c r="C23" s="12" t="s">
        <v>563</v>
      </c>
      <c r="G23" s="12" t="s">
        <v>1916</v>
      </c>
      <c r="H23" s="12" t="s">
        <v>590</v>
      </c>
      <c r="O23" s="45" t="s">
        <v>118</v>
      </c>
      <c r="Q23" s="47">
        <f t="shared" ref="Q23:R23" si="5">Q8+Q9+Q10+Q11+Q12+Q13+Q17+Q18+Q19+Q20+Q21+Q22+Q14+Q15</f>
        <v>218500</v>
      </c>
      <c r="R23" s="47">
        <f t="shared" si="5"/>
        <v>2840</v>
      </c>
    </row>
    <row r="24">
      <c r="A24" s="12" t="s">
        <v>1926</v>
      </c>
      <c r="C24" s="12" t="s">
        <v>1927</v>
      </c>
      <c r="G24" s="12" t="s">
        <v>386</v>
      </c>
      <c r="H24" s="12" t="s">
        <v>1928</v>
      </c>
      <c r="N24" s="38" t="s">
        <v>1930</v>
      </c>
      <c r="O24" s="36" t="s">
        <v>106</v>
      </c>
      <c r="P24" s="36">
        <v>2.0</v>
      </c>
      <c r="Q24" s="36">
        <f>P24*1000</f>
        <v>2000</v>
      </c>
      <c r="R24" s="39">
        <f>P24*20</f>
        <v>40</v>
      </c>
    </row>
    <row r="25">
      <c r="A25" s="12" t="s">
        <v>1938</v>
      </c>
      <c r="C25" s="12" t="s">
        <v>788</v>
      </c>
      <c r="G25" s="12" t="s">
        <v>1335</v>
      </c>
      <c r="H25" s="12" t="s">
        <v>505</v>
      </c>
      <c r="O25" s="36" t="s">
        <v>338</v>
      </c>
      <c r="P25" s="36">
        <v>0.5</v>
      </c>
      <c r="Q25" s="39">
        <f>P25*3000</f>
        <v>1500</v>
      </c>
      <c r="R25" s="39">
        <f>P25*40</f>
        <v>20</v>
      </c>
      <c r="T25" s="12"/>
    </row>
    <row r="26">
      <c r="A26" s="12" t="s">
        <v>1946</v>
      </c>
      <c r="C26" s="12" t="s">
        <v>1948</v>
      </c>
      <c r="G26" s="12" t="s">
        <v>1949</v>
      </c>
      <c r="H26" s="12" t="s">
        <v>1950</v>
      </c>
      <c r="O26" s="36" t="s">
        <v>215</v>
      </c>
    </row>
    <row r="27">
      <c r="A27" s="12" t="s">
        <v>1953</v>
      </c>
      <c r="O27" s="36" t="s">
        <v>491</v>
      </c>
      <c r="P27" s="36">
        <v>0.5</v>
      </c>
      <c r="Q27" s="39">
        <f>P27*1500</f>
        <v>750</v>
      </c>
      <c r="R27" s="39">
        <f>P27*40</f>
        <v>20</v>
      </c>
    </row>
    <row r="28">
      <c r="A28" s="12" t="s">
        <v>1959</v>
      </c>
      <c r="G28" s="64" t="s">
        <v>1960</v>
      </c>
      <c r="O28" s="45" t="s">
        <v>118</v>
      </c>
      <c r="Q28" s="47">
        <f t="shared" ref="Q28:R28" si="6">Q24+Q25+Q27</f>
        <v>4250</v>
      </c>
      <c r="R28" s="47">
        <f t="shared" si="6"/>
        <v>80</v>
      </c>
    </row>
    <row r="29">
      <c r="A29" s="12" t="s">
        <v>1967</v>
      </c>
      <c r="G29" s="12" t="s">
        <v>1968</v>
      </c>
      <c r="N29" s="38" t="s">
        <v>1969</v>
      </c>
      <c r="O29" s="36" t="s">
        <v>106</v>
      </c>
      <c r="P29" s="36">
        <v>14.0</v>
      </c>
      <c r="Q29" s="36">
        <f>P29*1000</f>
        <v>14000</v>
      </c>
      <c r="R29" s="39">
        <f>P29*20</f>
        <v>280</v>
      </c>
    </row>
    <row r="30">
      <c r="A30" s="12" t="s">
        <v>1976</v>
      </c>
      <c r="G30" s="12" t="s">
        <v>1977</v>
      </c>
      <c r="O30" s="36" t="s">
        <v>161</v>
      </c>
      <c r="P30" s="36">
        <v>6.0</v>
      </c>
      <c r="Q30" s="39">
        <f>P30*2000</f>
        <v>12000</v>
      </c>
      <c r="R30" s="39">
        <f t="shared" ref="R30:R31" si="7">P30*40</f>
        <v>240</v>
      </c>
    </row>
    <row r="31">
      <c r="A31" s="12" t="s">
        <v>1986</v>
      </c>
      <c r="G31" s="12" t="s">
        <v>1987</v>
      </c>
      <c r="O31" s="36" t="s">
        <v>338</v>
      </c>
      <c r="P31" s="36">
        <v>2.0</v>
      </c>
      <c r="Q31" s="39">
        <f>P31*3000</f>
        <v>6000</v>
      </c>
      <c r="R31" s="39">
        <f t="shared" si="7"/>
        <v>80</v>
      </c>
    </row>
    <row r="32">
      <c r="A32" s="12" t="s">
        <v>1990</v>
      </c>
      <c r="G32" s="12" t="s">
        <v>1992</v>
      </c>
      <c r="O32" s="36" t="s">
        <v>199</v>
      </c>
      <c r="P32" s="36">
        <v>7.5</v>
      </c>
      <c r="Q32" s="39">
        <f>P32*5000</f>
        <v>37500</v>
      </c>
      <c r="R32" s="39">
        <f>P32*100</f>
        <v>750</v>
      </c>
    </row>
    <row r="33">
      <c r="A33" s="12" t="s">
        <v>1996</v>
      </c>
      <c r="O33" s="36" t="s">
        <v>361</v>
      </c>
      <c r="P33" s="36">
        <v>2.0</v>
      </c>
      <c r="Q33" s="36">
        <f>P33*2000</f>
        <v>4000</v>
      </c>
      <c r="R33" s="39">
        <f>P33*20</f>
        <v>40</v>
      </c>
    </row>
    <row r="34">
      <c r="A34" s="12" t="s">
        <v>2001</v>
      </c>
      <c r="O34" s="36" t="s">
        <v>181</v>
      </c>
      <c r="P34" s="36">
        <v>10.5</v>
      </c>
      <c r="Q34" s="39">
        <f>P34*8000</f>
        <v>84000</v>
      </c>
      <c r="R34" s="39">
        <f>P34*80</f>
        <v>840</v>
      </c>
    </row>
    <row r="35">
      <c r="A35" s="12" t="s">
        <v>2010</v>
      </c>
      <c r="O35" s="36" t="s">
        <v>223</v>
      </c>
      <c r="P35" s="36">
        <v>5.5</v>
      </c>
      <c r="Q35" s="39">
        <f>P35*10000</f>
        <v>55000</v>
      </c>
      <c r="R35" s="39">
        <f>P35*100</f>
        <v>550</v>
      </c>
    </row>
    <row r="36">
      <c r="A36" s="12" t="s">
        <v>2013</v>
      </c>
      <c r="O36" s="36" t="s">
        <v>215</v>
      </c>
    </row>
    <row r="37">
      <c r="A37" s="12" t="s">
        <v>2016</v>
      </c>
      <c r="O37" s="36">
        <v>100.0</v>
      </c>
      <c r="P37" s="36">
        <v>1.0</v>
      </c>
      <c r="Q37" s="39">
        <f t="shared" ref="Q37:Q42" si="8">P37*1500</f>
        <v>1500</v>
      </c>
      <c r="R37" s="39">
        <f t="shared" ref="R37:R42" si="9">P37*40</f>
        <v>40</v>
      </c>
    </row>
    <row r="38">
      <c r="A38" s="12" t="s">
        <v>2021</v>
      </c>
      <c r="O38" s="36" t="s">
        <v>491</v>
      </c>
      <c r="P38" s="36">
        <v>12.0</v>
      </c>
      <c r="Q38" s="39">
        <f t="shared" si="8"/>
        <v>18000</v>
      </c>
      <c r="R38" s="39">
        <f t="shared" si="9"/>
        <v>480</v>
      </c>
    </row>
    <row r="39">
      <c r="A39" s="12" t="s">
        <v>2025</v>
      </c>
      <c r="O39" s="36" t="s">
        <v>251</v>
      </c>
      <c r="P39" s="36">
        <v>1.0</v>
      </c>
      <c r="Q39" s="39">
        <f t="shared" si="8"/>
        <v>1500</v>
      </c>
      <c r="R39" s="39">
        <f t="shared" si="9"/>
        <v>40</v>
      </c>
    </row>
    <row r="40">
      <c r="A40" s="12" t="s">
        <v>2027</v>
      </c>
      <c r="O40" s="36" t="s">
        <v>268</v>
      </c>
      <c r="P40" s="36">
        <v>1.5</v>
      </c>
      <c r="Q40" s="39">
        <f t="shared" si="8"/>
        <v>2250</v>
      </c>
      <c r="R40" s="39">
        <f t="shared" si="9"/>
        <v>60</v>
      </c>
    </row>
    <row r="41">
      <c r="A41" s="12" t="s">
        <v>2028</v>
      </c>
      <c r="O41" s="36" t="s">
        <v>289</v>
      </c>
      <c r="P41" s="36">
        <v>4.0</v>
      </c>
      <c r="Q41" s="39">
        <f t="shared" si="8"/>
        <v>6000</v>
      </c>
      <c r="R41" s="39">
        <f t="shared" si="9"/>
        <v>160</v>
      </c>
    </row>
    <row r="42">
      <c r="O42" s="36" t="s">
        <v>564</v>
      </c>
      <c r="P42" s="36">
        <v>1.0</v>
      </c>
      <c r="Q42" s="39">
        <f t="shared" si="8"/>
        <v>1500</v>
      </c>
      <c r="R42" s="39">
        <f t="shared" si="9"/>
        <v>40</v>
      </c>
    </row>
    <row r="43">
      <c r="O43" s="45" t="s">
        <v>118</v>
      </c>
      <c r="Q43" s="47">
        <f t="shared" ref="Q43:R43" si="10">Q29+Q30+Q31+Q32+Q33+Q34+Q37+Q38+Q39+Q40+Q41+Q42+Q35</f>
        <v>243250</v>
      </c>
      <c r="R43" s="47">
        <f t="shared" si="10"/>
        <v>3600</v>
      </c>
    </row>
    <row r="44">
      <c r="N44" s="38" t="s">
        <v>2040</v>
      </c>
      <c r="O44" s="36" t="s">
        <v>106</v>
      </c>
      <c r="P44" s="36">
        <v>5.0</v>
      </c>
      <c r="Q44" s="36">
        <f>P44*1000</f>
        <v>5000</v>
      </c>
      <c r="R44" s="39">
        <f>P44*20</f>
        <v>100</v>
      </c>
    </row>
    <row r="45">
      <c r="O45" s="36" t="s">
        <v>161</v>
      </c>
      <c r="P45" s="36">
        <v>2.0</v>
      </c>
      <c r="Q45" s="39">
        <f>P45*2000</f>
        <v>4000</v>
      </c>
      <c r="R45" s="39">
        <f>P45*40</f>
        <v>80</v>
      </c>
    </row>
    <row r="46">
      <c r="O46" s="36" t="s">
        <v>181</v>
      </c>
      <c r="P46" s="36">
        <v>1.0</v>
      </c>
      <c r="Q46" s="39">
        <f>P46*8000</f>
        <v>8000</v>
      </c>
      <c r="R46" s="39">
        <f>P46*80</f>
        <v>80</v>
      </c>
    </row>
    <row r="47">
      <c r="O47" s="36" t="s">
        <v>215</v>
      </c>
    </row>
    <row r="48">
      <c r="O48" s="36" t="s">
        <v>491</v>
      </c>
      <c r="P48" s="36">
        <v>2.0</v>
      </c>
      <c r="Q48" s="39">
        <f t="shared" ref="Q48:Q49" si="11">P48*1500</f>
        <v>3000</v>
      </c>
      <c r="R48" s="39">
        <f t="shared" ref="R48:R49" si="12">P48*40</f>
        <v>80</v>
      </c>
    </row>
    <row r="49">
      <c r="O49" s="36" t="s">
        <v>1886</v>
      </c>
      <c r="P49" s="36">
        <v>1.0</v>
      </c>
      <c r="Q49" s="39">
        <f t="shared" si="11"/>
        <v>1500</v>
      </c>
      <c r="R49" s="39">
        <f t="shared" si="12"/>
        <v>40</v>
      </c>
    </row>
    <row r="50">
      <c r="O50" s="45" t="s">
        <v>118</v>
      </c>
      <c r="Q50" s="47">
        <f t="shared" ref="Q50:R50" si="13">Q44+Q45+Q46+Q48+Q49</f>
        <v>21500</v>
      </c>
      <c r="R50" s="47">
        <f t="shared" si="13"/>
        <v>380</v>
      </c>
    </row>
    <row r="51">
      <c r="N51" s="38" t="s">
        <v>2051</v>
      </c>
      <c r="O51" s="36" t="s">
        <v>338</v>
      </c>
      <c r="P51" s="36">
        <v>1.0</v>
      </c>
      <c r="Q51" s="39">
        <f>P51*3000</f>
        <v>3000</v>
      </c>
      <c r="R51" s="39">
        <f>P51*40</f>
        <v>40</v>
      </c>
    </row>
    <row r="52">
      <c r="O52" s="36" t="s">
        <v>361</v>
      </c>
      <c r="P52" s="36">
        <v>1.0</v>
      </c>
      <c r="Q52" s="36">
        <f>P52*2000</f>
        <v>2000</v>
      </c>
      <c r="R52" s="39">
        <f>P52*20</f>
        <v>20</v>
      </c>
    </row>
    <row r="53">
      <c r="O53" s="36" t="s">
        <v>181</v>
      </c>
      <c r="P53" s="36">
        <v>4.0</v>
      </c>
      <c r="Q53" s="39">
        <f>P53*8000</f>
        <v>32000</v>
      </c>
      <c r="R53" s="39">
        <f>P53*80</f>
        <v>320</v>
      </c>
    </row>
    <row r="54">
      <c r="O54" s="36" t="s">
        <v>199</v>
      </c>
      <c r="P54" s="36">
        <v>0.5</v>
      </c>
      <c r="Q54" s="39">
        <f>P54*5000</f>
        <v>2500</v>
      </c>
      <c r="R54" s="39">
        <f>P54*100</f>
        <v>50</v>
      </c>
    </row>
    <row r="55">
      <c r="O55" s="36" t="s">
        <v>215</v>
      </c>
    </row>
    <row r="56">
      <c r="O56" s="36" t="s">
        <v>268</v>
      </c>
      <c r="P56" s="36">
        <v>2.0</v>
      </c>
      <c r="Q56" s="39">
        <f t="shared" ref="Q56:Q57" si="14">P56*1500</f>
        <v>3000</v>
      </c>
      <c r="R56" s="39">
        <f t="shared" ref="R56:R57" si="15">P56*40</f>
        <v>80</v>
      </c>
    </row>
    <row r="57">
      <c r="O57" s="36" t="s">
        <v>289</v>
      </c>
      <c r="P57" s="36">
        <v>2.0</v>
      </c>
      <c r="Q57" s="39">
        <f t="shared" si="14"/>
        <v>3000</v>
      </c>
      <c r="R57" s="39">
        <f t="shared" si="15"/>
        <v>80</v>
      </c>
    </row>
    <row r="58">
      <c r="O58" s="45" t="s">
        <v>118</v>
      </c>
      <c r="Q58" s="47">
        <f t="shared" ref="Q58:R58" si="16">Q51+Q52+Q53+Q56+Q57+Q54</f>
        <v>45500</v>
      </c>
      <c r="R58" s="47">
        <f t="shared" si="16"/>
        <v>590</v>
      </c>
    </row>
    <row r="68">
      <c r="A68" s="82" t="s">
        <v>567</v>
      </c>
    </row>
    <row r="69">
      <c r="A69" s="82">
        <f>A72+A84+A117+A152+A179+A200+A240+A260</f>
        <v>1554550</v>
      </c>
    </row>
    <row r="70">
      <c r="A70" s="86"/>
      <c r="B70" s="86"/>
      <c r="C70" s="86"/>
      <c r="D70" s="86"/>
      <c r="E70" s="86"/>
    </row>
    <row r="71">
      <c r="A71" s="84" t="s">
        <v>575</v>
      </c>
    </row>
    <row r="72">
      <c r="A72" s="84">
        <v>22300.0</v>
      </c>
    </row>
    <row r="73">
      <c r="A73" s="84">
        <v>2026.0</v>
      </c>
    </row>
    <row r="74">
      <c r="A74" s="85" t="s">
        <v>576</v>
      </c>
      <c r="B74" s="85" t="s">
        <v>577</v>
      </c>
      <c r="C74" s="85" t="s">
        <v>578</v>
      </c>
      <c r="D74" s="85" t="s">
        <v>579</v>
      </c>
      <c r="E74" s="85" t="s">
        <v>580</v>
      </c>
    </row>
    <row r="75">
      <c r="A75" s="64" t="s">
        <v>2081</v>
      </c>
      <c r="D75" s="64" t="s">
        <v>1466</v>
      </c>
      <c r="E75" s="64" t="s">
        <v>2084</v>
      </c>
    </row>
    <row r="76">
      <c r="A76" s="12" t="s">
        <v>2086</v>
      </c>
      <c r="D76" s="12" t="s">
        <v>2087</v>
      </c>
      <c r="E76" s="12" t="s">
        <v>2088</v>
      </c>
    </row>
    <row r="77">
      <c r="A77" s="12" t="s">
        <v>1369</v>
      </c>
      <c r="D77" s="12" t="s">
        <v>2089</v>
      </c>
      <c r="E77" s="12" t="s">
        <v>620</v>
      </c>
    </row>
    <row r="78">
      <c r="A78" s="12" t="s">
        <v>805</v>
      </c>
      <c r="D78" s="12" t="s">
        <v>815</v>
      </c>
      <c r="E78" s="12" t="s">
        <v>2092</v>
      </c>
    </row>
    <row r="79">
      <c r="A79" s="12" t="s">
        <v>653</v>
      </c>
      <c r="E79" s="12" t="s">
        <v>1987</v>
      </c>
    </row>
    <row r="80">
      <c r="A80" s="12" t="s">
        <v>797</v>
      </c>
      <c r="E80" s="12" t="s">
        <v>1369</v>
      </c>
    </row>
    <row r="81">
      <c r="A81" s="12" t="s">
        <v>783</v>
      </c>
      <c r="E81" s="12" t="s">
        <v>2092</v>
      </c>
    </row>
    <row r="82">
      <c r="A82" s="86"/>
    </row>
    <row r="83">
      <c r="A83" s="87" t="s">
        <v>2093</v>
      </c>
    </row>
    <row r="84">
      <c r="A84" s="87">
        <v>137880.0</v>
      </c>
    </row>
    <row r="85">
      <c r="A85" s="88">
        <v>2026.0</v>
      </c>
    </row>
    <row r="86">
      <c r="A86" s="190" t="s">
        <v>2098</v>
      </c>
    </row>
    <row r="87">
      <c r="A87" s="88" t="s">
        <v>2103</v>
      </c>
    </row>
    <row r="88">
      <c r="A88" s="85" t="s">
        <v>592</v>
      </c>
      <c r="B88" s="85" t="s">
        <v>593</v>
      </c>
      <c r="C88" s="85" t="s">
        <v>594</v>
      </c>
      <c r="D88" s="85" t="s">
        <v>595</v>
      </c>
      <c r="E88" s="85" t="s">
        <v>596</v>
      </c>
      <c r="F88" s="85" t="s">
        <v>597</v>
      </c>
    </row>
    <row r="89">
      <c r="A89" s="64" t="s">
        <v>2109</v>
      </c>
      <c r="B89" s="64" t="s">
        <v>2111</v>
      </c>
      <c r="C89" s="64" t="s">
        <v>2113</v>
      </c>
      <c r="D89" s="64" t="s">
        <v>2114</v>
      </c>
      <c r="E89" s="64" t="s">
        <v>2115</v>
      </c>
      <c r="F89" s="64" t="s">
        <v>2117</v>
      </c>
    </row>
    <row r="90">
      <c r="A90" s="12" t="s">
        <v>2119</v>
      </c>
      <c r="B90" s="12" t="s">
        <v>1755</v>
      </c>
      <c r="C90" s="12" t="s">
        <v>2120</v>
      </c>
      <c r="D90" s="12" t="s">
        <v>1773</v>
      </c>
      <c r="E90" s="12" t="s">
        <v>2086</v>
      </c>
      <c r="F90" s="12" t="s">
        <v>1968</v>
      </c>
    </row>
    <row r="91">
      <c r="A91" s="12" t="s">
        <v>2125</v>
      </c>
      <c r="B91" s="12" t="s">
        <v>2125</v>
      </c>
      <c r="C91" s="12" t="s">
        <v>2125</v>
      </c>
      <c r="D91" s="12" t="s">
        <v>2125</v>
      </c>
      <c r="E91" s="12" t="s">
        <v>2125</v>
      </c>
      <c r="F91" s="12" t="s">
        <v>2125</v>
      </c>
    </row>
    <row r="92">
      <c r="A92" s="12" t="s">
        <v>1183</v>
      </c>
      <c r="B92" s="12" t="s">
        <v>1171</v>
      </c>
      <c r="C92" s="12" t="s">
        <v>1244</v>
      </c>
      <c r="D92" s="12" t="s">
        <v>1171</v>
      </c>
      <c r="E92" s="12" t="s">
        <v>1171</v>
      </c>
      <c r="F92" s="12" t="s">
        <v>2129</v>
      </c>
    </row>
    <row r="93">
      <c r="A93" s="12" t="s">
        <v>783</v>
      </c>
      <c r="B93" s="12" t="s">
        <v>1760</v>
      </c>
      <c r="C93" s="12" t="s">
        <v>820</v>
      </c>
      <c r="D93" s="12" t="s">
        <v>2131</v>
      </c>
      <c r="E93" s="12" t="s">
        <v>2132</v>
      </c>
      <c r="F93" s="12" t="s">
        <v>783</v>
      </c>
    </row>
    <row r="94">
      <c r="A94" s="12" t="s">
        <v>1171</v>
      </c>
      <c r="B94" s="12" t="s">
        <v>2136</v>
      </c>
      <c r="C94" s="12" t="s">
        <v>2137</v>
      </c>
      <c r="D94" s="12" t="s">
        <v>2136</v>
      </c>
      <c r="E94" s="12" t="s">
        <v>1930</v>
      </c>
      <c r="F94" s="12" t="s">
        <v>820</v>
      </c>
    </row>
    <row r="95">
      <c r="A95" s="12" t="s">
        <v>2138</v>
      </c>
      <c r="B95" s="12" t="s">
        <v>613</v>
      </c>
      <c r="C95" s="12" t="s">
        <v>2136</v>
      </c>
      <c r="D95" s="12" t="s">
        <v>797</v>
      </c>
      <c r="E95" s="12" t="s">
        <v>2136</v>
      </c>
      <c r="F95" s="12" t="s">
        <v>2140</v>
      </c>
    </row>
    <row r="96">
      <c r="A96" s="12" t="s">
        <v>2141</v>
      </c>
      <c r="B96" s="12" t="s">
        <v>618</v>
      </c>
      <c r="C96" s="12" t="s">
        <v>2142</v>
      </c>
      <c r="D96" s="12" t="s">
        <v>783</v>
      </c>
      <c r="E96" s="12" t="s">
        <v>1403</v>
      </c>
      <c r="F96" s="12" t="s">
        <v>2144</v>
      </c>
    </row>
    <row r="97">
      <c r="A97" s="12" t="s">
        <v>1793</v>
      </c>
      <c r="B97" s="12" t="s">
        <v>2145</v>
      </c>
      <c r="C97" s="12" t="s">
        <v>653</v>
      </c>
      <c r="D97" s="12" t="s">
        <v>2147</v>
      </c>
      <c r="E97" s="12" t="s">
        <v>2148</v>
      </c>
      <c r="F97" s="12" t="s">
        <v>2136</v>
      </c>
    </row>
    <row r="98">
      <c r="A98" s="12" t="s">
        <v>2136</v>
      </c>
      <c r="B98" s="12" t="s">
        <v>653</v>
      </c>
      <c r="D98" s="12" t="s">
        <v>620</v>
      </c>
      <c r="E98" s="12" t="s">
        <v>620</v>
      </c>
      <c r="F98" s="12" t="s">
        <v>621</v>
      </c>
    </row>
    <row r="99">
      <c r="A99" s="12" t="s">
        <v>609</v>
      </c>
      <c r="D99" s="12" t="s">
        <v>2149</v>
      </c>
      <c r="E99" s="12" t="s">
        <v>1403</v>
      </c>
      <c r="F99" s="12" t="s">
        <v>2150</v>
      </c>
    </row>
    <row r="100">
      <c r="A100" s="12" t="s">
        <v>2151</v>
      </c>
      <c r="D100" s="12" t="s">
        <v>653</v>
      </c>
      <c r="E100" s="12" t="s">
        <v>2154</v>
      </c>
      <c r="F100" s="12" t="s">
        <v>777</v>
      </c>
    </row>
    <row r="101">
      <c r="A101" s="12" t="s">
        <v>620</v>
      </c>
      <c r="D101" s="12" t="s">
        <v>2157</v>
      </c>
      <c r="E101" s="12" t="s">
        <v>604</v>
      </c>
      <c r="F101" s="12" t="s">
        <v>621</v>
      </c>
    </row>
    <row r="102">
      <c r="A102" s="12" t="s">
        <v>609</v>
      </c>
      <c r="D102" s="12" t="s">
        <v>653</v>
      </c>
      <c r="E102" s="12" t="s">
        <v>797</v>
      </c>
    </row>
    <row r="103">
      <c r="A103" s="12" t="s">
        <v>2159</v>
      </c>
      <c r="E103" s="12" t="s">
        <v>783</v>
      </c>
    </row>
    <row r="104">
      <c r="A104" s="12" t="s">
        <v>620</v>
      </c>
      <c r="E104" s="12" t="s">
        <v>1403</v>
      </c>
    </row>
    <row r="105">
      <c r="A105" s="12" t="s">
        <v>611</v>
      </c>
    </row>
    <row r="106">
      <c r="A106" s="12" t="s">
        <v>609</v>
      </c>
    </row>
    <row r="107">
      <c r="A107" s="12" t="s">
        <v>2161</v>
      </c>
    </row>
    <row r="108">
      <c r="A108" s="12" t="s">
        <v>653</v>
      </c>
    </row>
    <row r="109">
      <c r="A109" s="12" t="s">
        <v>609</v>
      </c>
    </row>
    <row r="110">
      <c r="A110" s="12" t="s">
        <v>2164</v>
      </c>
    </row>
    <row r="111">
      <c r="A111" s="12" t="s">
        <v>604</v>
      </c>
    </row>
    <row r="112">
      <c r="A112" s="12" t="s">
        <v>2167</v>
      </c>
    </row>
    <row r="113">
      <c r="A113" s="12" t="s">
        <v>609</v>
      </c>
    </row>
    <row r="114">
      <c r="A114" s="116" t="s">
        <v>2170</v>
      </c>
    </row>
    <row r="115">
      <c r="A115" s="86"/>
    </row>
    <row r="116">
      <c r="A116" s="6" t="s">
        <v>659</v>
      </c>
    </row>
    <row r="117">
      <c r="A117" s="6">
        <v>185700.0</v>
      </c>
    </row>
    <row r="118">
      <c r="A118" s="35">
        <v>2026.0</v>
      </c>
    </row>
    <row r="119">
      <c r="A119" s="96" t="s">
        <v>2177</v>
      </c>
    </row>
    <row r="120">
      <c r="A120" s="85" t="s">
        <v>666</v>
      </c>
      <c r="B120" s="85" t="s">
        <v>668</v>
      </c>
      <c r="C120" s="85" t="s">
        <v>671</v>
      </c>
      <c r="D120" s="85" t="s">
        <v>674</v>
      </c>
      <c r="E120" s="85" t="s">
        <v>675</v>
      </c>
      <c r="F120" s="85" t="s">
        <v>676</v>
      </c>
      <c r="G120" s="85" t="s">
        <v>678</v>
      </c>
      <c r="H120" s="85" t="s">
        <v>680</v>
      </c>
    </row>
    <row r="121">
      <c r="A121" s="68" t="s">
        <v>683</v>
      </c>
      <c r="B121" s="68" t="s">
        <v>1358</v>
      </c>
      <c r="C121" s="68" t="s">
        <v>2185</v>
      </c>
      <c r="D121" s="68" t="s">
        <v>1471</v>
      </c>
      <c r="E121" s="68" t="s">
        <v>2187</v>
      </c>
      <c r="F121" s="68" t="s">
        <v>683</v>
      </c>
      <c r="G121" s="68" t="s">
        <v>2189</v>
      </c>
      <c r="H121" s="68" t="s">
        <v>2190</v>
      </c>
    </row>
    <row r="122">
      <c r="B122" s="12" t="s">
        <v>2192</v>
      </c>
      <c r="C122" s="12" t="s">
        <v>2193</v>
      </c>
      <c r="D122" s="12" t="s">
        <v>2194</v>
      </c>
      <c r="E122" s="12" t="s">
        <v>2086</v>
      </c>
      <c r="G122" s="12" t="s">
        <v>1782</v>
      </c>
      <c r="H122" s="12" t="s">
        <v>2196</v>
      </c>
    </row>
    <row r="123">
      <c r="B123" s="12" t="s">
        <v>698</v>
      </c>
      <c r="C123" s="12" t="s">
        <v>1463</v>
      </c>
      <c r="D123" s="12" t="s">
        <v>605</v>
      </c>
      <c r="E123" s="12" t="s">
        <v>606</v>
      </c>
      <c r="G123" s="12" t="s">
        <v>930</v>
      </c>
      <c r="H123" s="12" t="s">
        <v>878</v>
      </c>
    </row>
    <row r="124">
      <c r="B124" s="12" t="s">
        <v>707</v>
      </c>
      <c r="C124" s="12" t="s">
        <v>531</v>
      </c>
      <c r="D124" s="12" t="s">
        <v>209</v>
      </c>
      <c r="E124" s="12" t="s">
        <v>2198</v>
      </c>
      <c r="G124" s="12" t="s">
        <v>1043</v>
      </c>
    </row>
    <row r="125">
      <c r="B125" s="12" t="s">
        <v>2199</v>
      </c>
      <c r="E125" s="12" t="s">
        <v>2200</v>
      </c>
      <c r="G125" s="12" t="s">
        <v>531</v>
      </c>
    </row>
    <row r="126">
      <c r="B126" s="12" t="s">
        <v>605</v>
      </c>
      <c r="E126" s="12" t="s">
        <v>1085</v>
      </c>
      <c r="G126" s="12" t="s">
        <v>2203</v>
      </c>
    </row>
    <row r="127">
      <c r="B127" s="12" t="s">
        <v>707</v>
      </c>
      <c r="E127" s="12" t="s">
        <v>1930</v>
      </c>
      <c r="G127" s="12" t="s">
        <v>713</v>
      </c>
    </row>
    <row r="128">
      <c r="B128" s="12" t="s">
        <v>2206</v>
      </c>
      <c r="E128" s="12" t="s">
        <v>1521</v>
      </c>
      <c r="G128" s="12" t="s">
        <v>2207</v>
      </c>
    </row>
    <row r="129">
      <c r="B129" s="12" t="s">
        <v>699</v>
      </c>
      <c r="E129" s="12" t="s">
        <v>1085</v>
      </c>
      <c r="G129" s="12" t="s">
        <v>605</v>
      </c>
    </row>
    <row r="130">
      <c r="B130" s="12" t="s">
        <v>1342</v>
      </c>
      <c r="E130" s="12" t="s">
        <v>2212</v>
      </c>
      <c r="G130" s="12" t="s">
        <v>713</v>
      </c>
    </row>
    <row r="131">
      <c r="B131" s="12" t="s">
        <v>707</v>
      </c>
      <c r="E131" s="12" t="s">
        <v>930</v>
      </c>
    </row>
    <row r="132">
      <c r="B132" s="12" t="s">
        <v>2213</v>
      </c>
      <c r="E132" s="12" t="s">
        <v>1342</v>
      </c>
    </row>
    <row r="133">
      <c r="B133" s="12" t="s">
        <v>605</v>
      </c>
      <c r="E133" s="12" t="s">
        <v>1085</v>
      </c>
    </row>
    <row r="134">
      <c r="B134" s="12" t="s">
        <v>707</v>
      </c>
      <c r="E134" s="12" t="s">
        <v>1928</v>
      </c>
    </row>
    <row r="135">
      <c r="E135" s="12" t="s">
        <v>962</v>
      </c>
    </row>
    <row r="136">
      <c r="E136" s="12" t="s">
        <v>276</v>
      </c>
    </row>
    <row r="137">
      <c r="E137" s="12" t="s">
        <v>531</v>
      </c>
    </row>
    <row r="138">
      <c r="E138" s="12" t="s">
        <v>1085</v>
      </c>
    </row>
    <row r="139">
      <c r="E139" s="12" t="s">
        <v>2215</v>
      </c>
    </row>
    <row r="140">
      <c r="E140" s="12" t="s">
        <v>604</v>
      </c>
    </row>
    <row r="141">
      <c r="E141" s="12" t="s">
        <v>1085</v>
      </c>
    </row>
    <row r="151">
      <c r="A151" s="97" t="s">
        <v>740</v>
      </c>
    </row>
    <row r="152">
      <c r="A152" s="97">
        <f>A155</f>
        <v>124620</v>
      </c>
    </row>
    <row r="153">
      <c r="A153" s="97">
        <v>2026.0</v>
      </c>
    </row>
    <row r="154">
      <c r="A154" s="97" t="s">
        <v>749</v>
      </c>
    </row>
    <row r="155">
      <c r="A155" s="97">
        <f>A158+B158+C158+D158+E158+F158+G158+H158</f>
        <v>124620</v>
      </c>
    </row>
    <row r="156">
      <c r="A156" s="85" t="s">
        <v>762</v>
      </c>
      <c r="B156" s="85" t="s">
        <v>764</v>
      </c>
      <c r="C156" s="85" t="s">
        <v>765</v>
      </c>
      <c r="D156" s="85" t="s">
        <v>767</v>
      </c>
      <c r="E156" s="85" t="s">
        <v>768</v>
      </c>
      <c r="F156" s="85" t="s">
        <v>771</v>
      </c>
      <c r="G156" s="85" t="s">
        <v>772</v>
      </c>
      <c r="H156" s="85" t="s">
        <v>773</v>
      </c>
    </row>
    <row r="157">
      <c r="A157" s="11" t="s">
        <v>683</v>
      </c>
      <c r="B157" s="11" t="s">
        <v>683</v>
      </c>
      <c r="C157" s="11" t="s">
        <v>683</v>
      </c>
      <c r="D157" s="11" t="s">
        <v>683</v>
      </c>
      <c r="E157" s="11" t="s">
        <v>683</v>
      </c>
      <c r="F157" s="11" t="s">
        <v>683</v>
      </c>
      <c r="G157" s="11" t="s">
        <v>683</v>
      </c>
      <c r="H157" s="11" t="s">
        <v>683</v>
      </c>
    </row>
    <row r="158">
      <c r="A158" s="85">
        <v>15750.0</v>
      </c>
      <c r="B158" s="85">
        <v>11750.0</v>
      </c>
      <c r="C158" s="85">
        <v>36220.0</v>
      </c>
      <c r="D158" s="85">
        <v>4750.0</v>
      </c>
      <c r="E158" s="85">
        <v>0.0</v>
      </c>
      <c r="F158" s="85">
        <v>2000.0</v>
      </c>
      <c r="G158" s="85">
        <v>12000.0</v>
      </c>
      <c r="H158" s="85">
        <v>42150.0</v>
      </c>
    </row>
    <row r="159">
      <c r="A159" s="12" t="s">
        <v>2088</v>
      </c>
      <c r="B159" s="12" t="s">
        <v>2087</v>
      </c>
      <c r="C159" s="12" t="s">
        <v>2226</v>
      </c>
      <c r="D159" s="12" t="s">
        <v>2227</v>
      </c>
      <c r="F159" s="12" t="s">
        <v>2228</v>
      </c>
      <c r="G159" s="12" t="s">
        <v>1773</v>
      </c>
      <c r="H159" s="12" t="s">
        <v>2086</v>
      </c>
    </row>
    <row r="160">
      <c r="A160" s="12" t="s">
        <v>1634</v>
      </c>
      <c r="B160" s="12" t="s">
        <v>710</v>
      </c>
      <c r="C160" s="12" t="s">
        <v>728</v>
      </c>
      <c r="D160" s="12" t="s">
        <v>653</v>
      </c>
      <c r="F160" s="12" t="s">
        <v>653</v>
      </c>
      <c r="G160" s="12" t="s">
        <v>1521</v>
      </c>
      <c r="H160" s="12" t="s">
        <v>1559</v>
      </c>
    </row>
    <row r="161">
      <c r="A161" s="12" t="s">
        <v>796</v>
      </c>
      <c r="B161" s="12" t="s">
        <v>1113</v>
      </c>
      <c r="C161" s="12" t="s">
        <v>1110</v>
      </c>
      <c r="D161" s="12" t="s">
        <v>1578</v>
      </c>
      <c r="H161" s="12" t="s">
        <v>795</v>
      </c>
    </row>
    <row r="162">
      <c r="B162" s="12" t="s">
        <v>2230</v>
      </c>
      <c r="C162" s="12" t="s">
        <v>1117</v>
      </c>
      <c r="D162" s="12" t="s">
        <v>653</v>
      </c>
      <c r="H162" s="12" t="s">
        <v>1113</v>
      </c>
    </row>
    <row r="163">
      <c r="B163" s="12" t="s">
        <v>605</v>
      </c>
      <c r="C163" s="12" t="s">
        <v>2231</v>
      </c>
      <c r="D163" s="12" t="s">
        <v>1113</v>
      </c>
      <c r="H163" s="12" t="s">
        <v>802</v>
      </c>
    </row>
    <row r="164">
      <c r="C164" s="12" t="s">
        <v>620</v>
      </c>
      <c r="H164" s="12" t="s">
        <v>2131</v>
      </c>
    </row>
    <row r="165">
      <c r="C165" s="12" t="s">
        <v>1110</v>
      </c>
      <c r="H165" s="12" t="s">
        <v>878</v>
      </c>
    </row>
    <row r="166">
      <c r="C166" s="12" t="s">
        <v>1113</v>
      </c>
      <c r="H166" s="12" t="s">
        <v>802</v>
      </c>
    </row>
    <row r="167">
      <c r="C167" s="12" t="s">
        <v>1117</v>
      </c>
    </row>
    <row r="168">
      <c r="C168" s="12" t="s">
        <v>2232</v>
      </c>
    </row>
    <row r="169">
      <c r="C169" s="12" t="s">
        <v>605</v>
      </c>
    </row>
    <row r="170">
      <c r="C170" s="12" t="s">
        <v>1117</v>
      </c>
    </row>
    <row r="171">
      <c r="C171" s="12" t="s">
        <v>2234</v>
      </c>
    </row>
    <row r="172">
      <c r="C172" s="12" t="s">
        <v>604</v>
      </c>
    </row>
    <row r="173">
      <c r="C173" s="12" t="s">
        <v>1113</v>
      </c>
    </row>
    <row r="174">
      <c r="C174" s="12" t="s">
        <v>1117</v>
      </c>
    </row>
    <row r="178">
      <c r="A178" s="99" t="s">
        <v>1129</v>
      </c>
    </row>
    <row r="179">
      <c r="A179" s="99">
        <f>A182</f>
        <v>208900</v>
      </c>
    </row>
    <row r="180">
      <c r="A180" s="99">
        <v>2026.0</v>
      </c>
    </row>
    <row r="181">
      <c r="A181" s="99" t="s">
        <v>749</v>
      </c>
    </row>
    <row r="182">
      <c r="A182" s="117">
        <f>A185+B185+C185+D185+E185+F185+G185+H185+I185+J185</f>
        <v>208900</v>
      </c>
    </row>
    <row r="183">
      <c r="A183" s="111" t="s">
        <v>834</v>
      </c>
      <c r="B183" s="111" t="s">
        <v>835</v>
      </c>
      <c r="C183" s="111" t="s">
        <v>836</v>
      </c>
      <c r="D183" s="111" t="s">
        <v>837</v>
      </c>
      <c r="E183" s="111" t="s">
        <v>838</v>
      </c>
      <c r="F183" s="111" t="s">
        <v>839</v>
      </c>
      <c r="G183" s="111" t="s">
        <v>841</v>
      </c>
      <c r="H183" s="111" t="s">
        <v>843</v>
      </c>
      <c r="I183" s="104" t="s">
        <v>846</v>
      </c>
      <c r="J183" s="104" t="s">
        <v>847</v>
      </c>
    </row>
    <row r="184">
      <c r="A184" s="11" t="s">
        <v>683</v>
      </c>
      <c r="B184" s="11" t="s">
        <v>683</v>
      </c>
      <c r="C184" s="11" t="s">
        <v>683</v>
      </c>
      <c r="D184" s="11" t="s">
        <v>683</v>
      </c>
      <c r="E184" s="11" t="s">
        <v>683</v>
      </c>
      <c r="F184" s="11" t="s">
        <v>683</v>
      </c>
      <c r="G184" s="11" t="s">
        <v>683</v>
      </c>
      <c r="H184" s="11" t="s">
        <v>683</v>
      </c>
      <c r="I184" s="11" t="s">
        <v>683</v>
      </c>
      <c r="J184" s="11" t="s">
        <v>683</v>
      </c>
    </row>
    <row r="185">
      <c r="A185" s="85">
        <v>0.0</v>
      </c>
      <c r="B185" s="85">
        <v>0.0</v>
      </c>
      <c r="C185" s="85">
        <v>29500.0</v>
      </c>
      <c r="D185" s="85">
        <v>32000.0</v>
      </c>
      <c r="E185" s="85">
        <v>37900.0</v>
      </c>
      <c r="F185" s="85">
        <v>46000.0</v>
      </c>
      <c r="G185" s="85">
        <v>30000.0</v>
      </c>
      <c r="H185" s="85">
        <v>33500.0</v>
      </c>
      <c r="I185" s="85">
        <v>0.0</v>
      </c>
      <c r="J185" s="85">
        <v>0.0</v>
      </c>
    </row>
    <row r="186">
      <c r="C186" s="54" t="s">
        <v>2087</v>
      </c>
      <c r="D186" s="12" t="s">
        <v>2257</v>
      </c>
      <c r="E186" s="12" t="s">
        <v>2196</v>
      </c>
      <c r="F186" s="12" t="s">
        <v>2258</v>
      </c>
      <c r="G186" s="12" t="s">
        <v>2088</v>
      </c>
      <c r="H186" s="12" t="s">
        <v>2086</v>
      </c>
    </row>
    <row r="187">
      <c r="C187" s="54" t="s">
        <v>912</v>
      </c>
      <c r="D187" s="12" t="s">
        <v>1160</v>
      </c>
      <c r="E187" s="12" t="s">
        <v>710</v>
      </c>
      <c r="F187" s="12" t="s">
        <v>1160</v>
      </c>
      <c r="G187" s="12" t="s">
        <v>1002</v>
      </c>
      <c r="H187" s="12" t="s">
        <v>912</v>
      </c>
    </row>
    <row r="188">
      <c r="C188" s="54" t="s">
        <v>1578</v>
      </c>
      <c r="D188" s="12" t="s">
        <v>873</v>
      </c>
      <c r="E188" s="12" t="s">
        <v>2231</v>
      </c>
      <c r="F188" s="12" t="s">
        <v>1987</v>
      </c>
      <c r="H188" s="12" t="s">
        <v>1793</v>
      </c>
    </row>
    <row r="189">
      <c r="C189" s="54" t="s">
        <v>777</v>
      </c>
      <c r="D189" s="12" t="s">
        <v>902</v>
      </c>
      <c r="E189" s="12" t="s">
        <v>699</v>
      </c>
      <c r="F189" s="12" t="s">
        <v>1158</v>
      </c>
      <c r="H189" s="12" t="s">
        <v>1011</v>
      </c>
    </row>
    <row r="190">
      <c r="C190" s="54" t="s">
        <v>2264</v>
      </c>
      <c r="D190" s="12" t="s">
        <v>2265</v>
      </c>
      <c r="E190" s="12" t="s">
        <v>2266</v>
      </c>
      <c r="F190" s="12" t="s">
        <v>2268</v>
      </c>
    </row>
    <row r="191">
      <c r="D191" s="12" t="s">
        <v>1083</v>
      </c>
      <c r="E191" s="12" t="s">
        <v>1194</v>
      </c>
      <c r="F191" s="12" t="s">
        <v>604</v>
      </c>
    </row>
    <row r="192">
      <c r="D192" s="12" t="s">
        <v>2270</v>
      </c>
      <c r="E192" s="12" t="s">
        <v>2234</v>
      </c>
      <c r="F192" s="12" t="s">
        <v>2271</v>
      </c>
    </row>
    <row r="193">
      <c r="D193" s="12" t="s">
        <v>653</v>
      </c>
      <c r="E193" s="12" t="s">
        <v>604</v>
      </c>
      <c r="F193" s="12" t="s">
        <v>604</v>
      </c>
    </row>
    <row r="194">
      <c r="E194" s="12" t="s">
        <v>2272</v>
      </c>
    </row>
    <row r="195">
      <c r="E195" s="12" t="s">
        <v>1062</v>
      </c>
    </row>
    <row r="196">
      <c r="E196" s="12" t="s">
        <v>2274</v>
      </c>
    </row>
    <row r="197">
      <c r="E197" s="12" t="s">
        <v>914</v>
      </c>
    </row>
    <row r="198">
      <c r="A198" s="108" t="s">
        <v>938</v>
      </c>
    </row>
    <row r="199">
      <c r="A199" s="109" t="s">
        <v>940</v>
      </c>
    </row>
    <row r="200">
      <c r="A200" s="109">
        <f>A203</f>
        <v>455500</v>
      </c>
    </row>
    <row r="201">
      <c r="A201" s="109">
        <v>2026.0</v>
      </c>
    </row>
    <row r="202">
      <c r="A202" s="109" t="s">
        <v>749</v>
      </c>
    </row>
    <row r="203">
      <c r="A203" s="110">
        <f>A206+B206+C206+D206+E206+F206+G206+H206+I206+J206</f>
        <v>455500</v>
      </c>
    </row>
    <row r="204">
      <c r="A204" s="85" t="s">
        <v>959</v>
      </c>
      <c r="B204" s="85" t="s">
        <v>960</v>
      </c>
      <c r="C204" s="85" t="s">
        <v>963</v>
      </c>
      <c r="D204" s="85" t="s">
        <v>964</v>
      </c>
      <c r="E204" s="85" t="s">
        <v>966</v>
      </c>
      <c r="F204" s="85" t="s">
        <v>967</v>
      </c>
      <c r="G204" s="111" t="s">
        <v>969</v>
      </c>
      <c r="H204" s="107" t="s">
        <v>972</v>
      </c>
      <c r="I204" s="107" t="s">
        <v>975</v>
      </c>
      <c r="J204" s="107" t="s">
        <v>976</v>
      </c>
    </row>
    <row r="205">
      <c r="A205" s="11" t="s">
        <v>683</v>
      </c>
      <c r="B205" s="11" t="s">
        <v>683</v>
      </c>
      <c r="C205" s="11" t="s">
        <v>683</v>
      </c>
      <c r="D205" s="11" t="s">
        <v>683</v>
      </c>
      <c r="E205" s="11" t="s">
        <v>683</v>
      </c>
      <c r="F205" s="11" t="s">
        <v>683</v>
      </c>
      <c r="G205" s="11" t="s">
        <v>683</v>
      </c>
      <c r="H205" s="34" t="s">
        <v>683</v>
      </c>
      <c r="I205" s="34" t="s">
        <v>683</v>
      </c>
      <c r="J205" s="34" t="s">
        <v>683</v>
      </c>
    </row>
    <row r="206">
      <c r="A206" s="85">
        <v>12000.0</v>
      </c>
      <c r="B206" s="85"/>
      <c r="C206" s="85">
        <v>35000.0</v>
      </c>
      <c r="D206" s="85">
        <f>177500+116400</f>
        <v>293900</v>
      </c>
      <c r="E206" s="85"/>
      <c r="F206" s="85"/>
      <c r="G206" s="85"/>
      <c r="H206" s="85">
        <f>31500+77600</f>
        <v>109100</v>
      </c>
      <c r="I206" s="85">
        <v>5500.0</v>
      </c>
      <c r="J206" s="85"/>
    </row>
    <row r="207">
      <c r="A207" s="12" t="s">
        <v>2194</v>
      </c>
      <c r="C207" s="12" t="s">
        <v>2284</v>
      </c>
      <c r="D207" s="12" t="s">
        <v>2086</v>
      </c>
      <c r="H207" s="12" t="s">
        <v>2196</v>
      </c>
      <c r="I207" s="12" t="s">
        <v>2258</v>
      </c>
    </row>
    <row r="208">
      <c r="A208" s="12" t="s">
        <v>605</v>
      </c>
      <c r="C208" s="12" t="s">
        <v>605</v>
      </c>
      <c r="D208" s="12" t="s">
        <v>1196</v>
      </c>
      <c r="H208" s="12" t="s">
        <v>1312</v>
      </c>
      <c r="I208" s="12" t="s">
        <v>620</v>
      </c>
    </row>
    <row r="209">
      <c r="A209" s="12" t="s">
        <v>1197</v>
      </c>
      <c r="C209" s="12" t="s">
        <v>2285</v>
      </c>
      <c r="D209" s="12" t="s">
        <v>1646</v>
      </c>
      <c r="H209" s="12" t="s">
        <v>989</v>
      </c>
      <c r="I209" s="12" t="s">
        <v>1204</v>
      </c>
    </row>
    <row r="210">
      <c r="C210" s="12" t="s">
        <v>1663</v>
      </c>
      <c r="D210" s="12" t="s">
        <v>1930</v>
      </c>
      <c r="H210" s="12" t="s">
        <v>999</v>
      </c>
      <c r="I210" s="12" t="s">
        <v>2287</v>
      </c>
    </row>
    <row r="211">
      <c r="C211" s="12" t="s">
        <v>2288</v>
      </c>
      <c r="D211" s="12" t="s">
        <v>985</v>
      </c>
      <c r="H211" s="12" t="s">
        <v>1205</v>
      </c>
      <c r="I211" s="12" t="s">
        <v>605</v>
      </c>
    </row>
    <row r="212">
      <c r="C212" s="12" t="s">
        <v>2291</v>
      </c>
      <c r="D212" s="12" t="s">
        <v>989</v>
      </c>
      <c r="H212" s="12" t="s">
        <v>2293</v>
      </c>
    </row>
    <row r="213">
      <c r="D213" s="12" t="s">
        <v>2295</v>
      </c>
      <c r="H213" s="12" t="s">
        <v>653</v>
      </c>
    </row>
    <row r="214">
      <c r="D214" s="12" t="s">
        <v>2299</v>
      </c>
      <c r="H214" s="12" t="s">
        <v>1205</v>
      </c>
    </row>
    <row r="215">
      <c r="D215" s="12" t="s">
        <v>1646</v>
      </c>
    </row>
    <row r="216">
      <c r="D216" s="12" t="s">
        <v>1903</v>
      </c>
    </row>
    <row r="217">
      <c r="D217" s="12" t="s">
        <v>605</v>
      </c>
    </row>
    <row r="218">
      <c r="D218" s="12" t="s">
        <v>1646</v>
      </c>
    </row>
    <row r="219">
      <c r="D219" s="12" t="s">
        <v>2305</v>
      </c>
    </row>
    <row r="220">
      <c r="D220" s="12" t="s">
        <v>638</v>
      </c>
    </row>
    <row r="221">
      <c r="D221" s="12" t="s">
        <v>1646</v>
      </c>
    </row>
    <row r="222">
      <c r="D222" s="12" t="s">
        <v>2041</v>
      </c>
    </row>
    <row r="223">
      <c r="D223" s="12" t="s">
        <v>605</v>
      </c>
    </row>
    <row r="224">
      <c r="D224" s="12" t="s">
        <v>1646</v>
      </c>
    </row>
    <row r="225">
      <c r="D225" s="12" t="s">
        <v>2306</v>
      </c>
    </row>
    <row r="226">
      <c r="D226" s="12" t="s">
        <v>605</v>
      </c>
    </row>
    <row r="227">
      <c r="D227" s="12" t="s">
        <v>1646</v>
      </c>
    </row>
    <row r="239">
      <c r="A239" s="112" t="s">
        <v>1015</v>
      </c>
    </row>
    <row r="240">
      <c r="A240" s="112">
        <f>A243</f>
        <v>118650</v>
      </c>
    </row>
    <row r="241">
      <c r="A241" s="112">
        <v>2026.0</v>
      </c>
    </row>
    <row r="242">
      <c r="A242" s="112" t="s">
        <v>749</v>
      </c>
    </row>
    <row r="243">
      <c r="A243" s="112">
        <f>A246+B246+C246+D246+E246+F246+G246+H246</f>
        <v>118650</v>
      </c>
    </row>
    <row r="244">
      <c r="A244" s="85" t="s">
        <v>1035</v>
      </c>
      <c r="B244" s="85" t="s">
        <v>1013</v>
      </c>
      <c r="C244" s="85" t="s">
        <v>1016</v>
      </c>
      <c r="D244" s="85" t="s">
        <v>1023</v>
      </c>
      <c r="E244" s="85" t="s">
        <v>1037</v>
      </c>
      <c r="F244" s="85" t="s">
        <v>1038</v>
      </c>
      <c r="G244" s="85" t="s">
        <v>1039</v>
      </c>
      <c r="H244" s="85" t="s">
        <v>1033</v>
      </c>
    </row>
    <row r="245">
      <c r="A245" s="11" t="s">
        <v>683</v>
      </c>
      <c r="B245" s="11" t="s">
        <v>683</v>
      </c>
      <c r="C245" s="11" t="s">
        <v>683</v>
      </c>
      <c r="D245" s="11" t="s">
        <v>683</v>
      </c>
      <c r="E245" s="11" t="s">
        <v>683</v>
      </c>
      <c r="F245" s="11" t="s">
        <v>683</v>
      </c>
      <c r="G245" s="11" t="s">
        <v>683</v>
      </c>
      <c r="H245" s="11" t="s">
        <v>683</v>
      </c>
    </row>
    <row r="246">
      <c r="A246" s="85">
        <v>17750.0</v>
      </c>
      <c r="B246" s="85">
        <v>0.0</v>
      </c>
      <c r="C246" s="85">
        <v>0.0</v>
      </c>
      <c r="D246" s="85">
        <f>9000+44400</f>
        <v>53400</v>
      </c>
      <c r="E246" s="85">
        <v>6500.0</v>
      </c>
      <c r="F246" s="85">
        <v>0.0</v>
      </c>
      <c r="G246" s="85">
        <v>41000.0</v>
      </c>
      <c r="H246" s="85">
        <v>0.0</v>
      </c>
    </row>
    <row r="247">
      <c r="A247" s="12" t="s">
        <v>1782</v>
      </c>
      <c r="D247" s="12" t="s">
        <v>2226</v>
      </c>
      <c r="E247" s="12" t="s">
        <v>2228</v>
      </c>
      <c r="G247" s="12" t="s">
        <v>2196</v>
      </c>
    </row>
    <row r="248">
      <c r="A248" s="12" t="s">
        <v>1559</v>
      </c>
      <c r="D248" s="12" t="s">
        <v>1195</v>
      </c>
      <c r="E248" s="12" t="s">
        <v>605</v>
      </c>
      <c r="G248" s="12" t="s">
        <v>605</v>
      </c>
    </row>
    <row r="249">
      <c r="A249" s="12" t="s">
        <v>1615</v>
      </c>
      <c r="D249" s="12" t="s">
        <v>1616</v>
      </c>
      <c r="E249" s="12" t="s">
        <v>1615</v>
      </c>
      <c r="G249" s="12" t="s">
        <v>2344</v>
      </c>
    </row>
    <row r="250">
      <c r="E250" s="12" t="s">
        <v>1698</v>
      </c>
      <c r="G250" s="12" t="s">
        <v>1199</v>
      </c>
    </row>
    <row r="251">
      <c r="E251" s="12" t="s">
        <v>1930</v>
      </c>
    </row>
    <row r="252">
      <c r="E252" s="12" t="s">
        <v>653</v>
      </c>
    </row>
    <row r="253">
      <c r="E253" s="12" t="s">
        <v>1903</v>
      </c>
    </row>
    <row r="254">
      <c r="E254" s="12" t="s">
        <v>605</v>
      </c>
    </row>
    <row r="259">
      <c r="A259" s="157" t="s">
        <v>1048</v>
      </c>
    </row>
    <row r="260">
      <c r="A260" s="157">
        <f>A263</f>
        <v>301000</v>
      </c>
    </row>
    <row r="261">
      <c r="A261" s="157">
        <v>2026.0</v>
      </c>
    </row>
    <row r="262">
      <c r="A262" s="157" t="s">
        <v>749</v>
      </c>
    </row>
    <row r="263">
      <c r="A263" s="158">
        <f>A266+B266+C266+D266+E266+F266+G266+H266+I266+J266</f>
        <v>301000</v>
      </c>
    </row>
    <row r="264">
      <c r="A264" s="105" t="s">
        <v>1066</v>
      </c>
      <c r="B264" s="105" t="s">
        <v>1068</v>
      </c>
      <c r="C264" s="105" t="s">
        <v>1069</v>
      </c>
      <c r="D264" s="105" t="s">
        <v>1070</v>
      </c>
      <c r="E264" s="105" t="s">
        <v>1072</v>
      </c>
      <c r="F264" s="105" t="s">
        <v>1073</v>
      </c>
      <c r="G264" s="105" t="s">
        <v>1074</v>
      </c>
      <c r="H264" s="105" t="s">
        <v>1076</v>
      </c>
      <c r="I264" s="105" t="s">
        <v>1078</v>
      </c>
      <c r="J264" s="105" t="s">
        <v>1080</v>
      </c>
    </row>
    <row r="265">
      <c r="A265" s="34" t="s">
        <v>683</v>
      </c>
      <c r="B265" s="34" t="s">
        <v>683</v>
      </c>
      <c r="C265" s="34" t="s">
        <v>683</v>
      </c>
      <c r="D265" s="34" t="s">
        <v>683</v>
      </c>
      <c r="E265" s="34" t="s">
        <v>683</v>
      </c>
      <c r="F265" s="34" t="s">
        <v>683</v>
      </c>
      <c r="G265" s="34" t="s">
        <v>683</v>
      </c>
      <c r="H265" s="34" t="s">
        <v>683</v>
      </c>
      <c r="I265" s="34" t="s">
        <v>683</v>
      </c>
      <c r="J265" s="34" t="s">
        <v>683</v>
      </c>
    </row>
    <row r="266">
      <c r="A266" s="107">
        <v>2000.0</v>
      </c>
      <c r="B266" s="107">
        <v>2000.0</v>
      </c>
      <c r="C266" s="105">
        <v>0.0</v>
      </c>
      <c r="D266" s="107">
        <v>50000.0</v>
      </c>
      <c r="E266" s="107">
        <v>241000.0</v>
      </c>
      <c r="F266" s="105">
        <v>0.0</v>
      </c>
      <c r="G266" s="107">
        <v>6000.0</v>
      </c>
      <c r="H266" s="105">
        <v>0.0</v>
      </c>
      <c r="I266" s="105">
        <v>0.0</v>
      </c>
      <c r="J266" s="105">
        <v>0.0</v>
      </c>
    </row>
    <row r="267">
      <c r="A267" s="12" t="s">
        <v>2361</v>
      </c>
      <c r="B267" s="12" t="s">
        <v>2362</v>
      </c>
      <c r="D267" s="12" t="s">
        <v>2226</v>
      </c>
      <c r="E267" s="12" t="s">
        <v>1773</v>
      </c>
      <c r="G267" s="12" t="s">
        <v>2364</v>
      </c>
    </row>
    <row r="268">
      <c r="A268" s="12" t="s">
        <v>653</v>
      </c>
      <c r="B268" s="12" t="s">
        <v>653</v>
      </c>
      <c r="D268" s="12" t="s">
        <v>2366</v>
      </c>
      <c r="E268" s="12" t="s">
        <v>1092</v>
      </c>
      <c r="G268" s="12" t="s">
        <v>653</v>
      </c>
    </row>
    <row r="269">
      <c r="D269" s="12" t="s">
        <v>2131</v>
      </c>
      <c r="E269" s="12" t="s">
        <v>1930</v>
      </c>
      <c r="G269" s="12" t="s">
        <v>2287</v>
      </c>
    </row>
    <row r="270">
      <c r="D270" s="12" t="s">
        <v>1557</v>
      </c>
      <c r="E270" s="12" t="s">
        <v>1312</v>
      </c>
      <c r="G270" s="12" t="s">
        <v>653</v>
      </c>
    </row>
    <row r="271">
      <c r="E271" s="12" t="s">
        <v>2371</v>
      </c>
      <c r="G271" s="12" t="s">
        <v>2372</v>
      </c>
    </row>
    <row r="272">
      <c r="E272" s="12" t="s">
        <v>1093</v>
      </c>
      <c r="G272" s="12" t="s">
        <v>653</v>
      </c>
    </row>
    <row r="273">
      <c r="E273" s="12" t="s">
        <v>2374</v>
      </c>
    </row>
    <row r="274">
      <c r="E274" s="12" t="s">
        <v>1199</v>
      </c>
    </row>
    <row r="275">
      <c r="E275" s="12" t="s">
        <v>2375</v>
      </c>
    </row>
    <row r="276">
      <c r="E276" s="12" t="s">
        <v>653</v>
      </c>
    </row>
    <row r="277">
      <c r="E277" s="12" t="s">
        <v>2377</v>
      </c>
    </row>
    <row r="278">
      <c r="E278" s="12" t="s">
        <v>1259</v>
      </c>
    </row>
    <row r="279">
      <c r="E279" s="12" t="s">
        <v>2378</v>
      </c>
    </row>
    <row r="280">
      <c r="E280" s="12" t="s">
        <v>653</v>
      </c>
    </row>
    <row r="281">
      <c r="E281" s="12" t="s">
        <v>2379</v>
      </c>
    </row>
    <row r="282">
      <c r="E282" s="12" t="s">
        <v>653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3"/>
    <mergeCell ref="N24:N28"/>
    <mergeCell ref="N29:N43"/>
    <mergeCell ref="N44:N50"/>
    <mergeCell ref="N51:N58"/>
    <mergeCell ref="H6:J6"/>
    <mergeCell ref="K6:M6"/>
    <mergeCell ref="N6:R6"/>
    <mergeCell ref="K7:M7"/>
    <mergeCell ref="K8:M8"/>
    <mergeCell ref="O16:R16"/>
    <mergeCell ref="O23:P23"/>
    <mergeCell ref="O26:R26"/>
    <mergeCell ref="O28:P28"/>
    <mergeCell ref="O36:R36"/>
    <mergeCell ref="O43:P43"/>
    <mergeCell ref="O47:R47"/>
    <mergeCell ref="O50:P50"/>
    <mergeCell ref="O55:R55"/>
    <mergeCell ref="O58:P58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3" max="13" width="27.88"/>
    <col customWidth="1" min="15" max="15" width="17.25"/>
    <col customWidth="1" min="16" max="16" width="14.5"/>
    <col customWidth="1" min="20" max="20" width="26.13"/>
  </cols>
  <sheetData>
    <row r="1">
      <c r="A1" s="141" t="s">
        <v>1818</v>
      </c>
    </row>
    <row r="2">
      <c r="A2" s="141" t="s">
        <v>1821</v>
      </c>
    </row>
    <row r="3">
      <c r="A3" s="142" t="s">
        <v>17</v>
      </c>
    </row>
    <row r="4">
      <c r="A4" s="173">
        <f>100000+B6+C6+D6+F6+G6+H6+I6+A58+L6+O6</f>
        <v>1356735</v>
      </c>
    </row>
    <row r="5">
      <c r="A5" s="11" t="s">
        <v>19</v>
      </c>
      <c r="B5" s="11" t="s">
        <v>46</v>
      </c>
      <c r="C5" s="11" t="s">
        <v>1214</v>
      </c>
      <c r="D5" s="11" t="s">
        <v>226</v>
      </c>
      <c r="E5" s="11" t="s">
        <v>49</v>
      </c>
      <c r="F5" s="11" t="s">
        <v>229</v>
      </c>
      <c r="G5" s="11" t="s">
        <v>1424</v>
      </c>
      <c r="H5" s="11" t="s">
        <v>1218</v>
      </c>
      <c r="I5" s="11" t="s">
        <v>59</v>
      </c>
      <c r="L5" s="11" t="s">
        <v>56</v>
      </c>
      <c r="O5" s="144" t="s">
        <v>60</v>
      </c>
    </row>
    <row r="6">
      <c r="A6" s="12" t="s">
        <v>1844</v>
      </c>
      <c r="B6" s="174">
        <v>-60000.0</v>
      </c>
      <c r="C6" s="174">
        <v>4000.0</v>
      </c>
      <c r="D6" s="174">
        <v>-500.0</v>
      </c>
      <c r="E6" s="12" t="s">
        <v>1848</v>
      </c>
      <c r="F6" s="174">
        <v>36100.0</v>
      </c>
      <c r="G6" s="174">
        <v>25000.0</v>
      </c>
      <c r="H6" s="174">
        <v>0.0</v>
      </c>
      <c r="I6" s="174">
        <v>38000.0</v>
      </c>
      <c r="L6" s="175">
        <f>L8</f>
        <v>431000</v>
      </c>
      <c r="O6" s="176">
        <f>R11+R13+R15+R17+R22</f>
        <v>42500</v>
      </c>
      <c r="T6" s="11"/>
    </row>
    <row r="7">
      <c r="A7" s="12" t="s">
        <v>1866</v>
      </c>
      <c r="B7" s="15" t="s">
        <v>35</v>
      </c>
      <c r="C7" s="14" t="s">
        <v>1867</v>
      </c>
      <c r="D7" s="12" t="s">
        <v>1868</v>
      </c>
      <c r="E7" s="12" t="s">
        <v>1869</v>
      </c>
      <c r="F7" s="12" t="s">
        <v>77</v>
      </c>
      <c r="G7" s="12" t="s">
        <v>1870</v>
      </c>
      <c r="I7" s="12" t="s">
        <v>77</v>
      </c>
      <c r="J7" s="12" t="s">
        <v>1871</v>
      </c>
      <c r="K7" s="12" t="s">
        <v>81</v>
      </c>
      <c r="L7" s="125" t="s">
        <v>89</v>
      </c>
      <c r="O7" s="149" t="s">
        <v>85</v>
      </c>
      <c r="P7" s="149" t="s">
        <v>87</v>
      </c>
      <c r="Q7" s="149" t="s">
        <v>88</v>
      </c>
      <c r="R7" s="149" t="s">
        <v>1</v>
      </c>
      <c r="S7" s="149" t="s">
        <v>90</v>
      </c>
      <c r="T7" s="127"/>
    </row>
    <row r="8">
      <c r="A8" s="12" t="s">
        <v>1879</v>
      </c>
      <c r="B8" s="14" t="s">
        <v>354</v>
      </c>
      <c r="C8" s="14" t="s">
        <v>1881</v>
      </c>
      <c r="E8" s="12" t="s">
        <v>1882</v>
      </c>
      <c r="F8" s="12" t="s">
        <v>1883</v>
      </c>
      <c r="G8" s="12" t="s">
        <v>1884</v>
      </c>
      <c r="I8" s="12" t="s">
        <v>1885</v>
      </c>
      <c r="J8" s="12" t="s">
        <v>1887</v>
      </c>
      <c r="K8" s="12" t="s">
        <v>1888</v>
      </c>
      <c r="L8" s="178">
        <f>N10+N13+N17+N20+N22</f>
        <v>431000</v>
      </c>
      <c r="O8" s="151" t="s">
        <v>1893</v>
      </c>
      <c r="P8" s="152" t="s">
        <v>138</v>
      </c>
      <c r="Q8" s="152">
        <v>2.5</v>
      </c>
      <c r="R8" s="152">
        <f>Q8*6000</f>
        <v>15000</v>
      </c>
      <c r="S8" s="153">
        <f>Q8*40</f>
        <v>100</v>
      </c>
    </row>
    <row r="9">
      <c r="A9" s="12" t="s">
        <v>1904</v>
      </c>
      <c r="B9" s="14" t="s">
        <v>389</v>
      </c>
      <c r="C9" s="14" t="s">
        <v>1906</v>
      </c>
      <c r="E9" s="12" t="s">
        <v>1909</v>
      </c>
      <c r="F9" s="12" t="s">
        <v>1910</v>
      </c>
      <c r="G9" s="12" t="s">
        <v>1911</v>
      </c>
      <c r="I9" s="12" t="s">
        <v>1893</v>
      </c>
      <c r="J9" s="12" t="s">
        <v>1913</v>
      </c>
      <c r="K9" s="12" t="s">
        <v>1914</v>
      </c>
      <c r="L9" s="180" t="s">
        <v>130</v>
      </c>
      <c r="M9" s="180" t="s">
        <v>135</v>
      </c>
      <c r="N9" s="180" t="s">
        <v>1</v>
      </c>
      <c r="P9" s="152" t="s">
        <v>215</v>
      </c>
    </row>
    <row r="10">
      <c r="A10" s="12" t="s">
        <v>1917</v>
      </c>
      <c r="B10" s="15" t="s">
        <v>40</v>
      </c>
      <c r="C10" s="14" t="s">
        <v>1918</v>
      </c>
      <c r="E10" s="12" t="s">
        <v>1919</v>
      </c>
      <c r="F10" s="12" t="s">
        <v>1332</v>
      </c>
      <c r="G10" s="12" t="s">
        <v>1920</v>
      </c>
      <c r="I10" s="12" t="s">
        <v>166</v>
      </c>
      <c r="J10" s="12" t="s">
        <v>1922</v>
      </c>
      <c r="K10" s="12" t="s">
        <v>1923</v>
      </c>
      <c r="L10" s="50" t="s">
        <v>1924</v>
      </c>
      <c r="M10" s="50" t="s">
        <v>241</v>
      </c>
      <c r="N10" s="50">
        <v>4000.0</v>
      </c>
      <c r="P10" s="152" t="s">
        <v>251</v>
      </c>
      <c r="Q10" s="152">
        <v>1.0</v>
      </c>
      <c r="R10" s="153">
        <f>Q10*1500</f>
        <v>1500</v>
      </c>
      <c r="S10" s="153">
        <f>Q10*40</f>
        <v>40</v>
      </c>
    </row>
    <row r="11">
      <c r="A11" s="12" t="s">
        <v>1929</v>
      </c>
      <c r="B11" s="14" t="s">
        <v>42</v>
      </c>
      <c r="C11" s="14" t="s">
        <v>1931</v>
      </c>
      <c r="E11" s="12" t="s">
        <v>1932</v>
      </c>
      <c r="F11" s="12" t="s">
        <v>1349</v>
      </c>
      <c r="G11" s="68" t="s">
        <v>1933</v>
      </c>
      <c r="I11" s="12" t="s">
        <v>501</v>
      </c>
      <c r="J11" s="12" t="s">
        <v>334</v>
      </c>
      <c r="K11" s="12" t="s">
        <v>1936</v>
      </c>
      <c r="M11" s="50" t="s">
        <v>150</v>
      </c>
      <c r="P11" s="182" t="s">
        <v>118</v>
      </c>
      <c r="R11" s="183">
        <f t="shared" ref="R11:S11" si="1">R8+R10</f>
        <v>16500</v>
      </c>
      <c r="S11" s="183">
        <f t="shared" si="1"/>
        <v>140</v>
      </c>
    </row>
    <row r="12">
      <c r="A12" s="12" t="s">
        <v>1939</v>
      </c>
      <c r="B12" s="15" t="s">
        <v>44</v>
      </c>
      <c r="C12" s="12" t="s">
        <v>1940</v>
      </c>
      <c r="E12" s="12" t="s">
        <v>1941</v>
      </c>
      <c r="F12" s="12" t="s">
        <v>166</v>
      </c>
      <c r="G12" s="12" t="s">
        <v>1942</v>
      </c>
      <c r="I12" s="12" t="s">
        <v>1943</v>
      </c>
      <c r="J12" s="12" t="s">
        <v>1945</v>
      </c>
      <c r="K12" s="12" t="s">
        <v>1947</v>
      </c>
      <c r="M12" s="50" t="s">
        <v>1512</v>
      </c>
      <c r="O12" s="151" t="s">
        <v>1951</v>
      </c>
      <c r="P12" s="152" t="s">
        <v>338</v>
      </c>
      <c r="Q12" s="152">
        <v>0.5</v>
      </c>
      <c r="R12" s="153">
        <f>Q12*3000</f>
        <v>1500</v>
      </c>
      <c r="S12" s="153">
        <f>Q12*40</f>
        <v>20</v>
      </c>
    </row>
    <row r="13">
      <c r="A13" s="12" t="s">
        <v>1958</v>
      </c>
      <c r="B13" s="14" t="s">
        <v>42</v>
      </c>
      <c r="C13" s="12" t="s">
        <v>1961</v>
      </c>
      <c r="F13" s="12" t="s">
        <v>398</v>
      </c>
      <c r="G13" s="12" t="s">
        <v>1962</v>
      </c>
      <c r="I13" s="12" t="s">
        <v>195</v>
      </c>
      <c r="J13" s="12" t="s">
        <v>1963</v>
      </c>
      <c r="L13" s="50" t="s">
        <v>1964</v>
      </c>
      <c r="M13" s="50" t="s">
        <v>160</v>
      </c>
      <c r="N13" s="50">
        <f>7000+25000+50000</f>
        <v>82000</v>
      </c>
      <c r="P13" s="182" t="s">
        <v>118</v>
      </c>
      <c r="R13" s="183">
        <f t="shared" ref="R13:S13" si="2">R12</f>
        <v>1500</v>
      </c>
      <c r="S13" s="183">
        <f t="shared" si="2"/>
        <v>20</v>
      </c>
    </row>
    <row r="14">
      <c r="A14" s="12" t="s">
        <v>1970</v>
      </c>
      <c r="C14" s="12" t="s">
        <v>1971</v>
      </c>
      <c r="F14" s="12" t="s">
        <v>1972</v>
      </c>
      <c r="G14" s="12" t="s">
        <v>1973</v>
      </c>
      <c r="I14" s="12" t="s">
        <v>590</v>
      </c>
      <c r="J14" s="12" t="s">
        <v>1850</v>
      </c>
      <c r="M14" s="50" t="s">
        <v>1974</v>
      </c>
      <c r="O14" s="151" t="s">
        <v>1975</v>
      </c>
      <c r="P14" s="152" t="s">
        <v>338</v>
      </c>
      <c r="Q14" s="152">
        <v>1.0</v>
      </c>
      <c r="R14" s="153">
        <f>Q14*3000</f>
        <v>3000</v>
      </c>
      <c r="S14" s="153">
        <f>Q14*40</f>
        <v>40</v>
      </c>
    </row>
    <row r="15">
      <c r="A15" s="12" t="s">
        <v>1980</v>
      </c>
      <c r="C15" s="12" t="s">
        <v>1982</v>
      </c>
      <c r="F15" s="12" t="s">
        <v>1983</v>
      </c>
      <c r="G15" s="12" t="s">
        <v>1984</v>
      </c>
      <c r="I15" s="12" t="s">
        <v>1985</v>
      </c>
      <c r="J15" s="12" t="s">
        <v>248</v>
      </c>
      <c r="M15" s="11" t="s">
        <v>347</v>
      </c>
      <c r="P15" s="182" t="s">
        <v>118</v>
      </c>
      <c r="R15" s="183">
        <f t="shared" ref="R15:S15" si="3">R14</f>
        <v>3000</v>
      </c>
      <c r="S15" s="183">
        <f t="shared" si="3"/>
        <v>40</v>
      </c>
    </row>
    <row r="16">
      <c r="A16" s="12" t="s">
        <v>1989</v>
      </c>
      <c r="C16" s="12" t="s">
        <v>1991</v>
      </c>
      <c r="F16" s="185" t="s">
        <v>1993</v>
      </c>
      <c r="I16" s="12" t="s">
        <v>166</v>
      </c>
      <c r="M16" s="68" t="s">
        <v>305</v>
      </c>
      <c r="O16" s="151" t="s">
        <v>1994</v>
      </c>
      <c r="P16" s="152" t="s">
        <v>181</v>
      </c>
      <c r="Q16" s="152">
        <v>1.0</v>
      </c>
      <c r="R16" s="153">
        <f>Q16*8000</f>
        <v>8000</v>
      </c>
      <c r="S16" s="153">
        <f>Q16*80</f>
        <v>80</v>
      </c>
    </row>
    <row r="17">
      <c r="A17" s="12" t="s">
        <v>1998</v>
      </c>
      <c r="C17" s="12" t="s">
        <v>175</v>
      </c>
      <c r="I17" s="12" t="s">
        <v>1999</v>
      </c>
      <c r="L17" s="50" t="s">
        <v>2000</v>
      </c>
      <c r="M17" s="50" t="s">
        <v>241</v>
      </c>
      <c r="N17" s="50">
        <f>3000+25000</f>
        <v>28000</v>
      </c>
      <c r="P17" s="182" t="s">
        <v>118</v>
      </c>
      <c r="R17" s="183">
        <f t="shared" ref="R17:S17" si="4">R16</f>
        <v>8000</v>
      </c>
      <c r="S17" s="183">
        <f t="shared" si="4"/>
        <v>80</v>
      </c>
    </row>
    <row r="18">
      <c r="A18" s="12" t="s">
        <v>2006</v>
      </c>
      <c r="C18" s="12" t="s">
        <v>2007</v>
      </c>
      <c r="F18" s="64" t="s">
        <v>2008</v>
      </c>
      <c r="I18" s="12" t="s">
        <v>505</v>
      </c>
      <c r="M18" s="50" t="s">
        <v>1512</v>
      </c>
      <c r="O18" s="151" t="s">
        <v>2009</v>
      </c>
      <c r="P18" s="152" t="s">
        <v>161</v>
      </c>
      <c r="Q18" s="152">
        <v>2.0</v>
      </c>
      <c r="R18" s="153">
        <f>Q18*2000</f>
        <v>4000</v>
      </c>
      <c r="S18" s="153">
        <f>Q18*40</f>
        <v>80</v>
      </c>
    </row>
    <row r="19">
      <c r="A19" s="12" t="s">
        <v>2014</v>
      </c>
      <c r="C19" s="12" t="s">
        <v>612</v>
      </c>
      <c r="F19" s="64" t="s">
        <v>2015</v>
      </c>
      <c r="I19" s="12" t="s">
        <v>1570</v>
      </c>
      <c r="M19" s="11" t="s">
        <v>282</v>
      </c>
      <c r="P19" s="152" t="s">
        <v>181</v>
      </c>
      <c r="Q19" s="152">
        <v>1.0</v>
      </c>
      <c r="R19" s="153">
        <f>Q19*8000</f>
        <v>8000</v>
      </c>
      <c r="S19" s="153">
        <f>Q19*80</f>
        <v>80</v>
      </c>
    </row>
    <row r="20">
      <c r="A20" s="12" t="s">
        <v>2019</v>
      </c>
      <c r="C20" s="12" t="s">
        <v>2020</v>
      </c>
      <c r="I20" s="12" t="s">
        <v>2023</v>
      </c>
      <c r="L20" s="50" t="s">
        <v>1899</v>
      </c>
      <c r="M20" s="50" t="s">
        <v>241</v>
      </c>
      <c r="N20" s="50">
        <v>17000.0</v>
      </c>
      <c r="P20" s="152" t="s">
        <v>215</v>
      </c>
    </row>
    <row r="21">
      <c r="A21" s="12" t="s">
        <v>2024</v>
      </c>
      <c r="C21" s="12" t="s">
        <v>2026</v>
      </c>
      <c r="I21" s="12" t="s">
        <v>166</v>
      </c>
      <c r="M21" s="11" t="s">
        <v>526</v>
      </c>
      <c r="P21" s="152" t="s">
        <v>289</v>
      </c>
      <c r="Q21" s="152">
        <v>1.0</v>
      </c>
      <c r="R21" s="153">
        <f>Q21*1500</f>
        <v>1500</v>
      </c>
      <c r="S21" s="153">
        <f>Q21*40</f>
        <v>40</v>
      </c>
    </row>
    <row r="22">
      <c r="A22" s="12" t="s">
        <v>2029</v>
      </c>
      <c r="C22" s="12" t="s">
        <v>217</v>
      </c>
      <c r="I22" s="12" t="s">
        <v>1999</v>
      </c>
      <c r="L22" s="11" t="s">
        <v>446</v>
      </c>
      <c r="N22" s="11">
        <v>300000.0</v>
      </c>
      <c r="P22" s="182" t="s">
        <v>118</v>
      </c>
      <c r="R22" s="183">
        <f t="shared" ref="R22:S22" si="5">R18+R19+R21</f>
        <v>13500</v>
      </c>
      <c r="S22" s="183">
        <f t="shared" si="5"/>
        <v>200</v>
      </c>
    </row>
    <row r="23">
      <c r="A23" s="12" t="s">
        <v>2035</v>
      </c>
      <c r="C23" s="12" t="s">
        <v>1548</v>
      </c>
      <c r="I23" s="12" t="s">
        <v>436</v>
      </c>
      <c r="L23" s="187"/>
      <c r="N23" s="187"/>
    </row>
    <row r="24">
      <c r="A24" s="12" t="s">
        <v>2039</v>
      </c>
      <c r="I24" s="12" t="s">
        <v>1570</v>
      </c>
    </row>
    <row r="25">
      <c r="I25" s="12" t="s">
        <v>1570</v>
      </c>
    </row>
    <row r="26">
      <c r="I26" s="12" t="s">
        <v>505</v>
      </c>
    </row>
    <row r="27">
      <c r="I27" s="12" t="s">
        <v>573</v>
      </c>
    </row>
    <row r="28">
      <c r="E28" s="22"/>
      <c r="F28" s="22"/>
      <c r="G28" s="22"/>
      <c r="I28" s="12" t="s">
        <v>2041</v>
      </c>
    </row>
    <row r="29">
      <c r="E29" s="11"/>
      <c r="F29" s="11"/>
      <c r="G29" s="11"/>
      <c r="I29" s="12" t="s">
        <v>166</v>
      </c>
    </row>
    <row r="30">
      <c r="E30" s="11"/>
      <c r="F30" s="11"/>
      <c r="G30" s="11"/>
      <c r="I30" s="12" t="s">
        <v>473</v>
      </c>
    </row>
    <row r="31">
      <c r="I31" s="12" t="s">
        <v>195</v>
      </c>
    </row>
    <row r="32">
      <c r="I32" s="12" t="s">
        <v>573</v>
      </c>
    </row>
    <row r="33">
      <c r="I33" s="12" t="s">
        <v>2043</v>
      </c>
    </row>
    <row r="34">
      <c r="I34" s="12" t="s">
        <v>166</v>
      </c>
    </row>
    <row r="35">
      <c r="I35" s="12" t="s">
        <v>536</v>
      </c>
    </row>
    <row r="36">
      <c r="I36" s="12" t="s">
        <v>505</v>
      </c>
    </row>
    <row r="37">
      <c r="I37" s="12" t="s">
        <v>545</v>
      </c>
    </row>
    <row r="38">
      <c r="I38" s="12" t="s">
        <v>2044</v>
      </c>
    </row>
    <row r="39">
      <c r="I39" s="12" t="s">
        <v>166</v>
      </c>
    </row>
    <row r="40">
      <c r="I40" s="12" t="s">
        <v>156</v>
      </c>
    </row>
    <row r="41">
      <c r="I41" s="12" t="s">
        <v>505</v>
      </c>
    </row>
    <row r="42">
      <c r="I42" s="12" t="s">
        <v>247</v>
      </c>
    </row>
    <row r="43">
      <c r="I43" s="12" t="s">
        <v>2046</v>
      </c>
    </row>
    <row r="44">
      <c r="I44" s="12" t="s">
        <v>358</v>
      </c>
    </row>
    <row r="45">
      <c r="I45" s="12" t="s">
        <v>545</v>
      </c>
    </row>
    <row r="46">
      <c r="I46" s="12" t="s">
        <v>263</v>
      </c>
    </row>
    <row r="47">
      <c r="I47" s="12"/>
    </row>
    <row r="48">
      <c r="J48" s="12"/>
    </row>
    <row r="49">
      <c r="J49" s="12"/>
    </row>
    <row r="50">
      <c r="J50" s="12"/>
    </row>
    <row r="51">
      <c r="J51" s="12"/>
    </row>
    <row r="52">
      <c r="J52" s="12"/>
    </row>
    <row r="53">
      <c r="J53" s="12"/>
    </row>
    <row r="54">
      <c r="J54" s="12"/>
    </row>
    <row r="57">
      <c r="A57" s="82" t="s">
        <v>567</v>
      </c>
    </row>
    <row r="58">
      <c r="A58" s="82">
        <f>A60+A72+A94+A107+A132+A156+A176+A190</f>
        <v>740635</v>
      </c>
    </row>
    <row r="59">
      <c r="A59" s="84" t="s">
        <v>575</v>
      </c>
    </row>
    <row r="60">
      <c r="A60" s="84">
        <v>17300.0</v>
      </c>
    </row>
    <row r="61">
      <c r="A61" s="84">
        <v>2026.0</v>
      </c>
    </row>
    <row r="62">
      <c r="A62" s="85" t="s">
        <v>576</v>
      </c>
      <c r="B62" s="85" t="s">
        <v>577</v>
      </c>
      <c r="C62" s="85" t="s">
        <v>578</v>
      </c>
      <c r="D62" s="85" t="s">
        <v>579</v>
      </c>
      <c r="E62" s="85" t="s">
        <v>580</v>
      </c>
    </row>
    <row r="63">
      <c r="A63" s="12" t="s">
        <v>2053</v>
      </c>
      <c r="B63" s="64" t="s">
        <v>685</v>
      </c>
      <c r="D63" s="12" t="s">
        <v>1893</v>
      </c>
    </row>
    <row r="64">
      <c r="A64" s="12" t="s">
        <v>605</v>
      </c>
      <c r="B64" s="12" t="s">
        <v>2054</v>
      </c>
      <c r="D64" s="12" t="s">
        <v>653</v>
      </c>
    </row>
    <row r="65">
      <c r="B65" s="12" t="s">
        <v>1369</v>
      </c>
      <c r="D65" s="12" t="s">
        <v>815</v>
      </c>
    </row>
    <row r="66">
      <c r="B66" s="12" t="s">
        <v>1171</v>
      </c>
    </row>
    <row r="67">
      <c r="B67" s="12" t="s">
        <v>2055</v>
      </c>
    </row>
    <row r="68">
      <c r="B68" s="12" t="s">
        <v>2056</v>
      </c>
    </row>
    <row r="69">
      <c r="B69" s="12" t="s">
        <v>638</v>
      </c>
    </row>
    <row r="70">
      <c r="A70" s="86"/>
      <c r="B70" s="86"/>
      <c r="C70" s="86"/>
      <c r="D70" s="86"/>
      <c r="E70" s="86"/>
      <c r="F70" s="86"/>
    </row>
    <row r="71">
      <c r="A71" s="87" t="s">
        <v>840</v>
      </c>
    </row>
    <row r="72">
      <c r="A72" s="87">
        <v>67270.0</v>
      </c>
    </row>
    <row r="73">
      <c r="A73" s="88">
        <v>2026.0</v>
      </c>
    </row>
    <row r="74">
      <c r="A74" s="85" t="s">
        <v>592</v>
      </c>
      <c r="B74" s="85" t="s">
        <v>593</v>
      </c>
      <c r="C74" s="85" t="s">
        <v>594</v>
      </c>
      <c r="D74" s="85" t="s">
        <v>595</v>
      </c>
      <c r="E74" s="85" t="s">
        <v>596</v>
      </c>
      <c r="F74" s="85" t="s">
        <v>597</v>
      </c>
    </row>
    <row r="75">
      <c r="A75" s="64" t="s">
        <v>2063</v>
      </c>
      <c r="B75" s="64" t="s">
        <v>2064</v>
      </c>
      <c r="C75" s="64" t="s">
        <v>2065</v>
      </c>
    </row>
    <row r="76">
      <c r="A76" s="12" t="s">
        <v>2053</v>
      </c>
      <c r="B76" s="12" t="s">
        <v>2066</v>
      </c>
      <c r="C76" s="12" t="s">
        <v>2067</v>
      </c>
    </row>
    <row r="77">
      <c r="A77" s="12" t="s">
        <v>2068</v>
      </c>
      <c r="B77" s="12" t="s">
        <v>728</v>
      </c>
      <c r="C77" s="12" t="s">
        <v>1062</v>
      </c>
    </row>
    <row r="78">
      <c r="A78" s="12" t="s">
        <v>613</v>
      </c>
      <c r="B78" s="12" t="s">
        <v>2056</v>
      </c>
      <c r="C78" s="12" t="s">
        <v>1866</v>
      </c>
    </row>
    <row r="79">
      <c r="A79" s="12" t="s">
        <v>893</v>
      </c>
      <c r="B79" s="12" t="s">
        <v>638</v>
      </c>
      <c r="C79" s="12" t="s">
        <v>1591</v>
      </c>
    </row>
    <row r="80">
      <c r="A80" s="12" t="s">
        <v>609</v>
      </c>
      <c r="B80" s="12" t="s">
        <v>2071</v>
      </c>
      <c r="C80" s="12" t="s">
        <v>2072</v>
      </c>
    </row>
    <row r="81">
      <c r="A81" s="12" t="s">
        <v>2075</v>
      </c>
      <c r="B81" s="12" t="s">
        <v>605</v>
      </c>
      <c r="C81" s="12" t="s">
        <v>604</v>
      </c>
    </row>
    <row r="82">
      <c r="A82" s="12" t="s">
        <v>1147</v>
      </c>
      <c r="B82" s="12" t="s">
        <v>611</v>
      </c>
    </row>
    <row r="83">
      <c r="A83" s="12" t="s">
        <v>609</v>
      </c>
    </row>
    <row r="84">
      <c r="A84" s="12" t="s">
        <v>2077</v>
      </c>
    </row>
    <row r="85">
      <c r="A85" s="12" t="s">
        <v>604</v>
      </c>
    </row>
    <row r="86">
      <c r="A86" s="12" t="s">
        <v>613</v>
      </c>
    </row>
    <row r="87">
      <c r="A87" s="12" t="s">
        <v>2079</v>
      </c>
    </row>
    <row r="88">
      <c r="A88" s="12" t="s">
        <v>611</v>
      </c>
    </row>
    <row r="89">
      <c r="A89" s="12" t="s">
        <v>2082</v>
      </c>
    </row>
    <row r="90">
      <c r="A90" s="12" t="s">
        <v>2083</v>
      </c>
    </row>
    <row r="91">
      <c r="A91" s="12" t="s">
        <v>609</v>
      </c>
    </row>
    <row r="92">
      <c r="A92" s="86"/>
      <c r="B92" s="86"/>
      <c r="C92" s="86"/>
      <c r="D92" s="86"/>
      <c r="E92" s="86"/>
      <c r="F92" s="86"/>
    </row>
    <row r="93">
      <c r="A93" s="6" t="s">
        <v>2091</v>
      </c>
    </row>
    <row r="94">
      <c r="A94" s="6">
        <v>55400.0</v>
      </c>
    </row>
    <row r="95">
      <c r="A95" s="35">
        <v>2026.0</v>
      </c>
    </row>
    <row r="96">
      <c r="A96" s="85" t="s">
        <v>666</v>
      </c>
      <c r="B96" s="85" t="s">
        <v>668</v>
      </c>
      <c r="C96" s="85" t="s">
        <v>671</v>
      </c>
      <c r="D96" s="85" t="s">
        <v>674</v>
      </c>
      <c r="E96" s="85" t="s">
        <v>675</v>
      </c>
      <c r="F96" s="85" t="s">
        <v>676</v>
      </c>
      <c r="G96" s="85" t="s">
        <v>678</v>
      </c>
      <c r="H96" s="85" t="s">
        <v>680</v>
      </c>
    </row>
    <row r="97">
      <c r="A97" s="68" t="s">
        <v>683</v>
      </c>
      <c r="B97" s="68" t="s">
        <v>2094</v>
      </c>
      <c r="C97" s="68" t="s">
        <v>683</v>
      </c>
      <c r="D97" s="68" t="s">
        <v>683</v>
      </c>
      <c r="E97" s="68" t="s">
        <v>2095</v>
      </c>
      <c r="F97" s="68" t="s">
        <v>2096</v>
      </c>
      <c r="G97" s="68" t="s">
        <v>2097</v>
      </c>
      <c r="H97" s="68" t="s">
        <v>683</v>
      </c>
    </row>
    <row r="98">
      <c r="B98" s="12" t="s">
        <v>2099</v>
      </c>
      <c r="E98" s="12" t="s">
        <v>2100</v>
      </c>
      <c r="F98" s="12" t="s">
        <v>2101</v>
      </c>
      <c r="G98" s="12" t="s">
        <v>2102</v>
      </c>
    </row>
    <row r="99">
      <c r="B99" s="12" t="s">
        <v>710</v>
      </c>
      <c r="E99" s="12" t="s">
        <v>699</v>
      </c>
      <c r="F99" s="12" t="s">
        <v>620</v>
      </c>
      <c r="G99" s="12" t="s">
        <v>620</v>
      </c>
    </row>
    <row r="100">
      <c r="B100" s="12" t="s">
        <v>707</v>
      </c>
      <c r="E100" s="12" t="s">
        <v>1085</v>
      </c>
      <c r="F100" s="12" t="s">
        <v>2107</v>
      </c>
      <c r="G100" s="12" t="s">
        <v>276</v>
      </c>
    </row>
    <row r="101">
      <c r="B101" s="12" t="s">
        <v>2110</v>
      </c>
      <c r="E101" s="12" t="s">
        <v>2112</v>
      </c>
      <c r="F101" s="12" t="s">
        <v>962</v>
      </c>
      <c r="G101" s="12" t="s">
        <v>713</v>
      </c>
    </row>
    <row r="102">
      <c r="B102" s="12" t="s">
        <v>923</v>
      </c>
      <c r="E102" s="12" t="s">
        <v>620</v>
      </c>
    </row>
    <row r="103">
      <c r="B103" s="12" t="s">
        <v>531</v>
      </c>
      <c r="E103" s="12" t="s">
        <v>531</v>
      </c>
    </row>
    <row r="104">
      <c r="B104" s="12" t="s">
        <v>707</v>
      </c>
      <c r="E104" s="12" t="s">
        <v>1085</v>
      </c>
    </row>
    <row r="106">
      <c r="A106" s="97" t="s">
        <v>2126</v>
      </c>
    </row>
    <row r="107">
      <c r="A107" s="97">
        <f>A110</f>
        <v>232365</v>
      </c>
    </row>
    <row r="108">
      <c r="A108" s="97">
        <v>2026.0</v>
      </c>
    </row>
    <row r="109">
      <c r="A109" s="97" t="s">
        <v>2133</v>
      </c>
    </row>
    <row r="110">
      <c r="A110" s="97">
        <f>A113+B113+C113+D113+E113+F113+G113+H113</f>
        <v>232365</v>
      </c>
    </row>
    <row r="111">
      <c r="A111" s="85" t="s">
        <v>762</v>
      </c>
      <c r="B111" s="85" t="s">
        <v>764</v>
      </c>
      <c r="C111" s="85" t="s">
        <v>765</v>
      </c>
      <c r="D111" s="85" t="s">
        <v>767</v>
      </c>
      <c r="E111" s="85" t="s">
        <v>768</v>
      </c>
      <c r="F111" s="85" t="s">
        <v>771</v>
      </c>
      <c r="G111" s="85" t="s">
        <v>772</v>
      </c>
      <c r="H111" s="85" t="s">
        <v>773</v>
      </c>
    </row>
    <row r="112">
      <c r="A112" s="11" t="s">
        <v>683</v>
      </c>
      <c r="B112" s="11" t="s">
        <v>683</v>
      </c>
      <c r="C112" s="11" t="s">
        <v>683</v>
      </c>
      <c r="D112" s="11" t="s">
        <v>683</v>
      </c>
      <c r="E112" s="11" t="s">
        <v>683</v>
      </c>
      <c r="F112" s="11" t="s">
        <v>683</v>
      </c>
      <c r="G112" s="11" t="s">
        <v>683</v>
      </c>
      <c r="H112" s="11" t="s">
        <v>683</v>
      </c>
    </row>
    <row r="113">
      <c r="A113" s="85">
        <v>0.0</v>
      </c>
      <c r="B113" s="85">
        <v>13250.0</v>
      </c>
      <c r="C113" s="85">
        <v>25415.0</v>
      </c>
      <c r="D113" s="85">
        <v>15250.0</v>
      </c>
      <c r="E113" s="85">
        <v>143800.0</v>
      </c>
      <c r="F113" s="85">
        <v>0.0</v>
      </c>
      <c r="G113" s="85">
        <v>8750.0</v>
      </c>
      <c r="H113" s="85">
        <v>25900.0</v>
      </c>
    </row>
    <row r="114">
      <c r="B114" s="12" t="s">
        <v>2152</v>
      </c>
      <c r="C114" s="12" t="s">
        <v>2153</v>
      </c>
      <c r="D114" s="12" t="s">
        <v>1893</v>
      </c>
      <c r="E114" s="12" t="s">
        <v>2155</v>
      </c>
      <c r="G114" s="12" t="s">
        <v>1910</v>
      </c>
      <c r="H114" s="12" t="s">
        <v>2156</v>
      </c>
    </row>
    <row r="115">
      <c r="B115" s="12" t="s">
        <v>793</v>
      </c>
      <c r="C115" s="12" t="s">
        <v>1114</v>
      </c>
      <c r="D115" s="12" t="s">
        <v>710</v>
      </c>
      <c r="E115" s="12" t="s">
        <v>2158</v>
      </c>
      <c r="G115" s="12" t="s">
        <v>790</v>
      </c>
      <c r="H115" s="12" t="s">
        <v>1122</v>
      </c>
    </row>
    <row r="116">
      <c r="B116" s="12" t="s">
        <v>796</v>
      </c>
      <c r="C116" s="12" t="s">
        <v>1117</v>
      </c>
      <c r="D116" s="12" t="s">
        <v>795</v>
      </c>
      <c r="E116" s="12" t="s">
        <v>1112</v>
      </c>
      <c r="G116" s="12" t="s">
        <v>1110</v>
      </c>
      <c r="H116" s="12" t="s">
        <v>802</v>
      </c>
    </row>
    <row r="117">
      <c r="B117" s="12" t="s">
        <v>2110</v>
      </c>
      <c r="C117" s="12" t="s">
        <v>2160</v>
      </c>
      <c r="D117" s="12" t="s">
        <v>796</v>
      </c>
      <c r="E117" s="12" t="s">
        <v>1113</v>
      </c>
      <c r="G117" s="12" t="s">
        <v>1113</v>
      </c>
      <c r="H117" s="12" t="s">
        <v>1943</v>
      </c>
    </row>
    <row r="118">
      <c r="B118" s="12" t="s">
        <v>793</v>
      </c>
      <c r="C118" s="12" t="s">
        <v>810</v>
      </c>
      <c r="D118" s="12" t="s">
        <v>2163</v>
      </c>
      <c r="E118" s="12" t="s">
        <v>796</v>
      </c>
      <c r="G118" s="12" t="s">
        <v>2165</v>
      </c>
      <c r="H118" s="12" t="s">
        <v>2166</v>
      </c>
    </row>
    <row r="119">
      <c r="B119" s="12" t="s">
        <v>2168</v>
      </c>
      <c r="C119" s="12" t="s">
        <v>1113</v>
      </c>
      <c r="D119" s="12" t="s">
        <v>790</v>
      </c>
      <c r="E119" s="12" t="s">
        <v>2169</v>
      </c>
      <c r="G119" s="12" t="s">
        <v>777</v>
      </c>
      <c r="H119" s="12" t="s">
        <v>802</v>
      </c>
    </row>
    <row r="120">
      <c r="B120" s="12" t="s">
        <v>793</v>
      </c>
      <c r="C120" s="12" t="s">
        <v>1117</v>
      </c>
      <c r="E120" s="12" t="s">
        <v>800</v>
      </c>
    </row>
    <row r="121">
      <c r="B121" s="12" t="s">
        <v>2171</v>
      </c>
      <c r="C121" s="12" t="s">
        <v>2172</v>
      </c>
      <c r="E121" s="12" t="s">
        <v>2173</v>
      </c>
      <c r="G121" s="191"/>
      <c r="H121" s="191"/>
    </row>
    <row r="122">
      <c r="B122" s="12" t="s">
        <v>1109</v>
      </c>
      <c r="C122" s="12" t="s">
        <v>793</v>
      </c>
      <c r="E122" s="12" t="s">
        <v>810</v>
      </c>
      <c r="G122" s="191"/>
      <c r="H122" s="191"/>
    </row>
    <row r="123">
      <c r="B123" s="12" t="s">
        <v>2182</v>
      </c>
      <c r="C123" s="12" t="s">
        <v>1117</v>
      </c>
      <c r="E123" s="12" t="s">
        <v>800</v>
      </c>
      <c r="G123" s="191"/>
      <c r="H123" s="191"/>
    </row>
    <row r="124">
      <c r="B124" s="12" t="s">
        <v>810</v>
      </c>
      <c r="G124" s="191"/>
      <c r="H124" s="191"/>
    </row>
    <row r="125">
      <c r="B125" s="12" t="s">
        <v>2191</v>
      </c>
      <c r="G125" s="191"/>
      <c r="H125" s="191"/>
    </row>
    <row r="126">
      <c r="B126" s="12" t="s">
        <v>810</v>
      </c>
    </row>
    <row r="127">
      <c r="B127" s="12" t="s">
        <v>2195</v>
      </c>
    </row>
    <row r="128">
      <c r="B128" s="12" t="s">
        <v>810</v>
      </c>
    </row>
    <row r="131">
      <c r="A131" s="99" t="s">
        <v>1129</v>
      </c>
    </row>
    <row r="132">
      <c r="A132" s="99">
        <f>A136</f>
        <v>-123800</v>
      </c>
    </row>
    <row r="133">
      <c r="A133" s="99">
        <v>2026.0</v>
      </c>
    </row>
    <row r="134">
      <c r="A134" s="192" t="s">
        <v>2204</v>
      </c>
    </row>
    <row r="135">
      <c r="A135" s="99" t="s">
        <v>749</v>
      </c>
    </row>
    <row r="136">
      <c r="A136" s="117">
        <f>A139+B139+C139+D139+E139+F139+G139+H139+I139+J139-150000</f>
        <v>-123800</v>
      </c>
    </row>
    <row r="137">
      <c r="A137" s="111" t="s">
        <v>834</v>
      </c>
      <c r="B137" s="111" t="s">
        <v>835</v>
      </c>
      <c r="C137" s="111" t="s">
        <v>836</v>
      </c>
      <c r="D137" s="111" t="s">
        <v>837</v>
      </c>
      <c r="E137" s="111" t="s">
        <v>838</v>
      </c>
      <c r="F137" s="111" t="s">
        <v>839</v>
      </c>
      <c r="G137" s="111" t="s">
        <v>841</v>
      </c>
      <c r="H137" s="111" t="s">
        <v>843</v>
      </c>
      <c r="I137" s="104" t="s">
        <v>846</v>
      </c>
      <c r="J137" s="104" t="s">
        <v>847</v>
      </c>
    </row>
    <row r="138">
      <c r="A138" s="11" t="s">
        <v>683</v>
      </c>
      <c r="B138" s="11" t="s">
        <v>683</v>
      </c>
      <c r="C138" s="11" t="s">
        <v>683</v>
      </c>
      <c r="D138" s="11" t="s">
        <v>683</v>
      </c>
      <c r="E138" s="11" t="s">
        <v>683</v>
      </c>
      <c r="F138" s="11" t="s">
        <v>683</v>
      </c>
      <c r="G138" s="11" t="s">
        <v>683</v>
      </c>
      <c r="H138" s="11" t="s">
        <v>683</v>
      </c>
      <c r="I138" s="11" t="s">
        <v>683</v>
      </c>
      <c r="J138" s="11" t="s">
        <v>683</v>
      </c>
    </row>
    <row r="139">
      <c r="A139" s="85">
        <v>0.0</v>
      </c>
      <c r="B139" s="85">
        <v>0.0</v>
      </c>
      <c r="C139" s="85">
        <v>17200.0</v>
      </c>
      <c r="D139" s="85">
        <v>0.0</v>
      </c>
      <c r="E139" s="85">
        <v>500.0</v>
      </c>
      <c r="F139" s="85">
        <v>0.0</v>
      </c>
      <c r="G139" s="85">
        <v>8500.0</v>
      </c>
      <c r="H139" s="85">
        <v>0.0</v>
      </c>
      <c r="I139" s="85">
        <v>0.0</v>
      </c>
      <c r="J139" s="85">
        <v>0.0</v>
      </c>
    </row>
    <row r="140">
      <c r="C140" s="12" t="s">
        <v>2219</v>
      </c>
      <c r="E140" s="12" t="s">
        <v>2220</v>
      </c>
      <c r="G140" s="12" t="s">
        <v>2152</v>
      </c>
    </row>
    <row r="141">
      <c r="C141" s="12" t="s">
        <v>1128</v>
      </c>
      <c r="E141" s="12" t="s">
        <v>604</v>
      </c>
      <c r="G141" s="12" t="s">
        <v>1222</v>
      </c>
    </row>
    <row r="142">
      <c r="C142" s="12" t="s">
        <v>2221</v>
      </c>
      <c r="G142" s="12" t="s">
        <v>873</v>
      </c>
    </row>
    <row r="143">
      <c r="C143" s="12" t="s">
        <v>2223</v>
      </c>
      <c r="G143" s="12" t="s">
        <v>902</v>
      </c>
    </row>
    <row r="144">
      <c r="A144" s="80"/>
      <c r="B144" s="80"/>
      <c r="C144" s="12" t="s">
        <v>2224</v>
      </c>
      <c r="D144" s="80"/>
      <c r="E144" s="80"/>
      <c r="F144" s="80"/>
    </row>
    <row r="145">
      <c r="A145" s="194"/>
      <c r="B145" s="194"/>
      <c r="C145" s="12" t="s">
        <v>777</v>
      </c>
      <c r="D145" s="194"/>
      <c r="E145" s="194"/>
      <c r="F145" s="194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>
      <c r="A146" s="194"/>
      <c r="B146" s="194"/>
      <c r="C146" s="33" t="s">
        <v>2229</v>
      </c>
      <c r="D146" s="194"/>
      <c r="E146" s="194"/>
      <c r="F146" s="194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>
      <c r="A147" s="194"/>
      <c r="B147" s="194"/>
      <c r="C147" s="194" t="s">
        <v>653</v>
      </c>
      <c r="D147" s="194"/>
      <c r="E147" s="194"/>
      <c r="F147" s="194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>
      <c r="A148" s="194"/>
      <c r="B148" s="194"/>
      <c r="C148" s="194" t="s">
        <v>2233</v>
      </c>
      <c r="D148" s="194"/>
      <c r="E148" s="194"/>
      <c r="F148" s="194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>
      <c r="A149" s="22"/>
      <c r="B149" s="22"/>
      <c r="C149" s="194" t="s">
        <v>604</v>
      </c>
      <c r="D149" s="22"/>
      <c r="E149" s="22"/>
      <c r="F149" s="22"/>
    </row>
    <row r="150">
      <c r="A150" s="195"/>
      <c r="B150" s="195"/>
      <c r="C150" s="58" t="s">
        <v>2243</v>
      </c>
      <c r="D150" s="195"/>
      <c r="E150" s="195"/>
      <c r="F150" s="195"/>
    </row>
    <row r="151">
      <c r="A151" s="184"/>
      <c r="B151" s="184"/>
      <c r="C151" s="196" t="s">
        <v>911</v>
      </c>
      <c r="D151" s="184"/>
      <c r="E151" s="184"/>
      <c r="F151" s="184"/>
    </row>
    <row r="152">
      <c r="A152" s="184"/>
      <c r="B152" s="184"/>
      <c r="C152" s="196" t="s">
        <v>2248</v>
      </c>
      <c r="D152" s="184"/>
      <c r="E152" s="184"/>
      <c r="F152" s="184"/>
    </row>
    <row r="153">
      <c r="A153" s="85"/>
      <c r="B153" s="85"/>
      <c r="C153" s="196" t="s">
        <v>911</v>
      </c>
      <c r="D153" s="85"/>
      <c r="E153" s="85"/>
      <c r="F153" s="85"/>
    </row>
    <row r="154">
      <c r="A154" s="108" t="s">
        <v>938</v>
      </c>
    </row>
    <row r="155">
      <c r="A155" s="109" t="s">
        <v>940</v>
      </c>
    </row>
    <row r="156">
      <c r="A156" s="109">
        <f>A159</f>
        <v>189600</v>
      </c>
    </row>
    <row r="157">
      <c r="A157" s="109">
        <v>2026.0</v>
      </c>
    </row>
    <row r="158">
      <c r="A158" s="109" t="s">
        <v>749</v>
      </c>
    </row>
    <row r="159">
      <c r="A159" s="110">
        <f>A162+B162+C162+D162+E162+F162+G162+H162+I162+J162</f>
        <v>189600</v>
      </c>
    </row>
    <row r="160">
      <c r="A160" s="85" t="s">
        <v>959</v>
      </c>
      <c r="B160" s="85" t="s">
        <v>960</v>
      </c>
      <c r="C160" s="85" t="s">
        <v>963</v>
      </c>
      <c r="D160" s="85" t="s">
        <v>964</v>
      </c>
      <c r="E160" s="85" t="s">
        <v>966</v>
      </c>
      <c r="F160" s="85" t="s">
        <v>967</v>
      </c>
      <c r="G160" s="111" t="s">
        <v>969</v>
      </c>
      <c r="H160" s="107" t="s">
        <v>972</v>
      </c>
      <c r="I160" s="107" t="s">
        <v>975</v>
      </c>
      <c r="J160" s="107" t="s">
        <v>976</v>
      </c>
    </row>
    <row r="161">
      <c r="A161" s="11" t="s">
        <v>683</v>
      </c>
      <c r="B161" s="11" t="s">
        <v>683</v>
      </c>
      <c r="C161" s="11" t="s">
        <v>683</v>
      </c>
      <c r="D161" s="11" t="s">
        <v>683</v>
      </c>
      <c r="E161" s="11" t="s">
        <v>683</v>
      </c>
      <c r="F161" s="11" t="s">
        <v>683</v>
      </c>
      <c r="G161" s="11" t="s">
        <v>683</v>
      </c>
      <c r="H161" s="34" t="s">
        <v>683</v>
      </c>
      <c r="I161" s="34" t="s">
        <v>683</v>
      </c>
      <c r="J161" s="34" t="s">
        <v>683</v>
      </c>
    </row>
    <row r="162">
      <c r="A162" s="85">
        <v>55500.0</v>
      </c>
      <c r="B162" s="85">
        <v>39000.0</v>
      </c>
      <c r="C162" s="85">
        <v>1000.0</v>
      </c>
      <c r="D162" s="85"/>
      <c r="E162" s="85"/>
      <c r="F162" s="85"/>
      <c r="G162" s="85"/>
      <c r="H162" s="85">
        <f>16500+77600</f>
        <v>94100</v>
      </c>
      <c r="I162" s="85"/>
      <c r="J162" s="85"/>
    </row>
    <row r="163">
      <c r="A163" s="12" t="s">
        <v>2276</v>
      </c>
      <c r="B163" s="12" t="s">
        <v>2277</v>
      </c>
      <c r="C163" s="12" t="s">
        <v>2278</v>
      </c>
      <c r="H163" s="12" t="s">
        <v>2219</v>
      </c>
    </row>
    <row r="164">
      <c r="A164" s="12" t="s">
        <v>2280</v>
      </c>
      <c r="B164" s="12" t="s">
        <v>985</v>
      </c>
      <c r="C164" s="12" t="s">
        <v>605</v>
      </c>
      <c r="H164" s="12" t="s">
        <v>698</v>
      </c>
    </row>
    <row r="165">
      <c r="A165" s="12" t="s">
        <v>1197</v>
      </c>
      <c r="B165" s="12" t="s">
        <v>2281</v>
      </c>
      <c r="H165" s="12" t="s">
        <v>1205</v>
      </c>
    </row>
    <row r="166">
      <c r="A166" s="12" t="s">
        <v>711</v>
      </c>
      <c r="B166" s="12" t="s">
        <v>605</v>
      </c>
      <c r="H166" s="12" t="s">
        <v>2282</v>
      </c>
    </row>
    <row r="167">
      <c r="A167" s="12" t="s">
        <v>653</v>
      </c>
      <c r="B167" s="12" t="s">
        <v>999</v>
      </c>
      <c r="H167" s="12" t="s">
        <v>605</v>
      </c>
    </row>
    <row r="168">
      <c r="A168" s="12" t="s">
        <v>989</v>
      </c>
      <c r="B168" s="12" t="s">
        <v>1204</v>
      </c>
      <c r="H168" s="12" t="s">
        <v>999</v>
      </c>
    </row>
    <row r="169">
      <c r="A169" s="12" t="s">
        <v>1204</v>
      </c>
      <c r="H169" s="12" t="s">
        <v>1205</v>
      </c>
    </row>
    <row r="170">
      <c r="A170" s="12" t="s">
        <v>1197</v>
      </c>
    </row>
    <row r="171">
      <c r="A171" s="12" t="s">
        <v>2283</v>
      </c>
    </row>
    <row r="172">
      <c r="A172" s="12" t="s">
        <v>605</v>
      </c>
    </row>
    <row r="173">
      <c r="A173" s="12" t="s">
        <v>1197</v>
      </c>
    </row>
    <row r="175">
      <c r="A175" s="112" t="s">
        <v>1015</v>
      </c>
    </row>
    <row r="176">
      <c r="A176" s="112">
        <f>A179</f>
        <v>110500</v>
      </c>
    </row>
    <row r="177">
      <c r="A177" s="112">
        <v>2026.0</v>
      </c>
    </row>
    <row r="178">
      <c r="A178" s="112" t="s">
        <v>749</v>
      </c>
    </row>
    <row r="179">
      <c r="A179" s="112">
        <f>A182+B182+C182+D182+E182+F182+G182+H182</f>
        <v>110500</v>
      </c>
    </row>
    <row r="180">
      <c r="A180" s="85" t="s">
        <v>1035</v>
      </c>
      <c r="B180" s="85" t="s">
        <v>1013</v>
      </c>
      <c r="C180" s="85" t="s">
        <v>1016</v>
      </c>
      <c r="D180" s="85" t="s">
        <v>1023</v>
      </c>
      <c r="E180" s="85" t="s">
        <v>1037</v>
      </c>
      <c r="F180" s="85" t="s">
        <v>1038</v>
      </c>
      <c r="G180" s="85" t="s">
        <v>1039</v>
      </c>
      <c r="H180" s="85" t="s">
        <v>1033</v>
      </c>
    </row>
    <row r="181">
      <c r="A181" s="11" t="s">
        <v>683</v>
      </c>
      <c r="B181" s="11" t="s">
        <v>683</v>
      </c>
      <c r="C181" s="11" t="s">
        <v>683</v>
      </c>
      <c r="D181" s="11" t="s">
        <v>683</v>
      </c>
      <c r="E181" s="11" t="s">
        <v>683</v>
      </c>
      <c r="F181" s="11" t="s">
        <v>683</v>
      </c>
      <c r="G181" s="11" t="s">
        <v>683</v>
      </c>
      <c r="H181" s="11" t="s">
        <v>683</v>
      </c>
    </row>
    <row r="182">
      <c r="A182" s="85">
        <v>1000.0</v>
      </c>
      <c r="B182" s="85">
        <v>0.0</v>
      </c>
      <c r="C182" s="85">
        <v>0.0</v>
      </c>
      <c r="D182" s="85">
        <v>0.0</v>
      </c>
      <c r="E182" s="85">
        <v>5000.0</v>
      </c>
      <c r="F182" s="85">
        <v>3000.0</v>
      </c>
      <c r="G182" s="85">
        <v>78500.0</v>
      </c>
      <c r="H182" s="85">
        <f>1000+22000</f>
        <v>23000</v>
      </c>
    </row>
    <row r="183">
      <c r="A183" s="12" t="s">
        <v>2316</v>
      </c>
      <c r="B183" s="12" t="s">
        <v>2317</v>
      </c>
      <c r="E183" s="12" t="s">
        <v>2319</v>
      </c>
      <c r="F183" s="12" t="s">
        <v>2320</v>
      </c>
      <c r="G183" s="12" t="s">
        <v>2153</v>
      </c>
      <c r="H183" s="12" t="s">
        <v>2322</v>
      </c>
    </row>
    <row r="184">
      <c r="A184" s="12" t="s">
        <v>605</v>
      </c>
      <c r="B184" s="12" t="s">
        <v>653</v>
      </c>
      <c r="E184" s="12" t="s">
        <v>728</v>
      </c>
      <c r="F184" s="12" t="s">
        <v>620</v>
      </c>
      <c r="G184" s="12" t="s">
        <v>1727</v>
      </c>
      <c r="H184" s="12" t="s">
        <v>605</v>
      </c>
    </row>
    <row r="185">
      <c r="G185" s="12" t="s">
        <v>1615</v>
      </c>
      <c r="H185" s="12" t="s">
        <v>1266</v>
      </c>
    </row>
    <row r="186">
      <c r="G186" s="12" t="s">
        <v>2330</v>
      </c>
    </row>
    <row r="187">
      <c r="G187" s="12" t="s">
        <v>1154</v>
      </c>
    </row>
    <row r="188">
      <c r="G188" s="12" t="s">
        <v>1615</v>
      </c>
    </row>
    <row r="189">
      <c r="A189" s="157" t="s">
        <v>1048</v>
      </c>
    </row>
    <row r="190">
      <c r="A190" s="157">
        <f>A193</f>
        <v>192000</v>
      </c>
    </row>
    <row r="191">
      <c r="A191" s="157">
        <v>2026.0</v>
      </c>
    </row>
    <row r="192">
      <c r="A192" s="157" t="s">
        <v>749</v>
      </c>
    </row>
    <row r="193">
      <c r="A193" s="158">
        <f>A196+B196+C196+D196+E196+F196+G196+H196+I196+J196</f>
        <v>192000</v>
      </c>
    </row>
    <row r="194">
      <c r="A194" s="105" t="s">
        <v>1066</v>
      </c>
      <c r="B194" s="105" t="s">
        <v>1068</v>
      </c>
      <c r="C194" s="105" t="s">
        <v>1069</v>
      </c>
      <c r="D194" s="105" t="s">
        <v>1070</v>
      </c>
      <c r="E194" s="105" t="s">
        <v>1072</v>
      </c>
      <c r="F194" s="105" t="s">
        <v>1073</v>
      </c>
      <c r="G194" s="105" t="s">
        <v>1074</v>
      </c>
      <c r="H194" s="105" t="s">
        <v>1076</v>
      </c>
      <c r="I194" s="105" t="s">
        <v>1078</v>
      </c>
      <c r="J194" s="105" t="s">
        <v>1080</v>
      </c>
    </row>
    <row r="195">
      <c r="A195" s="34" t="s">
        <v>683</v>
      </c>
      <c r="B195" s="34" t="s">
        <v>683</v>
      </c>
      <c r="C195" s="34" t="s">
        <v>683</v>
      </c>
      <c r="D195" s="34" t="s">
        <v>683</v>
      </c>
      <c r="E195" s="34" t="s">
        <v>683</v>
      </c>
      <c r="F195" s="34" t="s">
        <v>683</v>
      </c>
      <c r="G195" s="34" t="s">
        <v>683</v>
      </c>
      <c r="H195" s="34" t="s">
        <v>683</v>
      </c>
      <c r="I195" s="34" t="s">
        <v>683</v>
      </c>
      <c r="J195" s="34" t="s">
        <v>683</v>
      </c>
    </row>
    <row r="196">
      <c r="A196" s="107">
        <v>130000.0</v>
      </c>
      <c r="B196" s="105">
        <v>0.0</v>
      </c>
      <c r="C196" s="105">
        <v>0.0</v>
      </c>
      <c r="D196" s="105">
        <v>0.0</v>
      </c>
      <c r="E196" s="105">
        <v>0.0</v>
      </c>
      <c r="F196" s="105">
        <v>0.0</v>
      </c>
      <c r="G196" s="107">
        <v>31000.0</v>
      </c>
      <c r="H196" s="107">
        <v>29000.0</v>
      </c>
      <c r="I196" s="107">
        <v>2000.0</v>
      </c>
      <c r="J196" s="105">
        <v>0.0</v>
      </c>
    </row>
    <row r="197">
      <c r="A197" s="12" t="s">
        <v>2345</v>
      </c>
      <c r="G197" s="12" t="s">
        <v>2320</v>
      </c>
      <c r="H197" s="12" t="s">
        <v>2277</v>
      </c>
      <c r="I197" s="12" t="s">
        <v>2347</v>
      </c>
    </row>
    <row r="198">
      <c r="A198" s="12" t="s">
        <v>1092</v>
      </c>
      <c r="G198" s="12" t="s">
        <v>1559</v>
      </c>
      <c r="H198" s="12" t="s">
        <v>1210</v>
      </c>
      <c r="I198" s="12" t="s">
        <v>653</v>
      </c>
    </row>
    <row r="199">
      <c r="A199" s="12" t="s">
        <v>2350</v>
      </c>
      <c r="G199" s="12" t="s">
        <v>2351</v>
      </c>
      <c r="H199" s="12" t="s">
        <v>1943</v>
      </c>
    </row>
    <row r="200">
      <c r="A200" s="12" t="s">
        <v>728</v>
      </c>
      <c r="G200" s="12" t="s">
        <v>1634</v>
      </c>
      <c r="H200" s="12" t="s">
        <v>653</v>
      </c>
    </row>
    <row r="201">
      <c r="A201" s="12" t="s">
        <v>1975</v>
      </c>
    </row>
    <row r="202">
      <c r="A202" s="12" t="s">
        <v>1160</v>
      </c>
    </row>
    <row r="203">
      <c r="A203" s="12" t="s">
        <v>2356</v>
      </c>
    </row>
    <row r="204">
      <c r="A204" s="12" t="s">
        <v>653</v>
      </c>
    </row>
    <row r="205">
      <c r="A205" s="12" t="s">
        <v>2357</v>
      </c>
    </row>
    <row r="206">
      <c r="A206" s="12" t="s">
        <v>653</v>
      </c>
    </row>
    <row r="207">
      <c r="A207" s="12" t="s">
        <v>2358</v>
      </c>
    </row>
    <row r="208">
      <c r="A208" s="12" t="s">
        <v>653</v>
      </c>
    </row>
  </sheetData>
  <mergeCells count="72">
    <mergeCell ref="A135:J135"/>
    <mergeCell ref="A136:J136"/>
    <mergeCell ref="A154:J154"/>
    <mergeCell ref="A155:J155"/>
    <mergeCell ref="A156:J156"/>
    <mergeCell ref="A157:J157"/>
    <mergeCell ref="A158:J158"/>
    <mergeCell ref="A190:J190"/>
    <mergeCell ref="A191:J191"/>
    <mergeCell ref="A192:J192"/>
    <mergeCell ref="A193:J193"/>
    <mergeCell ref="A159:J159"/>
    <mergeCell ref="A175:H175"/>
    <mergeCell ref="A176:H176"/>
    <mergeCell ref="A177:H177"/>
    <mergeCell ref="A178:H178"/>
    <mergeCell ref="A179:H179"/>
    <mergeCell ref="A189:J189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1"/>
    <mergeCell ref="P9:S9"/>
    <mergeCell ref="P11:Q11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  <mergeCell ref="L13:L16"/>
    <mergeCell ref="L17:L19"/>
    <mergeCell ref="N17:N19"/>
    <mergeCell ref="N20:N21"/>
    <mergeCell ref="O12:O13"/>
    <mergeCell ref="P13:Q13"/>
    <mergeCell ref="P15:Q15"/>
    <mergeCell ref="L10:L12"/>
    <mergeCell ref="N10:N12"/>
    <mergeCell ref="N13:N16"/>
    <mergeCell ref="L20:L21"/>
    <mergeCell ref="L22:M22"/>
    <mergeCell ref="O14:O15"/>
    <mergeCell ref="O16:O17"/>
    <mergeCell ref="P17:Q17"/>
    <mergeCell ref="O18:O22"/>
    <mergeCell ref="P20:S20"/>
    <mergeCell ref="P22:Q2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1.38"/>
    <col customWidth="1" min="17" max="17" width="14.25"/>
    <col customWidth="1" min="18" max="18" width="15.88"/>
    <col customWidth="1" min="22" max="22" width="25.25"/>
  </cols>
  <sheetData>
    <row r="1">
      <c r="A1" s="197" t="s">
        <v>2246</v>
      </c>
    </row>
    <row r="2">
      <c r="A2" s="198" t="s">
        <v>2255</v>
      </c>
    </row>
    <row r="3">
      <c r="A3" s="197" t="s">
        <v>6</v>
      </c>
    </row>
    <row r="4">
      <c r="A4" s="199">
        <f>100000+B6+B9+C6+D6+F6+F10+G6+I6+A64+E16+L6+N6+Q6</f>
        <v>8926840</v>
      </c>
    </row>
    <row r="5">
      <c r="A5" s="11" t="s">
        <v>19</v>
      </c>
      <c r="B5" s="11" t="s">
        <v>1424</v>
      </c>
      <c r="C5" s="11" t="s">
        <v>46</v>
      </c>
      <c r="D5" s="11" t="s">
        <v>1214</v>
      </c>
      <c r="E5" s="11" t="s">
        <v>49</v>
      </c>
      <c r="F5" s="11" t="s">
        <v>1753</v>
      </c>
      <c r="G5" s="11" t="s">
        <v>54</v>
      </c>
      <c r="I5" s="11" t="s">
        <v>50</v>
      </c>
      <c r="L5" s="11" t="s">
        <v>232</v>
      </c>
      <c r="N5" s="11" t="s">
        <v>234</v>
      </c>
      <c r="Q5" s="200" t="s">
        <v>60</v>
      </c>
    </row>
    <row r="6">
      <c r="A6" s="12" t="s">
        <v>2275</v>
      </c>
      <c r="B6" s="199">
        <v>-1000.0</v>
      </c>
      <c r="C6" s="199">
        <v>-30000.0</v>
      </c>
      <c r="D6" s="199">
        <v>28000.0</v>
      </c>
      <c r="E6" s="12" t="s">
        <v>2279</v>
      </c>
      <c r="F6" s="199">
        <v>2000.0</v>
      </c>
      <c r="G6" s="199">
        <v>117200.0</v>
      </c>
      <c r="I6" s="199">
        <v>47000.0</v>
      </c>
      <c r="L6" s="201">
        <v>145000.0</v>
      </c>
      <c r="N6" s="202">
        <f>P9-101000+P12+P14+P15+P16+P17</f>
        <v>48000</v>
      </c>
      <c r="Q6" s="202">
        <f>T10+T15+T17+T19+T21</f>
        <v>90500</v>
      </c>
      <c r="V6" s="11"/>
    </row>
    <row r="7">
      <c r="A7" s="12" t="s">
        <v>1775</v>
      </c>
      <c r="B7" s="12" t="s">
        <v>2286</v>
      </c>
      <c r="C7" s="15" t="s">
        <v>35</v>
      </c>
      <c r="D7" s="12" t="s">
        <v>2289</v>
      </c>
      <c r="E7" s="12" t="s">
        <v>2290</v>
      </c>
      <c r="F7" s="12" t="s">
        <v>2292</v>
      </c>
      <c r="G7" s="64" t="s">
        <v>77</v>
      </c>
      <c r="H7" s="64" t="s">
        <v>2297</v>
      </c>
      <c r="I7" s="12" t="s">
        <v>77</v>
      </c>
      <c r="J7" s="12" t="s">
        <v>2301</v>
      </c>
      <c r="K7" s="12" t="s">
        <v>81</v>
      </c>
      <c r="L7" s="64" t="s">
        <v>284</v>
      </c>
      <c r="M7" s="64" t="s">
        <v>285</v>
      </c>
      <c r="N7" s="11" t="s">
        <v>2304</v>
      </c>
      <c r="Q7" s="203" t="s">
        <v>85</v>
      </c>
      <c r="R7" s="203" t="s">
        <v>87</v>
      </c>
      <c r="S7" s="203" t="s">
        <v>88</v>
      </c>
      <c r="T7" s="203" t="s">
        <v>1</v>
      </c>
      <c r="U7" s="203" t="s">
        <v>90</v>
      </c>
      <c r="V7" s="204"/>
    </row>
    <row r="8">
      <c r="A8" s="12" t="s">
        <v>2310</v>
      </c>
      <c r="B8" s="11" t="s">
        <v>2312</v>
      </c>
      <c r="C8" s="14" t="s">
        <v>357</v>
      </c>
      <c r="D8" s="12" t="s">
        <v>2315</v>
      </c>
      <c r="E8" s="12" t="s">
        <v>2318</v>
      </c>
      <c r="F8" s="12" t="s">
        <v>2290</v>
      </c>
      <c r="G8" s="64" t="s">
        <v>2321</v>
      </c>
      <c r="H8" s="12" t="s">
        <v>2323</v>
      </c>
      <c r="I8" s="12" t="s">
        <v>2324</v>
      </c>
      <c r="J8" s="12" t="s">
        <v>2325</v>
      </c>
      <c r="K8" s="12" t="s">
        <v>2326</v>
      </c>
      <c r="L8" s="12" t="s">
        <v>336</v>
      </c>
      <c r="M8" s="12" t="s">
        <v>2328</v>
      </c>
      <c r="N8" s="198" t="s">
        <v>130</v>
      </c>
      <c r="O8" s="198" t="s">
        <v>135</v>
      </c>
      <c r="P8" s="198" t="s">
        <v>1</v>
      </c>
      <c r="Q8" s="205" t="s">
        <v>2332</v>
      </c>
      <c r="R8" s="206" t="s">
        <v>215</v>
      </c>
    </row>
    <row r="9">
      <c r="A9" s="12" t="s">
        <v>2333</v>
      </c>
      <c r="B9" s="199">
        <v>-30000.0</v>
      </c>
      <c r="C9" s="14" t="s">
        <v>390</v>
      </c>
      <c r="D9" s="12" t="s">
        <v>2335</v>
      </c>
      <c r="E9" s="12" t="s">
        <v>2336</v>
      </c>
      <c r="F9" s="11" t="s">
        <v>205</v>
      </c>
      <c r="G9" s="12" t="s">
        <v>2337</v>
      </c>
      <c r="H9" s="12" t="s">
        <v>2339</v>
      </c>
      <c r="I9" s="12" t="s">
        <v>2340</v>
      </c>
      <c r="J9" s="12" t="s">
        <v>2341</v>
      </c>
      <c r="K9" s="12" t="s">
        <v>2342</v>
      </c>
      <c r="L9" s="12" t="s">
        <v>367</v>
      </c>
      <c r="M9" s="12" t="s">
        <v>2343</v>
      </c>
      <c r="N9" s="50" t="s">
        <v>2337</v>
      </c>
      <c r="O9" s="50" t="s">
        <v>241</v>
      </c>
      <c r="P9" s="50">
        <v>4000.0</v>
      </c>
      <c r="R9" s="206">
        <v>100.0</v>
      </c>
      <c r="S9" s="206">
        <v>1.0</v>
      </c>
      <c r="T9" s="207">
        <f>S9*1500</f>
        <v>1500</v>
      </c>
      <c r="U9" s="207">
        <f>S9*40</f>
        <v>40</v>
      </c>
    </row>
    <row r="10">
      <c r="A10" s="12" t="s">
        <v>2346</v>
      </c>
      <c r="B10" s="12" t="s">
        <v>83</v>
      </c>
      <c r="C10" s="14" t="s">
        <v>431</v>
      </c>
      <c r="D10" s="12" t="s">
        <v>2348</v>
      </c>
      <c r="F10" s="199">
        <v>-1000.0</v>
      </c>
      <c r="G10" s="12" t="s">
        <v>2349</v>
      </c>
      <c r="H10" s="12" t="s">
        <v>2352</v>
      </c>
      <c r="I10" s="12" t="s">
        <v>195</v>
      </c>
      <c r="J10" s="12" t="s">
        <v>1912</v>
      </c>
      <c r="K10" s="12" t="s">
        <v>2353</v>
      </c>
      <c r="L10" s="12" t="s">
        <v>2354</v>
      </c>
      <c r="M10" s="12" t="s">
        <v>2355</v>
      </c>
      <c r="O10" s="50" t="s">
        <v>452</v>
      </c>
      <c r="R10" s="136" t="s">
        <v>118</v>
      </c>
      <c r="T10" s="208">
        <f t="shared" ref="T10:U10" si="1">T9</f>
        <v>1500</v>
      </c>
      <c r="U10" s="208">
        <f t="shared" si="1"/>
        <v>40</v>
      </c>
    </row>
    <row r="11">
      <c r="A11" s="12" t="s">
        <v>2359</v>
      </c>
      <c r="B11" s="12" t="s">
        <v>99</v>
      </c>
      <c r="C11" s="15" t="s">
        <v>40</v>
      </c>
      <c r="D11" s="12" t="s">
        <v>2360</v>
      </c>
      <c r="F11" s="12" t="s">
        <v>2363</v>
      </c>
      <c r="G11" s="12" t="s">
        <v>672</v>
      </c>
      <c r="H11" s="12" t="s">
        <v>2365</v>
      </c>
      <c r="I11" s="12" t="s">
        <v>218</v>
      </c>
      <c r="J11" s="12" t="s">
        <v>2367</v>
      </c>
      <c r="K11" s="12" t="s">
        <v>2368</v>
      </c>
      <c r="L11" s="12" t="s">
        <v>2369</v>
      </c>
      <c r="M11" s="14">
        <v>100000.0</v>
      </c>
      <c r="O11" s="50" t="s">
        <v>1512</v>
      </c>
      <c r="Q11" s="205" t="s">
        <v>2370</v>
      </c>
      <c r="R11" s="206" t="s">
        <v>161</v>
      </c>
      <c r="S11" s="206">
        <v>1.0</v>
      </c>
      <c r="T11" s="207">
        <f>S11*2000</f>
        <v>2000</v>
      </c>
      <c r="U11" s="207">
        <f t="shared" ref="U11:U12" si="2">S11*40</f>
        <v>40</v>
      </c>
    </row>
    <row r="12">
      <c r="A12" s="12" t="s">
        <v>2380</v>
      </c>
      <c r="B12" s="12" t="s">
        <v>1780</v>
      </c>
      <c r="C12" s="14" t="s">
        <v>42</v>
      </c>
      <c r="D12" s="12" t="s">
        <v>2382</v>
      </c>
      <c r="E12" s="11" t="s">
        <v>2383</v>
      </c>
      <c r="F12" s="12" t="s">
        <v>2384</v>
      </c>
      <c r="G12" s="12" t="s">
        <v>1313</v>
      </c>
      <c r="H12" s="64" t="s">
        <v>2386</v>
      </c>
      <c r="I12" s="12" t="s">
        <v>2387</v>
      </c>
      <c r="J12" s="12" t="s">
        <v>2389</v>
      </c>
      <c r="K12" s="12" t="s">
        <v>2390</v>
      </c>
      <c r="N12" s="50" t="s">
        <v>2391</v>
      </c>
      <c r="O12" s="50" t="s">
        <v>241</v>
      </c>
      <c r="P12" s="50">
        <v>3000.0</v>
      </c>
      <c r="R12" s="206" t="s">
        <v>338</v>
      </c>
      <c r="S12" s="206">
        <v>1.0</v>
      </c>
      <c r="T12" s="207">
        <f>S12*3000</f>
        <v>3000</v>
      </c>
      <c r="U12" s="207">
        <f t="shared" si="2"/>
        <v>40</v>
      </c>
    </row>
    <row r="13">
      <c r="A13" s="12" t="s">
        <v>2396</v>
      </c>
      <c r="C13" s="15" t="s">
        <v>44</v>
      </c>
      <c r="D13" s="12" t="s">
        <v>2397</v>
      </c>
      <c r="G13" s="12" t="s">
        <v>227</v>
      </c>
      <c r="I13" s="12" t="s">
        <v>473</v>
      </c>
      <c r="J13" s="12" t="s">
        <v>2399</v>
      </c>
      <c r="K13" s="12" t="s">
        <v>2400</v>
      </c>
      <c r="O13" s="50" t="s">
        <v>452</v>
      </c>
      <c r="R13" s="206" t="s">
        <v>181</v>
      </c>
      <c r="S13" s="206">
        <v>1.0</v>
      </c>
      <c r="T13" s="207">
        <f>S13*8000</f>
        <v>8000</v>
      </c>
      <c r="U13" s="207">
        <f>S13*80</f>
        <v>80</v>
      </c>
    </row>
    <row r="14">
      <c r="A14" s="12" t="s">
        <v>2407</v>
      </c>
      <c r="C14" s="14" t="s">
        <v>42</v>
      </c>
      <c r="D14" s="12" t="s">
        <v>2408</v>
      </c>
      <c r="G14" s="12" t="s">
        <v>295</v>
      </c>
      <c r="H14" s="64" t="s">
        <v>2409</v>
      </c>
      <c r="I14" s="12" t="s">
        <v>2410</v>
      </c>
      <c r="J14" s="12" t="s">
        <v>2411</v>
      </c>
      <c r="K14" s="12" t="s">
        <v>2412</v>
      </c>
      <c r="N14" s="14" t="s">
        <v>2413</v>
      </c>
      <c r="O14" s="50" t="s">
        <v>241</v>
      </c>
      <c r="P14" s="14">
        <v>1000.0</v>
      </c>
      <c r="R14" s="206" t="s">
        <v>223</v>
      </c>
      <c r="S14" s="206">
        <v>6.5</v>
      </c>
      <c r="T14" s="207">
        <f>S14*10000</f>
        <v>65000</v>
      </c>
      <c r="U14" s="207">
        <f>S14*100</f>
        <v>650</v>
      </c>
    </row>
    <row r="15">
      <c r="A15" s="12" t="s">
        <v>2416</v>
      </c>
      <c r="D15" s="12" t="s">
        <v>2417</v>
      </c>
      <c r="E15" s="34" t="s">
        <v>614</v>
      </c>
      <c r="G15" s="12" t="s">
        <v>736</v>
      </c>
      <c r="I15" s="12" t="s">
        <v>1040</v>
      </c>
      <c r="J15" s="12" t="s">
        <v>2418</v>
      </c>
      <c r="K15" s="12" t="s">
        <v>2419</v>
      </c>
      <c r="N15" s="14" t="s">
        <v>2420</v>
      </c>
      <c r="O15" s="50" t="s">
        <v>1512</v>
      </c>
      <c r="P15" s="14">
        <v>1000.0</v>
      </c>
      <c r="R15" s="136" t="s">
        <v>118</v>
      </c>
      <c r="T15" s="208">
        <f t="shared" ref="T15:U15" si="3">T11+T12+T13+T14</f>
        <v>78000</v>
      </c>
      <c r="U15" s="208">
        <f t="shared" si="3"/>
        <v>810</v>
      </c>
    </row>
    <row r="16">
      <c r="A16" s="12" t="s">
        <v>2421</v>
      </c>
      <c r="E16" s="209">
        <v>10000.0</v>
      </c>
      <c r="G16" s="12" t="s">
        <v>2352</v>
      </c>
      <c r="H16" s="64" t="s">
        <v>2422</v>
      </c>
      <c r="I16" s="12" t="s">
        <v>2423</v>
      </c>
      <c r="J16" s="12" t="s">
        <v>334</v>
      </c>
      <c r="K16" s="12" t="s">
        <v>2424</v>
      </c>
      <c r="N16" s="11" t="s">
        <v>1957</v>
      </c>
      <c r="P16" s="14">
        <v>100000.0</v>
      </c>
      <c r="Q16" s="205" t="s">
        <v>2425</v>
      </c>
      <c r="R16" s="206" t="s">
        <v>338</v>
      </c>
      <c r="S16" s="206">
        <v>1.0</v>
      </c>
      <c r="T16" s="207">
        <f>S16*3000</f>
        <v>3000</v>
      </c>
      <c r="U16" s="207">
        <f>S16*40</f>
        <v>40</v>
      </c>
    </row>
    <row r="17">
      <c r="A17" s="12" t="s">
        <v>2426</v>
      </c>
      <c r="E17" s="133" t="s">
        <v>2427</v>
      </c>
      <c r="G17" s="12" t="s">
        <v>2428</v>
      </c>
      <c r="I17" s="12" t="s">
        <v>505</v>
      </c>
      <c r="J17" s="12" t="s">
        <v>310</v>
      </c>
      <c r="N17" s="11" t="s">
        <v>798</v>
      </c>
      <c r="P17" s="14">
        <v>40000.0</v>
      </c>
      <c r="R17" s="136" t="s">
        <v>118</v>
      </c>
      <c r="T17" s="208">
        <f t="shared" ref="T17:U17" si="4">T16</f>
        <v>3000</v>
      </c>
      <c r="U17" s="208">
        <f t="shared" si="4"/>
        <v>40</v>
      </c>
    </row>
    <row r="18">
      <c r="A18" s="12" t="s">
        <v>2429</v>
      </c>
      <c r="G18" s="12" t="s">
        <v>660</v>
      </c>
      <c r="I18" s="12" t="s">
        <v>573</v>
      </c>
      <c r="J18" s="12" t="s">
        <v>287</v>
      </c>
      <c r="Q18" s="205" t="s">
        <v>2432</v>
      </c>
      <c r="R18" s="206" t="s">
        <v>338</v>
      </c>
      <c r="S18" s="206">
        <v>1.0</v>
      </c>
      <c r="T18" s="207">
        <f>S18*3000</f>
        <v>3000</v>
      </c>
      <c r="U18" s="207">
        <f>S18*40</f>
        <v>40</v>
      </c>
    </row>
    <row r="19">
      <c r="A19" s="12" t="s">
        <v>2434</v>
      </c>
      <c r="G19" s="12" t="s">
        <v>1859</v>
      </c>
      <c r="I19" s="12" t="s">
        <v>2435</v>
      </c>
      <c r="J19" s="12" t="s">
        <v>2436</v>
      </c>
      <c r="R19" s="136" t="s">
        <v>118</v>
      </c>
      <c r="T19" s="208">
        <f t="shared" ref="T19:U19" si="5">T18</f>
        <v>3000</v>
      </c>
      <c r="U19" s="208">
        <f t="shared" si="5"/>
        <v>40</v>
      </c>
    </row>
    <row r="20">
      <c r="A20" s="12" t="s">
        <v>2438</v>
      </c>
      <c r="G20" s="12" t="s">
        <v>804</v>
      </c>
      <c r="I20" s="12" t="s">
        <v>505</v>
      </c>
      <c r="J20" s="12" t="s">
        <v>2439</v>
      </c>
      <c r="Q20" s="205" t="s">
        <v>2440</v>
      </c>
      <c r="R20" s="206" t="s">
        <v>223</v>
      </c>
      <c r="S20" s="206">
        <v>0.5</v>
      </c>
      <c r="T20" s="207">
        <f>S20*10000</f>
        <v>5000</v>
      </c>
      <c r="U20" s="207">
        <f>S20*100</f>
        <v>50</v>
      </c>
    </row>
    <row r="21">
      <c r="A21" s="12" t="s">
        <v>2441</v>
      </c>
      <c r="G21" s="12" t="s">
        <v>2442</v>
      </c>
      <c r="I21" s="12" t="s">
        <v>218</v>
      </c>
      <c r="J21" s="12" t="s">
        <v>733</v>
      </c>
      <c r="R21" s="136" t="s">
        <v>118</v>
      </c>
      <c r="T21" s="208">
        <f t="shared" ref="T21:U21" si="6">T20</f>
        <v>5000</v>
      </c>
      <c r="U21" s="208">
        <f t="shared" si="6"/>
        <v>50</v>
      </c>
    </row>
    <row r="22">
      <c r="A22" s="12" t="s">
        <v>2443</v>
      </c>
      <c r="G22" s="12" t="s">
        <v>386</v>
      </c>
      <c r="I22" s="12" t="s">
        <v>2444</v>
      </c>
    </row>
    <row r="23">
      <c r="A23" s="12" t="s">
        <v>2446</v>
      </c>
      <c r="G23" s="12" t="s">
        <v>1803</v>
      </c>
      <c r="I23" s="12" t="s">
        <v>166</v>
      </c>
    </row>
    <row r="24">
      <c r="A24" s="12" t="s">
        <v>2447</v>
      </c>
      <c r="G24" s="12" t="s">
        <v>571</v>
      </c>
      <c r="I24" s="12" t="s">
        <v>1804</v>
      </c>
    </row>
    <row r="25">
      <c r="A25" s="12" t="s">
        <v>2448</v>
      </c>
      <c r="G25" s="12" t="s">
        <v>2449</v>
      </c>
      <c r="I25" s="12" t="s">
        <v>505</v>
      </c>
    </row>
    <row r="26">
      <c r="A26" s="12" t="s">
        <v>2450</v>
      </c>
      <c r="G26" s="12" t="s">
        <v>2444</v>
      </c>
      <c r="I26" s="12" t="s">
        <v>218</v>
      </c>
    </row>
    <row r="27">
      <c r="A27" s="12" t="s">
        <v>2451</v>
      </c>
      <c r="G27" s="12" t="s">
        <v>2452</v>
      </c>
      <c r="I27" s="12" t="s">
        <v>2453</v>
      </c>
    </row>
    <row r="28">
      <c r="A28" s="33" t="s">
        <v>2454</v>
      </c>
      <c r="G28" s="12" t="s">
        <v>295</v>
      </c>
      <c r="I28" s="12" t="s">
        <v>195</v>
      </c>
    </row>
    <row r="29">
      <c r="A29" s="33" t="s">
        <v>2455</v>
      </c>
      <c r="G29" s="12" t="s">
        <v>1803</v>
      </c>
      <c r="I29" s="12" t="s">
        <v>218</v>
      </c>
    </row>
    <row r="30">
      <c r="A30" s="33" t="s">
        <v>2456</v>
      </c>
      <c r="G30" s="12" t="s">
        <v>736</v>
      </c>
      <c r="I30" s="12" t="s">
        <v>2457</v>
      </c>
    </row>
    <row r="31">
      <c r="A31" s="33" t="s">
        <v>2458</v>
      </c>
      <c r="G31" s="12" t="s">
        <v>2459</v>
      </c>
      <c r="I31" s="12" t="s">
        <v>436</v>
      </c>
    </row>
    <row r="32">
      <c r="A32" s="33" t="s">
        <v>2460</v>
      </c>
      <c r="G32" s="12" t="s">
        <v>571</v>
      </c>
      <c r="I32" s="12" t="s">
        <v>573</v>
      </c>
    </row>
    <row r="33">
      <c r="A33" s="33" t="s">
        <v>2461</v>
      </c>
      <c r="G33" s="12" t="s">
        <v>2449</v>
      </c>
      <c r="I33" s="12" t="s">
        <v>263</v>
      </c>
    </row>
    <row r="34">
      <c r="A34" s="33" t="s">
        <v>2462</v>
      </c>
      <c r="G34" s="12" t="s">
        <v>2463</v>
      </c>
      <c r="I34" s="12" t="s">
        <v>2464</v>
      </c>
    </row>
    <row r="35">
      <c r="A35" s="33" t="s">
        <v>2465</v>
      </c>
      <c r="G35" s="12" t="s">
        <v>571</v>
      </c>
      <c r="I35" s="12" t="s">
        <v>166</v>
      </c>
    </row>
    <row r="36">
      <c r="A36" s="12" t="s">
        <v>2466</v>
      </c>
      <c r="G36" s="12" t="s">
        <v>2468</v>
      </c>
      <c r="I36" s="12" t="s">
        <v>2410</v>
      </c>
    </row>
    <row r="37">
      <c r="A37" s="12" t="s">
        <v>2470</v>
      </c>
      <c r="G37" s="12" t="s">
        <v>2471</v>
      </c>
      <c r="I37" s="12" t="s">
        <v>195</v>
      </c>
    </row>
    <row r="38">
      <c r="A38" s="12" t="s">
        <v>2473</v>
      </c>
      <c r="G38" s="12" t="s">
        <v>2349</v>
      </c>
      <c r="I38" s="12" t="s">
        <v>573</v>
      </c>
    </row>
    <row r="39">
      <c r="A39" s="12" t="s">
        <v>2475</v>
      </c>
      <c r="G39" s="12" t="s">
        <v>2476</v>
      </c>
      <c r="I39" s="12" t="s">
        <v>2477</v>
      </c>
    </row>
    <row r="40">
      <c r="A40" s="12" t="s">
        <v>2479</v>
      </c>
      <c r="I40" s="12" t="s">
        <v>195</v>
      </c>
    </row>
    <row r="41">
      <c r="A41" s="12" t="s">
        <v>2480</v>
      </c>
      <c r="I41" s="12" t="s">
        <v>1099</v>
      </c>
    </row>
    <row r="42">
      <c r="A42" s="12" t="s">
        <v>2482</v>
      </c>
      <c r="I42" s="12" t="s">
        <v>2483</v>
      </c>
    </row>
    <row r="43">
      <c r="A43" s="12" t="s">
        <v>2484</v>
      </c>
      <c r="I43" s="12" t="s">
        <v>134</v>
      </c>
    </row>
    <row r="44">
      <c r="A44" s="12" t="s">
        <v>2485</v>
      </c>
      <c r="I44" s="12" t="s">
        <v>473</v>
      </c>
    </row>
    <row r="45">
      <c r="A45" s="12" t="s">
        <v>2486</v>
      </c>
      <c r="I45" s="12" t="s">
        <v>2423</v>
      </c>
    </row>
    <row r="46">
      <c r="A46" s="12" t="s">
        <v>2488</v>
      </c>
      <c r="I46" s="12" t="s">
        <v>562</v>
      </c>
    </row>
    <row r="47">
      <c r="A47" s="12" t="s">
        <v>2489</v>
      </c>
      <c r="I47" s="12" t="s">
        <v>573</v>
      </c>
    </row>
    <row r="48">
      <c r="A48" s="12" t="s">
        <v>2491</v>
      </c>
      <c r="I48" s="12" t="s">
        <v>559</v>
      </c>
    </row>
    <row r="49">
      <c r="I49" s="12" t="s">
        <v>2492</v>
      </c>
    </row>
    <row r="50">
      <c r="I50" s="12" t="s">
        <v>2494</v>
      </c>
    </row>
    <row r="51">
      <c r="I51" s="12" t="s">
        <v>166</v>
      </c>
    </row>
    <row r="52">
      <c r="I52" s="12" t="s">
        <v>1999</v>
      </c>
    </row>
    <row r="53">
      <c r="I53" s="12" t="s">
        <v>505</v>
      </c>
    </row>
    <row r="54">
      <c r="I54" s="12" t="s">
        <v>1570</v>
      </c>
    </row>
    <row r="55">
      <c r="I55" s="12" t="s">
        <v>2497</v>
      </c>
    </row>
    <row r="56">
      <c r="I56" s="12" t="s">
        <v>195</v>
      </c>
    </row>
    <row r="57">
      <c r="I57" s="12" t="s">
        <v>1570</v>
      </c>
    </row>
    <row r="63">
      <c r="A63" s="82" t="s">
        <v>567</v>
      </c>
    </row>
    <row r="64">
      <c r="A64" s="82">
        <f>A71+A86+A110+A126+A144+A226+A194</f>
        <v>8401140</v>
      </c>
    </row>
    <row r="65">
      <c r="A65" s="84" t="s">
        <v>1437</v>
      </c>
    </row>
    <row r="66">
      <c r="A66" s="84">
        <v>2026.0</v>
      </c>
    </row>
    <row r="67">
      <c r="A67" s="85" t="s">
        <v>576</v>
      </c>
      <c r="B67" s="85" t="s">
        <v>577</v>
      </c>
      <c r="C67" s="85" t="s">
        <v>578</v>
      </c>
      <c r="D67" s="85" t="s">
        <v>579</v>
      </c>
      <c r="E67" s="85" t="s">
        <v>580</v>
      </c>
    </row>
    <row r="68">
      <c r="A68" s="11" t="s">
        <v>2527</v>
      </c>
    </row>
    <row r="69">
      <c r="A69" s="86"/>
    </row>
    <row r="70">
      <c r="A70" s="87" t="s">
        <v>840</v>
      </c>
    </row>
    <row r="71">
      <c r="A71" s="87">
        <v>16940.0</v>
      </c>
    </row>
    <row r="72">
      <c r="A72" s="88">
        <v>2026.0</v>
      </c>
    </row>
    <row r="73">
      <c r="A73" s="85" t="s">
        <v>592</v>
      </c>
      <c r="B73" s="85" t="s">
        <v>593</v>
      </c>
      <c r="C73" s="85" t="s">
        <v>594</v>
      </c>
      <c r="D73" s="85" t="s">
        <v>595</v>
      </c>
      <c r="E73" s="85" t="s">
        <v>596</v>
      </c>
      <c r="F73" s="85" t="s">
        <v>597</v>
      </c>
    </row>
    <row r="74">
      <c r="B74" s="64" t="s">
        <v>2542</v>
      </c>
      <c r="C74" s="64" t="s">
        <v>2190</v>
      </c>
      <c r="D74" s="64"/>
      <c r="E74" s="64" t="s">
        <v>2544</v>
      </c>
    </row>
    <row r="75">
      <c r="B75" s="12" t="s">
        <v>2337</v>
      </c>
      <c r="C75" s="12" t="s">
        <v>2545</v>
      </c>
      <c r="E75" s="12" t="s">
        <v>2546</v>
      </c>
    </row>
    <row r="76">
      <c r="B76" s="12" t="s">
        <v>2548</v>
      </c>
      <c r="C76" s="12" t="s">
        <v>878</v>
      </c>
      <c r="E76" s="12" t="s">
        <v>620</v>
      </c>
    </row>
    <row r="77">
      <c r="E77" s="12" t="s">
        <v>1403</v>
      </c>
    </row>
    <row r="78">
      <c r="E78" s="12" t="s">
        <v>2391</v>
      </c>
    </row>
    <row r="79">
      <c r="E79" s="12" t="s">
        <v>604</v>
      </c>
    </row>
    <row r="80">
      <c r="E80" s="12" t="s">
        <v>1403</v>
      </c>
    </row>
    <row r="81">
      <c r="E81" s="12" t="s">
        <v>1409</v>
      </c>
    </row>
    <row r="82">
      <c r="E82" s="12" t="s">
        <v>638</v>
      </c>
    </row>
    <row r="83">
      <c r="E83" s="12" t="s">
        <v>1403</v>
      </c>
    </row>
    <row r="84">
      <c r="A84" s="86"/>
    </row>
    <row r="85">
      <c r="A85" s="6" t="s">
        <v>1425</v>
      </c>
    </row>
    <row r="86">
      <c r="A86" s="6">
        <v>95600.0</v>
      </c>
    </row>
    <row r="87">
      <c r="A87" s="35">
        <v>2026.0</v>
      </c>
    </row>
    <row r="88">
      <c r="A88" s="96" t="s">
        <v>2571</v>
      </c>
    </row>
    <row r="89">
      <c r="A89" s="85" t="s">
        <v>666</v>
      </c>
      <c r="B89" s="85" t="s">
        <v>668</v>
      </c>
      <c r="C89" s="85" t="s">
        <v>671</v>
      </c>
      <c r="D89" s="85" t="s">
        <v>674</v>
      </c>
      <c r="E89" s="85" t="s">
        <v>675</v>
      </c>
      <c r="F89" s="85" t="s">
        <v>676</v>
      </c>
      <c r="G89" s="85" t="s">
        <v>678</v>
      </c>
      <c r="H89" s="85" t="s">
        <v>680</v>
      </c>
    </row>
    <row r="90">
      <c r="A90" s="68" t="s">
        <v>2583</v>
      </c>
      <c r="B90" s="68" t="s">
        <v>2586</v>
      </c>
      <c r="C90" s="68" t="s">
        <v>1314</v>
      </c>
      <c r="D90" s="68" t="s">
        <v>1607</v>
      </c>
      <c r="E90" s="68" t="s">
        <v>2587</v>
      </c>
      <c r="F90" s="68" t="s">
        <v>683</v>
      </c>
      <c r="G90" s="68" t="s">
        <v>2590</v>
      </c>
      <c r="H90" s="68" t="s">
        <v>1314</v>
      </c>
    </row>
    <row r="91">
      <c r="A91" s="12" t="s">
        <v>2323</v>
      </c>
      <c r="B91" s="12" t="s">
        <v>2595</v>
      </c>
      <c r="C91" s="12" t="s">
        <v>2597</v>
      </c>
      <c r="D91" s="12" t="s">
        <v>2600</v>
      </c>
      <c r="E91" s="12" t="s">
        <v>2603</v>
      </c>
      <c r="G91" s="12" t="s">
        <v>2604</v>
      </c>
      <c r="H91" s="12" t="s">
        <v>2605</v>
      </c>
    </row>
    <row r="92">
      <c r="A92" s="12" t="s">
        <v>728</v>
      </c>
      <c r="B92" s="12" t="s">
        <v>604</v>
      </c>
      <c r="C92" s="12" t="s">
        <v>604</v>
      </c>
      <c r="D92" s="12" t="s">
        <v>878</v>
      </c>
      <c r="E92" s="12" t="s">
        <v>1364</v>
      </c>
      <c r="G92" s="12" t="s">
        <v>1062</v>
      </c>
      <c r="H92" s="12" t="s">
        <v>604</v>
      </c>
    </row>
    <row r="93">
      <c r="A93" s="12" t="s">
        <v>531</v>
      </c>
      <c r="B93" s="12" t="s">
        <v>707</v>
      </c>
      <c r="D93" s="12" t="s">
        <v>531</v>
      </c>
      <c r="E93" s="12" t="s">
        <v>1043</v>
      </c>
      <c r="G93" s="12" t="s">
        <v>713</v>
      </c>
    </row>
    <row r="94">
      <c r="A94" s="12" t="s">
        <v>2612</v>
      </c>
      <c r="E94" s="12" t="s">
        <v>1085</v>
      </c>
      <c r="G94" s="12" t="s">
        <v>2614</v>
      </c>
    </row>
    <row r="95">
      <c r="A95" s="12" t="s">
        <v>878</v>
      </c>
      <c r="G95" s="12" t="s">
        <v>699</v>
      </c>
    </row>
    <row r="96">
      <c r="A96" s="12" t="s">
        <v>209</v>
      </c>
      <c r="G96" s="12" t="s">
        <v>713</v>
      </c>
    </row>
    <row r="97">
      <c r="G97" s="12" t="s">
        <v>2616</v>
      </c>
    </row>
    <row r="98">
      <c r="G98" s="12" t="s">
        <v>653</v>
      </c>
    </row>
    <row r="99">
      <c r="G99" s="12" t="s">
        <v>713</v>
      </c>
    </row>
    <row r="100">
      <c r="G100" s="12" t="s">
        <v>2619</v>
      </c>
    </row>
    <row r="101">
      <c r="G101" s="12" t="s">
        <v>923</v>
      </c>
    </row>
    <row r="102">
      <c r="G102" s="12" t="s">
        <v>531</v>
      </c>
    </row>
    <row r="103">
      <c r="G103" s="12" t="s">
        <v>713</v>
      </c>
    </row>
    <row r="104">
      <c r="G104" s="12" t="s">
        <v>2624</v>
      </c>
    </row>
    <row r="105">
      <c r="G105" s="12" t="s">
        <v>604</v>
      </c>
    </row>
    <row r="106">
      <c r="G106" s="12" t="s">
        <v>713</v>
      </c>
    </row>
    <row r="109">
      <c r="A109" s="229" t="s">
        <v>740</v>
      </c>
    </row>
    <row r="110">
      <c r="A110" s="229">
        <f>A113</f>
        <v>60400</v>
      </c>
    </row>
    <row r="111">
      <c r="A111" s="229">
        <v>2026.0</v>
      </c>
    </row>
    <row r="112">
      <c r="A112" s="229" t="s">
        <v>749</v>
      </c>
    </row>
    <row r="113">
      <c r="A113" s="229">
        <f>A116+B116+C116+D116+E116+F116+G116+H116</f>
        <v>60400</v>
      </c>
    </row>
    <row r="114">
      <c r="A114" s="105" t="s">
        <v>762</v>
      </c>
      <c r="B114" s="105" t="s">
        <v>764</v>
      </c>
      <c r="C114" s="105" t="s">
        <v>765</v>
      </c>
      <c r="D114" s="105" t="s">
        <v>767</v>
      </c>
      <c r="E114" s="105" t="s">
        <v>768</v>
      </c>
      <c r="F114" s="105" t="s">
        <v>771</v>
      </c>
      <c r="G114" s="105" t="s">
        <v>772</v>
      </c>
      <c r="H114" s="105" t="s">
        <v>773</v>
      </c>
    </row>
    <row r="115">
      <c r="A115" s="34" t="s">
        <v>683</v>
      </c>
      <c r="B115" s="34" t="s">
        <v>683</v>
      </c>
      <c r="C115" s="34" t="s">
        <v>683</v>
      </c>
      <c r="D115" s="34" t="s">
        <v>683</v>
      </c>
      <c r="E115" s="34" t="s">
        <v>683</v>
      </c>
      <c r="F115" s="34" t="s">
        <v>683</v>
      </c>
      <c r="G115" s="34" t="s">
        <v>683</v>
      </c>
      <c r="H115" s="34" t="s">
        <v>683</v>
      </c>
    </row>
    <row r="116">
      <c r="A116" s="107">
        <v>9500.0</v>
      </c>
      <c r="B116" s="105">
        <v>0.0</v>
      </c>
      <c r="C116" s="105">
        <v>0.0</v>
      </c>
      <c r="D116" s="107">
        <v>8000.0</v>
      </c>
      <c r="E116" s="105">
        <v>0.0</v>
      </c>
      <c r="F116" s="107">
        <v>11750.0</v>
      </c>
      <c r="G116" s="105">
        <v>0.0</v>
      </c>
      <c r="H116" s="107">
        <v>31150.0</v>
      </c>
    </row>
    <row r="117">
      <c r="A117" s="12" t="s">
        <v>2644</v>
      </c>
      <c r="D117" s="12" t="s">
        <v>2647</v>
      </c>
      <c r="F117" s="12" t="s">
        <v>2649</v>
      </c>
      <c r="H117" s="12" t="s">
        <v>2337</v>
      </c>
    </row>
    <row r="118">
      <c r="A118" s="12" t="s">
        <v>699</v>
      </c>
      <c r="D118" s="12" t="s">
        <v>1083</v>
      </c>
      <c r="F118" s="12" t="s">
        <v>930</v>
      </c>
      <c r="H118" s="12" t="s">
        <v>700</v>
      </c>
    </row>
    <row r="119">
      <c r="A119" s="12" t="s">
        <v>795</v>
      </c>
      <c r="F119" s="12" t="s">
        <v>796</v>
      </c>
      <c r="H119" s="12" t="s">
        <v>802</v>
      </c>
    </row>
    <row r="120">
      <c r="A120" s="12" t="s">
        <v>1113</v>
      </c>
      <c r="H120" s="12" t="s">
        <v>2661</v>
      </c>
    </row>
    <row r="121">
      <c r="A121" s="12" t="s">
        <v>2664</v>
      </c>
      <c r="H121" s="12" t="s">
        <v>653</v>
      </c>
    </row>
    <row r="122">
      <c r="A122" s="12" t="s">
        <v>2667</v>
      </c>
      <c r="H122" s="12" t="s">
        <v>795</v>
      </c>
    </row>
    <row r="123">
      <c r="A123" s="12" t="s">
        <v>699</v>
      </c>
      <c r="H123" s="12" t="s">
        <v>1113</v>
      </c>
    </row>
    <row r="124">
      <c r="H124" s="12" t="s">
        <v>802</v>
      </c>
    </row>
    <row r="125">
      <c r="A125" s="99" t="s">
        <v>1129</v>
      </c>
    </row>
    <row r="126">
      <c r="A126" s="99">
        <f>A129</f>
        <v>107400</v>
      </c>
    </row>
    <row r="127">
      <c r="A127" s="99">
        <v>2026.0</v>
      </c>
    </row>
    <row r="128">
      <c r="A128" s="99" t="s">
        <v>749</v>
      </c>
    </row>
    <row r="129">
      <c r="A129" s="117">
        <f>A132+B132+C132+D132+E132+F132+G132+H132+I132+J132</f>
        <v>107400</v>
      </c>
    </row>
    <row r="130">
      <c r="A130" s="111" t="s">
        <v>834</v>
      </c>
      <c r="B130" s="111" t="s">
        <v>835</v>
      </c>
      <c r="C130" s="111" t="s">
        <v>836</v>
      </c>
      <c r="D130" s="111" t="s">
        <v>837</v>
      </c>
      <c r="E130" s="111" t="s">
        <v>838</v>
      </c>
      <c r="F130" s="111" t="s">
        <v>839</v>
      </c>
      <c r="G130" s="111" t="s">
        <v>841</v>
      </c>
      <c r="H130" s="111" t="s">
        <v>843</v>
      </c>
      <c r="I130" s="104" t="s">
        <v>846</v>
      </c>
      <c r="J130" s="104" t="s">
        <v>847</v>
      </c>
    </row>
    <row r="131">
      <c r="A131" s="11" t="s">
        <v>683</v>
      </c>
      <c r="B131" s="11" t="s">
        <v>683</v>
      </c>
      <c r="C131" s="11" t="s">
        <v>683</v>
      </c>
      <c r="D131" s="11" t="s">
        <v>683</v>
      </c>
      <c r="E131" s="11" t="s">
        <v>683</v>
      </c>
      <c r="F131" s="11" t="s">
        <v>683</v>
      </c>
      <c r="G131" s="11" t="s">
        <v>683</v>
      </c>
      <c r="H131" s="11" t="s">
        <v>683</v>
      </c>
      <c r="I131" s="11" t="s">
        <v>683</v>
      </c>
      <c r="J131" s="11" t="s">
        <v>683</v>
      </c>
    </row>
    <row r="132">
      <c r="A132" s="85">
        <v>21000.0</v>
      </c>
      <c r="B132" s="85">
        <v>0.0</v>
      </c>
      <c r="C132" s="85">
        <v>31000.0</v>
      </c>
      <c r="D132" s="85">
        <v>500.0</v>
      </c>
      <c r="E132" s="85">
        <v>22500.0</v>
      </c>
      <c r="F132" s="85">
        <v>0.0</v>
      </c>
      <c r="G132" s="85">
        <v>7900.0</v>
      </c>
      <c r="H132" s="85">
        <v>20000.0</v>
      </c>
      <c r="I132" s="85">
        <v>3500.0</v>
      </c>
      <c r="J132" s="85">
        <v>1000.0</v>
      </c>
    </row>
    <row r="133">
      <c r="A133" s="12" t="s">
        <v>2603</v>
      </c>
      <c r="C133" s="12" t="s">
        <v>2332</v>
      </c>
      <c r="D133" s="12" t="s">
        <v>2703</v>
      </c>
      <c r="E133" s="12" t="s">
        <v>2705</v>
      </c>
      <c r="F133" s="12" t="s">
        <v>2597</v>
      </c>
      <c r="G133" s="12" t="s">
        <v>2706</v>
      </c>
      <c r="H133" s="12" t="s">
        <v>2323</v>
      </c>
      <c r="I133" s="12" t="s">
        <v>2707</v>
      </c>
      <c r="J133" s="12" t="s">
        <v>2708</v>
      </c>
    </row>
    <row r="134">
      <c r="A134" s="12" t="s">
        <v>1663</v>
      </c>
      <c r="C134" s="12" t="s">
        <v>1011</v>
      </c>
      <c r="D134" s="12" t="s">
        <v>604</v>
      </c>
      <c r="E134" s="12" t="s">
        <v>1194</v>
      </c>
      <c r="F134" s="12" t="s">
        <v>2710</v>
      </c>
      <c r="G134" s="12" t="s">
        <v>962</v>
      </c>
      <c r="H134" s="12" t="s">
        <v>1093</v>
      </c>
      <c r="I134" s="12" t="s">
        <v>777</v>
      </c>
      <c r="J134" s="12" t="s">
        <v>604</v>
      </c>
    </row>
    <row r="135">
      <c r="C135" s="12" t="s">
        <v>879</v>
      </c>
      <c r="E135" s="12" t="s">
        <v>2614</v>
      </c>
      <c r="G135" s="12" t="s">
        <v>873</v>
      </c>
      <c r="J135" s="12" t="s">
        <v>2370</v>
      </c>
    </row>
    <row r="136">
      <c r="C136" s="12" t="s">
        <v>2712</v>
      </c>
      <c r="E136" s="12" t="s">
        <v>717</v>
      </c>
      <c r="G136" s="12" t="s">
        <v>1167</v>
      </c>
      <c r="J136" s="12" t="s">
        <v>604</v>
      </c>
    </row>
    <row r="137">
      <c r="C137" s="12" t="s">
        <v>1663</v>
      </c>
      <c r="G137" s="12" t="s">
        <v>2714</v>
      </c>
    </row>
    <row r="138">
      <c r="C138" s="12" t="s">
        <v>2715</v>
      </c>
      <c r="G138" s="12" t="s">
        <v>911</v>
      </c>
    </row>
    <row r="139">
      <c r="G139" s="12" t="s">
        <v>2717</v>
      </c>
    </row>
    <row r="140">
      <c r="G140" s="12" t="s">
        <v>911</v>
      </c>
    </row>
    <row r="141">
      <c r="G141" s="12" t="s">
        <v>879</v>
      </c>
    </row>
    <row r="142">
      <c r="A142" s="108" t="s">
        <v>938</v>
      </c>
    </row>
    <row r="143">
      <c r="A143" s="109" t="s">
        <v>940</v>
      </c>
    </row>
    <row r="144">
      <c r="A144" s="109">
        <f>A147</f>
        <v>676200</v>
      </c>
    </row>
    <row r="145">
      <c r="A145" s="109">
        <v>2026.0</v>
      </c>
    </row>
    <row r="146">
      <c r="A146" s="109" t="s">
        <v>749</v>
      </c>
    </row>
    <row r="147">
      <c r="A147" s="110">
        <f>A150+B150+C150+D150+E150+F150+G150+H150+I150+J150</f>
        <v>676200</v>
      </c>
    </row>
    <row r="148">
      <c r="A148" s="85" t="s">
        <v>959</v>
      </c>
      <c r="B148" s="85" t="s">
        <v>960</v>
      </c>
      <c r="C148" s="85" t="s">
        <v>963</v>
      </c>
      <c r="D148" s="85" t="s">
        <v>964</v>
      </c>
      <c r="E148" s="85" t="s">
        <v>966</v>
      </c>
      <c r="F148" s="85" t="s">
        <v>967</v>
      </c>
      <c r="G148" s="111" t="s">
        <v>969</v>
      </c>
      <c r="H148" s="107" t="s">
        <v>972</v>
      </c>
      <c r="I148" s="107" t="s">
        <v>975</v>
      </c>
      <c r="J148" s="107" t="s">
        <v>976</v>
      </c>
    </row>
    <row r="149">
      <c r="A149" s="11" t="s">
        <v>683</v>
      </c>
      <c r="B149" s="11" t="s">
        <v>683</v>
      </c>
      <c r="C149" s="11" t="s">
        <v>683</v>
      </c>
      <c r="D149" s="11" t="s">
        <v>683</v>
      </c>
      <c r="E149" s="11" t="s">
        <v>683</v>
      </c>
      <c r="F149" s="11" t="s">
        <v>683</v>
      </c>
      <c r="G149" s="11" t="s">
        <v>683</v>
      </c>
      <c r="H149" s="34" t="s">
        <v>683</v>
      </c>
      <c r="I149" s="34" t="s">
        <v>683</v>
      </c>
      <c r="J149" s="34" t="s">
        <v>683</v>
      </c>
    </row>
    <row r="150">
      <c r="A150" s="85">
        <v>12000.0</v>
      </c>
      <c r="B150" s="85"/>
      <c r="C150" s="85"/>
      <c r="D150" s="85">
        <f>101500+19400</f>
        <v>120900</v>
      </c>
      <c r="E150" s="85"/>
      <c r="F150" s="85">
        <v>329000.0</v>
      </c>
      <c r="G150" s="85"/>
      <c r="H150" s="85">
        <f>35000+38800</f>
        <v>73800</v>
      </c>
      <c r="I150" s="85">
        <v>140500.0</v>
      </c>
      <c r="J150" s="85"/>
    </row>
    <row r="151">
      <c r="A151" s="12" t="s">
        <v>2753</v>
      </c>
      <c r="D151" s="12" t="s">
        <v>2756</v>
      </c>
      <c r="F151" s="12" t="s">
        <v>2647</v>
      </c>
      <c r="H151" s="12" t="s">
        <v>2595</v>
      </c>
      <c r="I151" s="12" t="s">
        <v>2323</v>
      </c>
    </row>
    <row r="152">
      <c r="A152" s="12" t="s">
        <v>2761</v>
      </c>
      <c r="D152" s="12" t="s">
        <v>1115</v>
      </c>
      <c r="F152" s="12" t="s">
        <v>1651</v>
      </c>
      <c r="H152" s="12" t="s">
        <v>985</v>
      </c>
      <c r="I152" s="12" t="s">
        <v>1196</v>
      </c>
    </row>
    <row r="153">
      <c r="A153" s="12" t="s">
        <v>1197</v>
      </c>
      <c r="D153" s="12" t="s">
        <v>2692</v>
      </c>
      <c r="F153" s="12" t="s">
        <v>1219</v>
      </c>
      <c r="H153" s="12" t="s">
        <v>1205</v>
      </c>
      <c r="I153" s="12" t="s">
        <v>2765</v>
      </c>
    </row>
    <row r="154">
      <c r="D154" s="12" t="s">
        <v>1200</v>
      </c>
      <c r="F154" s="12" t="s">
        <v>2612</v>
      </c>
      <c r="I154" s="12" t="s">
        <v>1194</v>
      </c>
    </row>
    <row r="155">
      <c r="D155" s="12" t="s">
        <v>1006</v>
      </c>
      <c r="F155" s="12" t="s">
        <v>1196</v>
      </c>
      <c r="I155" s="12" t="s">
        <v>2770</v>
      </c>
    </row>
    <row r="156">
      <c r="D156" s="12" t="s">
        <v>2773</v>
      </c>
      <c r="F156" s="12" t="s">
        <v>2775</v>
      </c>
      <c r="I156" s="12" t="s">
        <v>1154</v>
      </c>
    </row>
    <row r="157">
      <c r="D157" s="12" t="s">
        <v>1646</v>
      </c>
      <c r="F157" s="12" t="s">
        <v>985</v>
      </c>
      <c r="I157" s="12" t="s">
        <v>999</v>
      </c>
    </row>
    <row r="158">
      <c r="F158" s="12" t="s">
        <v>2778</v>
      </c>
      <c r="I158" s="12" t="s">
        <v>2779</v>
      </c>
    </row>
    <row r="159">
      <c r="F159" s="12" t="s">
        <v>1210</v>
      </c>
      <c r="I159" s="12" t="s">
        <v>653</v>
      </c>
    </row>
    <row r="160">
      <c r="F160" s="12" t="s">
        <v>2782</v>
      </c>
      <c r="I160" s="12" t="s">
        <v>2457</v>
      </c>
    </row>
    <row r="161">
      <c r="F161" s="12" t="s">
        <v>1634</v>
      </c>
      <c r="I161" s="12" t="s">
        <v>1634</v>
      </c>
    </row>
    <row r="162">
      <c r="F162" s="12" t="s">
        <v>2786</v>
      </c>
      <c r="I162" s="12" t="s">
        <v>2787</v>
      </c>
    </row>
    <row r="163">
      <c r="F163" s="12" t="s">
        <v>605</v>
      </c>
      <c r="I163" s="12" t="s">
        <v>1160</v>
      </c>
    </row>
    <row r="164">
      <c r="F164" s="12" t="s">
        <v>2790</v>
      </c>
    </row>
    <row r="165">
      <c r="F165" s="12" t="s">
        <v>605</v>
      </c>
    </row>
    <row r="166">
      <c r="F166" s="12" t="s">
        <v>999</v>
      </c>
    </row>
    <row r="167">
      <c r="F167" s="12" t="s">
        <v>2792</v>
      </c>
    </row>
    <row r="168">
      <c r="F168" s="12" t="s">
        <v>1210</v>
      </c>
    </row>
    <row r="169">
      <c r="F169" s="12" t="s">
        <v>999</v>
      </c>
    </row>
    <row r="170">
      <c r="F170" s="12" t="s">
        <v>2794</v>
      </c>
    </row>
    <row r="171">
      <c r="F171" s="12" t="s">
        <v>1648</v>
      </c>
    </row>
    <row r="172">
      <c r="F172" s="12" t="s">
        <v>1204</v>
      </c>
    </row>
    <row r="173">
      <c r="F173" s="12" t="s">
        <v>2795</v>
      </c>
    </row>
    <row r="174">
      <c r="F174" s="12" t="s">
        <v>605</v>
      </c>
    </row>
    <row r="175">
      <c r="F175" s="12" t="s">
        <v>2796</v>
      </c>
    </row>
    <row r="176">
      <c r="F176" s="12" t="s">
        <v>878</v>
      </c>
    </row>
    <row r="177">
      <c r="F177" s="12" t="s">
        <v>1005</v>
      </c>
    </row>
    <row r="178">
      <c r="F178" s="12" t="s">
        <v>999</v>
      </c>
    </row>
    <row r="179">
      <c r="F179" s="12" t="s">
        <v>2797</v>
      </c>
    </row>
    <row r="180">
      <c r="F180" s="12" t="s">
        <v>1634</v>
      </c>
    </row>
    <row r="181">
      <c r="F181" s="12" t="s">
        <v>1204</v>
      </c>
    </row>
    <row r="182">
      <c r="F182" s="12" t="s">
        <v>2798</v>
      </c>
    </row>
    <row r="183">
      <c r="F183" s="12" t="s">
        <v>605</v>
      </c>
    </row>
    <row r="184">
      <c r="F184" s="12" t="s">
        <v>2799</v>
      </c>
    </row>
    <row r="185">
      <c r="F185" s="12" t="s">
        <v>605</v>
      </c>
    </row>
    <row r="186">
      <c r="F186" s="12" t="s">
        <v>2800</v>
      </c>
    </row>
    <row r="187">
      <c r="F187" s="12" t="s">
        <v>700</v>
      </c>
    </row>
    <row r="193">
      <c r="A193" s="112" t="s">
        <v>1015</v>
      </c>
    </row>
    <row r="194">
      <c r="A194" s="112">
        <f>A197</f>
        <v>556600</v>
      </c>
    </row>
    <row r="195">
      <c r="A195" s="112">
        <v>2026.0</v>
      </c>
    </row>
    <row r="196">
      <c r="A196" s="112" t="s">
        <v>749</v>
      </c>
    </row>
    <row r="197">
      <c r="A197" s="112">
        <f>A200+B200+C200+D200+E200+F200+G200+H200</f>
        <v>556600</v>
      </c>
    </row>
    <row r="198">
      <c r="A198" s="85" t="s">
        <v>1035</v>
      </c>
      <c r="B198" s="85" t="s">
        <v>1013</v>
      </c>
      <c r="C198" s="85" t="s">
        <v>1016</v>
      </c>
      <c r="D198" s="85" t="s">
        <v>1023</v>
      </c>
      <c r="E198" s="85" t="s">
        <v>1037</v>
      </c>
      <c r="F198" s="85" t="s">
        <v>1038</v>
      </c>
      <c r="G198" s="85" t="s">
        <v>1039</v>
      </c>
      <c r="H198" s="85" t="s">
        <v>1033</v>
      </c>
    </row>
    <row r="199">
      <c r="A199" s="11" t="s">
        <v>683</v>
      </c>
      <c r="B199" s="11" t="s">
        <v>683</v>
      </c>
      <c r="C199" s="11" t="s">
        <v>683</v>
      </c>
      <c r="D199" s="11" t="s">
        <v>683</v>
      </c>
      <c r="E199" s="11" t="s">
        <v>683</v>
      </c>
      <c r="F199" s="11" t="s">
        <v>683</v>
      </c>
      <c r="G199" s="11" t="s">
        <v>683</v>
      </c>
      <c r="H199" s="11" t="s">
        <v>683</v>
      </c>
    </row>
    <row r="200">
      <c r="A200" s="85">
        <v>27250.0</v>
      </c>
      <c r="B200" s="85">
        <v>20000.0</v>
      </c>
      <c r="C200" s="85">
        <f>26000+24800</f>
        <v>50800</v>
      </c>
      <c r="D200" s="85">
        <f>99750+(44400*7)</f>
        <v>410550</v>
      </c>
      <c r="E200" s="85">
        <v>12000.0</v>
      </c>
      <c r="F200" s="85">
        <v>2000.0</v>
      </c>
      <c r="G200" s="85">
        <v>0.0</v>
      </c>
      <c r="H200" s="85">
        <f>12000+22000</f>
        <v>34000</v>
      </c>
    </row>
    <row r="201">
      <c r="A201" s="12" t="s">
        <v>2804</v>
      </c>
      <c r="B201" s="12" t="s">
        <v>1393</v>
      </c>
      <c r="C201" s="12" t="s">
        <v>2805</v>
      </c>
      <c r="D201" s="12" t="s">
        <v>2806</v>
      </c>
      <c r="E201" s="12" t="s">
        <v>2756</v>
      </c>
      <c r="F201" s="12" t="s">
        <v>2807</v>
      </c>
      <c r="H201" s="12" t="s">
        <v>2808</v>
      </c>
    </row>
    <row r="202">
      <c r="A202" s="12" t="s">
        <v>1093</v>
      </c>
      <c r="B202" s="12" t="s">
        <v>605</v>
      </c>
      <c r="C202" s="12" t="s">
        <v>1093</v>
      </c>
      <c r="D202" s="12" t="s">
        <v>1312</v>
      </c>
      <c r="E202" s="12" t="s">
        <v>1521</v>
      </c>
      <c r="F202" s="12" t="s">
        <v>605</v>
      </c>
      <c r="H202" s="12" t="s">
        <v>1521</v>
      </c>
    </row>
    <row r="203">
      <c r="A203" s="12" t="s">
        <v>2370</v>
      </c>
      <c r="B203" s="12" t="s">
        <v>2809</v>
      </c>
      <c r="C203" s="12" t="s">
        <v>1688</v>
      </c>
      <c r="D203" s="12" t="s">
        <v>1616</v>
      </c>
      <c r="F203" s="12" t="s">
        <v>2810</v>
      </c>
      <c r="H203" s="12" t="s">
        <v>1266</v>
      </c>
    </row>
    <row r="204">
      <c r="A204" s="12" t="s">
        <v>653</v>
      </c>
      <c r="B204" s="12" t="s">
        <v>653</v>
      </c>
      <c r="C204" s="12" t="s">
        <v>2612</v>
      </c>
      <c r="D204" s="12" t="s">
        <v>2811</v>
      </c>
      <c r="F204" s="12" t="s">
        <v>605</v>
      </c>
    </row>
    <row r="205">
      <c r="A205" s="12" t="s">
        <v>1262</v>
      </c>
      <c r="B205" s="12" t="s">
        <v>2812</v>
      </c>
      <c r="C205" s="12" t="s">
        <v>1062</v>
      </c>
      <c r="D205" s="12" t="s">
        <v>653</v>
      </c>
    </row>
    <row r="206">
      <c r="A206" s="12" t="s">
        <v>1698</v>
      </c>
      <c r="B206" s="12" t="s">
        <v>605</v>
      </c>
      <c r="C206" s="12" t="s">
        <v>1688</v>
      </c>
      <c r="D206" s="12" t="s">
        <v>1615</v>
      </c>
    </row>
    <row r="207">
      <c r="B207" s="12" t="s">
        <v>2813</v>
      </c>
      <c r="D207" s="12" t="s">
        <v>1616</v>
      </c>
    </row>
    <row r="208">
      <c r="B208" s="12" t="s">
        <v>605</v>
      </c>
      <c r="D208" s="12" t="s">
        <v>2717</v>
      </c>
    </row>
    <row r="209">
      <c r="B209" s="12" t="s">
        <v>2814</v>
      </c>
      <c r="D209" s="12" t="s">
        <v>605</v>
      </c>
    </row>
    <row r="210">
      <c r="B210" s="12" t="s">
        <v>698</v>
      </c>
      <c r="D210" s="12" t="s">
        <v>1616</v>
      </c>
    </row>
    <row r="211">
      <c r="B211" s="12" t="s">
        <v>2815</v>
      </c>
      <c r="D211" s="12" t="s">
        <v>2816</v>
      </c>
    </row>
    <row r="212">
      <c r="B212" s="12" t="s">
        <v>605</v>
      </c>
      <c r="D212" s="12" t="s">
        <v>605</v>
      </c>
    </row>
    <row r="213">
      <c r="D213" s="12" t="s">
        <v>1616</v>
      </c>
    </row>
    <row r="214">
      <c r="D214" s="12" t="s">
        <v>2817</v>
      </c>
    </row>
    <row r="215">
      <c r="D215" s="12" t="s">
        <v>605</v>
      </c>
    </row>
    <row r="216">
      <c r="D216" s="12" t="s">
        <v>1616</v>
      </c>
    </row>
    <row r="217">
      <c r="D217" s="12" t="s">
        <v>2818</v>
      </c>
    </row>
    <row r="218">
      <c r="D218" s="12" t="s">
        <v>605</v>
      </c>
    </row>
    <row r="219">
      <c r="D219" s="12" t="s">
        <v>1616</v>
      </c>
    </row>
    <row r="220">
      <c r="D220" s="12" t="s">
        <v>2819</v>
      </c>
    </row>
    <row r="221">
      <c r="D221" s="12" t="s">
        <v>1733</v>
      </c>
    </row>
    <row r="222">
      <c r="D222" s="12" t="s">
        <v>1728</v>
      </c>
    </row>
    <row r="223">
      <c r="D223" s="12" t="s">
        <v>1616</v>
      </c>
    </row>
    <row r="225">
      <c r="A225" s="114" t="s">
        <v>2820</v>
      </c>
    </row>
    <row r="226">
      <c r="A226" s="114">
        <f>A230-1200000</f>
        <v>6888000</v>
      </c>
    </row>
    <row r="227">
      <c r="A227" s="114">
        <v>2026.0</v>
      </c>
    </row>
    <row r="228">
      <c r="A228" s="242" t="s">
        <v>2821</v>
      </c>
    </row>
    <row r="229">
      <c r="A229" s="114" t="s">
        <v>749</v>
      </c>
    </row>
    <row r="230">
      <c r="A230" s="115">
        <f>A233+B233+C233+D233+E233+F233+G233+H233+I233+J233</f>
        <v>8088000</v>
      </c>
    </row>
    <row r="231">
      <c r="A231" s="85" t="s">
        <v>1066</v>
      </c>
      <c r="B231" s="85" t="s">
        <v>1068</v>
      </c>
      <c r="C231" s="85" t="s">
        <v>1069</v>
      </c>
      <c r="D231" s="85" t="s">
        <v>1070</v>
      </c>
      <c r="E231" s="85" t="s">
        <v>1072</v>
      </c>
      <c r="F231" s="85" t="s">
        <v>1073</v>
      </c>
      <c r="G231" s="85" t="s">
        <v>1074</v>
      </c>
      <c r="H231" s="85" t="s">
        <v>1076</v>
      </c>
      <c r="I231" s="85" t="s">
        <v>1078</v>
      </c>
      <c r="J231" s="85" t="s">
        <v>1080</v>
      </c>
    </row>
    <row r="232">
      <c r="A232" s="11" t="s">
        <v>683</v>
      </c>
      <c r="B232" s="11" t="s">
        <v>683</v>
      </c>
      <c r="C232" s="11" t="s">
        <v>683</v>
      </c>
      <c r="D232" s="11" t="s">
        <v>683</v>
      </c>
      <c r="E232" s="11" t="s">
        <v>683</v>
      </c>
      <c r="F232" s="11" t="s">
        <v>683</v>
      </c>
      <c r="G232" s="11" t="s">
        <v>683</v>
      </c>
      <c r="H232" s="34" t="s">
        <v>683</v>
      </c>
      <c r="I232" s="34" t="s">
        <v>683</v>
      </c>
      <c r="J232" s="34" t="s">
        <v>683</v>
      </c>
    </row>
    <row r="233">
      <c r="A233" s="85">
        <v>770000.0</v>
      </c>
      <c r="B233" s="85">
        <v>770000.0</v>
      </c>
      <c r="C233" s="85">
        <v>790000.0</v>
      </c>
      <c r="D233" s="85">
        <v>886000.0</v>
      </c>
      <c r="E233" s="85">
        <v>807000.0</v>
      </c>
      <c r="F233" s="85">
        <v>780000.0</v>
      </c>
      <c r="G233" s="85">
        <v>799000.0</v>
      </c>
      <c r="H233" s="85">
        <v>800000.0</v>
      </c>
      <c r="I233" s="85">
        <v>811000.0</v>
      </c>
      <c r="J233" s="85">
        <v>875000.0</v>
      </c>
    </row>
    <row r="234">
      <c r="A234" s="12" t="s">
        <v>2850</v>
      </c>
      <c r="B234" s="12" t="s">
        <v>2851</v>
      </c>
      <c r="C234" s="12" t="s">
        <v>2332</v>
      </c>
      <c r="D234" s="12" t="s">
        <v>2853</v>
      </c>
      <c r="E234" s="12" t="s">
        <v>2854</v>
      </c>
      <c r="F234" s="12" t="s">
        <v>2855</v>
      </c>
      <c r="G234" s="12" t="s">
        <v>2857</v>
      </c>
      <c r="H234" s="12" t="s">
        <v>2858</v>
      </c>
      <c r="I234" s="12" t="s">
        <v>2859</v>
      </c>
      <c r="J234" s="12" t="s">
        <v>2860</v>
      </c>
    </row>
    <row r="235">
      <c r="A235" s="12" t="s">
        <v>2861</v>
      </c>
      <c r="B235" s="12" t="s">
        <v>2861</v>
      </c>
      <c r="C235" s="12" t="s">
        <v>2861</v>
      </c>
      <c r="D235" s="12" t="s">
        <v>2861</v>
      </c>
      <c r="E235" s="12" t="s">
        <v>2861</v>
      </c>
      <c r="F235" s="12" t="s">
        <v>2861</v>
      </c>
      <c r="G235" s="12" t="s">
        <v>2861</v>
      </c>
      <c r="H235" s="12" t="s">
        <v>2861</v>
      </c>
      <c r="I235" s="12" t="s">
        <v>2861</v>
      </c>
      <c r="J235" s="12" t="s">
        <v>2861</v>
      </c>
    </row>
    <row r="236">
      <c r="A236" s="12" t="s">
        <v>2866</v>
      </c>
      <c r="B236" s="12" t="s">
        <v>2868</v>
      </c>
      <c r="C236" s="12" t="s">
        <v>2870</v>
      </c>
      <c r="D236" s="12" t="s">
        <v>2873</v>
      </c>
      <c r="E236" s="12" t="s">
        <v>2391</v>
      </c>
      <c r="F236" s="12" t="s">
        <v>2876</v>
      </c>
      <c r="G236" s="12" t="s">
        <v>2878</v>
      </c>
      <c r="H236" s="12" t="s">
        <v>2880</v>
      </c>
      <c r="I236" s="12" t="s">
        <v>2882</v>
      </c>
      <c r="J236" s="12" t="s">
        <v>2884</v>
      </c>
    </row>
    <row r="237">
      <c r="A237" s="12" t="s">
        <v>2887</v>
      </c>
      <c r="B237" s="12" t="s">
        <v>2887</v>
      </c>
      <c r="C237" s="12" t="s">
        <v>2887</v>
      </c>
      <c r="D237" s="12" t="s">
        <v>2887</v>
      </c>
      <c r="E237" s="12" t="s">
        <v>2887</v>
      </c>
      <c r="F237" s="12" t="s">
        <v>2887</v>
      </c>
      <c r="G237" s="12" t="s">
        <v>2887</v>
      </c>
      <c r="H237" s="12" t="s">
        <v>2887</v>
      </c>
      <c r="I237" s="12" t="s">
        <v>2887</v>
      </c>
      <c r="J237" s="12" t="s">
        <v>2887</v>
      </c>
    </row>
    <row r="238">
      <c r="A238" s="12" t="s">
        <v>2891</v>
      </c>
      <c r="B238" s="12" t="s">
        <v>2892</v>
      </c>
      <c r="C238" s="12" t="s">
        <v>2893</v>
      </c>
      <c r="D238" s="12" t="s">
        <v>1409</v>
      </c>
      <c r="E238" s="12" t="s">
        <v>2894</v>
      </c>
      <c r="F238" s="12" t="s">
        <v>2895</v>
      </c>
      <c r="G238" s="12" t="s">
        <v>2310</v>
      </c>
      <c r="H238" s="12" t="s">
        <v>2896</v>
      </c>
      <c r="I238" s="12" t="s">
        <v>2897</v>
      </c>
      <c r="J238" s="12" t="s">
        <v>2898</v>
      </c>
    </row>
    <row r="239">
      <c r="A239" s="12" t="s">
        <v>2899</v>
      </c>
      <c r="B239" s="12" t="s">
        <v>2900</v>
      </c>
      <c r="C239" s="12" t="s">
        <v>2899</v>
      </c>
      <c r="D239" s="12" t="s">
        <v>1717</v>
      </c>
      <c r="E239" s="12" t="s">
        <v>2901</v>
      </c>
      <c r="F239" s="12" t="s">
        <v>2902</v>
      </c>
      <c r="G239" s="12" t="s">
        <v>2903</v>
      </c>
      <c r="H239" s="12" t="s">
        <v>2899</v>
      </c>
      <c r="I239" s="12" t="s">
        <v>2899</v>
      </c>
      <c r="J239" s="12" t="s">
        <v>1092</v>
      </c>
    </row>
    <row r="240">
      <c r="A240" s="245" t="s">
        <v>2904</v>
      </c>
      <c r="B240" s="12" t="s">
        <v>2905</v>
      </c>
      <c r="C240" s="12" t="s">
        <v>2453</v>
      </c>
      <c r="D240" s="12" t="s">
        <v>2906</v>
      </c>
      <c r="E240" s="12" t="s">
        <v>2907</v>
      </c>
      <c r="F240" s="12" t="s">
        <v>2908</v>
      </c>
      <c r="G240" s="12" t="s">
        <v>2909</v>
      </c>
      <c r="H240" s="12" t="s">
        <v>2910</v>
      </c>
      <c r="I240" s="12" t="s">
        <v>2911</v>
      </c>
      <c r="J240" s="12" t="s">
        <v>2912</v>
      </c>
    </row>
    <row r="241">
      <c r="A241" s="245" t="s">
        <v>1647</v>
      </c>
      <c r="B241" s="245" t="s">
        <v>2913</v>
      </c>
      <c r="C241" s="12" t="s">
        <v>2914</v>
      </c>
      <c r="D241" s="12" t="s">
        <v>2915</v>
      </c>
      <c r="E241" s="12" t="s">
        <v>2901</v>
      </c>
      <c r="F241" s="12" t="s">
        <v>2901</v>
      </c>
      <c r="G241" s="12" t="s">
        <v>2916</v>
      </c>
      <c r="H241" s="12" t="s">
        <v>2901</v>
      </c>
      <c r="I241" s="12" t="s">
        <v>1733</v>
      </c>
      <c r="J241" s="12" t="s">
        <v>2899</v>
      </c>
    </row>
    <row r="242">
      <c r="B242" s="246"/>
      <c r="D242" s="12" t="s">
        <v>2917</v>
      </c>
      <c r="E242" s="12" t="s">
        <v>2918</v>
      </c>
      <c r="G242" s="12" t="s">
        <v>2919</v>
      </c>
      <c r="I242" s="12" t="s">
        <v>2920</v>
      </c>
      <c r="J242" s="12" t="s">
        <v>2921</v>
      </c>
    </row>
    <row r="243">
      <c r="C243" s="247"/>
      <c r="D243" s="12" t="s">
        <v>1641</v>
      </c>
      <c r="E243" s="12" t="s">
        <v>2922</v>
      </c>
      <c r="G243" s="12" t="s">
        <v>2923</v>
      </c>
      <c r="H243" s="247"/>
      <c r="I243" s="12" t="s">
        <v>2924</v>
      </c>
      <c r="J243" s="12" t="s">
        <v>2925</v>
      </c>
    </row>
    <row r="244">
      <c r="C244" s="247"/>
      <c r="H244" s="247"/>
      <c r="I244" s="247"/>
    </row>
    <row r="245">
      <c r="G245" s="247"/>
      <c r="I245" s="247"/>
      <c r="J245" s="247"/>
    </row>
    <row r="246">
      <c r="D246" s="247"/>
      <c r="F246" s="247"/>
      <c r="G246" s="247"/>
      <c r="I246" s="247"/>
      <c r="J246" s="247"/>
    </row>
    <row r="247">
      <c r="D247" s="247"/>
      <c r="E247" s="247"/>
      <c r="F247" s="247"/>
      <c r="G247" s="247"/>
    </row>
    <row r="248">
      <c r="D248" s="247"/>
      <c r="E248" s="247"/>
    </row>
    <row r="249">
      <c r="E249" s="247"/>
    </row>
  </sheetData>
  <mergeCells count="73"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227:J227"/>
    <mergeCell ref="A228:J228"/>
    <mergeCell ref="A229:J229"/>
    <mergeCell ref="A230:J230"/>
    <mergeCell ref="A193:H193"/>
    <mergeCell ref="A194:H194"/>
    <mergeCell ref="A195:H195"/>
    <mergeCell ref="A196:H196"/>
    <mergeCell ref="A197:H197"/>
    <mergeCell ref="A225:J225"/>
    <mergeCell ref="A226:J226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Q11:Q15"/>
    <mergeCell ref="R15:S15"/>
    <mergeCell ref="Q16:Q17"/>
    <mergeCell ref="R17:S17"/>
    <mergeCell ref="Q18:Q19"/>
    <mergeCell ref="R19:S19"/>
    <mergeCell ref="Q20:Q21"/>
    <mergeCell ref="R21:S21"/>
    <mergeCell ref="N5:P5"/>
    <mergeCell ref="Q5:U5"/>
    <mergeCell ref="Q8:Q10"/>
    <mergeCell ref="R8:U8"/>
    <mergeCell ref="P9:P11"/>
    <mergeCell ref="R10:S10"/>
    <mergeCell ref="P12:P13"/>
    <mergeCell ref="N9:N11"/>
    <mergeCell ref="N12:N13"/>
    <mergeCell ref="N16:O16"/>
    <mergeCell ref="N17:O17"/>
    <mergeCell ref="A63:E63"/>
    <mergeCell ref="A64:E64"/>
    <mergeCell ref="A65:E65"/>
    <mergeCell ref="A66:E66"/>
    <mergeCell ref="A68:E68"/>
    <mergeCell ref="A69:F69"/>
    <mergeCell ref="A70:F70"/>
    <mergeCell ref="A71:F71"/>
    <mergeCell ref="A72:F72"/>
    <mergeCell ref="A84:H84"/>
    <mergeCell ref="A142:J142"/>
    <mergeCell ref="A143:J143"/>
    <mergeCell ref="A144:J144"/>
    <mergeCell ref="A145:J145"/>
    <mergeCell ref="A146:J146"/>
    <mergeCell ref="A147:J147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2" max="12" width="15.88"/>
    <col customWidth="1" min="13" max="13" width="13.5"/>
    <col customWidth="1" min="18" max="18" width="23.25"/>
  </cols>
  <sheetData>
    <row r="1">
      <c r="A1" s="45" t="s">
        <v>2472</v>
      </c>
    </row>
    <row r="2">
      <c r="A2" s="45" t="s">
        <v>2474</v>
      </c>
    </row>
    <row r="3">
      <c r="A3" s="45" t="s">
        <v>6</v>
      </c>
    </row>
    <row r="4">
      <c r="A4" s="16">
        <f>100000+C6+B6+A44+D6+F6+I6+L6</f>
        <v>928050</v>
      </c>
    </row>
    <row r="5">
      <c r="A5" s="11" t="s">
        <v>2481</v>
      </c>
      <c r="B5" s="11" t="s">
        <v>46</v>
      </c>
      <c r="C5" s="11" t="s">
        <v>51</v>
      </c>
      <c r="D5" s="11" t="s">
        <v>1214</v>
      </c>
      <c r="E5" s="11" t="s">
        <v>26</v>
      </c>
      <c r="F5" s="11" t="s">
        <v>59</v>
      </c>
      <c r="I5" s="23" t="s">
        <v>65</v>
      </c>
      <c r="L5" s="21" t="s">
        <v>60</v>
      </c>
    </row>
    <row r="6">
      <c r="A6" s="12" t="s">
        <v>787</v>
      </c>
      <c r="B6" s="16">
        <v>-60000.0</v>
      </c>
      <c r="C6" s="16">
        <v>-55000.0</v>
      </c>
      <c r="D6" s="16">
        <v>-10000.0</v>
      </c>
      <c r="F6" s="16">
        <v>16500.0</v>
      </c>
      <c r="I6" s="211">
        <f>I8</f>
        <v>16500</v>
      </c>
      <c r="L6" s="26">
        <f>O11+O13+O15</f>
        <v>15500</v>
      </c>
      <c r="R6" s="11"/>
    </row>
    <row r="7">
      <c r="A7" s="12" t="s">
        <v>805</v>
      </c>
      <c r="B7" s="15" t="s">
        <v>35</v>
      </c>
      <c r="C7" s="12" t="s">
        <v>2493</v>
      </c>
      <c r="D7" s="12" t="s">
        <v>2495</v>
      </c>
      <c r="F7" s="12" t="s">
        <v>77</v>
      </c>
      <c r="G7" s="12" t="s">
        <v>2496</v>
      </c>
      <c r="H7" s="12" t="s">
        <v>81</v>
      </c>
      <c r="I7" s="148" t="s">
        <v>89</v>
      </c>
      <c r="L7" s="18" t="s">
        <v>85</v>
      </c>
      <c r="M7" s="18" t="s">
        <v>87</v>
      </c>
      <c r="N7" s="18" t="s">
        <v>88</v>
      </c>
      <c r="O7" s="18" t="s">
        <v>1</v>
      </c>
      <c r="P7" s="18" t="s">
        <v>90</v>
      </c>
      <c r="R7" s="37"/>
    </row>
    <row r="8">
      <c r="A8" s="12" t="s">
        <v>814</v>
      </c>
      <c r="B8" s="14" t="s">
        <v>360</v>
      </c>
      <c r="C8" s="12" t="s">
        <v>2498</v>
      </c>
      <c r="D8" s="12" t="s">
        <v>2499</v>
      </c>
      <c r="F8" s="12" t="s">
        <v>2500</v>
      </c>
      <c r="G8" s="12" t="s">
        <v>2501</v>
      </c>
      <c r="H8" s="12" t="s">
        <v>2502</v>
      </c>
      <c r="I8" s="214">
        <f>K10+K12+K14</f>
        <v>16500</v>
      </c>
      <c r="L8" s="215" t="s">
        <v>2504</v>
      </c>
      <c r="M8" s="36" t="s">
        <v>106</v>
      </c>
      <c r="N8" s="36">
        <v>1.0</v>
      </c>
      <c r="O8" s="36">
        <f>N8*1000</f>
        <v>1000</v>
      </c>
      <c r="P8" s="39">
        <f>N8*20</f>
        <v>20</v>
      </c>
    </row>
    <row r="9">
      <c r="A9" s="12" t="s">
        <v>2506</v>
      </c>
      <c r="B9" s="14" t="s">
        <v>392</v>
      </c>
      <c r="C9" s="12" t="s">
        <v>2507</v>
      </c>
      <c r="F9" s="12" t="s">
        <v>2508</v>
      </c>
      <c r="G9" s="12" t="s">
        <v>2509</v>
      </c>
      <c r="H9" s="12" t="s">
        <v>2510</v>
      </c>
      <c r="I9" s="218" t="s">
        <v>130</v>
      </c>
      <c r="J9" s="218" t="s">
        <v>135</v>
      </c>
      <c r="K9" s="218" t="s">
        <v>1</v>
      </c>
      <c r="M9" s="36" t="s">
        <v>161</v>
      </c>
      <c r="N9" s="36">
        <v>1.0</v>
      </c>
      <c r="O9" s="39">
        <f>N9*2000</f>
        <v>2000</v>
      </c>
      <c r="P9" s="39">
        <f>N9*40</f>
        <v>40</v>
      </c>
    </row>
    <row r="10">
      <c r="A10" s="12" t="s">
        <v>2516</v>
      </c>
      <c r="B10" s="15" t="s">
        <v>40</v>
      </c>
      <c r="C10" s="12" t="s">
        <v>2518</v>
      </c>
      <c r="F10" s="12" t="s">
        <v>447</v>
      </c>
      <c r="G10" s="12" t="s">
        <v>2521</v>
      </c>
      <c r="H10" s="12" t="s">
        <v>2523</v>
      </c>
      <c r="I10" s="50" t="s">
        <v>2524</v>
      </c>
      <c r="J10" s="50" t="s">
        <v>1412</v>
      </c>
      <c r="K10" s="50">
        <v>9500.0</v>
      </c>
      <c r="M10" s="36" t="s">
        <v>223</v>
      </c>
      <c r="N10" s="36">
        <v>0.5</v>
      </c>
      <c r="O10" s="39">
        <f>N10*10000</f>
        <v>5000</v>
      </c>
      <c r="P10" s="39">
        <f>N10*100</f>
        <v>50</v>
      </c>
    </row>
    <row r="11">
      <c r="A11" s="12" t="s">
        <v>2529</v>
      </c>
      <c r="B11" s="14" t="s">
        <v>42</v>
      </c>
      <c r="C11" s="12" t="s">
        <v>2530</v>
      </c>
      <c r="F11" s="12" t="s">
        <v>1804</v>
      </c>
      <c r="G11" s="12" t="s">
        <v>2531</v>
      </c>
      <c r="H11" s="12" t="s">
        <v>2532</v>
      </c>
      <c r="J11" s="11" t="s">
        <v>1532</v>
      </c>
      <c r="M11" s="45" t="s">
        <v>118</v>
      </c>
      <c r="O11" s="47">
        <f t="shared" ref="O11:P11" si="1">O8+O9+O10</f>
        <v>8000</v>
      </c>
      <c r="P11" s="47">
        <f t="shared" si="1"/>
        <v>110</v>
      </c>
    </row>
    <row r="12">
      <c r="A12" s="12" t="s">
        <v>2535</v>
      </c>
      <c r="B12" s="15" t="s">
        <v>44</v>
      </c>
      <c r="C12" s="12" t="s">
        <v>2538</v>
      </c>
      <c r="F12" s="12" t="s">
        <v>1804</v>
      </c>
      <c r="G12" s="12" t="s">
        <v>429</v>
      </c>
      <c r="I12" s="50" t="s">
        <v>2541</v>
      </c>
      <c r="J12" s="50" t="s">
        <v>241</v>
      </c>
      <c r="K12" s="50">
        <v>3000.0</v>
      </c>
      <c r="L12" s="215" t="s">
        <v>2543</v>
      </c>
      <c r="M12" s="36" t="s">
        <v>199</v>
      </c>
      <c r="N12" s="36">
        <v>0.5</v>
      </c>
      <c r="O12" s="39">
        <f>N12*5000</f>
        <v>2500</v>
      </c>
      <c r="P12" s="39">
        <f>N12*100</f>
        <v>50</v>
      </c>
    </row>
    <row r="13">
      <c r="A13" s="12" t="s">
        <v>2550</v>
      </c>
      <c r="B13" s="14" t="s">
        <v>42</v>
      </c>
      <c r="C13" s="12" t="s">
        <v>2552</v>
      </c>
      <c r="F13" s="12" t="s">
        <v>501</v>
      </c>
      <c r="J13" s="50" t="s">
        <v>196</v>
      </c>
      <c r="M13" s="45" t="s">
        <v>118</v>
      </c>
      <c r="O13" s="47">
        <f t="shared" ref="O13:P13" si="2">O12</f>
        <v>2500</v>
      </c>
      <c r="P13" s="47">
        <f t="shared" si="2"/>
        <v>50</v>
      </c>
    </row>
    <row r="14">
      <c r="A14" s="12" t="s">
        <v>2557</v>
      </c>
      <c r="C14" s="12" t="s">
        <v>2559</v>
      </c>
      <c r="F14" s="12" t="s">
        <v>501</v>
      </c>
      <c r="I14" s="50" t="s">
        <v>2561</v>
      </c>
      <c r="J14" s="50" t="s">
        <v>241</v>
      </c>
      <c r="K14" s="50">
        <v>4000.0</v>
      </c>
      <c r="L14" s="224" t="s">
        <v>2562</v>
      </c>
      <c r="M14" s="36" t="s">
        <v>223</v>
      </c>
      <c r="N14" s="36">
        <v>0.5</v>
      </c>
      <c r="O14" s="39">
        <f>N14*10000</f>
        <v>5000</v>
      </c>
      <c r="P14" s="39">
        <f>N14*100</f>
        <v>50</v>
      </c>
    </row>
    <row r="15">
      <c r="A15" s="12" t="s">
        <v>2564</v>
      </c>
      <c r="C15" s="12" t="s">
        <v>2565</v>
      </c>
      <c r="F15" s="12" t="s">
        <v>195</v>
      </c>
      <c r="J15" s="50" t="s">
        <v>452</v>
      </c>
      <c r="M15" s="45" t="s">
        <v>118</v>
      </c>
      <c r="O15" s="47">
        <f t="shared" ref="O15:P15" si="3">O14</f>
        <v>5000</v>
      </c>
      <c r="P15" s="47">
        <f t="shared" si="3"/>
        <v>50</v>
      </c>
    </row>
    <row r="16">
      <c r="A16" s="12" t="s">
        <v>2570</v>
      </c>
      <c r="F16" s="12" t="s">
        <v>573</v>
      </c>
      <c r="J16" s="50" t="s">
        <v>196</v>
      </c>
    </row>
    <row r="17">
      <c r="A17" s="12" t="s">
        <v>2572</v>
      </c>
      <c r="F17" s="12" t="s">
        <v>358</v>
      </c>
      <c r="I17" s="187"/>
      <c r="J17" s="187"/>
      <c r="K17" s="187"/>
    </row>
    <row r="18">
      <c r="A18" s="12" t="s">
        <v>2573</v>
      </c>
      <c r="F18" s="12" t="s">
        <v>218</v>
      </c>
    </row>
    <row r="19">
      <c r="A19" s="12" t="s">
        <v>2574</v>
      </c>
      <c r="F19" s="12" t="s">
        <v>590</v>
      </c>
      <c r="I19" s="19"/>
    </row>
    <row r="20">
      <c r="A20" s="12" t="s">
        <v>2576</v>
      </c>
      <c r="F20" s="12" t="s">
        <v>2578</v>
      </c>
      <c r="I20" s="19"/>
      <c r="J20" s="19"/>
      <c r="K20" s="19"/>
    </row>
    <row r="21">
      <c r="A21" s="12" t="s">
        <v>2581</v>
      </c>
      <c r="F21" s="12" t="s">
        <v>195</v>
      </c>
      <c r="I21" s="19"/>
      <c r="J21" s="19"/>
      <c r="K21" s="19"/>
    </row>
    <row r="22">
      <c r="A22" s="12" t="s">
        <v>2585</v>
      </c>
      <c r="F22" s="12" t="s">
        <v>218</v>
      </c>
      <c r="I22" s="19"/>
      <c r="J22" s="19"/>
      <c r="K22" s="19"/>
    </row>
    <row r="23">
      <c r="A23" s="12" t="s">
        <v>2588</v>
      </c>
      <c r="F23" s="12" t="s">
        <v>2589</v>
      </c>
      <c r="I23" s="19"/>
      <c r="J23" s="19"/>
      <c r="K23" s="19"/>
    </row>
    <row r="24">
      <c r="A24" s="12" t="s">
        <v>2591</v>
      </c>
      <c r="F24" s="12" t="s">
        <v>195</v>
      </c>
    </row>
    <row r="25">
      <c r="A25" s="12" t="s">
        <v>2593</v>
      </c>
      <c r="F25" s="12" t="s">
        <v>218</v>
      </c>
    </row>
    <row r="26">
      <c r="A26" s="12" t="s">
        <v>2598</v>
      </c>
    </row>
    <row r="27">
      <c r="A27" s="12" t="s">
        <v>2602</v>
      </c>
    </row>
    <row r="43">
      <c r="A43" s="82" t="s">
        <v>2606</v>
      </c>
    </row>
    <row r="44">
      <c r="A44" s="227">
        <f>A46+A68+A96+A118+A136</f>
        <v>904550</v>
      </c>
    </row>
    <row r="45">
      <c r="A45" s="97" t="s">
        <v>1095</v>
      </c>
    </row>
    <row r="46">
      <c r="A46" s="97">
        <f>A49</f>
        <v>25150</v>
      </c>
    </row>
    <row r="47">
      <c r="A47" s="97">
        <v>2026.0</v>
      </c>
    </row>
    <row r="48">
      <c r="A48" s="97" t="s">
        <v>1102</v>
      </c>
    </row>
    <row r="49">
      <c r="A49" s="97">
        <f>A52+B52+C52+D52+E52+F52+G52+H52</f>
        <v>25150</v>
      </c>
    </row>
    <row r="50">
      <c r="A50" s="85" t="s">
        <v>762</v>
      </c>
      <c r="B50" s="85" t="s">
        <v>764</v>
      </c>
      <c r="C50" s="85" t="s">
        <v>765</v>
      </c>
      <c r="D50" s="85" t="s">
        <v>767</v>
      </c>
      <c r="E50" s="85" t="s">
        <v>768</v>
      </c>
      <c r="F50" s="85" t="s">
        <v>771</v>
      </c>
      <c r="G50" s="85" t="s">
        <v>772</v>
      </c>
      <c r="H50" s="85" t="s">
        <v>773</v>
      </c>
    </row>
    <row r="51">
      <c r="A51" s="11" t="s">
        <v>683</v>
      </c>
      <c r="B51" s="11" t="s">
        <v>683</v>
      </c>
      <c r="C51" s="11" t="s">
        <v>683</v>
      </c>
      <c r="D51" s="11" t="s">
        <v>776</v>
      </c>
      <c r="E51" s="11" t="s">
        <v>683</v>
      </c>
      <c r="F51" s="11" t="s">
        <v>683</v>
      </c>
      <c r="G51" s="11" t="s">
        <v>776</v>
      </c>
      <c r="H51" s="11" t="s">
        <v>683</v>
      </c>
    </row>
    <row r="52">
      <c r="A52" s="228">
        <v>0.0</v>
      </c>
      <c r="B52" s="228">
        <v>0.0</v>
      </c>
      <c r="C52" s="228">
        <v>0.0</v>
      </c>
      <c r="D52" s="228">
        <v>0.0</v>
      </c>
      <c r="E52" s="107">
        <v>24400.0</v>
      </c>
      <c r="F52" s="107">
        <v>750.0</v>
      </c>
      <c r="G52" s="105">
        <v>0.0</v>
      </c>
      <c r="H52" s="105">
        <v>0.0</v>
      </c>
    </row>
    <row r="53">
      <c r="E53" s="33" t="s">
        <v>1968</v>
      </c>
      <c r="F53" s="12" t="s">
        <v>1105</v>
      </c>
      <c r="G53" s="12" t="s">
        <v>2628</v>
      </c>
    </row>
    <row r="54">
      <c r="E54" s="12" t="s">
        <v>1128</v>
      </c>
      <c r="F54" s="12" t="s">
        <v>1128</v>
      </c>
      <c r="G54" s="12" t="s">
        <v>1128</v>
      </c>
    </row>
    <row r="55">
      <c r="E55" s="12" t="s">
        <v>1112</v>
      </c>
      <c r="F55" s="33" t="s">
        <v>2629</v>
      </c>
    </row>
    <row r="56">
      <c r="E56" s="12" t="s">
        <v>1113</v>
      </c>
      <c r="F56" s="33" t="s">
        <v>1128</v>
      </c>
    </row>
    <row r="57">
      <c r="E57" s="12" t="s">
        <v>796</v>
      </c>
      <c r="F57" s="33" t="s">
        <v>814</v>
      </c>
    </row>
    <row r="58">
      <c r="E58" s="12" t="s">
        <v>800</v>
      </c>
      <c r="F58" s="33" t="s">
        <v>1128</v>
      </c>
    </row>
    <row r="59">
      <c r="F59" s="12" t="s">
        <v>1113</v>
      </c>
    </row>
    <row r="60">
      <c r="F60" s="33" t="s">
        <v>2506</v>
      </c>
    </row>
    <row r="61">
      <c r="F61" s="33" t="s">
        <v>1128</v>
      </c>
    </row>
    <row r="67">
      <c r="A67" s="230" t="s">
        <v>1129</v>
      </c>
    </row>
    <row r="68">
      <c r="A68" s="230">
        <f>A71</f>
        <v>74200</v>
      </c>
    </row>
    <row r="69">
      <c r="A69" s="230">
        <v>2026.0</v>
      </c>
    </row>
    <row r="70">
      <c r="A70" s="230" t="s">
        <v>749</v>
      </c>
    </row>
    <row r="71">
      <c r="A71" s="231">
        <f>A74+B74+C74+D74+E74+F74+G74+H74+I74+J74</f>
        <v>74200</v>
      </c>
    </row>
    <row r="72">
      <c r="A72" s="105" t="s">
        <v>834</v>
      </c>
      <c r="B72" s="105" t="s">
        <v>835</v>
      </c>
      <c r="C72" s="105" t="s">
        <v>836</v>
      </c>
      <c r="D72" s="105" t="s">
        <v>837</v>
      </c>
      <c r="E72" s="105" t="s">
        <v>838</v>
      </c>
      <c r="F72" s="105" t="s">
        <v>839</v>
      </c>
      <c r="G72" s="105" t="s">
        <v>841</v>
      </c>
      <c r="H72" s="105" t="s">
        <v>843</v>
      </c>
      <c r="I72" s="106" t="s">
        <v>846</v>
      </c>
      <c r="J72" s="106" t="s">
        <v>847</v>
      </c>
    </row>
    <row r="73">
      <c r="A73" s="34" t="s">
        <v>683</v>
      </c>
      <c r="B73" s="34" t="s">
        <v>683</v>
      </c>
      <c r="C73" s="34" t="s">
        <v>683</v>
      </c>
      <c r="D73" s="34" t="s">
        <v>683</v>
      </c>
      <c r="E73" s="34" t="s">
        <v>683</v>
      </c>
      <c r="F73" s="34" t="s">
        <v>683</v>
      </c>
      <c r="G73" s="34" t="s">
        <v>683</v>
      </c>
      <c r="H73" s="34" t="s">
        <v>683</v>
      </c>
      <c r="I73" s="34" t="s">
        <v>683</v>
      </c>
      <c r="J73" s="34" t="s">
        <v>683</v>
      </c>
    </row>
    <row r="74">
      <c r="A74" s="107">
        <v>18000.0</v>
      </c>
      <c r="B74" s="107">
        <v>47200.0</v>
      </c>
      <c r="C74" s="105">
        <v>0.0</v>
      </c>
      <c r="D74" s="107">
        <v>3000.0</v>
      </c>
      <c r="E74" s="105">
        <v>0.0</v>
      </c>
      <c r="F74" s="105">
        <v>0.0</v>
      </c>
      <c r="G74" s="107">
        <v>6000.0</v>
      </c>
      <c r="H74" s="105">
        <v>0.0</v>
      </c>
      <c r="I74" s="105">
        <v>0.0</v>
      </c>
      <c r="J74" s="105">
        <v>0.0</v>
      </c>
    </row>
    <row r="75">
      <c r="A75" s="196" t="s">
        <v>2645</v>
      </c>
      <c r="B75" s="12" t="s">
        <v>1132</v>
      </c>
      <c r="D75" s="12" t="s">
        <v>2648</v>
      </c>
      <c r="G75" s="12" t="s">
        <v>2650</v>
      </c>
    </row>
    <row r="76">
      <c r="A76" s="12" t="s">
        <v>620</v>
      </c>
      <c r="B76" s="12" t="s">
        <v>2651</v>
      </c>
      <c r="D76" s="12" t="s">
        <v>2651</v>
      </c>
      <c r="G76" s="12" t="s">
        <v>1062</v>
      </c>
    </row>
    <row r="77">
      <c r="A77" s="196" t="s">
        <v>2652</v>
      </c>
      <c r="B77" s="12" t="s">
        <v>874</v>
      </c>
      <c r="D77" s="12" t="s">
        <v>873</v>
      </c>
    </row>
    <row r="78">
      <c r="A78" s="12" t="s">
        <v>878</v>
      </c>
      <c r="B78" s="12" t="s">
        <v>2651</v>
      </c>
      <c r="D78" s="12" t="s">
        <v>879</v>
      </c>
    </row>
    <row r="79">
      <c r="A79" s="12" t="s">
        <v>632</v>
      </c>
      <c r="B79" s="12" t="s">
        <v>2657</v>
      </c>
    </row>
    <row r="80">
      <c r="A80" s="12" t="s">
        <v>710</v>
      </c>
      <c r="B80" s="12" t="s">
        <v>717</v>
      </c>
    </row>
    <row r="81">
      <c r="A81" s="12" t="s">
        <v>2660</v>
      </c>
      <c r="B81" s="12" t="s">
        <v>2662</v>
      </c>
    </row>
    <row r="82">
      <c r="B82" s="12" t="s">
        <v>1521</v>
      </c>
    </row>
    <row r="83">
      <c r="B83" s="12" t="s">
        <v>2665</v>
      </c>
    </row>
    <row r="84">
      <c r="B84" s="12" t="s">
        <v>1011</v>
      </c>
    </row>
    <row r="85">
      <c r="B85" s="12" t="s">
        <v>2668</v>
      </c>
    </row>
    <row r="86">
      <c r="B86" s="12" t="s">
        <v>777</v>
      </c>
    </row>
    <row r="87">
      <c r="B87" s="12" t="s">
        <v>2671</v>
      </c>
    </row>
    <row r="88">
      <c r="B88" s="12" t="s">
        <v>604</v>
      </c>
    </row>
    <row r="89">
      <c r="B89" s="12" t="s">
        <v>628</v>
      </c>
    </row>
    <row r="90">
      <c r="B90" s="12" t="s">
        <v>728</v>
      </c>
    </row>
    <row r="91">
      <c r="B91" s="12" t="s">
        <v>2673</v>
      </c>
    </row>
    <row r="92">
      <c r="B92" s="12" t="s">
        <v>2674</v>
      </c>
    </row>
    <row r="93">
      <c r="B93" s="12" t="s">
        <v>879</v>
      </c>
    </row>
    <row r="94">
      <c r="A94" s="108" t="s">
        <v>938</v>
      </c>
    </row>
    <row r="95">
      <c r="A95" s="109" t="s">
        <v>940</v>
      </c>
    </row>
    <row r="96">
      <c r="A96" s="109">
        <f>A99</f>
        <v>212000</v>
      </c>
    </row>
    <row r="97">
      <c r="A97" s="109">
        <v>2026.0</v>
      </c>
    </row>
    <row r="98">
      <c r="A98" s="109" t="s">
        <v>749</v>
      </c>
    </row>
    <row r="99">
      <c r="A99" s="110">
        <f>A102+B102+C102+D102+E102+F102+G102+H102+I102+J102</f>
        <v>212000</v>
      </c>
    </row>
    <row r="100">
      <c r="A100" s="85" t="s">
        <v>959</v>
      </c>
      <c r="B100" s="85" t="s">
        <v>960</v>
      </c>
      <c r="C100" s="85" t="s">
        <v>963</v>
      </c>
      <c r="D100" s="85" t="s">
        <v>964</v>
      </c>
      <c r="E100" s="85" t="s">
        <v>966</v>
      </c>
      <c r="F100" s="85" t="s">
        <v>967</v>
      </c>
      <c r="G100" s="111" t="s">
        <v>969</v>
      </c>
      <c r="H100" s="107" t="s">
        <v>972</v>
      </c>
      <c r="I100" s="107" t="s">
        <v>975</v>
      </c>
      <c r="J100" s="107" t="s">
        <v>976</v>
      </c>
    </row>
    <row r="101">
      <c r="A101" s="11" t="s">
        <v>683</v>
      </c>
      <c r="B101" s="11" t="s">
        <v>683</v>
      </c>
      <c r="C101" s="11" t="s">
        <v>683</v>
      </c>
      <c r="D101" s="11" t="s">
        <v>683</v>
      </c>
      <c r="E101" s="11" t="s">
        <v>683</v>
      </c>
      <c r="F101" s="11" t="s">
        <v>683</v>
      </c>
      <c r="G101" s="11" t="s">
        <v>683</v>
      </c>
      <c r="H101" s="34" t="s">
        <v>683</v>
      </c>
      <c r="I101" s="34" t="s">
        <v>683</v>
      </c>
      <c r="J101" s="34" t="s">
        <v>683</v>
      </c>
    </row>
    <row r="102">
      <c r="A102" s="85"/>
      <c r="B102" s="85"/>
      <c r="C102" s="85">
        <v>22000.0</v>
      </c>
      <c r="D102" s="85"/>
      <c r="E102" s="85">
        <v>19500.0</v>
      </c>
      <c r="F102" s="85">
        <v>24500.0</v>
      </c>
      <c r="G102" s="85">
        <v>30500.0</v>
      </c>
      <c r="H102" s="85"/>
      <c r="I102" s="85">
        <v>115500.0</v>
      </c>
      <c r="J102" s="85"/>
    </row>
    <row r="103">
      <c r="C103" s="12" t="s">
        <v>2687</v>
      </c>
      <c r="E103" s="12" t="s">
        <v>2155</v>
      </c>
      <c r="F103" s="12" t="s">
        <v>2648</v>
      </c>
      <c r="G103" s="12" t="s">
        <v>2689</v>
      </c>
      <c r="I103" s="12" t="s">
        <v>2690</v>
      </c>
    </row>
    <row r="104">
      <c r="C104" s="12" t="s">
        <v>710</v>
      </c>
      <c r="E104" s="12" t="s">
        <v>1128</v>
      </c>
      <c r="F104" s="12" t="s">
        <v>1093</v>
      </c>
      <c r="G104" s="12" t="s">
        <v>728</v>
      </c>
      <c r="I104" s="12" t="s">
        <v>985</v>
      </c>
    </row>
    <row r="105">
      <c r="C105" s="12" t="s">
        <v>2692</v>
      </c>
      <c r="E105" s="12" t="s">
        <v>993</v>
      </c>
      <c r="F105" s="12" t="s">
        <v>989</v>
      </c>
      <c r="G105" s="12" t="s">
        <v>2695</v>
      </c>
      <c r="I105" s="12" t="s">
        <v>2697</v>
      </c>
    </row>
    <row r="106">
      <c r="C106" s="12" t="s">
        <v>1006</v>
      </c>
      <c r="E106" s="12" t="s">
        <v>2699</v>
      </c>
      <c r="F106" s="12" t="s">
        <v>999</v>
      </c>
      <c r="G106" s="12" t="s">
        <v>1663</v>
      </c>
      <c r="I106" s="12" t="s">
        <v>1195</v>
      </c>
    </row>
    <row r="107">
      <c r="E107" s="12" t="s">
        <v>1521</v>
      </c>
      <c r="G107" s="12" t="s">
        <v>989</v>
      </c>
      <c r="I107" s="12" t="s">
        <v>632</v>
      </c>
    </row>
    <row r="108">
      <c r="E108" s="12" t="s">
        <v>2700</v>
      </c>
      <c r="G108" s="12" t="s">
        <v>993</v>
      </c>
      <c r="I108" s="12" t="s">
        <v>1706</v>
      </c>
    </row>
    <row r="109">
      <c r="E109" s="12" t="s">
        <v>605</v>
      </c>
      <c r="I109" s="12" t="s">
        <v>993</v>
      </c>
    </row>
    <row r="110">
      <c r="E110" s="12" t="s">
        <v>2701</v>
      </c>
      <c r="I110" s="12" t="s">
        <v>2702</v>
      </c>
    </row>
    <row r="111">
      <c r="E111" s="12" t="s">
        <v>728</v>
      </c>
      <c r="I111" s="12" t="s">
        <v>1553</v>
      </c>
    </row>
    <row r="112">
      <c r="I112" s="12" t="s">
        <v>989</v>
      </c>
    </row>
    <row r="113">
      <c r="I113" s="12" t="s">
        <v>999</v>
      </c>
    </row>
    <row r="114">
      <c r="I114" s="12" t="s">
        <v>993</v>
      </c>
    </row>
    <row r="115">
      <c r="I115" s="12" t="s">
        <v>2704</v>
      </c>
    </row>
    <row r="116">
      <c r="I116" s="12" t="s">
        <v>1011</v>
      </c>
    </row>
    <row r="117">
      <c r="A117" s="112" t="s">
        <v>1015</v>
      </c>
      <c r="I117" s="12" t="s">
        <v>989</v>
      </c>
    </row>
    <row r="118">
      <c r="A118" s="112">
        <f>A121</f>
        <v>182200</v>
      </c>
      <c r="I118" s="12" t="s">
        <v>999</v>
      </c>
    </row>
    <row r="119">
      <c r="A119" s="112">
        <v>2026.0</v>
      </c>
      <c r="I119" s="12" t="s">
        <v>993</v>
      </c>
    </row>
    <row r="120">
      <c r="A120" s="112" t="s">
        <v>749</v>
      </c>
      <c r="I120" s="12" t="s">
        <v>2709</v>
      </c>
    </row>
    <row r="121">
      <c r="A121" s="112">
        <f>A124+B124+C124+D124+E124+F124+G124+H124</f>
        <v>182200</v>
      </c>
      <c r="I121" s="12" t="s">
        <v>1011</v>
      </c>
    </row>
    <row r="122">
      <c r="A122" s="85" t="s">
        <v>1035</v>
      </c>
      <c r="B122" s="85" t="s">
        <v>1013</v>
      </c>
      <c r="C122" s="85" t="s">
        <v>1016</v>
      </c>
      <c r="D122" s="85" t="s">
        <v>1023</v>
      </c>
      <c r="E122" s="85" t="s">
        <v>1037</v>
      </c>
      <c r="F122" s="85" t="s">
        <v>1038</v>
      </c>
      <c r="G122" s="85" t="s">
        <v>1039</v>
      </c>
      <c r="H122" s="85" t="s">
        <v>1033</v>
      </c>
    </row>
    <row r="123">
      <c r="A123" s="11" t="s">
        <v>683</v>
      </c>
      <c r="B123" s="11" t="s">
        <v>683</v>
      </c>
      <c r="C123" s="11" t="s">
        <v>683</v>
      </c>
      <c r="D123" s="11" t="s">
        <v>683</v>
      </c>
      <c r="E123" s="11" t="s">
        <v>683</v>
      </c>
      <c r="F123" s="11" t="s">
        <v>683</v>
      </c>
      <c r="G123" s="11" t="s">
        <v>683</v>
      </c>
      <c r="H123" s="11" t="s">
        <v>683</v>
      </c>
    </row>
    <row r="124">
      <c r="A124" s="85">
        <v>1000.0</v>
      </c>
      <c r="B124" s="85">
        <v>0.0</v>
      </c>
      <c r="C124" s="85">
        <f>8000+12400</f>
        <v>20400</v>
      </c>
      <c r="D124" s="85">
        <f>11500+(2*44400)</f>
        <v>100300</v>
      </c>
      <c r="E124" s="85">
        <v>27000.0</v>
      </c>
      <c r="F124" s="85">
        <v>1000.0</v>
      </c>
      <c r="G124" s="85">
        <v>32500.0</v>
      </c>
      <c r="H124" s="85">
        <v>0.0</v>
      </c>
    </row>
    <row r="125">
      <c r="A125" s="12" t="s">
        <v>2720</v>
      </c>
      <c r="C125" s="12" t="s">
        <v>2099</v>
      </c>
      <c r="D125" s="12" t="s">
        <v>2687</v>
      </c>
      <c r="E125" s="12" t="s">
        <v>2721</v>
      </c>
      <c r="F125" s="12" t="s">
        <v>2722</v>
      </c>
      <c r="G125" s="12" t="s">
        <v>2724</v>
      </c>
    </row>
    <row r="126">
      <c r="A126" s="12" t="s">
        <v>605</v>
      </c>
      <c r="C126" s="12" t="s">
        <v>1083</v>
      </c>
      <c r="D126" s="12" t="s">
        <v>605</v>
      </c>
      <c r="E126" s="12" t="s">
        <v>1195</v>
      </c>
      <c r="F126" s="12" t="s">
        <v>605</v>
      </c>
      <c r="G126" s="12" t="s">
        <v>1194</v>
      </c>
    </row>
    <row r="127">
      <c r="C127" s="12" t="s">
        <v>1688</v>
      </c>
      <c r="D127" s="12" t="s">
        <v>1615</v>
      </c>
      <c r="E127" s="12" t="s">
        <v>805</v>
      </c>
      <c r="G127" s="12" t="s">
        <v>1262</v>
      </c>
    </row>
    <row r="128">
      <c r="D128" s="12" t="s">
        <v>1616</v>
      </c>
      <c r="E128" s="12" t="s">
        <v>1194</v>
      </c>
      <c r="G128" s="12" t="s">
        <v>1698</v>
      </c>
    </row>
    <row r="129">
      <c r="D129" s="12" t="s">
        <v>2209</v>
      </c>
      <c r="G129" s="12" t="s">
        <v>2726</v>
      </c>
    </row>
    <row r="130">
      <c r="D130" s="12" t="s">
        <v>1083</v>
      </c>
      <c r="G130" s="12" t="s">
        <v>878</v>
      </c>
    </row>
    <row r="131">
      <c r="D131" s="12" t="s">
        <v>1615</v>
      </c>
      <c r="G131" s="12" t="s">
        <v>1262</v>
      </c>
    </row>
    <row r="132">
      <c r="D132" s="12" t="s">
        <v>1616</v>
      </c>
      <c r="G132" s="12" t="s">
        <v>1615</v>
      </c>
    </row>
    <row r="135">
      <c r="A135" s="157" t="s">
        <v>1048</v>
      </c>
    </row>
    <row r="136">
      <c r="A136" s="157">
        <f>A139</f>
        <v>411000</v>
      </c>
    </row>
    <row r="137">
      <c r="A137" s="157">
        <v>2026.0</v>
      </c>
    </row>
    <row r="138">
      <c r="A138" s="157" t="s">
        <v>749</v>
      </c>
    </row>
    <row r="139">
      <c r="A139" s="158">
        <f>A142+B142+C142+D142+E142+F142+G142+H142+I142+J142</f>
        <v>411000</v>
      </c>
    </row>
    <row r="140">
      <c r="A140" s="105" t="s">
        <v>1066</v>
      </c>
      <c r="B140" s="105" t="s">
        <v>1068</v>
      </c>
      <c r="C140" s="105" t="s">
        <v>1069</v>
      </c>
      <c r="D140" s="105" t="s">
        <v>1070</v>
      </c>
      <c r="E140" s="105" t="s">
        <v>1072</v>
      </c>
      <c r="F140" s="105" t="s">
        <v>1073</v>
      </c>
      <c r="G140" s="105" t="s">
        <v>1074</v>
      </c>
      <c r="H140" s="105" t="s">
        <v>1076</v>
      </c>
      <c r="I140" s="105" t="s">
        <v>1078</v>
      </c>
      <c r="J140" s="105" t="s">
        <v>1080</v>
      </c>
    </row>
    <row r="141">
      <c r="A141" s="34" t="s">
        <v>683</v>
      </c>
      <c r="B141" s="34" t="s">
        <v>683</v>
      </c>
      <c r="C141" s="34" t="s">
        <v>683</v>
      </c>
      <c r="D141" s="34" t="s">
        <v>683</v>
      </c>
      <c r="E141" s="34" t="s">
        <v>683</v>
      </c>
      <c r="F141" s="34" t="s">
        <v>683</v>
      </c>
      <c r="G141" s="34" t="s">
        <v>683</v>
      </c>
      <c r="H141" s="34" t="s">
        <v>683</v>
      </c>
      <c r="I141" s="34" t="s">
        <v>683</v>
      </c>
      <c r="J141" s="34" t="s">
        <v>683</v>
      </c>
    </row>
    <row r="142">
      <c r="A142" s="107">
        <v>32000.0</v>
      </c>
      <c r="B142" s="105">
        <v>0.0</v>
      </c>
      <c r="C142" s="107">
        <v>15000.0</v>
      </c>
      <c r="D142" s="107">
        <v>45000.0</v>
      </c>
      <c r="E142" s="105">
        <v>0.0</v>
      </c>
      <c r="F142" s="105">
        <v>0.0</v>
      </c>
      <c r="G142" s="107">
        <v>112000.0</v>
      </c>
      <c r="H142" s="107">
        <v>205000.0</v>
      </c>
      <c r="I142" s="105">
        <v>0.0</v>
      </c>
      <c r="J142" s="107">
        <v>2000.0</v>
      </c>
    </row>
    <row r="143">
      <c r="A143" s="12" t="s">
        <v>2508</v>
      </c>
      <c r="C143" s="12" t="s">
        <v>2155</v>
      </c>
      <c r="D143" s="12" t="s">
        <v>2720</v>
      </c>
      <c r="G143" s="12" t="s">
        <v>2645</v>
      </c>
      <c r="H143" s="12" t="s">
        <v>689</v>
      </c>
      <c r="J143" s="12" t="s">
        <v>2739</v>
      </c>
    </row>
    <row r="144">
      <c r="A144" s="12" t="s">
        <v>1002</v>
      </c>
      <c r="C144" s="12" t="s">
        <v>1634</v>
      </c>
      <c r="D144" s="12" t="s">
        <v>1725</v>
      </c>
      <c r="G144" s="12" t="s">
        <v>653</v>
      </c>
      <c r="H144" s="12" t="s">
        <v>1092</v>
      </c>
      <c r="J144" s="12" t="s">
        <v>653</v>
      </c>
    </row>
    <row r="145">
      <c r="A145" s="12" t="s">
        <v>1060</v>
      </c>
      <c r="G145" s="12" t="s">
        <v>2209</v>
      </c>
      <c r="H145" s="12" t="s">
        <v>805</v>
      </c>
    </row>
    <row r="146">
      <c r="A146" s="12" t="s">
        <v>653</v>
      </c>
      <c r="G146" s="12" t="s">
        <v>2405</v>
      </c>
      <c r="H146" s="12" t="s">
        <v>1312</v>
      </c>
    </row>
    <row r="147">
      <c r="G147" s="12" t="s">
        <v>2748</v>
      </c>
      <c r="H147" s="12" t="s">
        <v>2749</v>
      </c>
    </row>
    <row r="148">
      <c r="G148" s="12" t="s">
        <v>2405</v>
      </c>
      <c r="H148" s="12" t="s">
        <v>2752</v>
      </c>
    </row>
    <row r="149">
      <c r="G149" s="12" t="s">
        <v>949</v>
      </c>
      <c r="H149" s="12" t="s">
        <v>2755</v>
      </c>
    </row>
    <row r="150">
      <c r="G150" s="12" t="s">
        <v>1559</v>
      </c>
      <c r="H150" s="12" t="s">
        <v>653</v>
      </c>
    </row>
    <row r="151">
      <c r="H151" s="12" t="s">
        <v>2759</v>
      </c>
    </row>
    <row r="152">
      <c r="H152" s="12" t="s">
        <v>653</v>
      </c>
    </row>
  </sheetData>
  <mergeCells count="52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1"/>
    <mergeCell ref="K10:K11"/>
    <mergeCell ref="I10:I11"/>
    <mergeCell ref="M11:N11"/>
    <mergeCell ref="L12:L13"/>
    <mergeCell ref="M13:N13"/>
    <mergeCell ref="L14:L15"/>
    <mergeCell ref="M15:N15"/>
    <mergeCell ref="K12:K13"/>
    <mergeCell ref="K14:K16"/>
    <mergeCell ref="A43:H43"/>
    <mergeCell ref="A44:H44"/>
    <mergeCell ref="A45:H45"/>
    <mergeCell ref="A46:H46"/>
    <mergeCell ref="A47:H47"/>
    <mergeCell ref="A48:H48"/>
    <mergeCell ref="I12:I13"/>
    <mergeCell ref="I14:I16"/>
    <mergeCell ref="A49:H49"/>
    <mergeCell ref="A67:J67"/>
    <mergeCell ref="A68:J68"/>
    <mergeCell ref="A69:J69"/>
    <mergeCell ref="A70:J70"/>
    <mergeCell ref="A71:J71"/>
    <mergeCell ref="A94:J94"/>
    <mergeCell ref="A119:H119"/>
    <mergeCell ref="A120:H120"/>
    <mergeCell ref="A121:H121"/>
    <mergeCell ref="A135:J135"/>
    <mergeCell ref="A136:J136"/>
    <mergeCell ref="A137:J137"/>
    <mergeCell ref="A138:J138"/>
    <mergeCell ref="A139:J139"/>
    <mergeCell ref="A95:J95"/>
    <mergeCell ref="A96:J96"/>
    <mergeCell ref="A97:J97"/>
    <mergeCell ref="A98:J98"/>
    <mergeCell ref="A99:J99"/>
    <mergeCell ref="A117:H117"/>
    <mergeCell ref="A118:H118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1" max="11" width="23.25"/>
    <col customWidth="1" min="14" max="14" width="15.88"/>
    <col customWidth="1" min="20" max="20" width="24.5"/>
  </cols>
  <sheetData>
    <row r="1">
      <c r="A1" s="210" t="s">
        <v>2487</v>
      </c>
    </row>
    <row r="2">
      <c r="A2" s="130" t="s">
        <v>2490</v>
      </c>
    </row>
    <row r="3">
      <c r="A3" s="130" t="s">
        <v>6</v>
      </c>
    </row>
    <row r="4">
      <c r="A4" s="212">
        <f>100000+B6+C6+E6+F6+G6+A34+J6</f>
        <v>602300</v>
      </c>
    </row>
    <row r="5">
      <c r="A5" s="11" t="s">
        <v>19</v>
      </c>
      <c r="B5" s="11" t="s">
        <v>46</v>
      </c>
      <c r="C5" s="11" t="s">
        <v>24</v>
      </c>
      <c r="D5" s="11" t="s">
        <v>26</v>
      </c>
      <c r="E5" s="11" t="s">
        <v>229</v>
      </c>
      <c r="F5" s="11" t="s">
        <v>1753</v>
      </c>
      <c r="G5" s="11" t="s">
        <v>59</v>
      </c>
      <c r="J5" s="11" t="s">
        <v>56</v>
      </c>
      <c r="M5" s="213" t="s">
        <v>60</v>
      </c>
      <c r="T5" s="11"/>
    </row>
    <row r="6">
      <c r="A6" s="12" t="s">
        <v>2503</v>
      </c>
      <c r="B6" s="212">
        <v>-60000.0</v>
      </c>
      <c r="C6" s="212">
        <v>53000.0</v>
      </c>
      <c r="D6" s="12" t="s">
        <v>2505</v>
      </c>
      <c r="E6" s="212">
        <v>16400.0</v>
      </c>
      <c r="F6" s="212">
        <v>1000.0</v>
      </c>
      <c r="G6" s="212">
        <v>-13500.0</v>
      </c>
      <c r="J6" s="216">
        <f>J8</f>
        <v>8000</v>
      </c>
      <c r="M6" s="216">
        <f>P12+P14+P16</f>
        <v>30500</v>
      </c>
      <c r="T6" s="217"/>
    </row>
    <row r="7">
      <c r="A7" s="12" t="s">
        <v>2511</v>
      </c>
      <c r="B7" s="15" t="s">
        <v>35</v>
      </c>
      <c r="C7" s="12" t="s">
        <v>2512</v>
      </c>
      <c r="D7" s="12" t="s">
        <v>2513</v>
      </c>
      <c r="E7" s="12" t="s">
        <v>77</v>
      </c>
      <c r="F7" s="12" t="s">
        <v>2514</v>
      </c>
      <c r="G7" s="12" t="s">
        <v>77</v>
      </c>
      <c r="H7" s="12" t="s">
        <v>2515</v>
      </c>
      <c r="I7" s="12" t="s">
        <v>81</v>
      </c>
      <c r="J7" s="11" t="s">
        <v>89</v>
      </c>
      <c r="M7" s="219" t="s">
        <v>85</v>
      </c>
      <c r="N7" s="219" t="s">
        <v>87</v>
      </c>
      <c r="O7" s="219" t="s">
        <v>88</v>
      </c>
      <c r="P7" s="219" t="s">
        <v>1</v>
      </c>
      <c r="Q7" s="219" t="s">
        <v>90</v>
      </c>
    </row>
    <row r="8">
      <c r="A8" s="12" t="s">
        <v>2517</v>
      </c>
      <c r="B8" s="14" t="s">
        <v>362</v>
      </c>
      <c r="C8" s="12" t="s">
        <v>2519</v>
      </c>
      <c r="D8" s="12" t="s">
        <v>2520</v>
      </c>
      <c r="E8" s="12" t="s">
        <v>2522</v>
      </c>
      <c r="G8" s="12" t="s">
        <v>1236</v>
      </c>
      <c r="H8" s="12" t="s">
        <v>2525</v>
      </c>
      <c r="I8" s="12" t="s">
        <v>2526</v>
      </c>
      <c r="J8" s="220">
        <f>L10+L12+L13+L14+L15</f>
        <v>8000</v>
      </c>
      <c r="M8" s="221" t="s">
        <v>2528</v>
      </c>
      <c r="N8" s="222" t="s">
        <v>106</v>
      </c>
      <c r="O8" s="222">
        <v>18.0</v>
      </c>
      <c r="P8" s="222">
        <f>O8*1000</f>
        <v>18000</v>
      </c>
      <c r="Q8" s="223">
        <f>O8*20</f>
        <v>360</v>
      </c>
    </row>
    <row r="9">
      <c r="A9" s="12" t="s">
        <v>2533</v>
      </c>
      <c r="B9" s="14" t="s">
        <v>395</v>
      </c>
      <c r="C9" s="12" t="s">
        <v>2534</v>
      </c>
      <c r="D9" s="12" t="s">
        <v>2536</v>
      </c>
      <c r="E9" s="12" t="s">
        <v>2537</v>
      </c>
      <c r="G9" s="12" t="s">
        <v>2528</v>
      </c>
      <c r="H9" s="12" t="s">
        <v>2539</v>
      </c>
      <c r="I9" s="12" t="s">
        <v>2540</v>
      </c>
      <c r="J9" s="160" t="s">
        <v>130</v>
      </c>
      <c r="K9" s="160" t="s">
        <v>135</v>
      </c>
      <c r="L9" s="160" t="s">
        <v>1</v>
      </c>
      <c r="N9" s="222" t="s">
        <v>181</v>
      </c>
      <c r="O9" s="222">
        <v>1.0</v>
      </c>
      <c r="P9" s="223">
        <f>O9*8000</f>
        <v>8000</v>
      </c>
      <c r="Q9" s="223">
        <f>O9*80</f>
        <v>80</v>
      </c>
    </row>
    <row r="10">
      <c r="A10" s="12" t="s">
        <v>2547</v>
      </c>
      <c r="B10" s="15" t="s">
        <v>40</v>
      </c>
      <c r="C10" s="12" t="s">
        <v>2549</v>
      </c>
      <c r="D10" s="12" t="s">
        <v>2551</v>
      </c>
      <c r="E10" s="12" t="s">
        <v>208</v>
      </c>
      <c r="G10" s="12" t="s">
        <v>505</v>
      </c>
      <c r="H10" s="12" t="s">
        <v>2553</v>
      </c>
      <c r="I10" s="12" t="s">
        <v>2554</v>
      </c>
      <c r="J10" s="50" t="s">
        <v>2555</v>
      </c>
      <c r="K10" s="14" t="s">
        <v>241</v>
      </c>
      <c r="L10" s="50">
        <v>3000.0</v>
      </c>
      <c r="N10" s="222" t="s">
        <v>215</v>
      </c>
    </row>
    <row r="11">
      <c r="A11" s="12" t="s">
        <v>2556</v>
      </c>
      <c r="B11" s="14" t="s">
        <v>42</v>
      </c>
      <c r="C11" s="12" t="s">
        <v>2558</v>
      </c>
      <c r="D11" s="12" t="s">
        <v>2560</v>
      </c>
      <c r="E11" s="12" t="s">
        <v>1803</v>
      </c>
      <c r="G11" s="12" t="s">
        <v>1256</v>
      </c>
      <c r="H11" s="12" t="s">
        <v>1922</v>
      </c>
      <c r="K11" s="14" t="s">
        <v>1512</v>
      </c>
      <c r="N11" s="222" t="s">
        <v>251</v>
      </c>
      <c r="O11" s="222">
        <v>1.0</v>
      </c>
      <c r="P11" s="223">
        <f>O11*1500</f>
        <v>1500</v>
      </c>
      <c r="Q11" s="223">
        <f>O11*40</f>
        <v>40</v>
      </c>
    </row>
    <row r="12">
      <c r="A12" s="12" t="s">
        <v>2563</v>
      </c>
      <c r="B12" s="15" t="s">
        <v>44</v>
      </c>
      <c r="C12" s="12" t="s">
        <v>1499</v>
      </c>
      <c r="D12" s="12" t="s">
        <v>2566</v>
      </c>
      <c r="E12" s="12" t="s">
        <v>2567</v>
      </c>
      <c r="G12" s="12" t="s">
        <v>2568</v>
      </c>
      <c r="H12" s="12" t="s">
        <v>190</v>
      </c>
      <c r="J12" s="14" t="s">
        <v>2569</v>
      </c>
      <c r="K12" s="14" t="s">
        <v>1412</v>
      </c>
      <c r="L12" s="14">
        <v>2000.0</v>
      </c>
      <c r="N12" s="225" t="s">
        <v>118</v>
      </c>
      <c r="P12" s="226">
        <f t="shared" ref="P12:Q12" si="1">P8+P9+P11</f>
        <v>27500</v>
      </c>
      <c r="Q12" s="226">
        <f t="shared" si="1"/>
        <v>480</v>
      </c>
    </row>
    <row r="13">
      <c r="A13" s="12" t="s">
        <v>2575</v>
      </c>
      <c r="B13" s="14" t="s">
        <v>42</v>
      </c>
      <c r="C13" s="12" t="s">
        <v>2577</v>
      </c>
      <c r="D13" s="12" t="s">
        <v>2579</v>
      </c>
      <c r="E13" s="12" t="s">
        <v>166</v>
      </c>
      <c r="G13" s="12" t="s">
        <v>166</v>
      </c>
      <c r="H13" s="12" t="s">
        <v>2580</v>
      </c>
      <c r="J13" s="14" t="s">
        <v>2582</v>
      </c>
      <c r="K13" s="14" t="s">
        <v>452</v>
      </c>
      <c r="L13" s="14">
        <v>1000.0</v>
      </c>
      <c r="M13" s="221" t="s">
        <v>2584</v>
      </c>
      <c r="N13" s="222" t="s">
        <v>106</v>
      </c>
      <c r="O13" s="222">
        <v>2.0</v>
      </c>
      <c r="P13" s="222">
        <f>O13*1000</f>
        <v>2000</v>
      </c>
      <c r="Q13" s="223">
        <f>O13*20</f>
        <v>40</v>
      </c>
    </row>
    <row r="14">
      <c r="A14" s="12" t="s">
        <v>2592</v>
      </c>
      <c r="C14" s="12" t="s">
        <v>2594</v>
      </c>
      <c r="D14" s="12" t="s">
        <v>2596</v>
      </c>
      <c r="E14" s="12" t="s">
        <v>804</v>
      </c>
      <c r="G14" s="12" t="s">
        <v>536</v>
      </c>
      <c r="H14" s="12" t="s">
        <v>2599</v>
      </c>
      <c r="J14" s="14" t="s">
        <v>2601</v>
      </c>
      <c r="K14" s="14" t="s">
        <v>1512</v>
      </c>
      <c r="L14" s="14">
        <v>1000.0</v>
      </c>
      <c r="N14" s="225" t="s">
        <v>118</v>
      </c>
      <c r="P14" s="226">
        <f t="shared" ref="P14:Q14" si="2">P13</f>
        <v>2000</v>
      </c>
      <c r="Q14" s="226">
        <f t="shared" si="2"/>
        <v>40</v>
      </c>
    </row>
    <row r="15">
      <c r="A15" s="12" t="s">
        <v>2607</v>
      </c>
      <c r="C15" s="12" t="s">
        <v>2608</v>
      </c>
      <c r="E15" s="12" t="s">
        <v>2609</v>
      </c>
      <c r="G15" s="12" t="s">
        <v>195</v>
      </c>
      <c r="J15" s="14" t="s">
        <v>2610</v>
      </c>
      <c r="K15" s="14" t="s">
        <v>452</v>
      </c>
      <c r="L15" s="14">
        <v>1000.0</v>
      </c>
      <c r="M15" s="221" t="s">
        <v>2611</v>
      </c>
      <c r="N15" s="222" t="s">
        <v>106</v>
      </c>
      <c r="O15" s="222">
        <v>1.0</v>
      </c>
      <c r="P15" s="222">
        <f>O15*1000</f>
        <v>1000</v>
      </c>
      <c r="Q15" s="223">
        <f>O15*20</f>
        <v>20</v>
      </c>
    </row>
    <row r="16">
      <c r="A16" s="12" t="s">
        <v>2613</v>
      </c>
      <c r="C16" s="12" t="s">
        <v>287</v>
      </c>
      <c r="E16" s="12" t="s">
        <v>208</v>
      </c>
      <c r="G16" s="12" t="s">
        <v>247</v>
      </c>
      <c r="J16" s="19"/>
      <c r="K16" s="19"/>
      <c r="L16" s="19"/>
      <c r="N16" s="225" t="s">
        <v>118</v>
      </c>
      <c r="P16" s="226">
        <f t="shared" ref="P16:Q16" si="3">P15</f>
        <v>1000</v>
      </c>
      <c r="Q16" s="226">
        <f t="shared" si="3"/>
        <v>20</v>
      </c>
    </row>
    <row r="17">
      <c r="A17" s="12" t="s">
        <v>2615</v>
      </c>
      <c r="C17" s="12" t="s">
        <v>190</v>
      </c>
      <c r="E17" s="12" t="s">
        <v>496</v>
      </c>
      <c r="G17" s="12" t="s">
        <v>505</v>
      </c>
      <c r="J17" s="19"/>
      <c r="K17" s="19"/>
      <c r="L17" s="19"/>
    </row>
    <row r="18">
      <c r="A18" s="12" t="s">
        <v>2617</v>
      </c>
      <c r="C18" s="12" t="s">
        <v>2509</v>
      </c>
      <c r="E18" s="12" t="s">
        <v>2618</v>
      </c>
      <c r="G18" s="12" t="s">
        <v>545</v>
      </c>
      <c r="J18" s="19"/>
      <c r="K18" s="19"/>
      <c r="L18" s="19"/>
    </row>
    <row r="19">
      <c r="A19" s="12" t="s">
        <v>2620</v>
      </c>
      <c r="C19" s="12" t="s">
        <v>1548</v>
      </c>
      <c r="E19" s="12" t="s">
        <v>208</v>
      </c>
      <c r="G19" s="12" t="s">
        <v>2621</v>
      </c>
      <c r="J19" s="19"/>
      <c r="K19" s="19"/>
      <c r="L19" s="19"/>
    </row>
    <row r="20">
      <c r="A20" s="12" t="s">
        <v>2622</v>
      </c>
      <c r="C20" s="12" t="s">
        <v>2623</v>
      </c>
      <c r="E20" s="12" t="s">
        <v>1272</v>
      </c>
      <c r="G20" s="12" t="s">
        <v>166</v>
      </c>
      <c r="J20" s="19"/>
      <c r="K20" s="19"/>
      <c r="L20" s="19"/>
    </row>
    <row r="21">
      <c r="A21" s="12" t="s">
        <v>2625</v>
      </c>
      <c r="E21" s="12" t="s">
        <v>493</v>
      </c>
      <c r="G21" s="12" t="s">
        <v>1804</v>
      </c>
      <c r="J21" s="19"/>
      <c r="K21" s="19"/>
      <c r="L21" s="19"/>
    </row>
    <row r="22">
      <c r="A22" s="12" t="s">
        <v>2626</v>
      </c>
      <c r="G22" s="12" t="s">
        <v>195</v>
      </c>
      <c r="J22" s="19"/>
      <c r="K22" s="19"/>
      <c r="L22" s="19"/>
    </row>
    <row r="23">
      <c r="A23" s="12" t="s">
        <v>2627</v>
      </c>
      <c r="E23" s="64" t="s">
        <v>1352</v>
      </c>
      <c r="G23" s="12" t="s">
        <v>218</v>
      </c>
      <c r="J23" s="19"/>
      <c r="K23" s="19"/>
      <c r="L23" s="19"/>
    </row>
    <row r="24">
      <c r="E24" s="12" t="s">
        <v>2537</v>
      </c>
      <c r="G24" s="12" t="s">
        <v>2630</v>
      </c>
    </row>
    <row r="25">
      <c r="E25" s="12" t="s">
        <v>2631</v>
      </c>
      <c r="G25" s="12" t="s">
        <v>166</v>
      </c>
    </row>
    <row r="26">
      <c r="E26" s="64" t="s">
        <v>2632</v>
      </c>
      <c r="G26" s="12" t="s">
        <v>156</v>
      </c>
    </row>
    <row r="27">
      <c r="E27" s="64" t="s">
        <v>2633</v>
      </c>
      <c r="G27" s="12" t="s">
        <v>505</v>
      </c>
    </row>
    <row r="28">
      <c r="E28" s="64"/>
      <c r="G28" s="12" t="s">
        <v>247</v>
      </c>
    </row>
    <row r="29">
      <c r="E29" s="64"/>
      <c r="G29" s="12"/>
    </row>
    <row r="30">
      <c r="E30" s="64"/>
      <c r="G30" s="12"/>
    </row>
    <row r="31">
      <c r="F31" s="64"/>
      <c r="H31" s="12"/>
    </row>
    <row r="33">
      <c r="A33" s="82" t="s">
        <v>567</v>
      </c>
    </row>
    <row r="34">
      <c r="A34" s="82">
        <f>A36+A52+A75+A97+A117+A138+A159</f>
        <v>497400</v>
      </c>
    </row>
    <row r="35">
      <c r="A35" s="84" t="s">
        <v>575</v>
      </c>
    </row>
    <row r="36">
      <c r="A36" s="84">
        <v>29550.0</v>
      </c>
    </row>
    <row r="37">
      <c r="A37" s="84">
        <v>2026.0</v>
      </c>
    </row>
    <row r="38">
      <c r="A38" s="85" t="s">
        <v>576</v>
      </c>
      <c r="B38" s="85" t="s">
        <v>577</v>
      </c>
      <c r="C38" s="85" t="s">
        <v>578</v>
      </c>
      <c r="D38" s="85" t="s">
        <v>579</v>
      </c>
      <c r="E38" s="85" t="s">
        <v>580</v>
      </c>
    </row>
    <row r="39">
      <c r="A39" s="12" t="s">
        <v>2634</v>
      </c>
      <c r="C39" s="12" t="s">
        <v>2635</v>
      </c>
      <c r="D39" s="12" t="s">
        <v>2636</v>
      </c>
      <c r="E39" s="64" t="s">
        <v>2637</v>
      </c>
    </row>
    <row r="40">
      <c r="A40" s="12" t="s">
        <v>775</v>
      </c>
      <c r="C40" s="12" t="s">
        <v>826</v>
      </c>
      <c r="D40" s="12" t="s">
        <v>878</v>
      </c>
      <c r="E40" s="12" t="s">
        <v>2638</v>
      </c>
    </row>
    <row r="41">
      <c r="A41" s="12" t="s">
        <v>2639</v>
      </c>
      <c r="D41" s="12" t="s">
        <v>815</v>
      </c>
      <c r="E41" s="12" t="s">
        <v>775</v>
      </c>
    </row>
    <row r="42">
      <c r="A42" s="12" t="s">
        <v>1364</v>
      </c>
      <c r="E42" s="12" t="s">
        <v>2092</v>
      </c>
    </row>
    <row r="43">
      <c r="A43" s="119" t="s">
        <v>2640</v>
      </c>
      <c r="E43" s="12" t="s">
        <v>2641</v>
      </c>
    </row>
    <row r="44">
      <c r="A44" s="119" t="s">
        <v>605</v>
      </c>
      <c r="E44" s="12" t="s">
        <v>1364</v>
      </c>
    </row>
    <row r="45">
      <c r="A45" s="12" t="s">
        <v>2642</v>
      </c>
      <c r="E45" s="12" t="s">
        <v>2092</v>
      </c>
    </row>
    <row r="46">
      <c r="A46" s="12" t="s">
        <v>605</v>
      </c>
      <c r="E46" s="12" t="s">
        <v>2643</v>
      </c>
    </row>
    <row r="47">
      <c r="E47" s="12" t="s">
        <v>605</v>
      </c>
    </row>
    <row r="48">
      <c r="E48" s="12" t="s">
        <v>2092</v>
      </c>
    </row>
    <row r="50">
      <c r="A50" s="86"/>
    </row>
    <row r="51">
      <c r="A51" s="87" t="s">
        <v>2646</v>
      </c>
    </row>
    <row r="52">
      <c r="A52" s="87">
        <v>37140.0</v>
      </c>
    </row>
    <row r="53">
      <c r="A53" s="88">
        <v>2026.0</v>
      </c>
    </row>
    <row r="54">
      <c r="A54" s="85" t="s">
        <v>592</v>
      </c>
      <c r="B54" s="85" t="s">
        <v>593</v>
      </c>
      <c r="C54" s="85" t="s">
        <v>594</v>
      </c>
      <c r="D54" s="85" t="s">
        <v>595</v>
      </c>
      <c r="E54" s="85" t="s">
        <v>596</v>
      </c>
      <c r="F54" s="85" t="s">
        <v>597</v>
      </c>
    </row>
    <row r="55">
      <c r="A55" s="64" t="s">
        <v>2653</v>
      </c>
      <c r="B55" s="64" t="s">
        <v>2654</v>
      </c>
      <c r="E55" s="64" t="s">
        <v>2655</v>
      </c>
      <c r="F55" s="64" t="s">
        <v>2656</v>
      </c>
    </row>
    <row r="56">
      <c r="A56" s="12" t="s">
        <v>2555</v>
      </c>
      <c r="B56" s="12" t="s">
        <v>2658</v>
      </c>
      <c r="E56" s="12" t="s">
        <v>2634</v>
      </c>
      <c r="F56" s="12" t="s">
        <v>2659</v>
      </c>
    </row>
    <row r="57">
      <c r="A57" s="12" t="s">
        <v>605</v>
      </c>
      <c r="B57" s="12" t="s">
        <v>911</v>
      </c>
      <c r="E57" s="12" t="s">
        <v>2663</v>
      </c>
      <c r="F57" s="12" t="s">
        <v>604</v>
      </c>
    </row>
    <row r="58">
      <c r="A58" s="12" t="s">
        <v>609</v>
      </c>
      <c r="E58" s="12" t="s">
        <v>1403</v>
      </c>
      <c r="F58" s="12" t="s">
        <v>621</v>
      </c>
    </row>
    <row r="59">
      <c r="A59" s="12" t="s">
        <v>2666</v>
      </c>
      <c r="E59" s="12" t="s">
        <v>2669</v>
      </c>
      <c r="F59" s="12" t="s">
        <v>2670</v>
      </c>
    </row>
    <row r="60">
      <c r="A60" s="12" t="s">
        <v>605</v>
      </c>
      <c r="E60" s="12" t="s">
        <v>1222</v>
      </c>
      <c r="F60" s="12" t="s">
        <v>604</v>
      </c>
    </row>
    <row r="61">
      <c r="A61" s="12" t="s">
        <v>609</v>
      </c>
      <c r="E61" s="12" t="s">
        <v>2069</v>
      </c>
      <c r="F61" s="12" t="s">
        <v>621</v>
      </c>
    </row>
    <row r="62">
      <c r="E62" s="12" t="s">
        <v>1403</v>
      </c>
    </row>
    <row r="63">
      <c r="E63" s="12" t="s">
        <v>2672</v>
      </c>
    </row>
    <row r="64">
      <c r="E64" s="12" t="s">
        <v>604</v>
      </c>
    </row>
    <row r="65">
      <c r="E65" s="12" t="s">
        <v>1403</v>
      </c>
    </row>
    <row r="66">
      <c r="E66" s="12" t="s">
        <v>2675</v>
      </c>
    </row>
    <row r="67">
      <c r="E67" s="12" t="s">
        <v>604</v>
      </c>
    </row>
    <row r="68">
      <c r="E68" s="12" t="s">
        <v>1171</v>
      </c>
    </row>
    <row r="69">
      <c r="E69" s="12" t="s">
        <v>1403</v>
      </c>
    </row>
    <row r="70">
      <c r="E70" s="12" t="s">
        <v>2676</v>
      </c>
    </row>
    <row r="71">
      <c r="E71" s="12" t="s">
        <v>604</v>
      </c>
    </row>
    <row r="72">
      <c r="E72" s="12" t="s">
        <v>1403</v>
      </c>
    </row>
    <row r="73">
      <c r="A73" s="86"/>
    </row>
    <row r="74">
      <c r="A74" s="6" t="s">
        <v>2677</v>
      </c>
    </row>
    <row r="75">
      <c r="A75" s="6">
        <v>44500.0</v>
      </c>
    </row>
    <row r="76">
      <c r="A76" s="35">
        <v>2026.0</v>
      </c>
    </row>
    <row r="77">
      <c r="A77" s="96" t="s">
        <v>2678</v>
      </c>
    </row>
    <row r="78">
      <c r="A78" s="85" t="s">
        <v>666</v>
      </c>
      <c r="B78" s="85" t="s">
        <v>668</v>
      </c>
      <c r="C78" s="85" t="s">
        <v>671</v>
      </c>
      <c r="D78" s="85" t="s">
        <v>674</v>
      </c>
      <c r="E78" s="85" t="s">
        <v>675</v>
      </c>
      <c r="F78" s="85" t="s">
        <v>676</v>
      </c>
      <c r="G78" s="85" t="s">
        <v>678</v>
      </c>
      <c r="H78" s="85" t="s">
        <v>680</v>
      </c>
    </row>
    <row r="79">
      <c r="A79" s="68" t="s">
        <v>2679</v>
      </c>
      <c r="B79" s="68" t="s">
        <v>683</v>
      </c>
      <c r="C79" s="68" t="s">
        <v>683</v>
      </c>
      <c r="D79" s="68" t="s">
        <v>1607</v>
      </c>
      <c r="E79" s="68" t="s">
        <v>2680</v>
      </c>
      <c r="F79" s="68" t="s">
        <v>2681</v>
      </c>
      <c r="G79" s="68" t="s">
        <v>683</v>
      </c>
      <c r="H79" s="68" t="s">
        <v>683</v>
      </c>
    </row>
    <row r="80">
      <c r="A80" s="12" t="s">
        <v>2682</v>
      </c>
      <c r="D80" s="12" t="s">
        <v>2683</v>
      </c>
      <c r="E80" s="12" t="s">
        <v>2684</v>
      </c>
      <c r="F80" s="12" t="s">
        <v>2638</v>
      </c>
    </row>
    <row r="81">
      <c r="A81" s="12" t="s">
        <v>605</v>
      </c>
      <c r="D81" s="12" t="s">
        <v>620</v>
      </c>
      <c r="E81" s="12" t="s">
        <v>653</v>
      </c>
      <c r="F81" s="12" t="s">
        <v>606</v>
      </c>
    </row>
    <row r="82">
      <c r="A82" s="12" t="s">
        <v>2685</v>
      </c>
      <c r="D82" s="12" t="s">
        <v>276</v>
      </c>
      <c r="E82" s="12" t="s">
        <v>1085</v>
      </c>
      <c r="F82" s="12" t="s">
        <v>2686</v>
      </c>
    </row>
    <row r="83">
      <c r="A83" s="12" t="s">
        <v>777</v>
      </c>
      <c r="D83" s="12" t="s">
        <v>209</v>
      </c>
      <c r="E83" s="12" t="s">
        <v>2688</v>
      </c>
      <c r="F83" s="12" t="s">
        <v>698</v>
      </c>
    </row>
    <row r="84">
      <c r="A84" s="12" t="s">
        <v>2691</v>
      </c>
      <c r="E84" s="12" t="s">
        <v>604</v>
      </c>
      <c r="F84" s="12" t="s">
        <v>2672</v>
      </c>
    </row>
    <row r="85">
      <c r="A85" s="12" t="s">
        <v>699</v>
      </c>
      <c r="E85" s="12" t="s">
        <v>1085</v>
      </c>
      <c r="F85" s="12" t="s">
        <v>1364</v>
      </c>
    </row>
    <row r="86">
      <c r="A86" s="12" t="s">
        <v>2693</v>
      </c>
      <c r="E86" s="12" t="s">
        <v>2694</v>
      </c>
      <c r="F86" s="12" t="s">
        <v>2696</v>
      </c>
    </row>
    <row r="87">
      <c r="A87" s="12" t="s">
        <v>604</v>
      </c>
      <c r="E87" s="12" t="s">
        <v>2698</v>
      </c>
      <c r="F87" s="12" t="s">
        <v>605</v>
      </c>
    </row>
    <row r="88">
      <c r="E88" s="12" t="s">
        <v>209</v>
      </c>
      <c r="F88" s="12" t="s">
        <v>2676</v>
      </c>
    </row>
    <row r="89">
      <c r="E89" s="12" t="s">
        <v>1085</v>
      </c>
      <c r="F89" s="12" t="s">
        <v>872</v>
      </c>
    </row>
    <row r="96">
      <c r="A96" s="97" t="s">
        <v>740</v>
      </c>
    </row>
    <row r="97">
      <c r="A97" s="97">
        <f>A100</f>
        <v>145710</v>
      </c>
    </row>
    <row r="98">
      <c r="A98" s="97">
        <v>2026.0</v>
      </c>
    </row>
    <row r="99">
      <c r="A99" s="97" t="s">
        <v>749</v>
      </c>
    </row>
    <row r="100">
      <c r="A100" s="97">
        <f>A103+B103+C103+D103+E103+F103+G103+H103</f>
        <v>145710</v>
      </c>
    </row>
    <row r="101">
      <c r="A101" s="85" t="s">
        <v>762</v>
      </c>
      <c r="B101" s="85" t="s">
        <v>764</v>
      </c>
      <c r="C101" s="85" t="s">
        <v>765</v>
      </c>
      <c r="D101" s="85" t="s">
        <v>767</v>
      </c>
      <c r="E101" s="85" t="s">
        <v>768</v>
      </c>
      <c r="F101" s="85" t="s">
        <v>771</v>
      </c>
      <c r="G101" s="85" t="s">
        <v>772</v>
      </c>
      <c r="H101" s="85" t="s">
        <v>773</v>
      </c>
    </row>
    <row r="102">
      <c r="A102" s="11" t="s">
        <v>683</v>
      </c>
      <c r="B102" s="11" t="s">
        <v>683</v>
      </c>
      <c r="C102" s="11" t="s">
        <v>683</v>
      </c>
      <c r="D102" s="11" t="s">
        <v>683</v>
      </c>
      <c r="E102" s="11" t="s">
        <v>683</v>
      </c>
      <c r="F102" s="11" t="s">
        <v>683</v>
      </c>
      <c r="G102" s="11" t="s">
        <v>683</v>
      </c>
      <c r="H102" s="11" t="s">
        <v>683</v>
      </c>
    </row>
    <row r="103">
      <c r="A103" s="85">
        <v>8750.0</v>
      </c>
      <c r="B103" s="85">
        <v>20000.0</v>
      </c>
      <c r="C103" s="85">
        <v>14110.0</v>
      </c>
      <c r="D103" s="85">
        <v>0.0</v>
      </c>
      <c r="E103" s="85">
        <v>86600.0</v>
      </c>
      <c r="F103" s="85">
        <v>10250.0</v>
      </c>
      <c r="G103" s="85">
        <v>6000.0</v>
      </c>
      <c r="H103" s="85">
        <v>0.0</v>
      </c>
    </row>
    <row r="104">
      <c r="A104" s="12" t="s">
        <v>2635</v>
      </c>
      <c r="B104" s="12" t="s">
        <v>2528</v>
      </c>
      <c r="C104" s="12" t="s">
        <v>2711</v>
      </c>
      <c r="E104" s="12" t="s">
        <v>2683</v>
      </c>
      <c r="F104" s="12" t="s">
        <v>2713</v>
      </c>
      <c r="G104" s="12" t="s">
        <v>2634</v>
      </c>
    </row>
    <row r="105">
      <c r="A105" s="12" t="s">
        <v>728</v>
      </c>
      <c r="B105" s="12" t="s">
        <v>792</v>
      </c>
      <c r="C105" s="12" t="s">
        <v>605</v>
      </c>
      <c r="E105" s="12" t="s">
        <v>1222</v>
      </c>
      <c r="F105" s="12" t="s">
        <v>1222</v>
      </c>
      <c r="G105" s="12" t="s">
        <v>1062</v>
      </c>
    </row>
    <row r="106">
      <c r="A106" s="12" t="s">
        <v>1113</v>
      </c>
      <c r="C106" s="12" t="s">
        <v>1117</v>
      </c>
      <c r="E106" s="12" t="s">
        <v>800</v>
      </c>
      <c r="F106" s="12" t="s">
        <v>796</v>
      </c>
    </row>
    <row r="107">
      <c r="A107" s="12" t="s">
        <v>2639</v>
      </c>
      <c r="C107" s="12" t="s">
        <v>2716</v>
      </c>
      <c r="E107" s="12" t="s">
        <v>2670</v>
      </c>
      <c r="F107" s="12" t="s">
        <v>2641</v>
      </c>
    </row>
    <row r="108">
      <c r="A108" s="12" t="s">
        <v>605</v>
      </c>
      <c r="C108" s="12" t="s">
        <v>653</v>
      </c>
      <c r="E108" s="12" t="s">
        <v>604</v>
      </c>
      <c r="F108" s="12" t="s">
        <v>620</v>
      </c>
    </row>
    <row r="109">
      <c r="A109" s="12" t="s">
        <v>2640</v>
      </c>
      <c r="C109" s="12" t="s">
        <v>1117</v>
      </c>
      <c r="E109" s="12" t="s">
        <v>800</v>
      </c>
      <c r="F109" s="12" t="s">
        <v>2718</v>
      </c>
    </row>
    <row r="110">
      <c r="A110" s="12" t="s">
        <v>653</v>
      </c>
      <c r="E110" s="12" t="s">
        <v>2719</v>
      </c>
      <c r="F110" s="12" t="s">
        <v>605</v>
      </c>
    </row>
    <row r="111">
      <c r="E111" s="12" t="s">
        <v>604</v>
      </c>
    </row>
    <row r="112">
      <c r="E112" s="12" t="s">
        <v>800</v>
      </c>
    </row>
    <row r="113">
      <c r="E113" s="12" t="s">
        <v>2723</v>
      </c>
    </row>
    <row r="114">
      <c r="E114" s="12" t="s">
        <v>604</v>
      </c>
    </row>
    <row r="115">
      <c r="E115" s="12" t="s">
        <v>800</v>
      </c>
    </row>
    <row r="116">
      <c r="A116" s="232" t="s">
        <v>1129</v>
      </c>
    </row>
    <row r="117">
      <c r="A117" s="232">
        <f>A120</f>
        <v>45800</v>
      </c>
    </row>
    <row r="118">
      <c r="A118" s="232">
        <v>2026.0</v>
      </c>
    </row>
    <row r="119">
      <c r="A119" s="232" t="s">
        <v>749</v>
      </c>
    </row>
    <row r="120">
      <c r="A120" s="235">
        <f>A123+B123+C123+D123+E123+F123+G123+H123+I123+J123</f>
        <v>45800</v>
      </c>
    </row>
    <row r="121">
      <c r="A121" s="228" t="s">
        <v>834</v>
      </c>
      <c r="B121" s="228" t="s">
        <v>835</v>
      </c>
      <c r="C121" s="228" t="s">
        <v>836</v>
      </c>
      <c r="D121" s="228" t="s">
        <v>837</v>
      </c>
      <c r="E121" s="228" t="s">
        <v>838</v>
      </c>
      <c r="F121" s="228" t="s">
        <v>839</v>
      </c>
      <c r="G121" s="105" t="s">
        <v>841</v>
      </c>
      <c r="H121" s="105" t="s">
        <v>843</v>
      </c>
      <c r="I121" s="106" t="s">
        <v>846</v>
      </c>
      <c r="J121" s="106" t="s">
        <v>847</v>
      </c>
    </row>
    <row r="122">
      <c r="A122" s="237" t="s">
        <v>683</v>
      </c>
      <c r="B122" s="237" t="s">
        <v>683</v>
      </c>
      <c r="C122" s="237" t="s">
        <v>683</v>
      </c>
      <c r="D122" s="237" t="s">
        <v>683</v>
      </c>
      <c r="E122" s="237" t="s">
        <v>683</v>
      </c>
      <c r="F122" s="237" t="s">
        <v>683</v>
      </c>
      <c r="G122" s="34" t="s">
        <v>683</v>
      </c>
      <c r="H122" s="34" t="s">
        <v>683</v>
      </c>
      <c r="I122" s="34" t="s">
        <v>683</v>
      </c>
      <c r="J122" s="34" t="s">
        <v>683</v>
      </c>
    </row>
    <row r="123">
      <c r="A123" s="228">
        <v>0.0</v>
      </c>
      <c r="B123" s="107">
        <v>1300.0</v>
      </c>
      <c r="C123" s="107">
        <v>9000.0</v>
      </c>
      <c r="D123" s="228">
        <v>0.0</v>
      </c>
      <c r="E123" s="228">
        <v>0.0</v>
      </c>
      <c r="F123" s="228">
        <v>0.0</v>
      </c>
      <c r="G123" s="107">
        <v>4000.0</v>
      </c>
      <c r="H123" s="107">
        <v>5500.0</v>
      </c>
      <c r="I123" s="107">
        <v>23900.0</v>
      </c>
      <c r="J123" s="107">
        <v>2100.0</v>
      </c>
    </row>
    <row r="124">
      <c r="B124" s="12" t="s">
        <v>2713</v>
      </c>
      <c r="C124" s="12" t="s">
        <v>2683</v>
      </c>
      <c r="G124" s="12" t="s">
        <v>2730</v>
      </c>
      <c r="H124" s="12" t="s">
        <v>2731</v>
      </c>
      <c r="I124" s="12" t="s">
        <v>2528</v>
      </c>
      <c r="J124" s="12" t="s">
        <v>2659</v>
      </c>
    </row>
    <row r="125">
      <c r="B125" s="12" t="s">
        <v>933</v>
      </c>
      <c r="C125" s="12" t="s">
        <v>717</v>
      </c>
      <c r="G125" s="12" t="s">
        <v>878</v>
      </c>
      <c r="H125" s="12" t="s">
        <v>2124</v>
      </c>
      <c r="I125" s="12" t="s">
        <v>1093</v>
      </c>
      <c r="J125" s="12" t="s">
        <v>604</v>
      </c>
    </row>
    <row r="126">
      <c r="C126" s="12" t="s">
        <v>2639</v>
      </c>
      <c r="H126" s="12" t="s">
        <v>2567</v>
      </c>
      <c r="I126" s="12" t="s">
        <v>2737</v>
      </c>
      <c r="J126" s="12" t="s">
        <v>2641</v>
      </c>
    </row>
    <row r="127">
      <c r="C127" s="12" t="s">
        <v>717</v>
      </c>
      <c r="H127" s="12" t="s">
        <v>962</v>
      </c>
      <c r="I127" s="12" t="s">
        <v>911</v>
      </c>
      <c r="J127" s="12" t="s">
        <v>923</v>
      </c>
    </row>
    <row r="128">
      <c r="H128" s="12" t="s">
        <v>2740</v>
      </c>
      <c r="I128" s="12" t="s">
        <v>2741</v>
      </c>
    </row>
    <row r="129">
      <c r="H129" s="12" t="s">
        <v>914</v>
      </c>
      <c r="I129" s="12" t="s">
        <v>604</v>
      </c>
    </row>
    <row r="130">
      <c r="H130" s="12" t="s">
        <v>2743</v>
      </c>
      <c r="I130" s="12" t="s">
        <v>2744</v>
      </c>
    </row>
    <row r="131">
      <c r="H131" s="12" t="s">
        <v>962</v>
      </c>
      <c r="I131" s="12" t="s">
        <v>604</v>
      </c>
    </row>
    <row r="132">
      <c r="I132" s="12" t="s">
        <v>2747</v>
      </c>
    </row>
    <row r="133">
      <c r="I133" s="12" t="s">
        <v>2750</v>
      </c>
    </row>
    <row r="134">
      <c r="I134" s="12" t="s">
        <v>2751</v>
      </c>
    </row>
    <row r="135">
      <c r="I135" s="12" t="s">
        <v>604</v>
      </c>
    </row>
    <row r="136">
      <c r="A136" s="108" t="s">
        <v>938</v>
      </c>
    </row>
    <row r="137">
      <c r="A137" s="109" t="s">
        <v>940</v>
      </c>
    </row>
    <row r="138">
      <c r="A138" s="109">
        <f>A141</f>
        <v>86400</v>
      </c>
    </row>
    <row r="139">
      <c r="A139" s="109">
        <v>2026.0</v>
      </c>
    </row>
    <row r="140">
      <c r="A140" s="109" t="s">
        <v>749</v>
      </c>
    </row>
    <row r="141">
      <c r="A141" s="110">
        <f>A144+B144+C144+D144+E144+F144+G144+H144+I144+J144</f>
        <v>86400</v>
      </c>
    </row>
    <row r="142">
      <c r="A142" s="85" t="s">
        <v>959</v>
      </c>
      <c r="B142" s="85" t="s">
        <v>960</v>
      </c>
      <c r="C142" s="85" t="s">
        <v>963</v>
      </c>
      <c r="D142" s="85" t="s">
        <v>964</v>
      </c>
      <c r="E142" s="85" t="s">
        <v>966</v>
      </c>
      <c r="F142" s="85" t="s">
        <v>967</v>
      </c>
      <c r="G142" s="111" t="s">
        <v>969</v>
      </c>
      <c r="H142" s="107" t="s">
        <v>972</v>
      </c>
      <c r="I142" s="107" t="s">
        <v>975</v>
      </c>
      <c r="J142" s="107" t="s">
        <v>976</v>
      </c>
    </row>
    <row r="143">
      <c r="A143" s="11" t="s">
        <v>683</v>
      </c>
      <c r="B143" s="11" t="s">
        <v>683</v>
      </c>
      <c r="C143" s="11" t="s">
        <v>683</v>
      </c>
      <c r="D143" s="11" t="s">
        <v>683</v>
      </c>
      <c r="E143" s="11" t="s">
        <v>683</v>
      </c>
      <c r="F143" s="11" t="s">
        <v>683</v>
      </c>
      <c r="G143" s="11" t="s">
        <v>683</v>
      </c>
      <c r="H143" s="34" t="s">
        <v>683</v>
      </c>
      <c r="I143" s="34" t="s">
        <v>683</v>
      </c>
      <c r="J143" s="34" t="s">
        <v>683</v>
      </c>
    </row>
    <row r="144">
      <c r="A144" s="85"/>
      <c r="B144" s="85"/>
      <c r="C144" s="85">
        <v>10000.0</v>
      </c>
      <c r="D144" s="85">
        <f>24500+19400</f>
        <v>43900</v>
      </c>
      <c r="E144" s="85">
        <v>12000.0</v>
      </c>
      <c r="F144" s="85"/>
      <c r="G144" s="85">
        <v>6500.0</v>
      </c>
      <c r="H144" s="85"/>
      <c r="I144" s="85"/>
      <c r="J144" s="85">
        <v>14000.0</v>
      </c>
    </row>
    <row r="145">
      <c r="C145" s="12" t="s">
        <v>2713</v>
      </c>
      <c r="D145" s="12" t="s">
        <v>2528</v>
      </c>
      <c r="E145" s="12" t="s">
        <v>2730</v>
      </c>
      <c r="G145" s="12" t="s">
        <v>2731</v>
      </c>
      <c r="J145" s="12" t="s">
        <v>2785</v>
      </c>
    </row>
    <row r="146">
      <c r="C146" s="12" t="s">
        <v>710</v>
      </c>
      <c r="D146" s="12" t="s">
        <v>1663</v>
      </c>
      <c r="E146" s="12" t="s">
        <v>1521</v>
      </c>
      <c r="G146" s="12" t="s">
        <v>1115</v>
      </c>
      <c r="J146" s="12" t="s">
        <v>605</v>
      </c>
    </row>
    <row r="147">
      <c r="D147" s="12" t="s">
        <v>989</v>
      </c>
      <c r="J147" s="12" t="s">
        <v>2567</v>
      </c>
    </row>
    <row r="148">
      <c r="D148" s="12" t="s">
        <v>1204</v>
      </c>
      <c r="J148" s="12" t="s">
        <v>605</v>
      </c>
    </row>
    <row r="149">
      <c r="D149" s="12" t="s">
        <v>1646</v>
      </c>
      <c r="J149" s="12" t="s">
        <v>2621</v>
      </c>
    </row>
    <row r="150">
      <c r="J150" s="12" t="s">
        <v>1521</v>
      </c>
    </row>
    <row r="158">
      <c r="A158" s="112" t="s">
        <v>1015</v>
      </c>
    </row>
    <row r="159">
      <c r="A159" s="112">
        <f>A162</f>
        <v>108300</v>
      </c>
    </row>
    <row r="160">
      <c r="A160" s="112">
        <v>2026.0</v>
      </c>
    </row>
    <row r="161">
      <c r="A161" s="112" t="s">
        <v>749</v>
      </c>
    </row>
    <row r="162">
      <c r="A162" s="112">
        <f>A165+B165+C165+D165+E165+F165+G165+H165</f>
        <v>108300</v>
      </c>
    </row>
    <row r="163">
      <c r="A163" s="85" t="s">
        <v>1035</v>
      </c>
      <c r="B163" s="85" t="s">
        <v>1013</v>
      </c>
      <c r="C163" s="85" t="s">
        <v>1016</v>
      </c>
      <c r="D163" s="85" t="s">
        <v>1023</v>
      </c>
      <c r="E163" s="85" t="s">
        <v>1037</v>
      </c>
      <c r="F163" s="85" t="s">
        <v>1038</v>
      </c>
      <c r="G163" s="85" t="s">
        <v>1039</v>
      </c>
      <c r="H163" s="85" t="s">
        <v>1033</v>
      </c>
    </row>
    <row r="164">
      <c r="A164" s="11" t="s">
        <v>683</v>
      </c>
      <c r="B164" s="11" t="s">
        <v>683</v>
      </c>
      <c r="C164" s="11" t="s">
        <v>683</v>
      </c>
      <c r="D164" s="11" t="s">
        <v>683</v>
      </c>
      <c r="E164" s="11" t="s">
        <v>683</v>
      </c>
      <c r="F164" s="11" t="s">
        <v>683</v>
      </c>
      <c r="G164" s="11" t="s">
        <v>683</v>
      </c>
      <c r="H164" s="11" t="s">
        <v>683</v>
      </c>
    </row>
    <row r="165">
      <c r="A165" s="85">
        <v>0.0</v>
      </c>
      <c r="B165" s="85">
        <v>0.0</v>
      </c>
      <c r="C165" s="85">
        <f>1000+12400</f>
        <v>13400</v>
      </c>
      <c r="D165" s="85">
        <f>10000+44400</f>
        <v>54400</v>
      </c>
      <c r="E165" s="85">
        <v>5000.0</v>
      </c>
      <c r="F165" s="85">
        <v>12500.0</v>
      </c>
      <c r="G165" s="85">
        <v>0.0</v>
      </c>
      <c r="H165" s="85">
        <f>1000+22000</f>
        <v>23000</v>
      </c>
    </row>
    <row r="166">
      <c r="C166" s="12" t="s">
        <v>2801</v>
      </c>
      <c r="D166" s="12" t="s">
        <v>2802</v>
      </c>
      <c r="E166" s="12" t="s">
        <v>2730</v>
      </c>
      <c r="F166" s="12" t="s">
        <v>2659</v>
      </c>
      <c r="H166" s="12" t="s">
        <v>2803</v>
      </c>
    </row>
    <row r="167">
      <c r="C167" s="12" t="s">
        <v>605</v>
      </c>
      <c r="D167" s="12" t="s">
        <v>710</v>
      </c>
      <c r="E167" s="12" t="s">
        <v>728</v>
      </c>
      <c r="F167" s="12" t="s">
        <v>605</v>
      </c>
      <c r="H167" s="12" t="s">
        <v>605</v>
      </c>
    </row>
    <row r="168">
      <c r="C168" s="12" t="s">
        <v>1688</v>
      </c>
      <c r="D168" s="12" t="s">
        <v>1616</v>
      </c>
      <c r="F168" s="12" t="s">
        <v>2568</v>
      </c>
      <c r="H168" s="12" t="s">
        <v>1266</v>
      </c>
    </row>
    <row r="169">
      <c r="F169" s="12" t="s">
        <v>605</v>
      </c>
    </row>
    <row r="170">
      <c r="F170" s="12" t="s">
        <v>1728</v>
      </c>
    </row>
    <row r="171">
      <c r="F171" s="12" t="s">
        <v>1276</v>
      </c>
    </row>
    <row r="174">
      <c r="A174" s="157" t="s">
        <v>1048</v>
      </c>
    </row>
    <row r="175">
      <c r="A175" s="157">
        <f>A178</f>
        <v>0</v>
      </c>
    </row>
    <row r="176">
      <c r="A176" s="157">
        <v>2026.0</v>
      </c>
    </row>
    <row r="177">
      <c r="A177" s="157" t="s">
        <v>749</v>
      </c>
    </row>
    <row r="178">
      <c r="A178" s="158">
        <f>A181+B181+C181+D181+E181+F181+G181+H181+I181+J181</f>
        <v>0</v>
      </c>
    </row>
    <row r="179">
      <c r="A179" s="105" t="s">
        <v>1066</v>
      </c>
      <c r="B179" s="105" t="s">
        <v>1068</v>
      </c>
      <c r="C179" s="105" t="s">
        <v>1069</v>
      </c>
      <c r="D179" s="105" t="s">
        <v>1070</v>
      </c>
      <c r="E179" s="105" t="s">
        <v>1072</v>
      </c>
      <c r="F179" s="105" t="s">
        <v>1073</v>
      </c>
      <c r="G179" s="105" t="s">
        <v>1074</v>
      </c>
      <c r="H179" s="105" t="s">
        <v>1076</v>
      </c>
      <c r="I179" s="105" t="s">
        <v>1078</v>
      </c>
      <c r="J179" s="105" t="s">
        <v>1080</v>
      </c>
    </row>
    <row r="180">
      <c r="A180" s="34" t="s">
        <v>683</v>
      </c>
      <c r="B180" s="34" t="s">
        <v>683</v>
      </c>
      <c r="C180" s="34" t="s">
        <v>683</v>
      </c>
      <c r="D180" s="34" t="s">
        <v>683</v>
      </c>
      <c r="E180" s="34" t="s">
        <v>683</v>
      </c>
      <c r="F180" s="34" t="s">
        <v>683</v>
      </c>
      <c r="G180" s="34" t="s">
        <v>683</v>
      </c>
      <c r="H180" s="34" t="s">
        <v>683</v>
      </c>
      <c r="I180" s="34" t="s">
        <v>683</v>
      </c>
      <c r="J180" s="34" t="s">
        <v>683</v>
      </c>
    </row>
    <row r="181">
      <c r="A181" s="105">
        <v>0.0</v>
      </c>
      <c r="B181" s="105">
        <v>0.0</v>
      </c>
      <c r="C181" s="105">
        <v>0.0</v>
      </c>
      <c r="D181" s="105">
        <v>0.0</v>
      </c>
      <c r="E181" s="105">
        <v>0.0</v>
      </c>
      <c r="F181" s="105">
        <v>0.0</v>
      </c>
      <c r="G181" s="105">
        <v>0.0</v>
      </c>
      <c r="H181" s="105">
        <v>0.0</v>
      </c>
      <c r="I181" s="105">
        <v>0.0</v>
      </c>
      <c r="J181" s="105">
        <v>0.0</v>
      </c>
    </row>
  </sheetData>
  <mergeCells count="61">
    <mergeCell ref="A175:J175"/>
    <mergeCell ref="A176:J176"/>
    <mergeCell ref="A177:J177"/>
    <mergeCell ref="A178:J178"/>
    <mergeCell ref="A141:J141"/>
    <mergeCell ref="A158:H158"/>
    <mergeCell ref="A159:H159"/>
    <mergeCell ref="A160:H160"/>
    <mergeCell ref="A161:H161"/>
    <mergeCell ref="A162:H162"/>
    <mergeCell ref="A174:J174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M8:M12"/>
    <mergeCell ref="J10:J11"/>
    <mergeCell ref="N12:O12"/>
    <mergeCell ref="L10:L11"/>
    <mergeCell ref="N10:Q10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1.88"/>
  </cols>
  <sheetData>
    <row r="1">
      <c r="A1" s="233" t="s">
        <v>2725</v>
      </c>
    </row>
    <row r="2">
      <c r="A2" s="234" t="s">
        <v>2727</v>
      </c>
    </row>
    <row r="3">
      <c r="A3" s="233" t="s">
        <v>6</v>
      </c>
    </row>
    <row r="4">
      <c r="A4" s="236">
        <f>100000+B6+C6+E6+H6</f>
        <v>74500</v>
      </c>
    </row>
    <row r="5">
      <c r="A5" s="11" t="s">
        <v>2481</v>
      </c>
      <c r="B5" s="11" t="s">
        <v>46</v>
      </c>
      <c r="C5" s="11" t="s">
        <v>1214</v>
      </c>
      <c r="D5" s="11" t="s">
        <v>26</v>
      </c>
      <c r="E5" s="11" t="s">
        <v>50</v>
      </c>
      <c r="H5" s="148" t="s">
        <v>56</v>
      </c>
    </row>
    <row r="6">
      <c r="A6" s="12" t="s">
        <v>2728</v>
      </c>
      <c r="B6" s="212">
        <v>-30000.0</v>
      </c>
      <c r="C6" s="212">
        <v>-5000.0</v>
      </c>
      <c r="D6" s="12" t="s">
        <v>2729</v>
      </c>
      <c r="E6" s="238">
        <v>-13500.0</v>
      </c>
      <c r="H6" s="239">
        <f>H8</f>
        <v>23000</v>
      </c>
    </row>
    <row r="7">
      <c r="A7" s="12" t="s">
        <v>1283</v>
      </c>
      <c r="B7" s="15" t="s">
        <v>35</v>
      </c>
      <c r="C7" s="12" t="s">
        <v>1548</v>
      </c>
      <c r="D7" s="12" t="s">
        <v>2732</v>
      </c>
      <c r="E7" s="14" t="s">
        <v>77</v>
      </c>
      <c r="F7" s="14" t="s">
        <v>1765</v>
      </c>
      <c r="G7" s="14" t="s">
        <v>81</v>
      </c>
      <c r="H7" s="148" t="s">
        <v>89</v>
      </c>
    </row>
    <row r="8">
      <c r="A8" s="12" t="s">
        <v>2733</v>
      </c>
      <c r="B8" s="14" t="s">
        <v>364</v>
      </c>
      <c r="C8" s="12" t="s">
        <v>2734</v>
      </c>
      <c r="D8" s="12" t="s">
        <v>2735</v>
      </c>
      <c r="E8" s="14" t="s">
        <v>2736</v>
      </c>
      <c r="F8" s="14" t="s">
        <v>2738</v>
      </c>
      <c r="G8" s="19"/>
      <c r="H8" s="240">
        <f>J10+J12+J13+J15+J16</f>
        <v>23000</v>
      </c>
    </row>
    <row r="9">
      <c r="A9" s="12" t="s">
        <v>2742</v>
      </c>
      <c r="B9" s="15" t="s">
        <v>40</v>
      </c>
      <c r="C9" s="12" t="s">
        <v>246</v>
      </c>
      <c r="D9" s="12" t="s">
        <v>2745</v>
      </c>
      <c r="E9" s="14" t="s">
        <v>1564</v>
      </c>
      <c r="F9" s="14" t="s">
        <v>2746</v>
      </c>
      <c r="G9" s="19"/>
      <c r="H9" s="241" t="s">
        <v>130</v>
      </c>
      <c r="I9" s="241" t="s">
        <v>135</v>
      </c>
      <c r="J9" s="241" t="s">
        <v>1</v>
      </c>
    </row>
    <row r="10">
      <c r="A10" s="12" t="s">
        <v>2754</v>
      </c>
      <c r="B10" s="14" t="s">
        <v>42</v>
      </c>
      <c r="C10" s="12" t="s">
        <v>2757</v>
      </c>
      <c r="E10" s="14" t="s">
        <v>195</v>
      </c>
      <c r="F10" s="19"/>
      <c r="G10" s="19"/>
      <c r="H10" s="50" t="s">
        <v>2758</v>
      </c>
      <c r="I10" s="50" t="s">
        <v>173</v>
      </c>
      <c r="J10" s="50">
        <v>4000.0</v>
      </c>
    </row>
    <row r="11">
      <c r="A11" s="12" t="s">
        <v>2760</v>
      </c>
      <c r="B11" s="15" t="s">
        <v>44</v>
      </c>
      <c r="C11" s="12" t="s">
        <v>190</v>
      </c>
      <c r="E11" s="14" t="s">
        <v>388</v>
      </c>
      <c r="F11" s="19"/>
      <c r="G11" s="19"/>
      <c r="I11" s="50" t="s">
        <v>249</v>
      </c>
    </row>
    <row r="12">
      <c r="A12" s="12" t="s">
        <v>2762</v>
      </c>
      <c r="B12" s="14" t="s">
        <v>42</v>
      </c>
      <c r="C12" s="12" t="s">
        <v>2763</v>
      </c>
      <c r="E12" s="14" t="s">
        <v>1283</v>
      </c>
      <c r="F12" s="19"/>
      <c r="G12" s="19"/>
      <c r="H12" s="50" t="s">
        <v>1283</v>
      </c>
      <c r="I12" s="50" t="s">
        <v>150</v>
      </c>
      <c r="J12" s="50">
        <v>1000.0</v>
      </c>
    </row>
    <row r="13">
      <c r="A13" s="12" t="s">
        <v>2764</v>
      </c>
      <c r="C13" s="12" t="s">
        <v>2623</v>
      </c>
      <c r="E13" s="14" t="s">
        <v>195</v>
      </c>
      <c r="F13" s="19"/>
      <c r="G13" s="19"/>
      <c r="H13" s="50" t="s">
        <v>2766</v>
      </c>
      <c r="I13" s="50" t="s">
        <v>2767</v>
      </c>
      <c r="J13" s="50">
        <v>16000.0</v>
      </c>
    </row>
    <row r="14">
      <c r="A14" s="12" t="s">
        <v>2768</v>
      </c>
      <c r="C14" s="12" t="s">
        <v>2769</v>
      </c>
      <c r="E14" s="14" t="s">
        <v>388</v>
      </c>
      <c r="F14" s="19"/>
      <c r="G14" s="19"/>
      <c r="I14" s="11" t="s">
        <v>1532</v>
      </c>
    </row>
    <row r="15">
      <c r="A15" s="12" t="s">
        <v>2771</v>
      </c>
      <c r="E15" s="14" t="s">
        <v>2772</v>
      </c>
      <c r="F15" s="19"/>
      <c r="G15" s="19"/>
      <c r="H15" s="50" t="s">
        <v>2774</v>
      </c>
      <c r="I15" s="50" t="s">
        <v>173</v>
      </c>
      <c r="J15" s="50">
        <v>1000.0</v>
      </c>
    </row>
    <row r="16">
      <c r="A16" s="12" t="s">
        <v>2776</v>
      </c>
      <c r="E16" s="14" t="s">
        <v>505</v>
      </c>
      <c r="F16" s="19"/>
      <c r="G16" s="19"/>
      <c r="H16" s="50" t="s">
        <v>2754</v>
      </c>
      <c r="I16" s="50" t="s">
        <v>2767</v>
      </c>
      <c r="J16" s="50">
        <v>1000.0</v>
      </c>
    </row>
    <row r="17">
      <c r="A17" s="12" t="s">
        <v>2777</v>
      </c>
      <c r="E17" s="14" t="s">
        <v>388</v>
      </c>
      <c r="F17" s="19"/>
      <c r="G17" s="19"/>
      <c r="H17" s="50" t="s">
        <v>2780</v>
      </c>
      <c r="I17" s="50" t="s">
        <v>150</v>
      </c>
      <c r="J17" s="50">
        <v>1000.0</v>
      </c>
    </row>
    <row r="18">
      <c r="A18" s="12" t="s">
        <v>2781</v>
      </c>
      <c r="E18" s="19"/>
      <c r="F18" s="19"/>
      <c r="G18" s="19"/>
      <c r="H18" s="187"/>
    </row>
    <row r="19">
      <c r="A19" s="12" t="s">
        <v>2783</v>
      </c>
      <c r="E19" s="19"/>
      <c r="F19" s="19"/>
      <c r="G19" s="19"/>
      <c r="H19" s="19"/>
      <c r="I19" s="19"/>
      <c r="J19" s="19"/>
    </row>
    <row r="20">
      <c r="A20" s="12" t="s">
        <v>2784</v>
      </c>
      <c r="E20" s="19"/>
      <c r="F20" s="19"/>
      <c r="G20" s="19"/>
      <c r="H20" s="19"/>
      <c r="I20" s="19"/>
      <c r="J20" s="19"/>
    </row>
    <row r="21">
      <c r="A21" s="12" t="s">
        <v>2788</v>
      </c>
      <c r="E21" s="19"/>
      <c r="F21" s="19"/>
      <c r="G21" s="19"/>
      <c r="H21" s="19"/>
      <c r="I21" s="19"/>
      <c r="J21" s="19"/>
    </row>
    <row r="22">
      <c r="A22" s="12" t="s">
        <v>2789</v>
      </c>
      <c r="E22" s="19"/>
      <c r="F22" s="19"/>
      <c r="G22" s="19"/>
      <c r="H22" s="19"/>
      <c r="I22" s="19"/>
      <c r="J22" s="19"/>
    </row>
    <row r="23">
      <c r="A23" s="12" t="s">
        <v>2791</v>
      </c>
      <c r="E23" s="19"/>
      <c r="F23" s="19"/>
      <c r="G23" s="19"/>
      <c r="H23" s="19"/>
      <c r="I23" s="19"/>
      <c r="J23" s="19"/>
    </row>
    <row r="24">
      <c r="A24" s="12" t="s">
        <v>2793</v>
      </c>
      <c r="E24" s="19"/>
      <c r="F24" s="19"/>
      <c r="G24" s="19"/>
      <c r="H24" s="19"/>
      <c r="I24" s="19"/>
      <c r="J24" s="19"/>
    </row>
    <row r="25">
      <c r="E25" s="19"/>
      <c r="F25" s="19"/>
      <c r="G25" s="19"/>
      <c r="H25" s="19"/>
      <c r="I25" s="19"/>
      <c r="J25" s="19"/>
    </row>
  </sheetData>
  <mergeCells count="14">
    <mergeCell ref="H6:J6"/>
    <mergeCell ref="H7:J7"/>
    <mergeCell ref="H8:J8"/>
    <mergeCell ref="H10:H11"/>
    <mergeCell ref="J10:J11"/>
    <mergeCell ref="H13:H14"/>
    <mergeCell ref="J13:J14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88"/>
  </cols>
  <sheetData>
    <row r="1">
      <c r="A1" s="10" t="s">
        <v>2822</v>
      </c>
    </row>
    <row r="2">
      <c r="A2" s="6" t="s">
        <v>2823</v>
      </c>
    </row>
    <row r="3">
      <c r="A3" s="10" t="s">
        <v>6</v>
      </c>
    </row>
    <row r="4">
      <c r="A4" s="9">
        <f>100000+B6</f>
        <v>70000</v>
      </c>
    </row>
    <row r="5">
      <c r="A5" s="11" t="s">
        <v>19</v>
      </c>
      <c r="B5" s="11" t="s">
        <v>22</v>
      </c>
    </row>
    <row r="6">
      <c r="A6" s="12" t="s">
        <v>2824</v>
      </c>
      <c r="B6" s="243">
        <v>-30000.0</v>
      </c>
    </row>
    <row r="7">
      <c r="A7" s="12" t="s">
        <v>2714</v>
      </c>
      <c r="B7" s="15" t="s">
        <v>35</v>
      </c>
    </row>
    <row r="8">
      <c r="A8" s="12" t="s">
        <v>2825</v>
      </c>
      <c r="B8" s="14" t="s">
        <v>2826</v>
      </c>
    </row>
    <row r="9">
      <c r="A9" s="12" t="s">
        <v>2827</v>
      </c>
      <c r="B9" s="15" t="s">
        <v>40</v>
      </c>
    </row>
    <row r="10">
      <c r="A10" s="12" t="s">
        <v>2828</v>
      </c>
      <c r="B10" s="14" t="s">
        <v>42</v>
      </c>
    </row>
    <row r="11">
      <c r="A11" s="12" t="s">
        <v>2829</v>
      </c>
      <c r="B11" s="15" t="s">
        <v>44</v>
      </c>
    </row>
    <row r="12">
      <c r="A12" s="12" t="s">
        <v>2830</v>
      </c>
      <c r="B12" s="14" t="s">
        <v>42</v>
      </c>
    </row>
    <row r="13">
      <c r="A13" s="12" t="s">
        <v>2831</v>
      </c>
    </row>
    <row r="14">
      <c r="A14" s="12" t="s">
        <v>2832</v>
      </c>
    </row>
    <row r="15">
      <c r="A15" s="12" t="s">
        <v>2833</v>
      </c>
    </row>
    <row r="16">
      <c r="A16" s="12" t="s">
        <v>2834</v>
      </c>
    </row>
    <row r="17">
      <c r="A17" s="12" t="s">
        <v>2835</v>
      </c>
    </row>
    <row r="18">
      <c r="A18" s="12" t="s">
        <v>2836</v>
      </c>
    </row>
    <row r="19">
      <c r="A19" s="12" t="s">
        <v>2837</v>
      </c>
    </row>
    <row r="20">
      <c r="A20" s="12" t="s">
        <v>2838</v>
      </c>
    </row>
    <row r="21">
      <c r="A21" s="12" t="s">
        <v>2839</v>
      </c>
    </row>
    <row r="22">
      <c r="A22" s="12" t="s">
        <v>2840</v>
      </c>
    </row>
    <row r="23">
      <c r="A23" s="12" t="s">
        <v>2841</v>
      </c>
    </row>
    <row r="24">
      <c r="A24" s="12" t="s">
        <v>2842</v>
      </c>
    </row>
    <row r="25">
      <c r="A25" s="12" t="s">
        <v>2843</v>
      </c>
    </row>
    <row r="26">
      <c r="A26" s="12" t="s">
        <v>2844</v>
      </c>
    </row>
    <row r="27">
      <c r="A27" s="12" t="s">
        <v>2845</v>
      </c>
    </row>
    <row r="28">
      <c r="A28" s="12" t="s">
        <v>2846</v>
      </c>
    </row>
    <row r="29">
      <c r="A29" s="12" t="s">
        <v>2847</v>
      </c>
    </row>
    <row r="30">
      <c r="A30" s="12" t="s">
        <v>2848</v>
      </c>
    </row>
    <row r="31">
      <c r="A31" s="12" t="s">
        <v>2849</v>
      </c>
    </row>
  </sheetData>
  <mergeCells count="4">
    <mergeCell ref="A1:J1"/>
    <mergeCell ref="A2:J2"/>
    <mergeCell ref="A3:J3"/>
    <mergeCell ref="A4:J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20.13"/>
  </cols>
  <sheetData>
    <row r="1">
      <c r="A1" s="1" t="s">
        <v>2852</v>
      </c>
    </row>
    <row r="2">
      <c r="A2" s="3" t="s">
        <v>2856</v>
      </c>
    </row>
    <row r="3">
      <c r="A3" s="1" t="s">
        <v>6</v>
      </c>
    </row>
    <row r="4">
      <c r="A4" s="244">
        <f>100000+B6</f>
        <v>78000</v>
      </c>
    </row>
    <row r="5">
      <c r="A5" s="11" t="s">
        <v>19</v>
      </c>
      <c r="B5" s="11" t="s">
        <v>2862</v>
      </c>
    </row>
    <row r="6">
      <c r="A6" s="12" t="s">
        <v>2863</v>
      </c>
      <c r="B6" s="123">
        <v>-22000.0</v>
      </c>
    </row>
    <row r="7">
      <c r="A7" s="12" t="s">
        <v>2864</v>
      </c>
      <c r="B7" s="12" t="s">
        <v>2865</v>
      </c>
    </row>
    <row r="8">
      <c r="A8" s="12" t="s">
        <v>2867</v>
      </c>
      <c r="B8" s="12" t="s">
        <v>2869</v>
      </c>
    </row>
    <row r="9">
      <c r="A9" s="12" t="s">
        <v>2871</v>
      </c>
      <c r="B9" s="12" t="s">
        <v>2872</v>
      </c>
    </row>
    <row r="10">
      <c r="A10" s="12" t="s">
        <v>2874</v>
      </c>
      <c r="B10" s="12" t="s">
        <v>2875</v>
      </c>
    </row>
    <row r="11">
      <c r="A11" s="12" t="s">
        <v>2877</v>
      </c>
      <c r="B11" s="12" t="s">
        <v>2879</v>
      </c>
    </row>
    <row r="12">
      <c r="A12" s="12" t="s">
        <v>2881</v>
      </c>
      <c r="B12" s="12" t="s">
        <v>2883</v>
      </c>
    </row>
    <row r="13">
      <c r="A13" s="12" t="s">
        <v>2885</v>
      </c>
    </row>
    <row r="14">
      <c r="A14" s="12" t="s">
        <v>2886</v>
      </c>
    </row>
    <row r="15">
      <c r="A15" s="12" t="s">
        <v>2888</v>
      </c>
    </row>
    <row r="16">
      <c r="A16" s="12" t="s">
        <v>2889</v>
      </c>
    </row>
    <row r="17">
      <c r="A17" s="12" t="s">
        <v>2890</v>
      </c>
    </row>
  </sheetData>
  <mergeCells count="4">
    <mergeCell ref="A1:J1"/>
    <mergeCell ref="A2:J2"/>
    <mergeCell ref="A3:J3"/>
    <mergeCell ref="A4:J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6" max="16" width="16.63"/>
    <col customWidth="1" min="17" max="17" width="16.75"/>
    <col customWidth="1" min="23" max="23" width="27.75"/>
  </cols>
  <sheetData>
    <row r="1">
      <c r="A1" s="182" t="s">
        <v>2928</v>
      </c>
    </row>
    <row r="2">
      <c r="A2" s="182" t="s">
        <v>2929</v>
      </c>
    </row>
    <row r="3">
      <c r="A3" s="182" t="s">
        <v>6</v>
      </c>
    </row>
    <row r="4">
      <c r="A4" s="176">
        <f>100000+B6+C6+E6+F6+I6+I11+J6+A56+K6+D27+M6+P6</f>
        <v>3089250</v>
      </c>
      <c r="W4" s="11"/>
    </row>
    <row r="5">
      <c r="A5" s="11" t="s">
        <v>19</v>
      </c>
      <c r="B5" s="11" t="s">
        <v>46</v>
      </c>
      <c r="C5" s="11" t="s">
        <v>1214</v>
      </c>
      <c r="D5" s="11" t="s">
        <v>26</v>
      </c>
      <c r="E5" s="11" t="s">
        <v>54</v>
      </c>
      <c r="F5" s="11" t="s">
        <v>59</v>
      </c>
      <c r="I5" s="11" t="s">
        <v>470</v>
      </c>
      <c r="J5" s="11" t="s">
        <v>1753</v>
      </c>
      <c r="K5" s="11" t="s">
        <v>232</v>
      </c>
      <c r="M5" s="23" t="s">
        <v>65</v>
      </c>
      <c r="P5" s="144" t="s">
        <v>60</v>
      </c>
      <c r="W5" s="169"/>
    </row>
    <row r="6">
      <c r="A6" s="12" t="s">
        <v>2942</v>
      </c>
      <c r="B6" s="176">
        <v>-230000.0</v>
      </c>
      <c r="C6" s="176">
        <v>38000.0</v>
      </c>
      <c r="D6" s="12" t="s">
        <v>2944</v>
      </c>
      <c r="E6" s="176">
        <v>35100.0</v>
      </c>
      <c r="F6" s="176">
        <v>20000.0</v>
      </c>
      <c r="I6" s="176">
        <v>-30000.0</v>
      </c>
      <c r="J6" s="176">
        <v>1000.0</v>
      </c>
      <c r="K6" s="173">
        <v>40000.0</v>
      </c>
      <c r="M6" s="145">
        <f>M8</f>
        <v>16500</v>
      </c>
      <c r="P6" s="176">
        <f>S12+S16+S20+S23+S26+S30+S33+S37+S40+S43+S46</f>
        <v>52750</v>
      </c>
    </row>
    <row r="7">
      <c r="A7" s="12" t="s">
        <v>2948</v>
      </c>
      <c r="B7" s="15" t="s">
        <v>35</v>
      </c>
      <c r="C7" s="12" t="s">
        <v>2949</v>
      </c>
      <c r="D7" s="12" t="s">
        <v>2950</v>
      </c>
      <c r="E7" s="12" t="s">
        <v>77</v>
      </c>
      <c r="F7" s="12" t="s">
        <v>77</v>
      </c>
      <c r="G7" s="12" t="s">
        <v>2951</v>
      </c>
      <c r="H7" s="12" t="s">
        <v>81</v>
      </c>
      <c r="I7" s="12" t="s">
        <v>83</v>
      </c>
      <c r="J7" s="12" t="s">
        <v>2953</v>
      </c>
      <c r="K7" s="64" t="s">
        <v>284</v>
      </c>
      <c r="L7" s="64" t="s">
        <v>285</v>
      </c>
      <c r="M7" s="148" t="s">
        <v>89</v>
      </c>
      <c r="P7" s="149" t="s">
        <v>85</v>
      </c>
      <c r="Q7" s="149" t="s">
        <v>87</v>
      </c>
      <c r="R7" s="149" t="s">
        <v>88</v>
      </c>
      <c r="S7" s="149" t="s">
        <v>1</v>
      </c>
      <c r="T7" s="149" t="s">
        <v>90</v>
      </c>
    </row>
    <row r="8">
      <c r="A8" s="12" t="s">
        <v>2955</v>
      </c>
      <c r="B8" s="14" t="s">
        <v>366</v>
      </c>
      <c r="C8" s="12" t="s">
        <v>2958</v>
      </c>
      <c r="D8" s="12" t="s">
        <v>2959</v>
      </c>
      <c r="E8" s="12" t="s">
        <v>2960</v>
      </c>
      <c r="F8" s="12" t="s">
        <v>1885</v>
      </c>
      <c r="G8" s="12" t="s">
        <v>2961</v>
      </c>
      <c r="H8" s="12" t="s">
        <v>2962</v>
      </c>
      <c r="I8" s="12" t="s">
        <v>1455</v>
      </c>
      <c r="K8" s="12" t="s">
        <v>312</v>
      </c>
      <c r="L8" s="12" t="s">
        <v>313</v>
      </c>
      <c r="M8" s="150">
        <f>O10+O12+O13+O15+O16+O17</f>
        <v>16500</v>
      </c>
      <c r="P8" s="151" t="s">
        <v>2965</v>
      </c>
      <c r="Q8" s="152" t="s">
        <v>106</v>
      </c>
      <c r="R8" s="152">
        <v>5.0</v>
      </c>
      <c r="S8" s="152">
        <f>R8*1000</f>
        <v>5000</v>
      </c>
      <c r="T8" s="153">
        <f>R8*20</f>
        <v>100</v>
      </c>
    </row>
    <row r="9">
      <c r="A9" s="12" t="s">
        <v>2968</v>
      </c>
      <c r="B9" s="14" t="s">
        <v>399</v>
      </c>
      <c r="C9" s="12" t="s">
        <v>2969</v>
      </c>
      <c r="D9" s="12" t="s">
        <v>2970</v>
      </c>
      <c r="E9" s="12" t="s">
        <v>2972</v>
      </c>
      <c r="F9" s="12" t="s">
        <v>2973</v>
      </c>
      <c r="G9" s="12" t="s">
        <v>2975</v>
      </c>
      <c r="H9" s="12" t="s">
        <v>2976</v>
      </c>
      <c r="I9" s="12" t="s">
        <v>2977</v>
      </c>
      <c r="K9" s="12" t="s">
        <v>336</v>
      </c>
      <c r="L9" s="12" t="s">
        <v>2978</v>
      </c>
      <c r="M9" s="250" t="s">
        <v>130</v>
      </c>
      <c r="N9" s="250" t="s">
        <v>135</v>
      </c>
      <c r="O9" s="250" t="s">
        <v>1</v>
      </c>
      <c r="Q9" s="152" t="s">
        <v>223</v>
      </c>
      <c r="R9" s="152">
        <v>0.5</v>
      </c>
      <c r="S9" s="153">
        <f>R9*10000</f>
        <v>5000</v>
      </c>
      <c r="T9" s="153">
        <f>R9*100</f>
        <v>50</v>
      </c>
    </row>
    <row r="10">
      <c r="A10" s="12" t="s">
        <v>2982</v>
      </c>
      <c r="B10" s="14" t="s">
        <v>437</v>
      </c>
      <c r="C10" s="12" t="s">
        <v>2984</v>
      </c>
      <c r="D10" s="12" t="s">
        <v>2985</v>
      </c>
      <c r="E10" s="12" t="s">
        <v>2034</v>
      </c>
      <c r="F10" s="12" t="s">
        <v>2986</v>
      </c>
      <c r="G10" s="12" t="s">
        <v>1898</v>
      </c>
      <c r="H10" s="12" t="s">
        <v>2987</v>
      </c>
      <c r="I10" s="11" t="s">
        <v>2988</v>
      </c>
      <c r="K10" s="12" t="s">
        <v>2989</v>
      </c>
      <c r="L10" s="12" t="s">
        <v>2990</v>
      </c>
      <c r="M10" s="50" t="s">
        <v>2991</v>
      </c>
      <c r="N10" s="50" t="s">
        <v>241</v>
      </c>
      <c r="O10" s="50">
        <v>3000.0</v>
      </c>
      <c r="Q10" s="152" t="s">
        <v>215</v>
      </c>
    </row>
    <row r="11">
      <c r="A11" s="12" t="s">
        <v>2992</v>
      </c>
      <c r="B11" s="14" t="s">
        <v>461</v>
      </c>
      <c r="C11" s="12" t="s">
        <v>2993</v>
      </c>
      <c r="D11" s="12" t="s">
        <v>2994</v>
      </c>
      <c r="E11" s="12" t="s">
        <v>660</v>
      </c>
      <c r="F11" s="12" t="s">
        <v>1040</v>
      </c>
      <c r="G11" s="12" t="s">
        <v>2995</v>
      </c>
      <c r="H11" s="12" t="s">
        <v>2997</v>
      </c>
      <c r="I11" s="176">
        <v>10000.0</v>
      </c>
      <c r="N11" s="50" t="s">
        <v>452</v>
      </c>
      <c r="Q11" s="152" t="s">
        <v>564</v>
      </c>
      <c r="R11" s="152">
        <v>4.0</v>
      </c>
      <c r="S11" s="153">
        <f>R11*1500</f>
        <v>6000</v>
      </c>
      <c r="T11" s="153">
        <f>R11*40</f>
        <v>160</v>
      </c>
    </row>
    <row r="12">
      <c r="A12" s="12" t="s">
        <v>3001</v>
      </c>
      <c r="B12" s="14" t="s">
        <v>484</v>
      </c>
      <c r="C12" s="12" t="s">
        <v>3003</v>
      </c>
      <c r="D12" s="12" t="s">
        <v>3004</v>
      </c>
      <c r="E12" s="12" t="s">
        <v>189</v>
      </c>
      <c r="F12" s="12" t="s">
        <v>3005</v>
      </c>
      <c r="G12" s="12" t="s">
        <v>3006</v>
      </c>
      <c r="H12" s="12" t="s">
        <v>3007</v>
      </c>
      <c r="I12" s="12" t="s">
        <v>3008</v>
      </c>
      <c r="M12" s="50" t="s">
        <v>3005</v>
      </c>
      <c r="N12" s="50" t="s">
        <v>1512</v>
      </c>
      <c r="O12" s="50">
        <v>1000.0</v>
      </c>
      <c r="Q12" s="182" t="s">
        <v>118</v>
      </c>
      <c r="S12" s="183">
        <f t="shared" ref="S12:T12" si="1">S8+S11+S9</f>
        <v>16000</v>
      </c>
      <c r="T12" s="183">
        <f t="shared" si="1"/>
        <v>310</v>
      </c>
    </row>
    <row r="13">
      <c r="A13" s="12" t="s">
        <v>3013</v>
      </c>
      <c r="B13" s="14" t="s">
        <v>506</v>
      </c>
      <c r="C13" s="12" t="s">
        <v>3014</v>
      </c>
      <c r="D13" s="12" t="s">
        <v>3015</v>
      </c>
      <c r="E13" s="12" t="s">
        <v>804</v>
      </c>
      <c r="F13" s="12" t="s">
        <v>3017</v>
      </c>
      <c r="G13" s="12" t="s">
        <v>3018</v>
      </c>
      <c r="H13" s="12" t="s">
        <v>3019</v>
      </c>
      <c r="I13" s="12" t="s">
        <v>3020</v>
      </c>
      <c r="M13" s="50" t="s">
        <v>3022</v>
      </c>
      <c r="N13" s="50" t="s">
        <v>241</v>
      </c>
      <c r="O13" s="50">
        <v>3000.0</v>
      </c>
      <c r="P13" s="151" t="s">
        <v>3024</v>
      </c>
      <c r="Q13" s="152" t="s">
        <v>106</v>
      </c>
      <c r="R13" s="152">
        <v>1.0</v>
      </c>
      <c r="S13" s="152">
        <f>R13*1000</f>
        <v>1000</v>
      </c>
      <c r="T13" s="153">
        <f>R13*20</f>
        <v>20</v>
      </c>
    </row>
    <row r="14">
      <c r="A14" s="12" t="s">
        <v>3026</v>
      </c>
      <c r="B14" s="14" t="s">
        <v>512</v>
      </c>
      <c r="C14" s="12" t="s">
        <v>3027</v>
      </c>
      <c r="D14" s="12" t="s">
        <v>3029</v>
      </c>
      <c r="E14" s="12" t="s">
        <v>208</v>
      </c>
      <c r="F14" s="12" t="s">
        <v>156</v>
      </c>
      <c r="G14" s="12" t="s">
        <v>3032</v>
      </c>
      <c r="I14" s="12" t="s">
        <v>3033</v>
      </c>
      <c r="N14" s="50" t="s">
        <v>1512</v>
      </c>
      <c r="Q14" s="152" t="s">
        <v>215</v>
      </c>
    </row>
    <row r="15">
      <c r="A15" s="12" t="s">
        <v>3034</v>
      </c>
      <c r="B15" s="14" t="s">
        <v>528</v>
      </c>
      <c r="C15" s="12" t="s">
        <v>3035</v>
      </c>
      <c r="D15" s="12" t="s">
        <v>3036</v>
      </c>
      <c r="E15" s="12" t="s">
        <v>227</v>
      </c>
      <c r="F15" s="12" t="s">
        <v>3037</v>
      </c>
      <c r="G15" s="12" t="s">
        <v>1267</v>
      </c>
      <c r="M15" s="50" t="s">
        <v>3038</v>
      </c>
      <c r="N15" s="50" t="s">
        <v>1512</v>
      </c>
      <c r="O15" s="50">
        <v>1000.0</v>
      </c>
      <c r="Q15" s="152" t="s">
        <v>564</v>
      </c>
      <c r="R15" s="152">
        <v>3.0</v>
      </c>
      <c r="S15" s="153">
        <f>R15*1500</f>
        <v>4500</v>
      </c>
      <c r="T15" s="153">
        <f>R15*40</f>
        <v>120</v>
      </c>
    </row>
    <row r="16">
      <c r="A16" s="12" t="s">
        <v>3042</v>
      </c>
      <c r="B16" s="15" t="s">
        <v>40</v>
      </c>
      <c r="C16" s="12" t="s">
        <v>3043</v>
      </c>
      <c r="D16" s="12" t="s">
        <v>3044</v>
      </c>
      <c r="E16" s="12" t="s">
        <v>3045</v>
      </c>
      <c r="F16" s="12" t="s">
        <v>562</v>
      </c>
      <c r="G16" s="12" t="s">
        <v>3046</v>
      </c>
      <c r="M16" s="50" t="s">
        <v>3047</v>
      </c>
      <c r="N16" s="50" t="s">
        <v>452</v>
      </c>
      <c r="O16" s="50">
        <v>1000.0</v>
      </c>
      <c r="Q16" s="182" t="s">
        <v>118</v>
      </c>
      <c r="S16" s="183">
        <f t="shared" ref="S16:T16" si="2">S13+S15</f>
        <v>5500</v>
      </c>
      <c r="T16" s="183">
        <f t="shared" si="2"/>
        <v>140</v>
      </c>
    </row>
    <row r="17">
      <c r="A17" s="12" t="s">
        <v>3051</v>
      </c>
      <c r="B17" s="14" t="s">
        <v>42</v>
      </c>
      <c r="C17" s="12" t="s">
        <v>3052</v>
      </c>
      <c r="D17" s="12" t="s">
        <v>3053</v>
      </c>
      <c r="E17" s="12" t="s">
        <v>1313</v>
      </c>
      <c r="F17" s="12" t="s">
        <v>1099</v>
      </c>
      <c r="G17" s="12" t="s">
        <v>3054</v>
      </c>
      <c r="M17" s="50" t="s">
        <v>3055</v>
      </c>
      <c r="N17" s="11" t="s">
        <v>1532</v>
      </c>
      <c r="O17" s="11">
        <v>7500.0</v>
      </c>
      <c r="P17" s="151" t="s">
        <v>3057</v>
      </c>
      <c r="Q17" s="152" t="s">
        <v>215</v>
      </c>
    </row>
    <row r="18">
      <c r="A18" s="12" t="s">
        <v>3058</v>
      </c>
      <c r="B18" s="15" t="s">
        <v>44</v>
      </c>
      <c r="C18" s="12" t="s">
        <v>2417</v>
      </c>
      <c r="D18" s="12" t="s">
        <v>3061</v>
      </c>
      <c r="E18" s="12" t="s">
        <v>295</v>
      </c>
      <c r="F18" s="12" t="s">
        <v>247</v>
      </c>
      <c r="M18" s="187"/>
      <c r="N18" s="187"/>
      <c r="O18" s="187"/>
      <c r="Q18" s="152" t="s">
        <v>259</v>
      </c>
      <c r="R18" s="152">
        <v>1.0</v>
      </c>
      <c r="S18" s="153">
        <f t="shared" ref="S18:S19" si="3">R18*1500</f>
        <v>1500</v>
      </c>
      <c r="T18" s="153">
        <f t="shared" ref="T18:T19" si="4">R18*40</f>
        <v>40</v>
      </c>
    </row>
    <row r="19">
      <c r="A19" s="12" t="s">
        <v>3071</v>
      </c>
      <c r="B19" s="14" t="s">
        <v>42</v>
      </c>
      <c r="C19" s="12" t="s">
        <v>3076</v>
      </c>
      <c r="D19" s="12" t="s">
        <v>3077</v>
      </c>
      <c r="E19" s="12" t="s">
        <v>227</v>
      </c>
      <c r="F19" s="12" t="s">
        <v>1256</v>
      </c>
      <c r="M19" s="187"/>
      <c r="N19" s="187"/>
      <c r="O19" s="187"/>
      <c r="Q19" s="152" t="s">
        <v>2032</v>
      </c>
      <c r="R19" s="152">
        <v>1.0</v>
      </c>
      <c r="S19" s="153">
        <f t="shared" si="3"/>
        <v>1500</v>
      </c>
      <c r="T19" s="153">
        <f t="shared" si="4"/>
        <v>40</v>
      </c>
    </row>
    <row r="20">
      <c r="A20" s="12" t="s">
        <v>3093</v>
      </c>
      <c r="C20" s="12" t="s">
        <v>3095</v>
      </c>
      <c r="D20" s="12" t="s">
        <v>3098</v>
      </c>
      <c r="E20" s="12" t="s">
        <v>3100</v>
      </c>
      <c r="F20" s="12" t="s">
        <v>3101</v>
      </c>
      <c r="M20" s="187"/>
      <c r="N20" s="187"/>
      <c r="O20" s="187"/>
      <c r="Q20" s="182" t="s">
        <v>118</v>
      </c>
      <c r="S20" s="183">
        <f t="shared" ref="S20:T20" si="5">S18+S19</f>
        <v>3000</v>
      </c>
      <c r="T20" s="183">
        <f t="shared" si="5"/>
        <v>80</v>
      </c>
    </row>
    <row r="21">
      <c r="A21" s="12" t="s">
        <v>3118</v>
      </c>
      <c r="C21" s="12" t="s">
        <v>3121</v>
      </c>
      <c r="E21" s="12" t="s">
        <v>571</v>
      </c>
      <c r="F21" s="12" t="s">
        <v>2986</v>
      </c>
      <c r="M21" s="187"/>
      <c r="N21" s="187"/>
      <c r="O21" s="187"/>
      <c r="P21" s="151" t="s">
        <v>3128</v>
      </c>
      <c r="Q21" s="152" t="s">
        <v>215</v>
      </c>
    </row>
    <row r="22">
      <c r="A22" s="12" t="s">
        <v>3131</v>
      </c>
      <c r="C22" s="12" t="s">
        <v>3134</v>
      </c>
      <c r="E22" s="12" t="s">
        <v>295</v>
      </c>
      <c r="F22" s="12" t="s">
        <v>1040</v>
      </c>
      <c r="Q22" s="152" t="s">
        <v>564</v>
      </c>
      <c r="R22" s="152">
        <v>1.5</v>
      </c>
      <c r="S22" s="153">
        <f>R22*1500</f>
        <v>2250</v>
      </c>
      <c r="T22" s="153">
        <f>R22*40</f>
        <v>60</v>
      </c>
    </row>
    <row r="23">
      <c r="A23" s="12" t="s">
        <v>3151</v>
      </c>
      <c r="C23" s="12" t="s">
        <v>175</v>
      </c>
      <c r="E23" s="12" t="s">
        <v>3154</v>
      </c>
      <c r="F23" s="12" t="s">
        <v>2968</v>
      </c>
      <c r="Q23" s="182" t="s">
        <v>118</v>
      </c>
      <c r="S23" s="183">
        <f t="shared" ref="S23:T23" si="6">S22</f>
        <v>2250</v>
      </c>
      <c r="T23" s="183">
        <f t="shared" si="6"/>
        <v>60</v>
      </c>
    </row>
    <row r="24">
      <c r="A24" s="33" t="s">
        <v>3161</v>
      </c>
      <c r="C24" s="12" t="s">
        <v>3162</v>
      </c>
      <c r="E24" s="12" t="s">
        <v>3163</v>
      </c>
      <c r="F24" s="12" t="s">
        <v>195</v>
      </c>
      <c r="P24" s="151" t="s">
        <v>3165</v>
      </c>
      <c r="Q24" s="152" t="s">
        <v>215</v>
      </c>
    </row>
    <row r="25">
      <c r="A25" s="12" t="s">
        <v>3167</v>
      </c>
      <c r="C25" s="12" t="s">
        <v>1251</v>
      </c>
      <c r="E25" s="12" t="s">
        <v>398</v>
      </c>
      <c r="F25" s="12" t="s">
        <v>1099</v>
      </c>
      <c r="Q25" s="152" t="s">
        <v>564</v>
      </c>
      <c r="R25" s="152">
        <v>2.5</v>
      </c>
      <c r="S25" s="153">
        <f>R25*1500</f>
        <v>3750</v>
      </c>
      <c r="T25" s="153">
        <f>R25*40</f>
        <v>100</v>
      </c>
    </row>
    <row r="26">
      <c r="A26" s="12" t="s">
        <v>3173</v>
      </c>
      <c r="C26" s="12" t="s">
        <v>3174</v>
      </c>
      <c r="D26" s="11" t="s">
        <v>455</v>
      </c>
      <c r="E26" s="12" t="s">
        <v>1859</v>
      </c>
      <c r="F26" s="12" t="s">
        <v>3176</v>
      </c>
      <c r="Q26" s="182" t="s">
        <v>118</v>
      </c>
      <c r="S26" s="183">
        <f t="shared" ref="S26:T26" si="7">S25</f>
        <v>3750</v>
      </c>
      <c r="T26" s="183">
        <f t="shared" si="7"/>
        <v>100</v>
      </c>
    </row>
    <row r="27">
      <c r="A27" s="12" t="s">
        <v>3178</v>
      </c>
      <c r="C27" s="12" t="s">
        <v>540</v>
      </c>
      <c r="D27" s="173">
        <v>50000.0</v>
      </c>
      <c r="E27" s="12" t="s">
        <v>571</v>
      </c>
      <c r="F27" s="12" t="s">
        <v>2986</v>
      </c>
      <c r="P27" s="151" t="s">
        <v>3117</v>
      </c>
      <c r="Q27" s="152" t="s">
        <v>106</v>
      </c>
      <c r="R27" s="152">
        <v>1.0</v>
      </c>
      <c r="S27" s="152">
        <f>R27*1000</f>
        <v>1000</v>
      </c>
      <c r="T27" s="153">
        <f>R27*20</f>
        <v>20</v>
      </c>
    </row>
    <row r="28">
      <c r="A28" s="12" t="s">
        <v>3184</v>
      </c>
      <c r="C28" s="12" t="s">
        <v>3186</v>
      </c>
      <c r="D28" s="14" t="s">
        <v>784</v>
      </c>
      <c r="E28" s="12" t="s">
        <v>1803</v>
      </c>
      <c r="F28" s="12" t="s">
        <v>498</v>
      </c>
      <c r="Q28" s="152" t="s">
        <v>215</v>
      </c>
    </row>
    <row r="29">
      <c r="A29" s="12" t="s">
        <v>3188</v>
      </c>
      <c r="C29" s="12" t="s">
        <v>3189</v>
      </c>
      <c r="D29" s="14" t="s">
        <v>3190</v>
      </c>
      <c r="E29" s="12" t="s">
        <v>386</v>
      </c>
      <c r="F29" s="12" t="s">
        <v>3192</v>
      </c>
      <c r="Q29" s="152" t="s">
        <v>564</v>
      </c>
      <c r="R29" s="152">
        <v>0.5</v>
      </c>
      <c r="S29" s="153">
        <f>R29*1500</f>
        <v>750</v>
      </c>
      <c r="T29" s="153">
        <f>R29*40</f>
        <v>20</v>
      </c>
    </row>
    <row r="30">
      <c r="A30" s="12" t="s">
        <v>3198</v>
      </c>
      <c r="C30" s="12" t="s">
        <v>371</v>
      </c>
      <c r="E30" s="12" t="s">
        <v>1803</v>
      </c>
      <c r="F30" s="12" t="s">
        <v>195</v>
      </c>
      <c r="Q30" s="182" t="s">
        <v>118</v>
      </c>
      <c r="S30" s="183">
        <f t="shared" ref="S30:T30" si="8">S29+S27</f>
        <v>1750</v>
      </c>
      <c r="T30" s="183">
        <f t="shared" si="8"/>
        <v>40</v>
      </c>
    </row>
    <row r="31">
      <c r="A31" s="12" t="s">
        <v>3207</v>
      </c>
      <c r="C31" s="12" t="s">
        <v>1948</v>
      </c>
      <c r="E31" s="12" t="s">
        <v>3209</v>
      </c>
      <c r="F31" s="12" t="s">
        <v>286</v>
      </c>
      <c r="P31" s="151" t="s">
        <v>3210</v>
      </c>
      <c r="Q31" s="152" t="s">
        <v>215</v>
      </c>
    </row>
    <row r="32">
      <c r="A32" s="33" t="s">
        <v>3211</v>
      </c>
      <c r="C32" s="12" t="s">
        <v>3212</v>
      </c>
      <c r="E32" s="12" t="s">
        <v>1815</v>
      </c>
      <c r="F32" s="12" t="s">
        <v>3215</v>
      </c>
      <c r="Q32" s="152" t="s">
        <v>564</v>
      </c>
      <c r="R32" s="152">
        <v>2.0</v>
      </c>
      <c r="S32" s="153">
        <f>R32*1500</f>
        <v>3000</v>
      </c>
      <c r="T32" s="153">
        <f>R32*40</f>
        <v>80</v>
      </c>
    </row>
    <row r="33">
      <c r="A33" s="33" t="s">
        <v>3218</v>
      </c>
      <c r="C33" s="12" t="s">
        <v>3219</v>
      </c>
      <c r="E33" s="12" t="s">
        <v>672</v>
      </c>
      <c r="F33" s="12" t="s">
        <v>195</v>
      </c>
      <c r="Q33" s="182" t="s">
        <v>118</v>
      </c>
      <c r="S33" s="183">
        <f t="shared" ref="S33:T33" si="9">S32</f>
        <v>3000</v>
      </c>
      <c r="T33" s="183">
        <f t="shared" si="9"/>
        <v>80</v>
      </c>
    </row>
    <row r="34">
      <c r="A34" s="33" t="s">
        <v>3223</v>
      </c>
      <c r="C34" s="12" t="s">
        <v>3224</v>
      </c>
      <c r="E34" s="12" t="s">
        <v>208</v>
      </c>
      <c r="F34" s="12" t="s">
        <v>1256</v>
      </c>
      <c r="P34" s="151" t="s">
        <v>3227</v>
      </c>
      <c r="Q34" s="152" t="s">
        <v>223</v>
      </c>
      <c r="R34" s="152">
        <v>1.0</v>
      </c>
      <c r="S34" s="153">
        <f>R34*10000</f>
        <v>10000</v>
      </c>
      <c r="T34" s="153">
        <f>R34*100</f>
        <v>100</v>
      </c>
    </row>
    <row r="35">
      <c r="A35" s="33" t="s">
        <v>3229</v>
      </c>
      <c r="C35" s="12" t="s">
        <v>3230</v>
      </c>
      <c r="E35" s="12" t="s">
        <v>736</v>
      </c>
      <c r="F35" s="12" t="s">
        <v>505</v>
      </c>
      <c r="Q35" s="152" t="s">
        <v>215</v>
      </c>
    </row>
    <row r="36">
      <c r="A36" s="33" t="s">
        <v>3232</v>
      </c>
      <c r="E36" s="68" t="s">
        <v>1351</v>
      </c>
      <c r="F36" s="12" t="s">
        <v>1570</v>
      </c>
      <c r="Q36" s="152" t="s">
        <v>564</v>
      </c>
      <c r="R36" s="152">
        <v>3.0</v>
      </c>
      <c r="S36" s="153">
        <f>R36*1500</f>
        <v>4500</v>
      </c>
      <c r="T36" s="153">
        <f>R36*40</f>
        <v>120</v>
      </c>
    </row>
    <row r="37">
      <c r="A37" s="33" t="s">
        <v>3236</v>
      </c>
      <c r="F37" s="12" t="s">
        <v>3237</v>
      </c>
      <c r="Q37" s="182" t="s">
        <v>118</v>
      </c>
      <c r="S37" s="183">
        <f t="shared" ref="S37:T37" si="10">S36+S34</f>
        <v>14500</v>
      </c>
      <c r="T37" s="183">
        <f t="shared" si="10"/>
        <v>220</v>
      </c>
    </row>
    <row r="38">
      <c r="A38" s="33" t="s">
        <v>3242</v>
      </c>
      <c r="E38" s="64" t="s">
        <v>1352</v>
      </c>
      <c r="F38" s="12" t="s">
        <v>505</v>
      </c>
      <c r="P38" s="151" t="s">
        <v>3026</v>
      </c>
      <c r="Q38" s="152" t="s">
        <v>215</v>
      </c>
    </row>
    <row r="39">
      <c r="A39" s="12" t="s">
        <v>3243</v>
      </c>
      <c r="E39" s="12" t="s">
        <v>2965</v>
      </c>
      <c r="F39" s="12" t="s">
        <v>1333</v>
      </c>
      <c r="Q39" s="152" t="s">
        <v>564</v>
      </c>
      <c r="R39" s="152">
        <v>0.5</v>
      </c>
      <c r="S39" s="153">
        <f>R39*1500</f>
        <v>750</v>
      </c>
      <c r="T39" s="153">
        <f>R39*40</f>
        <v>20</v>
      </c>
    </row>
    <row r="40">
      <c r="A40" s="12" t="s">
        <v>3248</v>
      </c>
      <c r="E40" s="12" t="s">
        <v>3249</v>
      </c>
      <c r="F40" s="12" t="s">
        <v>3250</v>
      </c>
      <c r="Q40" s="182" t="s">
        <v>118</v>
      </c>
      <c r="S40" s="183">
        <f t="shared" ref="S40:T40" si="11">S39</f>
        <v>750</v>
      </c>
      <c r="T40" s="183">
        <f t="shared" si="11"/>
        <v>20</v>
      </c>
    </row>
    <row r="41">
      <c r="A41" s="12" t="s">
        <v>3252</v>
      </c>
      <c r="E41" s="64" t="s">
        <v>3254</v>
      </c>
      <c r="F41" s="12" t="s">
        <v>2986</v>
      </c>
      <c r="P41" s="151" t="s">
        <v>3255</v>
      </c>
      <c r="Q41" s="152" t="s">
        <v>215</v>
      </c>
    </row>
    <row r="42">
      <c r="A42" s="12" t="s">
        <v>3259</v>
      </c>
      <c r="E42" s="64" t="s">
        <v>3261</v>
      </c>
      <c r="F42" s="12" t="s">
        <v>1999</v>
      </c>
      <c r="Q42" s="152" t="s">
        <v>564</v>
      </c>
      <c r="R42" s="152">
        <v>0.5</v>
      </c>
      <c r="S42" s="153">
        <f>R42*1500</f>
        <v>750</v>
      </c>
      <c r="T42" s="153">
        <f>R42*40</f>
        <v>20</v>
      </c>
    </row>
    <row r="43">
      <c r="A43" s="12" t="s">
        <v>3267</v>
      </c>
      <c r="E43" s="12"/>
      <c r="F43" s="12" t="s">
        <v>505</v>
      </c>
      <c r="Q43" s="182" t="s">
        <v>118</v>
      </c>
      <c r="S43" s="183">
        <f t="shared" ref="S43:T43" si="12">S42</f>
        <v>750</v>
      </c>
      <c r="T43" s="183">
        <f t="shared" si="12"/>
        <v>20</v>
      </c>
    </row>
    <row r="44">
      <c r="A44" s="12" t="s">
        <v>3272</v>
      </c>
      <c r="E44" s="12"/>
      <c r="F44" s="12" t="s">
        <v>1570</v>
      </c>
      <c r="P44" s="261" t="s">
        <v>3276</v>
      </c>
      <c r="Q44" s="152" t="s">
        <v>215</v>
      </c>
    </row>
    <row r="45">
      <c r="A45" s="12" t="s">
        <v>3280</v>
      </c>
      <c r="E45" s="12"/>
      <c r="F45" s="12" t="s">
        <v>3281</v>
      </c>
      <c r="Q45" s="152" t="s">
        <v>3282</v>
      </c>
      <c r="R45" s="152">
        <v>1.0</v>
      </c>
      <c r="S45" s="153">
        <f>R45*1500</f>
        <v>1500</v>
      </c>
      <c r="T45" s="153">
        <f>R45*40</f>
        <v>40</v>
      </c>
    </row>
    <row r="46">
      <c r="A46" s="12" t="s">
        <v>3287</v>
      </c>
      <c r="E46" s="12"/>
      <c r="F46" s="12" t="s">
        <v>195</v>
      </c>
      <c r="Q46" s="182" t="s">
        <v>118</v>
      </c>
      <c r="S46" s="183">
        <f t="shared" ref="S46:T46" si="13">S45</f>
        <v>1500</v>
      </c>
      <c r="T46" s="183">
        <f t="shared" si="13"/>
        <v>40</v>
      </c>
    </row>
    <row r="47">
      <c r="A47" s="12" t="s">
        <v>3291</v>
      </c>
      <c r="E47" s="12"/>
      <c r="F47" s="12" t="s">
        <v>1570</v>
      </c>
    </row>
    <row r="48">
      <c r="A48" s="12" t="s">
        <v>3293</v>
      </c>
      <c r="F48" s="12"/>
      <c r="G48" s="12"/>
    </row>
    <row r="49">
      <c r="A49" s="12" t="s">
        <v>3295</v>
      </c>
      <c r="F49" s="12"/>
      <c r="G49" s="12"/>
    </row>
    <row r="50">
      <c r="A50" s="12" t="s">
        <v>3297</v>
      </c>
    </row>
    <row r="51">
      <c r="A51" s="12" t="s">
        <v>3298</v>
      </c>
    </row>
    <row r="52">
      <c r="A52" s="12" t="s">
        <v>3300</v>
      </c>
    </row>
    <row r="55">
      <c r="A55" s="82" t="s">
        <v>567</v>
      </c>
    </row>
    <row r="56">
      <c r="A56" s="82">
        <f>A58+A73+A85+A97+A113+A125+A144+A179</f>
        <v>2985900</v>
      </c>
      <c r="F56" s="64"/>
    </row>
    <row r="57">
      <c r="A57" s="84" t="s">
        <v>575</v>
      </c>
    </row>
    <row r="58">
      <c r="A58" s="84">
        <v>22000.0</v>
      </c>
    </row>
    <row r="59">
      <c r="A59" s="84">
        <v>2026.0</v>
      </c>
    </row>
    <row r="60">
      <c r="A60" s="85" t="s">
        <v>576</v>
      </c>
      <c r="B60" s="85" t="s">
        <v>577</v>
      </c>
      <c r="C60" s="85" t="s">
        <v>578</v>
      </c>
      <c r="D60" s="85" t="s">
        <v>579</v>
      </c>
      <c r="E60" s="85" t="s">
        <v>580</v>
      </c>
    </row>
    <row r="61">
      <c r="B61" s="64" t="s">
        <v>3311</v>
      </c>
      <c r="C61" s="64" t="s">
        <v>3312</v>
      </c>
      <c r="D61" s="64" t="s">
        <v>2175</v>
      </c>
    </row>
    <row r="62">
      <c r="B62" s="12" t="s">
        <v>3314</v>
      </c>
      <c r="C62" s="12" t="s">
        <v>3315</v>
      </c>
      <c r="D62" s="12" t="s">
        <v>3316</v>
      </c>
    </row>
    <row r="63">
      <c r="B63" s="12" t="s">
        <v>620</v>
      </c>
      <c r="C63" s="12" t="s">
        <v>653</v>
      </c>
      <c r="D63" s="12" t="s">
        <v>1369</v>
      </c>
    </row>
    <row r="64">
      <c r="B64" s="262" t="s">
        <v>3320</v>
      </c>
      <c r="C64" s="12" t="s">
        <v>3321</v>
      </c>
      <c r="D64" s="12" t="s">
        <v>815</v>
      </c>
    </row>
    <row r="65">
      <c r="B65" s="262" t="s">
        <v>653</v>
      </c>
      <c r="C65" s="12" t="s">
        <v>605</v>
      </c>
    </row>
    <row r="66">
      <c r="B66" s="12" t="s">
        <v>3324</v>
      </c>
      <c r="C66" s="12" t="s">
        <v>783</v>
      </c>
    </row>
    <row r="67">
      <c r="B67" s="12" t="s">
        <v>826</v>
      </c>
      <c r="C67" s="12" t="s">
        <v>3326</v>
      </c>
    </row>
    <row r="68">
      <c r="C68" s="12" t="s">
        <v>878</v>
      </c>
    </row>
    <row r="69">
      <c r="C69" s="12" t="s">
        <v>3328</v>
      </c>
    </row>
    <row r="70">
      <c r="C70" s="12" t="s">
        <v>699</v>
      </c>
    </row>
    <row r="71">
      <c r="A71" s="86"/>
    </row>
    <row r="72">
      <c r="A72" s="87" t="s">
        <v>840</v>
      </c>
    </row>
    <row r="73">
      <c r="A73" s="87">
        <v>26250.0</v>
      </c>
    </row>
    <row r="74">
      <c r="A74" s="88">
        <v>2026.0</v>
      </c>
    </row>
    <row r="75">
      <c r="A75" s="85" t="s">
        <v>592</v>
      </c>
      <c r="B75" s="85" t="s">
        <v>593</v>
      </c>
      <c r="C75" s="85" t="s">
        <v>594</v>
      </c>
      <c r="D75" s="85" t="s">
        <v>595</v>
      </c>
      <c r="E75" s="85" t="s">
        <v>596</v>
      </c>
      <c r="F75" s="85" t="s">
        <v>597</v>
      </c>
    </row>
    <row r="76">
      <c r="A76" s="64" t="s">
        <v>3336</v>
      </c>
      <c r="D76" s="64" t="s">
        <v>3337</v>
      </c>
      <c r="E76" s="64" t="s">
        <v>3338</v>
      </c>
      <c r="F76" s="64" t="s">
        <v>3339</v>
      </c>
    </row>
    <row r="77">
      <c r="A77" s="12" t="s">
        <v>3340</v>
      </c>
      <c r="D77" s="12" t="s">
        <v>3341</v>
      </c>
      <c r="E77" s="12" t="s">
        <v>3316</v>
      </c>
      <c r="F77" s="12" t="s">
        <v>3342</v>
      </c>
    </row>
    <row r="78">
      <c r="A78" s="12" t="s">
        <v>604</v>
      </c>
      <c r="D78" s="12" t="s">
        <v>604</v>
      </c>
      <c r="E78" s="12" t="s">
        <v>653</v>
      </c>
      <c r="F78" s="12" t="s">
        <v>638</v>
      </c>
    </row>
    <row r="79">
      <c r="A79" s="12" t="s">
        <v>3343</v>
      </c>
      <c r="D79" s="12" t="s">
        <v>926</v>
      </c>
      <c r="E79" s="12" t="s">
        <v>1183</v>
      </c>
      <c r="F79" s="12" t="s">
        <v>1171</v>
      </c>
    </row>
    <row r="80">
      <c r="A80" s="12" t="s">
        <v>1171</v>
      </c>
      <c r="E80" s="12" t="s">
        <v>3344</v>
      </c>
      <c r="F80" s="12" t="s">
        <v>621</v>
      </c>
    </row>
    <row r="81">
      <c r="A81" s="12" t="s">
        <v>609</v>
      </c>
      <c r="E81" s="12" t="s">
        <v>1613</v>
      </c>
    </row>
    <row r="82">
      <c r="E82" s="12" t="s">
        <v>1403</v>
      </c>
    </row>
    <row r="83">
      <c r="A83" s="86"/>
    </row>
    <row r="84">
      <c r="A84" s="6" t="s">
        <v>659</v>
      </c>
    </row>
    <row r="85">
      <c r="A85" s="6">
        <v>43900.0</v>
      </c>
    </row>
    <row r="86">
      <c r="A86" s="35">
        <v>2026.0</v>
      </c>
    </row>
    <row r="87">
      <c r="A87" s="96" t="s">
        <v>3346</v>
      </c>
    </row>
    <row r="88">
      <c r="A88" s="85" t="s">
        <v>666</v>
      </c>
      <c r="B88" s="85" t="s">
        <v>668</v>
      </c>
      <c r="C88" s="85" t="s">
        <v>671</v>
      </c>
      <c r="D88" s="85" t="s">
        <v>674</v>
      </c>
      <c r="E88" s="85" t="s">
        <v>675</v>
      </c>
      <c r="F88" s="85" t="s">
        <v>676</v>
      </c>
      <c r="G88" s="85" t="s">
        <v>678</v>
      </c>
      <c r="H88" s="85" t="s">
        <v>680</v>
      </c>
    </row>
    <row r="89">
      <c r="A89" s="68" t="s">
        <v>683</v>
      </c>
      <c r="B89" s="68" t="s">
        <v>3347</v>
      </c>
      <c r="C89" s="68" t="s">
        <v>683</v>
      </c>
      <c r="D89" s="68" t="s">
        <v>687</v>
      </c>
      <c r="E89" s="68" t="s">
        <v>3348</v>
      </c>
      <c r="F89" s="68" t="s">
        <v>1466</v>
      </c>
      <c r="G89" s="68" t="s">
        <v>1317</v>
      </c>
      <c r="H89" s="68" t="s">
        <v>1466</v>
      </c>
    </row>
    <row r="90">
      <c r="B90" s="12" t="s">
        <v>2965</v>
      </c>
      <c r="D90" s="12" t="s">
        <v>3341</v>
      </c>
      <c r="E90" s="12" t="s">
        <v>3349</v>
      </c>
      <c r="F90" s="12" t="s">
        <v>3342</v>
      </c>
      <c r="G90" s="12" t="s">
        <v>3350</v>
      </c>
      <c r="H90" s="12" t="s">
        <v>3351</v>
      </c>
    </row>
    <row r="91">
      <c r="B91" s="12" t="s">
        <v>606</v>
      </c>
      <c r="D91" s="12" t="s">
        <v>605</v>
      </c>
      <c r="E91" s="12" t="s">
        <v>710</v>
      </c>
      <c r="F91" s="12" t="s">
        <v>604</v>
      </c>
      <c r="G91" s="12" t="s">
        <v>605</v>
      </c>
      <c r="H91" s="12" t="s">
        <v>604</v>
      </c>
    </row>
    <row r="92">
      <c r="B92" s="12" t="s">
        <v>707</v>
      </c>
      <c r="D92" s="12" t="s">
        <v>3024</v>
      </c>
      <c r="E92" s="12" t="s">
        <v>1085</v>
      </c>
      <c r="F92" s="12" t="s">
        <v>3352</v>
      </c>
      <c r="G92" s="12" t="s">
        <v>713</v>
      </c>
      <c r="H92" s="12" t="s">
        <v>3353</v>
      </c>
    </row>
    <row r="93">
      <c r="B93" s="12" t="s">
        <v>3354</v>
      </c>
      <c r="D93" s="12" t="s">
        <v>604</v>
      </c>
      <c r="F93" s="12" t="s">
        <v>604</v>
      </c>
      <c r="H93" s="12" t="s">
        <v>604</v>
      </c>
    </row>
    <row r="94">
      <c r="B94" s="12" t="s">
        <v>604</v>
      </c>
      <c r="D94" s="12" t="s">
        <v>531</v>
      </c>
    </row>
    <row r="95">
      <c r="B95" s="12" t="s">
        <v>707</v>
      </c>
    </row>
    <row r="96">
      <c r="A96" s="97" t="s">
        <v>740</v>
      </c>
    </row>
    <row r="97">
      <c r="A97" s="97">
        <f>A100</f>
        <v>58800</v>
      </c>
    </row>
    <row r="98">
      <c r="A98" s="97">
        <v>2026.0</v>
      </c>
    </row>
    <row r="99">
      <c r="A99" s="97" t="s">
        <v>749</v>
      </c>
    </row>
    <row r="100">
      <c r="A100" s="97">
        <f>A103+B103+C103+D103+E103+F103+G103+H103</f>
        <v>58800</v>
      </c>
    </row>
    <row r="101">
      <c r="A101" s="85" t="s">
        <v>762</v>
      </c>
      <c r="B101" s="85" t="s">
        <v>764</v>
      </c>
      <c r="C101" s="85" t="s">
        <v>765</v>
      </c>
      <c r="D101" s="85" t="s">
        <v>767</v>
      </c>
      <c r="E101" s="85" t="s">
        <v>768</v>
      </c>
      <c r="F101" s="85" t="s">
        <v>771</v>
      </c>
      <c r="G101" s="85" t="s">
        <v>772</v>
      </c>
      <c r="H101" s="85" t="s">
        <v>773</v>
      </c>
    </row>
    <row r="102">
      <c r="A102" s="11" t="s">
        <v>683</v>
      </c>
      <c r="B102" s="11" t="s">
        <v>683</v>
      </c>
      <c r="C102" s="11" t="s">
        <v>683</v>
      </c>
      <c r="D102" s="11" t="s">
        <v>683</v>
      </c>
      <c r="E102" s="11" t="s">
        <v>683</v>
      </c>
      <c r="F102" s="11" t="s">
        <v>683</v>
      </c>
      <c r="G102" s="11" t="s">
        <v>683</v>
      </c>
      <c r="H102" s="11" t="s">
        <v>683</v>
      </c>
    </row>
    <row r="103">
      <c r="A103" s="85">
        <v>0.0</v>
      </c>
      <c r="B103" s="85">
        <v>0.0</v>
      </c>
      <c r="C103" s="85">
        <v>2000.0</v>
      </c>
      <c r="D103" s="85">
        <v>11500.0</v>
      </c>
      <c r="E103" s="85">
        <v>41300.0</v>
      </c>
      <c r="F103" s="85">
        <v>500.0</v>
      </c>
      <c r="G103" s="85">
        <v>3500.0</v>
      </c>
      <c r="H103" s="85">
        <v>0.0</v>
      </c>
    </row>
    <row r="104">
      <c r="C104" s="54" t="s">
        <v>3355</v>
      </c>
      <c r="D104" s="12" t="s">
        <v>3349</v>
      </c>
      <c r="E104" s="12" t="s">
        <v>3340</v>
      </c>
      <c r="F104" s="12" t="s">
        <v>3356</v>
      </c>
      <c r="G104" s="12" t="s">
        <v>3357</v>
      </c>
    </row>
    <row r="105">
      <c r="C105" s="54" t="s">
        <v>789</v>
      </c>
      <c r="D105" s="12" t="s">
        <v>3358</v>
      </c>
      <c r="E105" s="12" t="s">
        <v>810</v>
      </c>
      <c r="F105" s="12" t="s">
        <v>604</v>
      </c>
      <c r="G105" s="12" t="s">
        <v>1122</v>
      </c>
    </row>
    <row r="106">
      <c r="D106" s="12" t="s">
        <v>3024</v>
      </c>
      <c r="E106" s="12" t="s">
        <v>800</v>
      </c>
    </row>
    <row r="107">
      <c r="D107" s="12" t="s">
        <v>3359</v>
      </c>
      <c r="E107" s="12" t="s">
        <v>3360</v>
      </c>
    </row>
    <row r="108">
      <c r="D108" s="12" t="s">
        <v>3361</v>
      </c>
      <c r="E108" s="12" t="s">
        <v>793</v>
      </c>
    </row>
    <row r="109">
      <c r="D109" s="12" t="s">
        <v>810</v>
      </c>
      <c r="E109" s="12" t="s">
        <v>800</v>
      </c>
    </row>
    <row r="112">
      <c r="A112" s="232" t="s">
        <v>1129</v>
      </c>
    </row>
    <row r="113">
      <c r="A113" s="232">
        <f>A116</f>
        <v>3000</v>
      </c>
    </row>
    <row r="114">
      <c r="A114" s="232">
        <v>2026.0</v>
      </c>
    </row>
    <row r="115">
      <c r="A115" s="232" t="s">
        <v>749</v>
      </c>
    </row>
    <row r="116">
      <c r="A116" s="235">
        <f>A119+B119+C119+D119+E119+F119+G119+H119+I119+J119</f>
        <v>3000</v>
      </c>
    </row>
    <row r="117">
      <c r="A117" s="228" t="s">
        <v>834</v>
      </c>
      <c r="B117" s="228" t="s">
        <v>835</v>
      </c>
      <c r="C117" s="228" t="s">
        <v>836</v>
      </c>
      <c r="D117" s="228" t="s">
        <v>837</v>
      </c>
      <c r="E117" s="228" t="s">
        <v>838</v>
      </c>
      <c r="F117" s="228" t="s">
        <v>839</v>
      </c>
      <c r="G117" s="105" t="s">
        <v>841</v>
      </c>
      <c r="H117" s="105" t="s">
        <v>843</v>
      </c>
      <c r="I117" s="106" t="s">
        <v>846</v>
      </c>
      <c r="J117" s="106" t="s">
        <v>847</v>
      </c>
    </row>
    <row r="118">
      <c r="A118" s="237" t="s">
        <v>683</v>
      </c>
      <c r="B118" s="237" t="s">
        <v>683</v>
      </c>
      <c r="C118" s="237" t="s">
        <v>683</v>
      </c>
      <c r="D118" s="237" t="s">
        <v>683</v>
      </c>
      <c r="E118" s="237" t="s">
        <v>683</v>
      </c>
      <c r="F118" s="237" t="s">
        <v>683</v>
      </c>
      <c r="G118" s="34" t="s">
        <v>683</v>
      </c>
      <c r="H118" s="34" t="s">
        <v>683</v>
      </c>
      <c r="I118" s="34" t="s">
        <v>683</v>
      </c>
      <c r="J118" s="34" t="s">
        <v>683</v>
      </c>
    </row>
    <row r="119">
      <c r="A119" s="228">
        <v>0.0</v>
      </c>
      <c r="B119" s="228">
        <v>0.0</v>
      </c>
      <c r="C119" s="228">
        <v>0.0</v>
      </c>
      <c r="D119" s="107">
        <v>3000.0</v>
      </c>
      <c r="E119" s="228">
        <v>0.0</v>
      </c>
      <c r="F119" s="228">
        <v>0.0</v>
      </c>
      <c r="G119" s="105">
        <v>0.0</v>
      </c>
      <c r="H119" s="105">
        <v>0.0</v>
      </c>
      <c r="I119" s="105">
        <v>0.0</v>
      </c>
      <c r="J119" s="105">
        <v>0.0</v>
      </c>
    </row>
    <row r="120">
      <c r="D120" s="12" t="s">
        <v>2972</v>
      </c>
    </row>
    <row r="121">
      <c r="D121" s="12" t="s">
        <v>653</v>
      </c>
    </row>
    <row r="122">
      <c r="D122" s="12" t="s">
        <v>879</v>
      </c>
    </row>
    <row r="123">
      <c r="A123" s="108" t="s">
        <v>938</v>
      </c>
    </row>
    <row r="124">
      <c r="A124" s="109" t="s">
        <v>940</v>
      </c>
    </row>
    <row r="125">
      <c r="A125" s="109">
        <f>A128</f>
        <v>287400</v>
      </c>
    </row>
    <row r="126">
      <c r="A126" s="109">
        <v>2026.0</v>
      </c>
    </row>
    <row r="127">
      <c r="A127" s="109" t="s">
        <v>749</v>
      </c>
    </row>
    <row r="128">
      <c r="A128" s="110">
        <f>A131+B131+C131+D131+E131+F131+G131+H131+I131+J131</f>
        <v>287400</v>
      </c>
    </row>
    <row r="129">
      <c r="A129" s="85" t="s">
        <v>959</v>
      </c>
      <c r="B129" s="85" t="s">
        <v>960</v>
      </c>
      <c r="C129" s="85" t="s">
        <v>963</v>
      </c>
      <c r="D129" s="85" t="s">
        <v>964</v>
      </c>
      <c r="E129" s="85" t="s">
        <v>966</v>
      </c>
      <c r="F129" s="85" t="s">
        <v>967</v>
      </c>
      <c r="G129" s="111" t="s">
        <v>969</v>
      </c>
      <c r="H129" s="107" t="s">
        <v>972</v>
      </c>
      <c r="I129" s="107" t="s">
        <v>975</v>
      </c>
      <c r="J129" s="107" t="s">
        <v>976</v>
      </c>
    </row>
    <row r="130">
      <c r="A130" s="11" t="s">
        <v>683</v>
      </c>
      <c r="B130" s="11" t="s">
        <v>683</v>
      </c>
      <c r="C130" s="11" t="s">
        <v>683</v>
      </c>
      <c r="D130" s="11" t="s">
        <v>683</v>
      </c>
      <c r="E130" s="11" t="s">
        <v>683</v>
      </c>
      <c r="F130" s="11" t="s">
        <v>683</v>
      </c>
      <c r="G130" s="11" t="s">
        <v>683</v>
      </c>
      <c r="H130" s="34" t="s">
        <v>683</v>
      </c>
      <c r="I130" s="34" t="s">
        <v>683</v>
      </c>
      <c r="J130" s="34" t="s">
        <v>683</v>
      </c>
    </row>
    <row r="131">
      <c r="A131" s="85">
        <v>71500.0</v>
      </c>
      <c r="B131" s="85">
        <v>13000.0</v>
      </c>
      <c r="C131" s="85"/>
      <c r="D131" s="85">
        <f>42500+38800</f>
        <v>81300</v>
      </c>
      <c r="E131" s="85"/>
      <c r="F131" s="85"/>
      <c r="G131" s="85">
        <v>11500.0</v>
      </c>
      <c r="H131" s="85">
        <f>6500+77600</f>
        <v>84100</v>
      </c>
      <c r="I131" s="85">
        <v>9000.0</v>
      </c>
      <c r="J131" s="85">
        <v>17000.0</v>
      </c>
    </row>
    <row r="132">
      <c r="A132" s="12" t="s">
        <v>3316</v>
      </c>
      <c r="B132" s="12" t="s">
        <v>3363</v>
      </c>
      <c r="D132" s="12" t="s">
        <v>3364</v>
      </c>
      <c r="G132" s="12" t="s">
        <v>3341</v>
      </c>
      <c r="H132" s="12" t="s">
        <v>3365</v>
      </c>
      <c r="I132" s="12" t="s">
        <v>3366</v>
      </c>
      <c r="J132" s="12" t="s">
        <v>3367</v>
      </c>
    </row>
    <row r="133">
      <c r="A133" s="12" t="s">
        <v>1004</v>
      </c>
      <c r="B133" s="12" t="s">
        <v>605</v>
      </c>
      <c r="D133" s="12" t="s">
        <v>878</v>
      </c>
      <c r="G133" s="12" t="s">
        <v>710</v>
      </c>
      <c r="H133" s="12" t="s">
        <v>777</v>
      </c>
      <c r="I133" s="12" t="s">
        <v>1195</v>
      </c>
      <c r="J133" s="12" t="s">
        <v>620</v>
      </c>
    </row>
    <row r="134">
      <c r="A134" s="12" t="s">
        <v>1204</v>
      </c>
      <c r="B134" s="12" t="s">
        <v>3369</v>
      </c>
      <c r="D134" s="12" t="s">
        <v>1646</v>
      </c>
      <c r="G134" s="12" t="s">
        <v>999</v>
      </c>
      <c r="H134" s="12" t="s">
        <v>1205</v>
      </c>
      <c r="J134" s="12" t="s">
        <v>1589</v>
      </c>
    </row>
    <row r="135">
      <c r="A135" s="12" t="s">
        <v>1197</v>
      </c>
      <c r="B135" s="12" t="s">
        <v>1195</v>
      </c>
      <c r="D135" s="12" t="s">
        <v>3370</v>
      </c>
      <c r="G135" s="12" t="s">
        <v>3371</v>
      </c>
      <c r="H135" s="12" t="s">
        <v>3024</v>
      </c>
      <c r="J135" s="12" t="s">
        <v>605</v>
      </c>
    </row>
    <row r="136">
      <c r="A136" s="12" t="s">
        <v>3372</v>
      </c>
      <c r="B136" s="12" t="s">
        <v>1200</v>
      </c>
      <c r="D136" s="12" t="s">
        <v>2401</v>
      </c>
      <c r="G136" s="12" t="s">
        <v>987</v>
      </c>
      <c r="H136" s="12" t="s">
        <v>620</v>
      </c>
      <c r="J136" s="12" t="s">
        <v>3373</v>
      </c>
    </row>
    <row r="137">
      <c r="A137" s="12" t="s">
        <v>605</v>
      </c>
      <c r="D137" s="12" t="s">
        <v>999</v>
      </c>
      <c r="H137" s="12" t="s">
        <v>1205</v>
      </c>
      <c r="J137" s="12" t="s">
        <v>2291</v>
      </c>
    </row>
    <row r="138">
      <c r="A138" s="12" t="s">
        <v>1197</v>
      </c>
      <c r="D138" s="12" t="s">
        <v>1646</v>
      </c>
    </row>
    <row r="139">
      <c r="A139" s="12" t="s">
        <v>3375</v>
      </c>
    </row>
    <row r="140">
      <c r="A140" s="12" t="s">
        <v>700</v>
      </c>
    </row>
    <row r="141">
      <c r="A141" s="12" t="s">
        <v>1197</v>
      </c>
    </row>
    <row r="143">
      <c r="A143" s="112" t="s">
        <v>3376</v>
      </c>
    </row>
    <row r="144">
      <c r="A144" s="112">
        <f>-400000+A148</f>
        <v>2098550</v>
      </c>
    </row>
    <row r="145">
      <c r="A145" s="112">
        <v>2026.0</v>
      </c>
    </row>
    <row r="146">
      <c r="A146" s="265" t="s">
        <v>3379</v>
      </c>
    </row>
    <row r="147">
      <c r="A147" s="112" t="s">
        <v>1484</v>
      </c>
    </row>
    <row r="148">
      <c r="A148" s="112">
        <f>A151+B151+C151+D151+E151+F151+G151+H151+45000</f>
        <v>2498550</v>
      </c>
    </row>
    <row r="149">
      <c r="A149" s="85" t="s">
        <v>1035</v>
      </c>
      <c r="B149" s="85" t="s">
        <v>1013</v>
      </c>
      <c r="C149" s="85" t="s">
        <v>1016</v>
      </c>
      <c r="D149" s="85" t="s">
        <v>1023</v>
      </c>
      <c r="E149" s="85" t="s">
        <v>1037</v>
      </c>
      <c r="F149" s="85" t="s">
        <v>1038</v>
      </c>
      <c r="G149" s="85" t="s">
        <v>1039</v>
      </c>
      <c r="H149" s="85" t="s">
        <v>1033</v>
      </c>
    </row>
    <row r="150">
      <c r="A150" s="11" t="s">
        <v>683</v>
      </c>
      <c r="B150" s="11" t="s">
        <v>776</v>
      </c>
      <c r="C150" s="11" t="s">
        <v>776</v>
      </c>
      <c r="D150" s="11" t="s">
        <v>776</v>
      </c>
      <c r="E150" s="11" t="s">
        <v>776</v>
      </c>
      <c r="F150" s="11" t="s">
        <v>776</v>
      </c>
      <c r="G150" s="11" t="s">
        <v>683</v>
      </c>
      <c r="H150" s="11" t="s">
        <v>776</v>
      </c>
    </row>
    <row r="151">
      <c r="A151" s="85">
        <v>211000.0</v>
      </c>
      <c r="B151" s="85">
        <v>387250.0</v>
      </c>
      <c r="C151" s="85">
        <f>256750+63800</f>
        <v>320550</v>
      </c>
      <c r="D151" s="85">
        <f>403750+267200</f>
        <v>670950</v>
      </c>
      <c r="E151" s="85">
        <v>168750.0</v>
      </c>
      <c r="F151" s="85">
        <v>214000.0</v>
      </c>
      <c r="G151" s="85">
        <v>14000.0</v>
      </c>
      <c r="H151" s="85">
        <f>354250+112800</f>
        <v>467050</v>
      </c>
    </row>
    <row r="152">
      <c r="A152" s="12" t="s">
        <v>3341</v>
      </c>
      <c r="B152" s="12" t="s">
        <v>3357</v>
      </c>
      <c r="C152" s="12" t="s">
        <v>3386</v>
      </c>
      <c r="D152" s="12" t="s">
        <v>2973</v>
      </c>
      <c r="E152" s="12" t="s">
        <v>3364</v>
      </c>
      <c r="F152" s="12" t="s">
        <v>3387</v>
      </c>
      <c r="G152" s="12" t="s">
        <v>1134</v>
      </c>
      <c r="H152" s="12" t="s">
        <v>3314</v>
      </c>
    </row>
    <row r="153">
      <c r="A153" s="12" t="s">
        <v>3388</v>
      </c>
      <c r="B153" s="12" t="s">
        <v>3388</v>
      </c>
      <c r="C153" s="12" t="s">
        <v>3388</v>
      </c>
      <c r="D153" s="12" t="s">
        <v>3388</v>
      </c>
      <c r="E153" s="12" t="s">
        <v>3388</v>
      </c>
      <c r="F153" s="12" t="s">
        <v>3388</v>
      </c>
      <c r="G153" s="12" t="s">
        <v>1083</v>
      </c>
      <c r="H153" s="12" t="s">
        <v>3388</v>
      </c>
    </row>
    <row r="154">
      <c r="A154" s="12" t="s">
        <v>1262</v>
      </c>
      <c r="B154" s="12" t="s">
        <v>3389</v>
      </c>
      <c r="C154" s="12" t="s">
        <v>1269</v>
      </c>
      <c r="D154" s="12" t="s">
        <v>1262</v>
      </c>
      <c r="E154" s="12" t="s">
        <v>1698</v>
      </c>
      <c r="F154" s="12" t="s">
        <v>1262</v>
      </c>
      <c r="G154" s="12" t="s">
        <v>3390</v>
      </c>
      <c r="H154" s="12" t="s">
        <v>1728</v>
      </c>
    </row>
    <row r="155">
      <c r="A155" s="12" t="s">
        <v>1698</v>
      </c>
      <c r="B155" s="12" t="s">
        <v>1260</v>
      </c>
      <c r="C155" s="12" t="s">
        <v>3391</v>
      </c>
      <c r="D155" s="12" t="s">
        <v>1698</v>
      </c>
      <c r="E155" s="12" t="s">
        <v>3370</v>
      </c>
      <c r="F155" s="12" t="s">
        <v>3369</v>
      </c>
      <c r="G155" s="12" t="s">
        <v>1062</v>
      </c>
      <c r="H155" s="12" t="s">
        <v>1276</v>
      </c>
    </row>
    <row r="156">
      <c r="A156" s="12" t="s">
        <v>3371</v>
      </c>
      <c r="B156" s="12" t="s">
        <v>3097</v>
      </c>
      <c r="C156" s="12" t="s">
        <v>3393</v>
      </c>
      <c r="D156" s="12" t="s">
        <v>3394</v>
      </c>
      <c r="E156" s="12" t="s">
        <v>1260</v>
      </c>
      <c r="F156" s="12" t="s">
        <v>1260</v>
      </c>
      <c r="H156" s="12" t="s">
        <v>3395</v>
      </c>
    </row>
    <row r="157">
      <c r="A157" s="12" t="s">
        <v>1260</v>
      </c>
      <c r="B157" s="12" t="s">
        <v>1727</v>
      </c>
      <c r="C157" s="12" t="s">
        <v>1260</v>
      </c>
      <c r="D157" s="12" t="s">
        <v>3396</v>
      </c>
      <c r="E157" s="12" t="s">
        <v>1262</v>
      </c>
      <c r="F157" s="12" t="s">
        <v>1615</v>
      </c>
      <c r="H157" s="12" t="s">
        <v>3397</v>
      </c>
    </row>
    <row r="158">
      <c r="A158" s="12" t="s">
        <v>3398</v>
      </c>
      <c r="B158" s="12" t="s">
        <v>3399</v>
      </c>
      <c r="C158" s="12" t="s">
        <v>1262</v>
      </c>
      <c r="D158" s="12" t="s">
        <v>1260</v>
      </c>
      <c r="E158" s="12" t="s">
        <v>1615</v>
      </c>
      <c r="F158" s="12" t="s">
        <v>3401</v>
      </c>
      <c r="H158" s="12" t="s">
        <v>3402</v>
      </c>
    </row>
    <row r="159">
      <c r="A159" s="12" t="s">
        <v>1727</v>
      </c>
      <c r="B159" s="12" t="s">
        <v>1195</v>
      </c>
      <c r="C159" s="12" t="s">
        <v>1615</v>
      </c>
      <c r="D159" s="12" t="s">
        <v>1616</v>
      </c>
      <c r="E159" s="12" t="s">
        <v>1698</v>
      </c>
      <c r="F159" s="12" t="s">
        <v>1727</v>
      </c>
      <c r="H159" s="12" t="s">
        <v>1260</v>
      </c>
    </row>
    <row r="160">
      <c r="A160" s="12" t="s">
        <v>3403</v>
      </c>
      <c r="B160" s="12" t="s">
        <v>3404</v>
      </c>
      <c r="C160" s="12" t="s">
        <v>1688</v>
      </c>
      <c r="D160" s="12" t="s">
        <v>3022</v>
      </c>
      <c r="F160" s="12" t="s">
        <v>1262</v>
      </c>
      <c r="H160" s="12" t="s">
        <v>1266</v>
      </c>
    </row>
    <row r="161">
      <c r="A161" s="12" t="s">
        <v>620</v>
      </c>
      <c r="B161" s="12" t="s">
        <v>1199</v>
      </c>
      <c r="C161" s="12" t="s">
        <v>3100</v>
      </c>
      <c r="D161" s="12" t="s">
        <v>1727</v>
      </c>
      <c r="F161" s="12" t="s">
        <v>1698</v>
      </c>
      <c r="H161" s="12" t="s">
        <v>3405</v>
      </c>
    </row>
    <row r="162">
      <c r="A162" s="12" t="s">
        <v>1615</v>
      </c>
      <c r="B162" s="12" t="s">
        <v>3407</v>
      </c>
      <c r="C162" s="12" t="s">
        <v>1727</v>
      </c>
      <c r="D162" s="12" t="s">
        <v>1728</v>
      </c>
      <c r="F162" s="12" t="s">
        <v>3408</v>
      </c>
      <c r="H162" s="12" t="s">
        <v>1727</v>
      </c>
    </row>
    <row r="163">
      <c r="A163" s="12" t="s">
        <v>3409</v>
      </c>
      <c r="B163" s="12" t="s">
        <v>1199</v>
      </c>
      <c r="C163" s="12" t="s">
        <v>1262</v>
      </c>
      <c r="D163" s="12" t="s">
        <v>1698</v>
      </c>
      <c r="F163" s="12" t="s">
        <v>1154</v>
      </c>
      <c r="H163" s="12" t="s">
        <v>1698</v>
      </c>
    </row>
    <row r="164">
      <c r="A164" s="12" t="s">
        <v>605</v>
      </c>
      <c r="B164" s="12" t="s">
        <v>1276</v>
      </c>
      <c r="C164" s="12" t="s">
        <v>1698</v>
      </c>
      <c r="D164" s="12" t="s">
        <v>1616</v>
      </c>
      <c r="F164" s="12" t="s">
        <v>3411</v>
      </c>
      <c r="H164" s="12" t="s">
        <v>1266</v>
      </c>
    </row>
    <row r="165">
      <c r="B165" s="12" t="s">
        <v>3412</v>
      </c>
      <c r="C165" s="12" t="s">
        <v>1688</v>
      </c>
      <c r="D165" s="12" t="s">
        <v>3413</v>
      </c>
      <c r="F165" s="12" t="s">
        <v>3414</v>
      </c>
      <c r="H165" s="12" t="s">
        <v>3415</v>
      </c>
    </row>
    <row r="166">
      <c r="B166" s="12" t="s">
        <v>3416</v>
      </c>
      <c r="C166" s="12" t="s">
        <v>3417</v>
      </c>
      <c r="D166" s="12" t="s">
        <v>1062</v>
      </c>
      <c r="F166" s="12" t="s">
        <v>1262</v>
      </c>
      <c r="H166" s="12" t="s">
        <v>700</v>
      </c>
    </row>
    <row r="167">
      <c r="B167" s="12" t="s">
        <v>1725</v>
      </c>
      <c r="C167" s="12" t="s">
        <v>3418</v>
      </c>
      <c r="D167" s="12" t="s">
        <v>1616</v>
      </c>
      <c r="H167" s="12" t="s">
        <v>1266</v>
      </c>
    </row>
    <row r="168">
      <c r="C168" s="12" t="s">
        <v>1688</v>
      </c>
      <c r="D168" s="12" t="s">
        <v>3419</v>
      </c>
      <c r="H168" s="12" t="s">
        <v>3420</v>
      </c>
    </row>
    <row r="169">
      <c r="C169" s="12" t="s">
        <v>2817</v>
      </c>
      <c r="D169" s="12" t="s">
        <v>3421</v>
      </c>
      <c r="H169" s="12" t="s">
        <v>1154</v>
      </c>
    </row>
    <row r="170">
      <c r="C170" s="12" t="s">
        <v>1154</v>
      </c>
      <c r="D170" s="12" t="s">
        <v>1616</v>
      </c>
      <c r="H170" s="12" t="s">
        <v>1266</v>
      </c>
    </row>
    <row r="171">
      <c r="C171" s="12" t="s">
        <v>1698</v>
      </c>
      <c r="D171" s="12" t="s">
        <v>3422</v>
      </c>
    </row>
    <row r="172">
      <c r="C172" s="12" t="s">
        <v>1688</v>
      </c>
      <c r="D172" s="12" t="s">
        <v>3423</v>
      </c>
    </row>
    <row r="173">
      <c r="D173" s="12" t="s">
        <v>1728</v>
      </c>
    </row>
    <row r="174">
      <c r="D174" s="12" t="s">
        <v>1715</v>
      </c>
    </row>
    <row r="175">
      <c r="D175" s="12" t="s">
        <v>3425</v>
      </c>
    </row>
    <row r="176">
      <c r="D176" s="12" t="s">
        <v>1616</v>
      </c>
    </row>
    <row r="177">
      <c r="A177" s="116" t="s">
        <v>3426</v>
      </c>
    </row>
    <row r="178">
      <c r="A178" s="157" t="s">
        <v>1048</v>
      </c>
    </row>
    <row r="179">
      <c r="A179" s="157">
        <f>A182</f>
        <v>446000</v>
      </c>
    </row>
    <row r="180">
      <c r="A180" s="157">
        <v>2026.0</v>
      </c>
    </row>
    <row r="181">
      <c r="A181" s="157" t="s">
        <v>749</v>
      </c>
    </row>
    <row r="182">
      <c r="A182" s="158">
        <f>A185+B185+C185+D185+E185+F185+G185+H185+I185+J185</f>
        <v>446000</v>
      </c>
    </row>
    <row r="183">
      <c r="A183" s="105" t="s">
        <v>1066</v>
      </c>
      <c r="B183" s="105" t="s">
        <v>1068</v>
      </c>
      <c r="C183" s="105" t="s">
        <v>1069</v>
      </c>
      <c r="D183" s="105" t="s">
        <v>1070</v>
      </c>
      <c r="E183" s="105" t="s">
        <v>1072</v>
      </c>
      <c r="F183" s="105" t="s">
        <v>1073</v>
      </c>
      <c r="G183" s="105" t="s">
        <v>1074</v>
      </c>
      <c r="H183" s="105" t="s">
        <v>1076</v>
      </c>
      <c r="I183" s="105" t="s">
        <v>1078</v>
      </c>
      <c r="J183" s="105" t="s">
        <v>1080</v>
      </c>
    </row>
    <row r="184">
      <c r="A184" s="34" t="s">
        <v>683</v>
      </c>
      <c r="B184" s="34" t="s">
        <v>683</v>
      </c>
      <c r="C184" s="34" t="s">
        <v>683</v>
      </c>
      <c r="D184" s="34" t="s">
        <v>683</v>
      </c>
      <c r="E184" s="34" t="s">
        <v>683</v>
      </c>
      <c r="F184" s="34" t="s">
        <v>683</v>
      </c>
      <c r="G184" s="34" t="s">
        <v>683</v>
      </c>
      <c r="H184" s="34" t="s">
        <v>683</v>
      </c>
      <c r="I184" s="34" t="s">
        <v>683</v>
      </c>
      <c r="J184" s="34" t="s">
        <v>683</v>
      </c>
    </row>
    <row r="185">
      <c r="A185" s="107">
        <v>29000.0</v>
      </c>
      <c r="B185" s="107">
        <v>52000.0</v>
      </c>
      <c r="C185" s="107">
        <v>65000.0</v>
      </c>
      <c r="D185" s="107">
        <v>152000.0</v>
      </c>
      <c r="E185" s="107">
        <v>40000.0</v>
      </c>
      <c r="F185" s="107">
        <v>2000.0</v>
      </c>
      <c r="G185" s="107">
        <v>27000.0</v>
      </c>
      <c r="H185" s="107">
        <v>2000.0</v>
      </c>
      <c r="I185" s="107">
        <v>67000.0</v>
      </c>
      <c r="J185" s="107">
        <v>10000.0</v>
      </c>
    </row>
    <row r="186">
      <c r="A186" s="12" t="s">
        <v>3430</v>
      </c>
      <c r="B186" s="12" t="s">
        <v>3349</v>
      </c>
      <c r="C186" s="12" t="s">
        <v>3431</v>
      </c>
      <c r="D186" s="12" t="s">
        <v>3366</v>
      </c>
      <c r="E186" s="12" t="s">
        <v>3432</v>
      </c>
      <c r="F186" s="12" t="s">
        <v>3433</v>
      </c>
      <c r="G186" s="12" t="s">
        <v>3434</v>
      </c>
      <c r="H186" s="12" t="s">
        <v>3363</v>
      </c>
      <c r="I186" s="12" t="s">
        <v>3435</v>
      </c>
      <c r="J186" s="12" t="s">
        <v>1564</v>
      </c>
    </row>
    <row r="187">
      <c r="A187" s="33" t="s">
        <v>1706</v>
      </c>
      <c r="B187" s="12" t="s">
        <v>1312</v>
      </c>
      <c r="C187" s="12" t="s">
        <v>1002</v>
      </c>
      <c r="D187" s="12" t="s">
        <v>653</v>
      </c>
      <c r="E187" s="12" t="s">
        <v>1199</v>
      </c>
      <c r="F187" s="12" t="s">
        <v>653</v>
      </c>
      <c r="G187" s="12" t="s">
        <v>1312</v>
      </c>
      <c r="H187" s="12" t="s">
        <v>653</v>
      </c>
      <c r="I187" s="12" t="s">
        <v>1312</v>
      </c>
      <c r="J187" s="12" t="s">
        <v>653</v>
      </c>
    </row>
    <row r="188">
      <c r="A188" s="12" t="s">
        <v>3436</v>
      </c>
      <c r="B188" s="12" t="s">
        <v>3437</v>
      </c>
      <c r="C188" s="12" t="s">
        <v>3438</v>
      </c>
      <c r="D188" s="12" t="s">
        <v>3439</v>
      </c>
      <c r="G188" s="12" t="s">
        <v>3005</v>
      </c>
      <c r="I188" s="12" t="s">
        <v>3354</v>
      </c>
      <c r="J188" s="12" t="s">
        <v>3440</v>
      </c>
    </row>
    <row r="189">
      <c r="A189" s="12" t="s">
        <v>710</v>
      </c>
      <c r="B189" s="12" t="s">
        <v>1312</v>
      </c>
      <c r="C189" s="12" t="s">
        <v>1312</v>
      </c>
      <c r="D189" s="12" t="s">
        <v>653</v>
      </c>
      <c r="G189" s="12" t="s">
        <v>653</v>
      </c>
      <c r="I189" s="12" t="s">
        <v>1559</v>
      </c>
      <c r="J189" s="12" t="s">
        <v>653</v>
      </c>
    </row>
    <row r="190">
      <c r="A190" s="12" t="s">
        <v>3441</v>
      </c>
      <c r="B190" s="12" t="s">
        <v>3442</v>
      </c>
      <c r="C190" s="12" t="s">
        <v>3443</v>
      </c>
      <c r="D190" s="12" t="s">
        <v>3444</v>
      </c>
      <c r="I190" s="12" t="s">
        <v>3326</v>
      </c>
      <c r="J190" s="12" t="s">
        <v>3445</v>
      </c>
    </row>
    <row r="191">
      <c r="A191" s="12" t="s">
        <v>653</v>
      </c>
      <c r="B191" s="12" t="s">
        <v>653</v>
      </c>
      <c r="C191" s="12" t="s">
        <v>1083</v>
      </c>
      <c r="D191" s="12" t="s">
        <v>1195</v>
      </c>
      <c r="I191" s="12" t="s">
        <v>1083</v>
      </c>
      <c r="J191" s="12" t="s">
        <v>653</v>
      </c>
    </row>
    <row r="192">
      <c r="C192" s="12" t="s">
        <v>3399</v>
      </c>
      <c r="D192" s="12" t="s">
        <v>3446</v>
      </c>
      <c r="I192" s="12" t="s">
        <v>3447</v>
      </c>
      <c r="J192" s="12" t="s">
        <v>3448</v>
      </c>
    </row>
    <row r="193">
      <c r="A193" s="33"/>
      <c r="C193" s="12" t="s">
        <v>653</v>
      </c>
      <c r="D193" s="12" t="s">
        <v>653</v>
      </c>
      <c r="I193" s="12" t="s">
        <v>653</v>
      </c>
      <c r="J193" s="12" t="s">
        <v>653</v>
      </c>
    </row>
    <row r="194">
      <c r="A194" s="33"/>
      <c r="D194" s="12" t="s">
        <v>3450</v>
      </c>
      <c r="I194" s="12" t="s">
        <v>3419</v>
      </c>
      <c r="J194" s="12" t="s">
        <v>3411</v>
      </c>
    </row>
    <row r="195">
      <c r="D195" s="12" t="s">
        <v>653</v>
      </c>
      <c r="I195" s="12" t="s">
        <v>1521</v>
      </c>
      <c r="J195" s="12" t="s">
        <v>653</v>
      </c>
    </row>
    <row r="196">
      <c r="D196" s="12" t="s">
        <v>3452</v>
      </c>
      <c r="I196" s="12" t="s">
        <v>3453</v>
      </c>
    </row>
    <row r="197">
      <c r="A197" s="33"/>
      <c r="D197" s="12" t="s">
        <v>1663</v>
      </c>
      <c r="I197" s="12" t="s">
        <v>653</v>
      </c>
    </row>
    <row r="198">
      <c r="D198" s="12" t="s">
        <v>3455</v>
      </c>
      <c r="I198" s="12" t="s">
        <v>3456</v>
      </c>
    </row>
    <row r="199">
      <c r="D199" s="12" t="s">
        <v>1733</v>
      </c>
      <c r="I199" s="12" t="s">
        <v>653</v>
      </c>
    </row>
    <row r="200">
      <c r="D200" s="12" t="s">
        <v>3457</v>
      </c>
    </row>
    <row r="201">
      <c r="D201" s="12" t="s">
        <v>3458</v>
      </c>
    </row>
  </sheetData>
  <mergeCells count="93">
    <mergeCell ref="Q46:R46"/>
    <mergeCell ref="A55:E55"/>
    <mergeCell ref="A56:E56"/>
    <mergeCell ref="A57:E57"/>
    <mergeCell ref="A58:E58"/>
    <mergeCell ref="A59:E59"/>
    <mergeCell ref="A71:F71"/>
    <mergeCell ref="A72:F72"/>
    <mergeCell ref="A73:F73"/>
    <mergeCell ref="A74:F74"/>
    <mergeCell ref="A83:H83"/>
    <mergeCell ref="A84:H84"/>
    <mergeCell ref="A85:H85"/>
    <mergeCell ref="A86:H86"/>
    <mergeCell ref="A87:H87"/>
    <mergeCell ref="A96:H96"/>
    <mergeCell ref="A97:H97"/>
    <mergeCell ref="A98:H98"/>
    <mergeCell ref="A99:H99"/>
    <mergeCell ref="A100:H100"/>
    <mergeCell ref="A112:J112"/>
    <mergeCell ref="A113:J113"/>
    <mergeCell ref="A114:J114"/>
    <mergeCell ref="A115:J115"/>
    <mergeCell ref="A116:J116"/>
    <mergeCell ref="A123:J123"/>
    <mergeCell ref="A124:J124"/>
    <mergeCell ref="A125:J125"/>
    <mergeCell ref="A147:H147"/>
    <mergeCell ref="A148:H148"/>
    <mergeCell ref="A177:H177"/>
    <mergeCell ref="A178:J178"/>
    <mergeCell ref="A179:J179"/>
    <mergeCell ref="A180:J180"/>
    <mergeCell ref="A181:J181"/>
    <mergeCell ref="A182:J182"/>
    <mergeCell ref="A126:J126"/>
    <mergeCell ref="A127:J127"/>
    <mergeCell ref="A128:J128"/>
    <mergeCell ref="A143:H143"/>
    <mergeCell ref="A144:H144"/>
    <mergeCell ref="A145:H145"/>
    <mergeCell ref="A146:H146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P8:P12"/>
    <mergeCell ref="P21:P23"/>
    <mergeCell ref="P24:P26"/>
    <mergeCell ref="P27:P30"/>
    <mergeCell ref="P31:P33"/>
    <mergeCell ref="P34:P37"/>
    <mergeCell ref="P38:P40"/>
    <mergeCell ref="P41:P43"/>
    <mergeCell ref="P44:P46"/>
    <mergeCell ref="M8:O8"/>
    <mergeCell ref="M10:M11"/>
    <mergeCell ref="O10:O11"/>
    <mergeCell ref="M13:M14"/>
    <mergeCell ref="O13:O14"/>
    <mergeCell ref="P13:P16"/>
    <mergeCell ref="P17:P20"/>
    <mergeCell ref="Q10:T10"/>
    <mergeCell ref="Q12:R12"/>
    <mergeCell ref="Q14:T14"/>
    <mergeCell ref="Q16:R16"/>
    <mergeCell ref="Q17:T17"/>
    <mergeCell ref="Q20:R20"/>
    <mergeCell ref="Q21:T21"/>
    <mergeCell ref="Q23:R23"/>
    <mergeCell ref="Q24:T24"/>
    <mergeCell ref="Q26:R26"/>
    <mergeCell ref="Q28:T28"/>
    <mergeCell ref="Q30:R30"/>
    <mergeCell ref="Q31:T31"/>
    <mergeCell ref="Q33:R33"/>
    <mergeCell ref="Q35:T35"/>
    <mergeCell ref="Q37:R37"/>
    <mergeCell ref="Q38:T38"/>
    <mergeCell ref="Q40:R40"/>
    <mergeCell ref="Q41:T41"/>
    <mergeCell ref="Q43:R43"/>
    <mergeCell ref="Q44:T4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24.0"/>
    <col customWidth="1" min="3" max="3" width="22.88"/>
    <col customWidth="1" min="4" max="4" width="33.0"/>
    <col customWidth="1" min="5" max="5" width="22.13"/>
  </cols>
  <sheetData>
    <row r="1">
      <c r="A1" s="8" t="s">
        <v>2926</v>
      </c>
    </row>
    <row r="2">
      <c r="A2" s="4" t="s">
        <v>2927</v>
      </c>
    </row>
    <row r="3">
      <c r="A3" s="8" t="s">
        <v>6</v>
      </c>
    </row>
    <row r="4">
      <c r="A4" s="31">
        <f>100000+B6+C6+D6+E6</f>
        <v>75000</v>
      </c>
    </row>
    <row r="5">
      <c r="A5" s="11" t="s">
        <v>19</v>
      </c>
      <c r="B5" s="11" t="s">
        <v>1424</v>
      </c>
      <c r="C5" s="11" t="s">
        <v>46</v>
      </c>
      <c r="D5" s="11" t="s">
        <v>24</v>
      </c>
      <c r="E5" s="11" t="s">
        <v>2862</v>
      </c>
    </row>
    <row r="6">
      <c r="A6" s="12" t="s">
        <v>2930</v>
      </c>
      <c r="B6" s="31">
        <v>-10000.0</v>
      </c>
      <c r="C6" s="248">
        <v>-30000.0</v>
      </c>
      <c r="D6" s="249">
        <v>-5000.0</v>
      </c>
      <c r="E6" s="31">
        <v>20000.0</v>
      </c>
    </row>
    <row r="7">
      <c r="A7" s="12" t="s">
        <v>2931</v>
      </c>
      <c r="B7" s="12" t="s">
        <v>2932</v>
      </c>
      <c r="C7" s="15" t="s">
        <v>35</v>
      </c>
      <c r="D7" s="12" t="s">
        <v>2933</v>
      </c>
      <c r="E7" s="12" t="s">
        <v>2934</v>
      </c>
    </row>
    <row r="8">
      <c r="A8" s="12" t="s">
        <v>2935</v>
      </c>
      <c r="B8" s="12" t="s">
        <v>2936</v>
      </c>
      <c r="C8" s="14" t="s">
        <v>370</v>
      </c>
      <c r="E8" s="12" t="s">
        <v>2937</v>
      </c>
    </row>
    <row r="9">
      <c r="A9" s="12" t="s">
        <v>2938</v>
      </c>
      <c r="C9" s="15" t="s">
        <v>40</v>
      </c>
      <c r="E9" s="12" t="s">
        <v>2939</v>
      </c>
    </row>
    <row r="10">
      <c r="A10" s="12" t="s">
        <v>2940</v>
      </c>
      <c r="C10" s="14" t="s">
        <v>42</v>
      </c>
      <c r="E10" s="12" t="s">
        <v>2941</v>
      </c>
    </row>
    <row r="11">
      <c r="A11" s="12" t="s">
        <v>2943</v>
      </c>
      <c r="C11" s="15" t="s">
        <v>44</v>
      </c>
    </row>
    <row r="12">
      <c r="A12" s="12" t="s">
        <v>2945</v>
      </c>
      <c r="C12" s="14" t="s">
        <v>42</v>
      </c>
    </row>
    <row r="13">
      <c r="A13" s="12" t="s">
        <v>2946</v>
      </c>
    </row>
    <row r="14">
      <c r="A14" s="12" t="s">
        <v>2947</v>
      </c>
    </row>
  </sheetData>
  <mergeCells count="4">
    <mergeCell ref="A1:J1"/>
    <mergeCell ref="A2:J2"/>
    <mergeCell ref="A3:J3"/>
    <mergeCell ref="A4:J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2" t="s">
        <v>2952</v>
      </c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186" t="s">
        <v>2954</v>
      </c>
      <c r="B2" s="186" t="s">
        <v>2956</v>
      </c>
      <c r="C2" s="186" t="s">
        <v>2957</v>
      </c>
      <c r="D2" s="11"/>
      <c r="J2" s="73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4" t="s">
        <v>2963</v>
      </c>
      <c r="B3" s="14" t="s">
        <v>2964</v>
      </c>
      <c r="C3" s="14" t="s">
        <v>23</v>
      </c>
      <c r="D3" s="14"/>
      <c r="J3" s="73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14" t="s">
        <v>2966</v>
      </c>
      <c r="B4" s="14" t="s">
        <v>2967</v>
      </c>
      <c r="C4" s="14" t="s">
        <v>30</v>
      </c>
      <c r="D4" s="14"/>
      <c r="J4" s="73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4" t="s">
        <v>2971</v>
      </c>
      <c r="B5" s="14" t="s">
        <v>2974</v>
      </c>
      <c r="C5" s="14" t="s">
        <v>12</v>
      </c>
      <c r="D5" s="14"/>
      <c r="J5" s="73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14" t="s">
        <v>2979</v>
      </c>
      <c r="B6" s="14" t="s">
        <v>2980</v>
      </c>
      <c r="C6" s="14" t="s">
        <v>14</v>
      </c>
      <c r="D6" s="14"/>
      <c r="J6" s="73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14" t="s">
        <v>2981</v>
      </c>
      <c r="B7" s="14" t="s">
        <v>2983</v>
      </c>
      <c r="C7" s="14" t="s">
        <v>25</v>
      </c>
      <c r="D7" s="14"/>
      <c r="J7" s="73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19"/>
      <c r="B8" s="19"/>
      <c r="C8" s="14" t="s">
        <v>18</v>
      </c>
      <c r="D8" s="14"/>
      <c r="J8" s="73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86" t="s">
        <v>2996</v>
      </c>
      <c r="J9" s="73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251" t="s">
        <v>2998</v>
      </c>
      <c r="B10" s="251" t="s">
        <v>2999</v>
      </c>
      <c r="C10" s="251" t="s">
        <v>3000</v>
      </c>
      <c r="D10" s="251" t="s">
        <v>3002</v>
      </c>
      <c r="E10" s="251" t="s">
        <v>705</v>
      </c>
      <c r="F10" s="251" t="s">
        <v>696</v>
      </c>
      <c r="J10" s="73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14" t="s">
        <v>3009</v>
      </c>
      <c r="B11" s="14" t="s">
        <v>18</v>
      </c>
      <c r="C11" s="14" t="s">
        <v>3010</v>
      </c>
      <c r="D11" s="14" t="s">
        <v>3011</v>
      </c>
      <c r="E11" s="14" t="s">
        <v>3011</v>
      </c>
      <c r="F11" s="14" t="s">
        <v>3012</v>
      </c>
      <c r="J11" s="73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14" t="s">
        <v>3016</v>
      </c>
      <c r="B12" s="14" t="s">
        <v>14</v>
      </c>
      <c r="C12" s="14" t="s">
        <v>3021</v>
      </c>
      <c r="D12" s="14" t="s">
        <v>739</v>
      </c>
      <c r="E12" s="14" t="s">
        <v>3023</v>
      </c>
      <c r="F12" s="14" t="s">
        <v>739</v>
      </c>
      <c r="J12" s="73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14" t="s">
        <v>3025</v>
      </c>
      <c r="B13" s="14" t="s">
        <v>14</v>
      </c>
      <c r="C13" s="14" t="s">
        <v>3028</v>
      </c>
      <c r="D13" s="14" t="s">
        <v>3030</v>
      </c>
      <c r="E13" s="14" t="s">
        <v>3031</v>
      </c>
      <c r="F13" s="14" t="s">
        <v>3030</v>
      </c>
      <c r="J13" s="73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14" t="s">
        <v>3039</v>
      </c>
      <c r="B14" s="14" t="s">
        <v>25</v>
      </c>
      <c r="C14" s="14" t="s">
        <v>3028</v>
      </c>
      <c r="D14" s="14" t="s">
        <v>3040</v>
      </c>
      <c r="E14" s="14" t="s">
        <v>3041</v>
      </c>
      <c r="F14" s="14" t="s">
        <v>3040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14" t="s">
        <v>3048</v>
      </c>
      <c r="B15" s="14" t="s">
        <v>27</v>
      </c>
      <c r="C15" s="14" t="s">
        <v>3010</v>
      </c>
      <c r="D15" s="14" t="s">
        <v>3049</v>
      </c>
      <c r="E15" s="14" t="s">
        <v>3050</v>
      </c>
      <c r="F15" s="14" t="s">
        <v>3049</v>
      </c>
      <c r="J15" s="252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14" t="s">
        <v>3059</v>
      </c>
      <c r="B16" s="14" t="s">
        <v>14</v>
      </c>
      <c r="C16" s="14" t="s">
        <v>3021</v>
      </c>
      <c r="D16" s="14" t="s">
        <v>3062</v>
      </c>
      <c r="E16" s="14" t="s">
        <v>3063</v>
      </c>
      <c r="F16" s="14" t="s">
        <v>3062</v>
      </c>
      <c r="J16" s="252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14" t="s">
        <v>3070</v>
      </c>
      <c r="B17" s="14" t="s">
        <v>18</v>
      </c>
      <c r="C17" s="14" t="s">
        <v>3072</v>
      </c>
      <c r="D17" s="14" t="s">
        <v>3073</v>
      </c>
      <c r="E17" s="14" t="s">
        <v>3073</v>
      </c>
      <c r="F17" s="14" t="s">
        <v>3074</v>
      </c>
      <c r="J17" s="252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14" t="s">
        <v>3081</v>
      </c>
      <c r="B18" s="14" t="s">
        <v>25</v>
      </c>
      <c r="C18" s="14" t="s">
        <v>3082</v>
      </c>
      <c r="D18" s="14" t="s">
        <v>1029</v>
      </c>
      <c r="E18" s="14" t="s">
        <v>3085</v>
      </c>
      <c r="F18" s="14" t="s">
        <v>1029</v>
      </c>
      <c r="J18" s="252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14" t="s">
        <v>3092</v>
      </c>
      <c r="B19" s="14" t="s">
        <v>18</v>
      </c>
      <c r="C19" s="14" t="s">
        <v>3021</v>
      </c>
      <c r="D19" s="14" t="s">
        <v>3011</v>
      </c>
      <c r="E19" s="14" t="s">
        <v>3030</v>
      </c>
      <c r="F19" s="14" t="s">
        <v>3011</v>
      </c>
      <c r="J19" s="252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14" t="s">
        <v>3106</v>
      </c>
      <c r="B20" s="14" t="s">
        <v>20</v>
      </c>
      <c r="C20" s="14" t="s">
        <v>3108</v>
      </c>
      <c r="D20" s="14" t="s">
        <v>3023</v>
      </c>
      <c r="E20" s="14" t="s">
        <v>3023</v>
      </c>
      <c r="F20" s="14" t="s">
        <v>3111</v>
      </c>
      <c r="J20" s="252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186" t="s">
        <v>3126</v>
      </c>
      <c r="J21" s="252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251" t="s">
        <v>2998</v>
      </c>
      <c r="B22" s="251" t="s">
        <v>2999</v>
      </c>
      <c r="C22" s="251" t="s">
        <v>3000</v>
      </c>
      <c r="D22" s="251" t="s">
        <v>3002</v>
      </c>
      <c r="E22" s="251" t="s">
        <v>705</v>
      </c>
      <c r="F22" s="251" t="s">
        <v>696</v>
      </c>
      <c r="J22" s="252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14" t="s">
        <v>3149</v>
      </c>
      <c r="B23" s="14" t="s">
        <v>12</v>
      </c>
      <c r="C23" s="14" t="s">
        <v>3150</v>
      </c>
      <c r="D23" s="14" t="s">
        <v>3152</v>
      </c>
      <c r="E23" s="14" t="s">
        <v>3010</v>
      </c>
      <c r="F23" s="14" t="s">
        <v>3152</v>
      </c>
      <c r="J23" s="252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14" t="s">
        <v>3158</v>
      </c>
      <c r="B24" s="14" t="s">
        <v>30</v>
      </c>
      <c r="C24" s="14" t="s">
        <v>3021</v>
      </c>
      <c r="D24" s="14" t="s">
        <v>3159</v>
      </c>
      <c r="E24" s="14" t="s">
        <v>3160</v>
      </c>
      <c r="F24" s="14" t="s">
        <v>3159</v>
      </c>
      <c r="J24" s="252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14" t="s">
        <v>3166</v>
      </c>
      <c r="B25" s="14" t="s">
        <v>9</v>
      </c>
      <c r="C25" s="14" t="s">
        <v>3108</v>
      </c>
      <c r="D25" s="14" t="s">
        <v>750</v>
      </c>
      <c r="E25" s="14" t="s">
        <v>750</v>
      </c>
      <c r="F25" s="14" t="s">
        <v>3168</v>
      </c>
      <c r="G25" s="19"/>
      <c r="H25" s="19"/>
      <c r="I25" s="19"/>
      <c r="J25" s="252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14" t="s">
        <v>3170</v>
      </c>
      <c r="B26" s="14" t="s">
        <v>12</v>
      </c>
      <c r="C26" s="14" t="s">
        <v>3082</v>
      </c>
      <c r="D26" s="14" t="s">
        <v>3171</v>
      </c>
      <c r="E26" s="14" t="s">
        <v>3172</v>
      </c>
      <c r="F26" s="14" t="s">
        <v>3171</v>
      </c>
      <c r="J26" s="252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14" t="s">
        <v>3175</v>
      </c>
      <c r="B27" s="14" t="s">
        <v>30</v>
      </c>
      <c r="C27" s="14" t="s">
        <v>3021</v>
      </c>
      <c r="D27" s="14" t="s">
        <v>3159</v>
      </c>
      <c r="E27" s="14" t="s">
        <v>3159</v>
      </c>
      <c r="F27" s="14" t="s">
        <v>3159</v>
      </c>
      <c r="J27" s="252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14" t="s">
        <v>3177</v>
      </c>
      <c r="B28" s="14" t="s">
        <v>664</v>
      </c>
      <c r="C28" s="14" t="s">
        <v>3179</v>
      </c>
      <c r="D28" s="14" t="s">
        <v>3180</v>
      </c>
      <c r="E28" s="14" t="s">
        <v>3010</v>
      </c>
      <c r="F28" s="14" t="s">
        <v>3180</v>
      </c>
      <c r="J28" s="252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14" t="s">
        <v>3181</v>
      </c>
      <c r="B29" s="14" t="s">
        <v>12</v>
      </c>
      <c r="C29" s="14" t="s">
        <v>3021</v>
      </c>
      <c r="D29" s="14" t="s">
        <v>3182</v>
      </c>
      <c r="E29" s="14" t="s">
        <v>3182</v>
      </c>
      <c r="F29" s="14" t="s">
        <v>3183</v>
      </c>
      <c r="J29" s="252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14" t="s">
        <v>3185</v>
      </c>
      <c r="B30" s="14" t="s">
        <v>23</v>
      </c>
      <c r="C30" s="14" t="s">
        <v>3108</v>
      </c>
      <c r="D30" s="14" t="s">
        <v>794</v>
      </c>
      <c r="E30" s="14" t="s">
        <v>3187</v>
      </c>
      <c r="F30" s="14" t="s">
        <v>794</v>
      </c>
      <c r="J30" s="252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14" t="s">
        <v>3193</v>
      </c>
      <c r="B31" s="14" t="s">
        <v>30</v>
      </c>
      <c r="C31" s="14" t="s">
        <v>3179</v>
      </c>
      <c r="D31" s="14" t="s">
        <v>3194</v>
      </c>
      <c r="E31" s="14" t="s">
        <v>3195</v>
      </c>
      <c r="F31" s="14" t="s">
        <v>3194</v>
      </c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14" t="s">
        <v>3196</v>
      </c>
      <c r="B32" s="14" t="s">
        <v>12</v>
      </c>
      <c r="C32" s="14" t="s">
        <v>3082</v>
      </c>
      <c r="D32" s="14" t="s">
        <v>3183</v>
      </c>
      <c r="E32" s="14" t="s">
        <v>3197</v>
      </c>
      <c r="F32" s="14" t="s">
        <v>3183</v>
      </c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186" t="s">
        <v>2957</v>
      </c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251" t="s">
        <v>2998</v>
      </c>
      <c r="B34" s="251" t="s">
        <v>2999</v>
      </c>
      <c r="C34" s="251" t="s">
        <v>3000</v>
      </c>
      <c r="D34" s="251" t="s">
        <v>3002</v>
      </c>
      <c r="E34" s="251" t="s">
        <v>705</v>
      </c>
      <c r="F34" s="251" t="s">
        <v>696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14" t="s">
        <v>3216</v>
      </c>
      <c r="B35" s="14" t="s">
        <v>30</v>
      </c>
      <c r="C35" s="14" t="s">
        <v>3179</v>
      </c>
      <c r="D35" s="14" t="s">
        <v>3159</v>
      </c>
      <c r="E35" s="14" t="s">
        <v>3159</v>
      </c>
      <c r="F35" s="14" t="s">
        <v>3159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14" t="s">
        <v>3225</v>
      </c>
      <c r="B36" s="14" t="s">
        <v>23</v>
      </c>
      <c r="C36" s="14" t="s">
        <v>3108</v>
      </c>
      <c r="D36" s="14" t="s">
        <v>794</v>
      </c>
      <c r="E36" s="14" t="s">
        <v>3228</v>
      </c>
      <c r="F36" s="14" t="s">
        <v>794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14" t="s">
        <v>3231</v>
      </c>
      <c r="B37" s="14" t="s">
        <v>12</v>
      </c>
      <c r="C37" s="14" t="s">
        <v>3179</v>
      </c>
      <c r="D37" s="14" t="s">
        <v>3171</v>
      </c>
      <c r="E37" s="14" t="s">
        <v>3233</v>
      </c>
      <c r="F37" s="14" t="s">
        <v>3171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14" t="s">
        <v>3239</v>
      </c>
      <c r="B38" s="14" t="s">
        <v>12</v>
      </c>
      <c r="C38" s="14" t="s">
        <v>3082</v>
      </c>
      <c r="D38" s="14" t="s">
        <v>3182</v>
      </c>
      <c r="E38" s="14" t="s">
        <v>3182</v>
      </c>
      <c r="F38" s="14" t="s">
        <v>3241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14" t="s">
        <v>3244</v>
      </c>
      <c r="B39" s="14" t="s">
        <v>14</v>
      </c>
      <c r="C39" s="14" t="s">
        <v>3179</v>
      </c>
      <c r="D39" s="14" t="s">
        <v>3245</v>
      </c>
      <c r="E39" s="14" t="s">
        <v>3246</v>
      </c>
      <c r="F39" s="14" t="s">
        <v>3030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14" t="s">
        <v>3253</v>
      </c>
      <c r="B40" s="14" t="s">
        <v>23</v>
      </c>
      <c r="C40" s="14" t="s">
        <v>3028</v>
      </c>
      <c r="D40" s="14" t="s">
        <v>3256</v>
      </c>
      <c r="E40" s="14" t="s">
        <v>3258</v>
      </c>
      <c r="F40" s="14" t="s">
        <v>3256</v>
      </c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14" t="s">
        <v>3266</v>
      </c>
      <c r="B41" s="14" t="s">
        <v>30</v>
      </c>
      <c r="C41" s="14" t="s">
        <v>3268</v>
      </c>
      <c r="D41" s="14" t="s">
        <v>3271</v>
      </c>
      <c r="E41" s="14" t="s">
        <v>3271</v>
      </c>
      <c r="F41" s="14" t="s">
        <v>3271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14" t="s">
        <v>3278</v>
      </c>
      <c r="B42" s="14" t="s">
        <v>23</v>
      </c>
      <c r="C42" s="14" t="s">
        <v>3072</v>
      </c>
      <c r="D42" s="14" t="s">
        <v>794</v>
      </c>
      <c r="E42" s="14" t="s">
        <v>3258</v>
      </c>
      <c r="F42" s="14" t="s">
        <v>794</v>
      </c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14" t="s">
        <v>3286</v>
      </c>
      <c r="B43" s="14" t="s">
        <v>30</v>
      </c>
      <c r="C43" s="14" t="s">
        <v>3179</v>
      </c>
      <c r="D43" s="14" t="s">
        <v>3194</v>
      </c>
      <c r="E43" s="14" t="s">
        <v>3194</v>
      </c>
      <c r="F43" s="14" t="s">
        <v>3062</v>
      </c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186" t="s">
        <v>3292</v>
      </c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251" t="s">
        <v>2998</v>
      </c>
      <c r="B45" s="251" t="s">
        <v>2999</v>
      </c>
      <c r="C45" s="251" t="s">
        <v>3000</v>
      </c>
      <c r="D45" s="251" t="s">
        <v>3002</v>
      </c>
      <c r="E45" s="251" t="s">
        <v>705</v>
      </c>
      <c r="F45" s="251" t="s">
        <v>696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14" t="s">
        <v>3304</v>
      </c>
      <c r="B46" s="14" t="s">
        <v>12</v>
      </c>
      <c r="C46" s="14" t="s">
        <v>3179</v>
      </c>
      <c r="D46" s="14" t="s">
        <v>3305</v>
      </c>
      <c r="E46" s="14" t="s">
        <v>3306</v>
      </c>
      <c r="F46" s="14" t="s">
        <v>3305</v>
      </c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14" t="s">
        <v>3225</v>
      </c>
      <c r="B47" s="14" t="s">
        <v>23</v>
      </c>
      <c r="C47" s="14" t="s">
        <v>3268</v>
      </c>
      <c r="D47" s="14" t="s">
        <v>794</v>
      </c>
      <c r="E47" s="14" t="s">
        <v>979</v>
      </c>
      <c r="F47" s="14" t="s">
        <v>3256</v>
      </c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186" t="s">
        <v>3318</v>
      </c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251" t="s">
        <v>2998</v>
      </c>
      <c r="B49" s="251" t="s">
        <v>2999</v>
      </c>
      <c r="C49" s="251" t="s">
        <v>3000</v>
      </c>
      <c r="D49" s="251" t="s">
        <v>3002</v>
      </c>
      <c r="E49" s="251" t="s">
        <v>705</v>
      </c>
      <c r="F49" s="251" t="s">
        <v>696</v>
      </c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14" t="s">
        <v>3196</v>
      </c>
      <c r="B50" s="14" t="s">
        <v>23</v>
      </c>
      <c r="C50" s="14" t="s">
        <v>3179</v>
      </c>
      <c r="D50" s="14" t="s">
        <v>3330</v>
      </c>
      <c r="E50" s="14" t="s">
        <v>3331</v>
      </c>
      <c r="F50" s="14" t="s">
        <v>3332</v>
      </c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263" t="s">
        <v>619</v>
      </c>
      <c r="E53" s="22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163" t="s">
        <v>627</v>
      </c>
      <c r="B54" s="163" t="s">
        <v>629</v>
      </c>
      <c r="C54" s="163" t="s">
        <v>3345</v>
      </c>
      <c r="D54" s="163" t="s">
        <v>3169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14" t="s">
        <v>643</v>
      </c>
      <c r="B55" s="14" t="s">
        <v>644</v>
      </c>
      <c r="C55" s="14" t="s">
        <v>12</v>
      </c>
      <c r="D55" s="14">
        <v>5000.0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4" t="s">
        <v>655</v>
      </c>
      <c r="B56" s="14" t="s">
        <v>657</v>
      </c>
      <c r="C56" s="14" t="s">
        <v>9</v>
      </c>
      <c r="D56" s="14">
        <v>5000.0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4" t="s">
        <v>669</v>
      </c>
      <c r="B57" s="14" t="s">
        <v>673</v>
      </c>
      <c r="C57" s="14" t="s">
        <v>27</v>
      </c>
      <c r="D57" s="14">
        <v>5000.0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4" t="s">
        <v>691</v>
      </c>
      <c r="B58" s="14" t="s">
        <v>693</v>
      </c>
      <c r="C58" s="14" t="s">
        <v>20</v>
      </c>
      <c r="D58" s="14">
        <v>5000.0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4" t="s">
        <v>701</v>
      </c>
      <c r="B59" s="14" t="s">
        <v>703</v>
      </c>
      <c r="C59" s="14" t="s">
        <v>12</v>
      </c>
      <c r="D59" s="14">
        <v>5000.0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4" t="s">
        <v>714</v>
      </c>
      <c r="B60" s="14" t="s">
        <v>716</v>
      </c>
      <c r="C60" s="14" t="s">
        <v>12</v>
      </c>
      <c r="D60" s="14">
        <v>5000.0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4" t="s">
        <v>724</v>
      </c>
      <c r="B61" s="14" t="s">
        <v>703</v>
      </c>
      <c r="C61" s="14" t="s">
        <v>12</v>
      </c>
      <c r="D61" s="14">
        <v>5000.0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4" t="s">
        <v>677</v>
      </c>
      <c r="B62" s="14" t="s">
        <v>730</v>
      </c>
      <c r="C62" s="14" t="s">
        <v>23</v>
      </c>
      <c r="D62" s="14">
        <v>5000.0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4" t="s">
        <v>737</v>
      </c>
      <c r="B63" s="14" t="s">
        <v>739</v>
      </c>
      <c r="C63" s="14" t="s">
        <v>23</v>
      </c>
      <c r="D63" s="14">
        <v>5000.0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4" t="s">
        <v>747</v>
      </c>
      <c r="B64" s="14" t="s">
        <v>750</v>
      </c>
      <c r="C64" s="14" t="s">
        <v>9</v>
      </c>
      <c r="D64" s="14">
        <v>5000.0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4" t="s">
        <v>756</v>
      </c>
      <c r="B65" s="14" t="s">
        <v>759</v>
      </c>
      <c r="C65" s="14" t="s">
        <v>20</v>
      </c>
      <c r="D65" s="14">
        <v>5000.0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4" t="s">
        <v>3362</v>
      </c>
      <c r="B66" s="14" t="s">
        <v>479</v>
      </c>
      <c r="C66" s="14" t="s">
        <v>9</v>
      </c>
      <c r="D66" s="14">
        <v>5000.0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4" t="s">
        <v>781</v>
      </c>
      <c r="B67" s="14" t="s">
        <v>784</v>
      </c>
      <c r="C67" s="14" t="s">
        <v>30</v>
      </c>
      <c r="D67" s="14">
        <v>5000.0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4" t="s">
        <v>763</v>
      </c>
      <c r="B68" s="14" t="s">
        <v>794</v>
      </c>
      <c r="C68" s="14" t="s">
        <v>23</v>
      </c>
      <c r="D68" s="14">
        <v>10000.0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4" t="s">
        <v>705</v>
      </c>
      <c r="B69" s="14" t="s">
        <v>703</v>
      </c>
      <c r="C69" s="14" t="s">
        <v>12</v>
      </c>
      <c r="D69" s="14">
        <v>10000.0</v>
      </c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4" t="s">
        <v>812</v>
      </c>
      <c r="B70" s="14" t="s">
        <v>794</v>
      </c>
      <c r="C70" s="14" t="s">
        <v>23</v>
      </c>
      <c r="D70" s="14">
        <v>20000.0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4" t="s">
        <v>726</v>
      </c>
      <c r="C71" s="14" t="s">
        <v>12</v>
      </c>
      <c r="D71" s="14">
        <v>40000.0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4" t="s">
        <v>446</v>
      </c>
      <c r="C72" s="14" t="s">
        <v>23</v>
      </c>
      <c r="D72" s="14">
        <v>80000.0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264" t="s">
        <v>3368</v>
      </c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35" t="s">
        <v>627</v>
      </c>
      <c r="B75" s="35" t="s">
        <v>629</v>
      </c>
      <c r="C75" s="35" t="s">
        <v>3345</v>
      </c>
      <c r="D75" s="35" t="s">
        <v>3169</v>
      </c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4" t="s">
        <v>2999</v>
      </c>
      <c r="B76" s="14" t="s">
        <v>3374</v>
      </c>
      <c r="C76" s="14" t="s">
        <v>664</v>
      </c>
      <c r="D76" s="14">
        <v>30000.0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4" t="s">
        <v>3377</v>
      </c>
      <c r="B77" s="14" t="s">
        <v>3378</v>
      </c>
      <c r="C77" s="14" t="s">
        <v>29</v>
      </c>
      <c r="D77" s="14">
        <v>20000.0</v>
      </c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4" t="s">
        <v>3380</v>
      </c>
      <c r="B78" s="14" t="s">
        <v>1031</v>
      </c>
      <c r="C78" s="14" t="s">
        <v>30</v>
      </c>
      <c r="D78" s="14">
        <v>100000.0</v>
      </c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4" t="s">
        <v>3381</v>
      </c>
      <c r="B79" s="14" t="s">
        <v>3382</v>
      </c>
      <c r="C79" s="14" t="s">
        <v>27</v>
      </c>
      <c r="D79" s="14">
        <v>5000.0</v>
      </c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4" t="s">
        <v>3383</v>
      </c>
      <c r="B80" s="14" t="s">
        <v>3384</v>
      </c>
      <c r="C80" s="14" t="s">
        <v>29</v>
      </c>
      <c r="D80" s="14">
        <v>5000.0</v>
      </c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4" t="s">
        <v>3385</v>
      </c>
      <c r="D82" s="22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203" t="s">
        <v>627</v>
      </c>
      <c r="B83" s="203" t="s">
        <v>3345</v>
      </c>
      <c r="C83" s="203" t="s">
        <v>3169</v>
      </c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4" t="s">
        <v>3392</v>
      </c>
      <c r="B84" s="14" t="s">
        <v>12</v>
      </c>
      <c r="C84" s="14">
        <v>20000.0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4" t="s">
        <v>3400</v>
      </c>
      <c r="B85" s="14" t="s">
        <v>14</v>
      </c>
      <c r="C85" s="14">
        <v>10000.0</v>
      </c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4" t="s">
        <v>3406</v>
      </c>
      <c r="B86" s="14" t="s">
        <v>9</v>
      </c>
      <c r="C86" s="14">
        <v>5000.0</v>
      </c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4" t="s">
        <v>3410</v>
      </c>
      <c r="B87" s="14" t="s">
        <v>23</v>
      </c>
      <c r="C87" s="14">
        <v>5000.0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4" t="s">
        <v>3424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203" t="s">
        <v>87</v>
      </c>
      <c r="B90" s="203" t="s">
        <v>3345</v>
      </c>
      <c r="C90" s="203" t="s">
        <v>3427</v>
      </c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4" t="s">
        <v>3428</v>
      </c>
      <c r="B91" s="14" t="s">
        <v>9</v>
      </c>
      <c r="C91" s="14">
        <v>30000.0</v>
      </c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4" t="s">
        <v>3429</v>
      </c>
      <c r="B92" s="14" t="s">
        <v>20</v>
      </c>
      <c r="C92" s="14">
        <v>10000.0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B93" s="14" t="s">
        <v>27</v>
      </c>
      <c r="C93" s="14">
        <v>10000.0</v>
      </c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B94" s="14" t="s">
        <v>9</v>
      </c>
      <c r="C94" s="14">
        <v>10000.0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B95" s="14" t="s">
        <v>664</v>
      </c>
      <c r="C95" s="14">
        <v>10000.0</v>
      </c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4" t="s">
        <v>3460</v>
      </c>
      <c r="B96" s="14" t="s">
        <v>18</v>
      </c>
      <c r="C96" s="14">
        <v>15000.0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B97" s="14" t="s">
        <v>25</v>
      </c>
      <c r="C97" s="14">
        <v>15000.0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4" t="s">
        <v>921</v>
      </c>
      <c r="B98" s="14" t="s">
        <v>30</v>
      </c>
      <c r="C98" s="14">
        <v>20000.0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B99" s="14" t="s">
        <v>14</v>
      </c>
      <c r="C99" s="14">
        <v>20000.0</v>
      </c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53" t="s">
        <v>3056</v>
      </c>
      <c r="F1" s="253" t="s">
        <v>3060</v>
      </c>
    </row>
    <row r="2">
      <c r="A2" s="254" t="s">
        <v>23</v>
      </c>
      <c r="B2" s="254" t="s">
        <v>18</v>
      </c>
      <c r="C2" s="254" t="s">
        <v>30</v>
      </c>
      <c r="D2" s="254" t="s">
        <v>12</v>
      </c>
      <c r="E2" s="19"/>
      <c r="F2" s="254" t="s">
        <v>3064</v>
      </c>
      <c r="G2" s="254" t="s">
        <v>3065</v>
      </c>
      <c r="H2" s="254" t="s">
        <v>3066</v>
      </c>
      <c r="I2" s="254" t="s">
        <v>3067</v>
      </c>
      <c r="J2" s="254" t="s">
        <v>3068</v>
      </c>
      <c r="K2" s="254" t="s">
        <v>3069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>
      <c r="A3" s="255" t="s">
        <v>3075</v>
      </c>
      <c r="B3" s="255" t="s">
        <v>3078</v>
      </c>
      <c r="C3" s="255" t="s">
        <v>3079</v>
      </c>
      <c r="D3" s="255" t="s">
        <v>3080</v>
      </c>
      <c r="F3" s="14" t="s">
        <v>23</v>
      </c>
      <c r="G3" s="14" t="s">
        <v>18</v>
      </c>
      <c r="H3" s="14" t="s">
        <v>3083</v>
      </c>
      <c r="I3" s="14" t="s">
        <v>3084</v>
      </c>
      <c r="J3" s="14" t="s">
        <v>23</v>
      </c>
      <c r="K3" s="14" t="s">
        <v>3086</v>
      </c>
    </row>
    <row r="4">
      <c r="A4" s="12" t="s">
        <v>1458</v>
      </c>
      <c r="B4" s="255" t="s">
        <v>3087</v>
      </c>
      <c r="C4" s="255" t="s">
        <v>3088</v>
      </c>
      <c r="D4" s="255" t="s">
        <v>3089</v>
      </c>
      <c r="F4" s="14" t="s">
        <v>30</v>
      </c>
      <c r="G4" s="14" t="s">
        <v>12</v>
      </c>
      <c r="H4" s="14" t="s">
        <v>3083</v>
      </c>
      <c r="I4" s="14" t="s">
        <v>3090</v>
      </c>
      <c r="J4" s="14" t="s">
        <v>12</v>
      </c>
      <c r="K4" s="14" t="s">
        <v>3091</v>
      </c>
    </row>
    <row r="5">
      <c r="A5" s="12" t="s">
        <v>3094</v>
      </c>
      <c r="B5" s="255" t="s">
        <v>3096</v>
      </c>
      <c r="C5" s="255" t="s">
        <v>3097</v>
      </c>
      <c r="D5" s="255" t="s">
        <v>3099</v>
      </c>
      <c r="F5" s="14" t="s">
        <v>30</v>
      </c>
      <c r="G5" s="14" t="s">
        <v>23</v>
      </c>
      <c r="H5" s="37" t="s">
        <v>3102</v>
      </c>
      <c r="I5" s="14" t="s">
        <v>3090</v>
      </c>
      <c r="J5" s="14" t="s">
        <v>23</v>
      </c>
      <c r="K5" s="37" t="s">
        <v>3103</v>
      </c>
    </row>
    <row r="6">
      <c r="A6" s="255" t="s">
        <v>2813</v>
      </c>
      <c r="B6" s="255" t="s">
        <v>3104</v>
      </c>
      <c r="C6" s="255" t="s">
        <v>3105</v>
      </c>
      <c r="D6" s="12" t="s">
        <v>325</v>
      </c>
      <c r="F6" s="14" t="s">
        <v>12</v>
      </c>
      <c r="G6" s="14" t="s">
        <v>18</v>
      </c>
      <c r="H6" s="14" t="s">
        <v>3102</v>
      </c>
      <c r="I6" s="14" t="s">
        <v>3107</v>
      </c>
      <c r="J6" s="14" t="s">
        <v>12</v>
      </c>
      <c r="K6" s="14" t="s">
        <v>3091</v>
      </c>
    </row>
    <row r="7">
      <c r="A7" s="255" t="s">
        <v>3109</v>
      </c>
      <c r="B7" s="12" t="s">
        <v>3110</v>
      </c>
      <c r="C7" s="255" t="s">
        <v>3112</v>
      </c>
      <c r="D7" s="255" t="s">
        <v>541</v>
      </c>
      <c r="F7" s="14" t="s">
        <v>23</v>
      </c>
      <c r="G7" s="14" t="s">
        <v>12</v>
      </c>
      <c r="H7" s="14" t="s">
        <v>3113</v>
      </c>
      <c r="I7" s="14" t="s">
        <v>3084</v>
      </c>
      <c r="J7" s="14" t="s">
        <v>23</v>
      </c>
      <c r="K7" s="14" t="s">
        <v>3114</v>
      </c>
    </row>
    <row r="8">
      <c r="A8" s="12" t="s">
        <v>3115</v>
      </c>
      <c r="B8" s="12" t="s">
        <v>3116</v>
      </c>
      <c r="C8" s="255" t="s">
        <v>3117</v>
      </c>
      <c r="D8" s="255" t="s">
        <v>3119</v>
      </c>
      <c r="F8" s="14" t="s">
        <v>3120</v>
      </c>
      <c r="G8" s="14" t="s">
        <v>30</v>
      </c>
      <c r="H8" s="14" t="s">
        <v>3113</v>
      </c>
      <c r="I8" s="14" t="s">
        <v>3122</v>
      </c>
      <c r="J8" s="14" t="s">
        <v>30</v>
      </c>
      <c r="K8" s="14" t="s">
        <v>3123</v>
      </c>
    </row>
    <row r="9">
      <c r="A9" s="255" t="s">
        <v>2790</v>
      </c>
      <c r="B9" s="255" t="s">
        <v>3124</v>
      </c>
      <c r="C9" s="255" t="s">
        <v>3125</v>
      </c>
      <c r="D9" s="12" t="s">
        <v>3127</v>
      </c>
      <c r="F9" s="14" t="s">
        <v>3120</v>
      </c>
      <c r="G9" s="14" t="s">
        <v>23</v>
      </c>
      <c r="H9" s="14" t="s">
        <v>3129</v>
      </c>
      <c r="I9" s="14" t="s">
        <v>3122</v>
      </c>
      <c r="J9" s="14" t="s">
        <v>18</v>
      </c>
      <c r="K9" s="14" t="s">
        <v>3130</v>
      </c>
    </row>
    <row r="10">
      <c r="A10" s="12" t="s">
        <v>3132</v>
      </c>
      <c r="B10" s="12" t="s">
        <v>3133</v>
      </c>
      <c r="C10" s="255" t="s">
        <v>3135</v>
      </c>
      <c r="D10" s="12" t="s">
        <v>3136</v>
      </c>
      <c r="F10" s="14" t="s">
        <v>12</v>
      </c>
      <c r="G10" s="14" t="s">
        <v>30</v>
      </c>
      <c r="H10" s="14" t="s">
        <v>3129</v>
      </c>
      <c r="I10" s="14" t="s">
        <v>3107</v>
      </c>
      <c r="J10" s="14" t="s">
        <v>30</v>
      </c>
      <c r="K10" s="14" t="s">
        <v>3137</v>
      </c>
    </row>
    <row r="11">
      <c r="A11" s="255" t="s">
        <v>3138</v>
      </c>
      <c r="B11" s="12" t="s">
        <v>3139</v>
      </c>
      <c r="C11" s="255" t="s">
        <v>3140</v>
      </c>
      <c r="D11" s="12" t="s">
        <v>3141</v>
      </c>
      <c r="F11" s="14" t="s">
        <v>3142</v>
      </c>
      <c r="G11" s="37" t="s">
        <v>30</v>
      </c>
      <c r="H11" s="14" t="s">
        <v>3143</v>
      </c>
      <c r="I11" s="37" t="s">
        <v>3084</v>
      </c>
      <c r="J11" s="14" t="s">
        <v>30</v>
      </c>
      <c r="K11" s="14" t="s">
        <v>3144</v>
      </c>
    </row>
    <row r="12">
      <c r="A12" s="255" t="s">
        <v>3145</v>
      </c>
      <c r="B12" s="255" t="s">
        <v>3146</v>
      </c>
      <c r="C12" s="255" t="s">
        <v>3147</v>
      </c>
      <c r="D12" s="12" t="s">
        <v>3148</v>
      </c>
      <c r="F12" s="14" t="s">
        <v>3120</v>
      </c>
      <c r="G12" s="14" t="s">
        <v>12</v>
      </c>
      <c r="H12" s="14" t="s">
        <v>3143</v>
      </c>
      <c r="I12" s="14" t="s">
        <v>3122</v>
      </c>
      <c r="J12" s="14" t="s">
        <v>12</v>
      </c>
      <c r="K12" s="14" t="s">
        <v>3091</v>
      </c>
    </row>
    <row r="13">
      <c r="F13" s="14" t="s">
        <v>12</v>
      </c>
      <c r="G13" s="14" t="s">
        <v>23</v>
      </c>
      <c r="H13" s="14" t="s">
        <v>3153</v>
      </c>
      <c r="I13" s="14" t="s">
        <v>3107</v>
      </c>
      <c r="J13" s="14" t="s">
        <v>12</v>
      </c>
      <c r="K13" s="14" t="s">
        <v>3155</v>
      </c>
    </row>
    <row r="14">
      <c r="F14" s="14" t="s">
        <v>30</v>
      </c>
      <c r="G14" s="14" t="s">
        <v>18</v>
      </c>
      <c r="H14" s="14" t="s">
        <v>3153</v>
      </c>
      <c r="I14" s="14" t="s">
        <v>3090</v>
      </c>
      <c r="J14" s="14" t="s">
        <v>18</v>
      </c>
      <c r="K14" s="14" t="s">
        <v>3156</v>
      </c>
    </row>
    <row r="15">
      <c r="F15" s="14" t="s">
        <v>12</v>
      </c>
      <c r="G15" s="14" t="s">
        <v>23</v>
      </c>
      <c r="H15" s="14" t="s">
        <v>3157</v>
      </c>
      <c r="I15" s="14" t="s">
        <v>3107</v>
      </c>
      <c r="J15" s="14" t="s">
        <v>23</v>
      </c>
      <c r="K15" s="14" t="s">
        <v>3086</v>
      </c>
    </row>
    <row r="16">
      <c r="F16" s="19"/>
      <c r="G16" s="19"/>
      <c r="H16" s="19"/>
      <c r="I16" s="19"/>
      <c r="J16" s="19"/>
      <c r="K16" s="19"/>
    </row>
    <row r="17">
      <c r="F17" s="19"/>
      <c r="G17" s="19"/>
      <c r="H17" s="19"/>
      <c r="I17" s="19"/>
      <c r="J17" s="19"/>
      <c r="K17" s="19"/>
    </row>
    <row r="18">
      <c r="F18" s="19"/>
      <c r="G18" s="19"/>
      <c r="H18" s="19"/>
      <c r="I18" s="19"/>
      <c r="J18" s="19"/>
      <c r="K18" s="19"/>
    </row>
    <row r="19">
      <c r="A19" s="35" t="s">
        <v>3164</v>
      </c>
      <c r="E19" s="22"/>
      <c r="F19" s="19"/>
      <c r="G19" s="19"/>
      <c r="H19" s="19"/>
      <c r="I19" s="19"/>
      <c r="J19" s="19"/>
      <c r="K19" s="19"/>
    </row>
    <row r="20">
      <c r="A20" s="163" t="s">
        <v>627</v>
      </c>
      <c r="B20" s="163" t="s">
        <v>629</v>
      </c>
      <c r="C20" s="163" t="s">
        <v>633</v>
      </c>
      <c r="D20" s="163" t="s">
        <v>3169</v>
      </c>
      <c r="F20" s="19"/>
      <c r="G20" s="19"/>
      <c r="H20" s="19"/>
      <c r="I20" s="19"/>
      <c r="J20" s="19"/>
      <c r="K20" s="19"/>
    </row>
    <row r="21">
      <c r="A21" s="14" t="s">
        <v>856</v>
      </c>
      <c r="B21" s="14" t="s">
        <v>860</v>
      </c>
      <c r="D21" s="14">
        <v>30000.0</v>
      </c>
      <c r="F21" s="19"/>
      <c r="G21" s="19"/>
      <c r="H21" s="19"/>
      <c r="I21" s="19"/>
      <c r="J21" s="19"/>
      <c r="K21" s="19"/>
    </row>
    <row r="22">
      <c r="A22" s="14" t="s">
        <v>868</v>
      </c>
      <c r="B22" s="14" t="s">
        <v>870</v>
      </c>
      <c r="D22" s="14">
        <v>30000.0</v>
      </c>
      <c r="F22" s="19"/>
      <c r="G22" s="19"/>
      <c r="H22" s="19"/>
      <c r="I22" s="19"/>
      <c r="J22" s="19"/>
      <c r="K22" s="19"/>
    </row>
    <row r="23">
      <c r="A23" s="14" t="s">
        <v>877</v>
      </c>
      <c r="B23" s="14" t="s">
        <v>880</v>
      </c>
      <c r="D23" s="14">
        <v>30000.0</v>
      </c>
      <c r="F23" s="19"/>
      <c r="G23" s="19"/>
      <c r="H23" s="19"/>
      <c r="I23" s="19"/>
      <c r="J23" s="19"/>
      <c r="K23" s="19"/>
    </row>
    <row r="24">
      <c r="A24" s="14" t="s">
        <v>781</v>
      </c>
      <c r="B24" s="14" t="s">
        <v>831</v>
      </c>
      <c r="C24" s="14" t="s">
        <v>23</v>
      </c>
      <c r="D24" s="14">
        <v>20000.0</v>
      </c>
      <c r="F24" s="19"/>
      <c r="G24" s="19"/>
      <c r="H24" s="19"/>
      <c r="I24" s="19"/>
      <c r="J24" s="19"/>
      <c r="K24" s="19"/>
    </row>
    <row r="25">
      <c r="A25" s="14" t="s">
        <v>696</v>
      </c>
      <c r="B25" s="14" t="s">
        <v>842</v>
      </c>
      <c r="C25" s="14" t="s">
        <v>30</v>
      </c>
      <c r="D25" s="14">
        <v>20000.0</v>
      </c>
      <c r="F25" s="19"/>
      <c r="G25" s="19"/>
      <c r="H25" s="19"/>
      <c r="I25" s="19"/>
      <c r="J25" s="19"/>
      <c r="K25" s="19"/>
    </row>
    <row r="26">
      <c r="A26" s="14" t="s">
        <v>705</v>
      </c>
      <c r="B26" s="14" t="s">
        <v>848</v>
      </c>
      <c r="C26" s="14" t="s">
        <v>12</v>
      </c>
      <c r="D26" s="14">
        <v>20000.0</v>
      </c>
      <c r="F26" s="19"/>
      <c r="G26" s="19"/>
      <c r="H26" s="19"/>
      <c r="I26" s="19"/>
      <c r="J26" s="19"/>
      <c r="K26" s="19"/>
    </row>
    <row r="27">
      <c r="A27" s="14" t="s">
        <v>720</v>
      </c>
      <c r="B27" s="14" t="s">
        <v>848</v>
      </c>
      <c r="C27" s="14" t="s">
        <v>12</v>
      </c>
      <c r="D27" s="14">
        <v>25000.0</v>
      </c>
      <c r="F27" s="19"/>
      <c r="G27" s="19"/>
      <c r="H27" s="19"/>
      <c r="I27" s="19"/>
      <c r="J27" s="19"/>
      <c r="K27" s="19"/>
    </row>
    <row r="28">
      <c r="A28" s="14" t="s">
        <v>726</v>
      </c>
      <c r="B28" s="14" t="s">
        <v>12</v>
      </c>
      <c r="D28" s="14">
        <v>50000.0</v>
      </c>
      <c r="F28" s="19"/>
      <c r="G28" s="19"/>
      <c r="H28" s="19"/>
      <c r="I28" s="19"/>
      <c r="J28" s="19"/>
      <c r="K28" s="19"/>
    </row>
    <row r="29">
      <c r="A29" s="14" t="s">
        <v>446</v>
      </c>
      <c r="B29" s="14" t="s">
        <v>23</v>
      </c>
      <c r="D29" s="14">
        <v>100000.0</v>
      </c>
      <c r="F29" s="19"/>
      <c r="G29" s="19"/>
      <c r="H29" s="19"/>
      <c r="I29" s="19"/>
      <c r="J29" s="19"/>
      <c r="K29" s="19"/>
    </row>
    <row r="30">
      <c r="F30" s="19"/>
      <c r="G30" s="19"/>
      <c r="H30" s="19"/>
      <c r="I30" s="19"/>
      <c r="J30" s="19"/>
      <c r="K30" s="19"/>
    </row>
    <row r="31">
      <c r="F31" s="19"/>
      <c r="G31" s="19"/>
      <c r="H31" s="19"/>
      <c r="I31" s="19"/>
      <c r="J31" s="19"/>
      <c r="K31" s="19"/>
    </row>
    <row r="32">
      <c r="F32" s="19"/>
      <c r="G32" s="19"/>
      <c r="H32" s="19"/>
      <c r="I32" s="19"/>
      <c r="J32" s="19"/>
      <c r="K32" s="19"/>
    </row>
    <row r="33">
      <c r="F33" s="19"/>
      <c r="G33" s="19"/>
      <c r="H33" s="19"/>
      <c r="I33" s="19"/>
      <c r="J33" s="19"/>
      <c r="K33" s="19"/>
    </row>
    <row r="34">
      <c r="F34" s="19"/>
      <c r="G34" s="19"/>
      <c r="H34" s="19"/>
      <c r="I34" s="19"/>
      <c r="J34" s="19"/>
      <c r="K34" s="19"/>
    </row>
    <row r="35">
      <c r="F35" s="19"/>
      <c r="G35" s="19"/>
      <c r="H35" s="19"/>
      <c r="I35" s="19"/>
      <c r="J35" s="19"/>
      <c r="K35" s="19"/>
    </row>
    <row r="36">
      <c r="F36" s="19"/>
      <c r="G36" s="19"/>
      <c r="H36" s="19"/>
      <c r="I36" s="19"/>
      <c r="J36" s="19"/>
      <c r="K36" s="19"/>
    </row>
    <row r="37">
      <c r="F37" s="19"/>
      <c r="G37" s="19"/>
      <c r="H37" s="19"/>
      <c r="I37" s="19"/>
      <c r="J37" s="19"/>
      <c r="K37" s="19"/>
    </row>
    <row r="38">
      <c r="F38" s="19"/>
      <c r="G38" s="19"/>
      <c r="H38" s="19"/>
      <c r="I38" s="19"/>
      <c r="J38" s="19"/>
      <c r="K38" s="19"/>
    </row>
    <row r="39">
      <c r="F39" s="19"/>
      <c r="G39" s="19"/>
      <c r="H39" s="19"/>
      <c r="I39" s="19"/>
      <c r="J39" s="19"/>
      <c r="K39" s="19"/>
    </row>
    <row r="40">
      <c r="F40" s="19"/>
      <c r="G40" s="19"/>
      <c r="H40" s="19"/>
      <c r="I40" s="19"/>
      <c r="J40" s="19"/>
      <c r="K40" s="19"/>
    </row>
    <row r="41">
      <c r="F41" s="19"/>
      <c r="G41" s="19"/>
      <c r="H41" s="19"/>
      <c r="I41" s="19"/>
      <c r="J41" s="19"/>
      <c r="K41" s="19"/>
    </row>
    <row r="42">
      <c r="F42" s="19"/>
      <c r="G42" s="19"/>
      <c r="H42" s="19"/>
      <c r="I42" s="19"/>
      <c r="J42" s="19"/>
      <c r="K42" s="19"/>
    </row>
    <row r="43">
      <c r="F43" s="19"/>
      <c r="G43" s="19"/>
      <c r="H43" s="19"/>
      <c r="I43" s="19"/>
      <c r="J43" s="19"/>
      <c r="K43" s="19"/>
    </row>
    <row r="44">
      <c r="F44" s="19"/>
      <c r="G44" s="19"/>
      <c r="H44" s="19"/>
      <c r="I44" s="19"/>
      <c r="J44" s="19"/>
      <c r="K44" s="19"/>
    </row>
    <row r="45">
      <c r="F45" s="19"/>
      <c r="G45" s="19"/>
      <c r="H45" s="19"/>
      <c r="I45" s="19"/>
      <c r="J45" s="19"/>
      <c r="K45" s="19"/>
    </row>
    <row r="46">
      <c r="F46" s="19"/>
      <c r="G46" s="19"/>
      <c r="H46" s="19"/>
      <c r="I46" s="19"/>
      <c r="J46" s="19"/>
      <c r="K46" s="19"/>
    </row>
    <row r="47">
      <c r="F47" s="19"/>
      <c r="G47" s="19"/>
      <c r="H47" s="19"/>
      <c r="I47" s="19"/>
      <c r="J47" s="19"/>
      <c r="K47" s="19"/>
    </row>
    <row r="48">
      <c r="F48" s="19"/>
      <c r="G48" s="19"/>
      <c r="H48" s="19"/>
      <c r="I48" s="19"/>
      <c r="J48" s="19"/>
      <c r="K48" s="19"/>
    </row>
    <row r="49">
      <c r="F49" s="19"/>
      <c r="G49" s="19"/>
      <c r="H49" s="19"/>
      <c r="I49" s="19"/>
      <c r="J49" s="19"/>
      <c r="K49" s="19"/>
    </row>
    <row r="50">
      <c r="F50" s="19"/>
      <c r="G50" s="19"/>
      <c r="H50" s="19"/>
      <c r="I50" s="19"/>
      <c r="J50" s="19"/>
      <c r="K50" s="19"/>
    </row>
    <row r="51">
      <c r="F51" s="19"/>
      <c r="G51" s="19"/>
      <c r="H51" s="19"/>
      <c r="I51" s="19"/>
      <c r="J51" s="19"/>
      <c r="K51" s="19"/>
    </row>
    <row r="52">
      <c r="F52" s="19"/>
      <c r="G52" s="19"/>
      <c r="H52" s="19"/>
      <c r="I52" s="19"/>
      <c r="J52" s="19"/>
      <c r="K52" s="19"/>
    </row>
    <row r="53">
      <c r="F53" s="19"/>
      <c r="G53" s="19"/>
      <c r="H53" s="19"/>
      <c r="I53" s="19"/>
      <c r="J53" s="19"/>
      <c r="K53" s="19"/>
    </row>
    <row r="54">
      <c r="F54" s="19"/>
      <c r="G54" s="19"/>
      <c r="H54" s="19"/>
      <c r="I54" s="19"/>
      <c r="J54" s="19"/>
      <c r="K54" s="19"/>
    </row>
    <row r="55">
      <c r="F55" s="19"/>
      <c r="G55" s="19"/>
      <c r="H55" s="19"/>
      <c r="I55" s="19"/>
      <c r="J55" s="19"/>
      <c r="K55" s="19"/>
    </row>
    <row r="56">
      <c r="F56" s="19"/>
      <c r="G56" s="19"/>
      <c r="H56" s="19"/>
      <c r="I56" s="19"/>
      <c r="J56" s="19"/>
      <c r="K56" s="19"/>
    </row>
    <row r="57">
      <c r="F57" s="19"/>
      <c r="G57" s="19"/>
      <c r="H57" s="19"/>
      <c r="I57" s="19"/>
      <c r="J57" s="19"/>
      <c r="K57" s="19"/>
    </row>
    <row r="58">
      <c r="F58" s="19"/>
      <c r="G58" s="19"/>
      <c r="H58" s="19"/>
      <c r="I58" s="19"/>
      <c r="J58" s="19"/>
      <c r="K58" s="19"/>
    </row>
    <row r="59">
      <c r="F59" s="19"/>
      <c r="G59" s="19"/>
      <c r="H59" s="19"/>
      <c r="I59" s="19"/>
      <c r="J59" s="19"/>
      <c r="K59" s="19"/>
    </row>
    <row r="60">
      <c r="F60" s="19"/>
      <c r="G60" s="19"/>
      <c r="H60" s="19"/>
      <c r="I60" s="19"/>
      <c r="J60" s="19"/>
      <c r="K60" s="19"/>
    </row>
    <row r="61">
      <c r="F61" s="19"/>
      <c r="G61" s="19"/>
      <c r="H61" s="19"/>
      <c r="I61" s="19"/>
      <c r="J61" s="19"/>
      <c r="K61" s="19"/>
    </row>
    <row r="62">
      <c r="F62" s="19"/>
      <c r="G62" s="19"/>
      <c r="H62" s="19"/>
      <c r="I62" s="19"/>
      <c r="J62" s="19"/>
      <c r="K62" s="19"/>
    </row>
    <row r="63">
      <c r="F63" s="19"/>
      <c r="G63" s="19"/>
      <c r="H63" s="19"/>
      <c r="I63" s="19"/>
      <c r="J63" s="19"/>
      <c r="K63" s="19"/>
    </row>
    <row r="64">
      <c r="F64" s="19"/>
      <c r="G64" s="19"/>
      <c r="H64" s="19"/>
      <c r="I64" s="19"/>
      <c r="J64" s="19"/>
      <c r="K64" s="19"/>
    </row>
    <row r="65">
      <c r="F65" s="19"/>
      <c r="G65" s="19"/>
      <c r="H65" s="19"/>
      <c r="I65" s="19"/>
      <c r="J65" s="19"/>
      <c r="K65" s="19"/>
    </row>
    <row r="66">
      <c r="F66" s="19"/>
      <c r="G66" s="19"/>
      <c r="H66" s="19"/>
      <c r="I66" s="19"/>
      <c r="J66" s="19"/>
      <c r="K66" s="19"/>
    </row>
    <row r="67">
      <c r="F67" s="19"/>
      <c r="G67" s="19"/>
      <c r="H67" s="19"/>
      <c r="I67" s="19"/>
      <c r="J67" s="19"/>
      <c r="K67" s="19"/>
    </row>
    <row r="68">
      <c r="F68" s="19"/>
      <c r="G68" s="19"/>
      <c r="H68" s="19"/>
      <c r="I68" s="19"/>
      <c r="J68" s="19"/>
      <c r="K68" s="19"/>
    </row>
    <row r="69">
      <c r="F69" s="19"/>
      <c r="G69" s="19"/>
      <c r="H69" s="19"/>
      <c r="I69" s="19"/>
      <c r="J69" s="19"/>
      <c r="K69" s="19"/>
    </row>
    <row r="70">
      <c r="F70" s="19"/>
      <c r="G70" s="19"/>
      <c r="H70" s="19"/>
      <c r="I70" s="19"/>
      <c r="J70" s="19"/>
      <c r="K70" s="19"/>
    </row>
    <row r="71">
      <c r="F71" s="19"/>
      <c r="G71" s="19"/>
      <c r="H71" s="19"/>
      <c r="I71" s="19"/>
      <c r="J71" s="19"/>
      <c r="K71" s="19"/>
    </row>
    <row r="72">
      <c r="F72" s="19"/>
      <c r="G72" s="19"/>
      <c r="H72" s="19"/>
      <c r="I72" s="19"/>
      <c r="J72" s="19"/>
      <c r="K72" s="19"/>
    </row>
    <row r="73">
      <c r="F73" s="19"/>
      <c r="G73" s="19"/>
      <c r="H73" s="19"/>
      <c r="I73" s="19"/>
      <c r="J73" s="19"/>
      <c r="K73" s="19"/>
    </row>
    <row r="74">
      <c r="F74" s="19"/>
      <c r="G74" s="19"/>
      <c r="H74" s="19"/>
      <c r="I74" s="19"/>
      <c r="J74" s="19"/>
      <c r="K74" s="19"/>
    </row>
    <row r="75">
      <c r="F75" s="19"/>
      <c r="G75" s="19"/>
      <c r="H75" s="19"/>
      <c r="I75" s="19"/>
      <c r="J75" s="19"/>
      <c r="K75" s="19"/>
    </row>
    <row r="76">
      <c r="F76" s="19"/>
      <c r="G76" s="19"/>
      <c r="H76" s="19"/>
      <c r="I76" s="19"/>
      <c r="J76" s="19"/>
      <c r="K76" s="19"/>
    </row>
    <row r="77">
      <c r="F77" s="19"/>
      <c r="G77" s="19"/>
      <c r="H77" s="19"/>
      <c r="I77" s="19"/>
      <c r="J77" s="19"/>
      <c r="K77" s="19"/>
    </row>
    <row r="78">
      <c r="F78" s="19"/>
      <c r="G78" s="19"/>
      <c r="H78" s="19"/>
      <c r="I78" s="19"/>
      <c r="J78" s="19"/>
      <c r="K78" s="19"/>
    </row>
    <row r="79">
      <c r="F79" s="19"/>
      <c r="G79" s="19"/>
      <c r="H79" s="19"/>
      <c r="I79" s="19"/>
      <c r="J79" s="19"/>
      <c r="K79" s="19"/>
    </row>
    <row r="80">
      <c r="F80" s="19"/>
      <c r="G80" s="19"/>
      <c r="H80" s="19"/>
      <c r="I80" s="19"/>
      <c r="J80" s="19"/>
      <c r="K80" s="19"/>
    </row>
    <row r="81">
      <c r="F81" s="19"/>
      <c r="G81" s="19"/>
      <c r="H81" s="19"/>
      <c r="I81" s="19"/>
      <c r="J81" s="19"/>
      <c r="K81" s="19"/>
    </row>
    <row r="82">
      <c r="F82" s="19"/>
      <c r="G82" s="19"/>
      <c r="H82" s="19"/>
      <c r="I82" s="19"/>
      <c r="J82" s="19"/>
      <c r="K82" s="19"/>
    </row>
    <row r="83">
      <c r="F83" s="19"/>
      <c r="G83" s="19"/>
      <c r="H83" s="19"/>
      <c r="I83" s="19"/>
      <c r="J83" s="19"/>
      <c r="K83" s="19"/>
    </row>
    <row r="84">
      <c r="F84" s="19"/>
      <c r="G84" s="19"/>
      <c r="H84" s="19"/>
      <c r="I84" s="19"/>
      <c r="J84" s="19"/>
      <c r="K84" s="19"/>
    </row>
    <row r="85">
      <c r="F85" s="19"/>
      <c r="G85" s="19"/>
      <c r="H85" s="19"/>
      <c r="I85" s="19"/>
      <c r="J85" s="19"/>
      <c r="K85" s="19"/>
    </row>
    <row r="86">
      <c r="F86" s="19"/>
      <c r="G86" s="19"/>
      <c r="H86" s="19"/>
      <c r="I86" s="19"/>
      <c r="J86" s="19"/>
      <c r="K86" s="19"/>
    </row>
    <row r="87">
      <c r="F87" s="19"/>
      <c r="G87" s="19"/>
      <c r="H87" s="19"/>
      <c r="I87" s="19"/>
      <c r="J87" s="19"/>
      <c r="K87" s="19"/>
    </row>
    <row r="88">
      <c r="F88" s="19"/>
      <c r="G88" s="19"/>
      <c r="H88" s="19"/>
      <c r="I88" s="19"/>
      <c r="J88" s="19"/>
      <c r="K88" s="19"/>
    </row>
    <row r="89">
      <c r="F89" s="19"/>
      <c r="G89" s="19"/>
      <c r="H89" s="19"/>
      <c r="I89" s="19"/>
      <c r="J89" s="19"/>
      <c r="K89" s="19"/>
    </row>
    <row r="90">
      <c r="F90" s="19"/>
      <c r="G90" s="19"/>
      <c r="H90" s="19"/>
      <c r="I90" s="19"/>
      <c r="J90" s="19"/>
      <c r="K90" s="19"/>
    </row>
    <row r="91">
      <c r="F91" s="19"/>
      <c r="G91" s="19"/>
      <c r="H91" s="19"/>
      <c r="I91" s="19"/>
      <c r="J91" s="19"/>
      <c r="K91" s="19"/>
    </row>
    <row r="92">
      <c r="F92" s="19"/>
      <c r="G92" s="19"/>
      <c r="H92" s="19"/>
      <c r="I92" s="19"/>
      <c r="J92" s="19"/>
      <c r="K92" s="19"/>
    </row>
    <row r="93">
      <c r="F93" s="19"/>
      <c r="G93" s="19"/>
      <c r="H93" s="19"/>
      <c r="I93" s="19"/>
      <c r="J93" s="19"/>
      <c r="K93" s="19"/>
    </row>
    <row r="94">
      <c r="F94" s="19"/>
      <c r="G94" s="19"/>
      <c r="H94" s="19"/>
      <c r="I94" s="19"/>
      <c r="J94" s="19"/>
      <c r="K94" s="19"/>
    </row>
    <row r="95">
      <c r="F95" s="19"/>
      <c r="G95" s="19"/>
      <c r="H95" s="19"/>
      <c r="I95" s="19"/>
      <c r="J95" s="19"/>
      <c r="K95" s="19"/>
    </row>
    <row r="96">
      <c r="F96" s="19"/>
      <c r="G96" s="19"/>
      <c r="H96" s="19"/>
      <c r="I96" s="19"/>
      <c r="J96" s="19"/>
      <c r="K96" s="19"/>
    </row>
    <row r="97">
      <c r="F97" s="19"/>
      <c r="G97" s="19"/>
      <c r="H97" s="19"/>
      <c r="I97" s="19"/>
      <c r="J97" s="19"/>
      <c r="K97" s="19"/>
    </row>
    <row r="98">
      <c r="F98" s="19"/>
      <c r="G98" s="19"/>
      <c r="H98" s="19"/>
      <c r="I98" s="19"/>
      <c r="J98" s="19"/>
      <c r="K98" s="19"/>
    </row>
    <row r="99">
      <c r="F99" s="19"/>
      <c r="G99" s="19"/>
      <c r="H99" s="19"/>
      <c r="I99" s="19"/>
      <c r="J99" s="19"/>
      <c r="K99" s="19"/>
    </row>
    <row r="100">
      <c r="F100" s="19"/>
      <c r="G100" s="19"/>
      <c r="H100" s="19"/>
      <c r="I100" s="19"/>
      <c r="J100" s="19"/>
      <c r="K100" s="19"/>
    </row>
    <row r="101">
      <c r="F101" s="19"/>
      <c r="G101" s="19"/>
      <c r="H101" s="19"/>
      <c r="I101" s="19"/>
      <c r="J101" s="19"/>
      <c r="K101" s="19"/>
    </row>
    <row r="102">
      <c r="F102" s="19"/>
      <c r="G102" s="19"/>
      <c r="H102" s="19"/>
      <c r="I102" s="19"/>
      <c r="J102" s="19"/>
      <c r="K102" s="19"/>
    </row>
    <row r="103">
      <c r="F103" s="19"/>
      <c r="G103" s="19"/>
      <c r="H103" s="19"/>
      <c r="I103" s="19"/>
      <c r="J103" s="19"/>
      <c r="K103" s="19"/>
    </row>
    <row r="104">
      <c r="F104" s="19"/>
      <c r="G104" s="19"/>
      <c r="H104" s="19"/>
      <c r="I104" s="19"/>
      <c r="J104" s="19"/>
      <c r="K104" s="19"/>
    </row>
    <row r="105">
      <c r="F105" s="19"/>
      <c r="G105" s="19"/>
      <c r="H105" s="19"/>
      <c r="I105" s="19"/>
      <c r="J105" s="19"/>
      <c r="K105" s="19"/>
    </row>
    <row r="106">
      <c r="F106" s="19"/>
      <c r="G106" s="19"/>
      <c r="H106" s="19"/>
      <c r="I106" s="19"/>
      <c r="J106" s="19"/>
      <c r="K106" s="19"/>
    </row>
    <row r="107">
      <c r="F107" s="19"/>
      <c r="G107" s="19"/>
      <c r="H107" s="19"/>
      <c r="I107" s="19"/>
      <c r="J107" s="19"/>
      <c r="K107" s="19"/>
    </row>
    <row r="108">
      <c r="F108" s="19"/>
      <c r="G108" s="19"/>
      <c r="H108" s="19"/>
      <c r="I108" s="19"/>
      <c r="J108" s="19"/>
      <c r="K108" s="19"/>
    </row>
    <row r="109">
      <c r="F109" s="19"/>
      <c r="G109" s="19"/>
      <c r="H109" s="19"/>
      <c r="I109" s="19"/>
      <c r="J109" s="19"/>
      <c r="K109" s="19"/>
    </row>
    <row r="110">
      <c r="F110" s="19"/>
      <c r="G110" s="19"/>
      <c r="H110" s="19"/>
      <c r="I110" s="19"/>
      <c r="J110" s="19"/>
      <c r="K110" s="19"/>
    </row>
    <row r="111">
      <c r="F111" s="19"/>
      <c r="G111" s="19"/>
      <c r="H111" s="19"/>
      <c r="I111" s="19"/>
      <c r="J111" s="19"/>
      <c r="K111" s="19"/>
    </row>
    <row r="112">
      <c r="F112" s="19"/>
      <c r="G112" s="19"/>
      <c r="H112" s="19"/>
      <c r="I112" s="19"/>
      <c r="J112" s="19"/>
      <c r="K112" s="19"/>
    </row>
    <row r="113">
      <c r="F113" s="19"/>
      <c r="G113" s="19"/>
      <c r="H113" s="19"/>
      <c r="I113" s="19"/>
      <c r="J113" s="19"/>
      <c r="K113" s="19"/>
    </row>
    <row r="114">
      <c r="F114" s="19"/>
      <c r="G114" s="19"/>
      <c r="H114" s="19"/>
      <c r="I114" s="19"/>
      <c r="J114" s="19"/>
      <c r="K114" s="19"/>
    </row>
    <row r="115">
      <c r="F115" s="19"/>
      <c r="G115" s="19"/>
      <c r="H115" s="19"/>
      <c r="I115" s="19"/>
      <c r="J115" s="19"/>
      <c r="K115" s="19"/>
    </row>
    <row r="116">
      <c r="F116" s="19"/>
      <c r="G116" s="19"/>
      <c r="H116" s="19"/>
      <c r="I116" s="19"/>
      <c r="J116" s="19"/>
      <c r="K116" s="19"/>
    </row>
    <row r="117">
      <c r="F117" s="19"/>
      <c r="G117" s="19"/>
      <c r="H117" s="19"/>
      <c r="I117" s="19"/>
      <c r="J117" s="19"/>
      <c r="K117" s="19"/>
    </row>
    <row r="118">
      <c r="F118" s="19"/>
      <c r="G118" s="19"/>
      <c r="H118" s="19"/>
      <c r="I118" s="19"/>
      <c r="J118" s="19"/>
      <c r="K118" s="19"/>
    </row>
    <row r="119">
      <c r="F119" s="19"/>
      <c r="G119" s="19"/>
      <c r="H119" s="19"/>
      <c r="I119" s="19"/>
      <c r="J119" s="19"/>
      <c r="K119" s="19"/>
    </row>
    <row r="120">
      <c r="F120" s="19"/>
      <c r="G120" s="19"/>
      <c r="H120" s="19"/>
      <c r="I120" s="19"/>
      <c r="J120" s="19"/>
      <c r="K120" s="19"/>
    </row>
    <row r="121">
      <c r="F121" s="19"/>
      <c r="G121" s="19"/>
      <c r="H121" s="19"/>
      <c r="I121" s="19"/>
      <c r="J121" s="19"/>
      <c r="K121" s="19"/>
    </row>
    <row r="122">
      <c r="F122" s="19"/>
      <c r="G122" s="19"/>
      <c r="H122" s="19"/>
      <c r="I122" s="19"/>
      <c r="J122" s="19"/>
      <c r="K122" s="19"/>
    </row>
    <row r="123">
      <c r="F123" s="19"/>
      <c r="G123" s="19"/>
      <c r="H123" s="19"/>
      <c r="I123" s="19"/>
      <c r="J123" s="19"/>
      <c r="K123" s="19"/>
    </row>
    <row r="124">
      <c r="F124" s="19"/>
      <c r="G124" s="19"/>
      <c r="H124" s="19"/>
      <c r="I124" s="19"/>
      <c r="J124" s="19"/>
      <c r="K124" s="19"/>
    </row>
    <row r="125">
      <c r="F125" s="19"/>
      <c r="G125" s="19"/>
      <c r="H125" s="19"/>
      <c r="I125" s="19"/>
      <c r="J125" s="19"/>
      <c r="K125" s="19"/>
    </row>
    <row r="126">
      <c r="F126" s="19"/>
      <c r="G126" s="19"/>
      <c r="H126" s="19"/>
      <c r="I126" s="19"/>
      <c r="J126" s="19"/>
      <c r="K126" s="19"/>
    </row>
    <row r="127">
      <c r="F127" s="19"/>
      <c r="G127" s="19"/>
      <c r="H127" s="19"/>
      <c r="I127" s="19"/>
      <c r="J127" s="19"/>
      <c r="K127" s="19"/>
    </row>
    <row r="128">
      <c r="F128" s="19"/>
      <c r="G128" s="19"/>
      <c r="H128" s="19"/>
      <c r="I128" s="19"/>
      <c r="J128" s="19"/>
      <c r="K128" s="19"/>
    </row>
    <row r="129">
      <c r="F129" s="19"/>
      <c r="G129" s="19"/>
      <c r="H129" s="19"/>
      <c r="I129" s="19"/>
      <c r="J129" s="19"/>
      <c r="K129" s="19"/>
    </row>
    <row r="130">
      <c r="F130" s="19"/>
      <c r="G130" s="19"/>
      <c r="H130" s="19"/>
      <c r="I130" s="19"/>
      <c r="J130" s="19"/>
      <c r="K130" s="19"/>
    </row>
    <row r="131">
      <c r="F131" s="19"/>
      <c r="G131" s="19"/>
      <c r="H131" s="19"/>
      <c r="I131" s="19"/>
      <c r="J131" s="19"/>
      <c r="K131" s="19"/>
    </row>
    <row r="132">
      <c r="F132" s="19"/>
      <c r="G132" s="19"/>
      <c r="H132" s="19"/>
      <c r="I132" s="19"/>
      <c r="J132" s="19"/>
      <c r="K132" s="19"/>
    </row>
    <row r="133">
      <c r="F133" s="19"/>
      <c r="G133" s="19"/>
      <c r="H133" s="19"/>
      <c r="I133" s="19"/>
      <c r="J133" s="19"/>
      <c r="K133" s="19"/>
    </row>
    <row r="134">
      <c r="F134" s="19"/>
      <c r="G134" s="19"/>
      <c r="H134" s="19"/>
      <c r="I134" s="19"/>
      <c r="J134" s="19"/>
      <c r="K134" s="19"/>
    </row>
    <row r="135">
      <c r="F135" s="19"/>
      <c r="G135" s="19"/>
      <c r="H135" s="19"/>
      <c r="I135" s="19"/>
      <c r="J135" s="19"/>
      <c r="K135" s="19"/>
    </row>
    <row r="136">
      <c r="F136" s="19"/>
      <c r="G136" s="19"/>
      <c r="H136" s="19"/>
      <c r="I136" s="19"/>
      <c r="J136" s="19"/>
      <c r="K136" s="19"/>
    </row>
    <row r="137">
      <c r="F137" s="19"/>
      <c r="G137" s="19"/>
      <c r="H137" s="19"/>
      <c r="I137" s="19"/>
      <c r="J137" s="19"/>
      <c r="K137" s="19"/>
    </row>
    <row r="138">
      <c r="F138" s="19"/>
      <c r="G138" s="19"/>
      <c r="H138" s="19"/>
      <c r="I138" s="19"/>
      <c r="J138" s="19"/>
      <c r="K138" s="19"/>
    </row>
    <row r="139">
      <c r="F139" s="19"/>
      <c r="G139" s="19"/>
      <c r="H139" s="19"/>
      <c r="I139" s="19"/>
      <c r="J139" s="19"/>
      <c r="K139" s="19"/>
    </row>
    <row r="140">
      <c r="F140" s="19"/>
      <c r="G140" s="19"/>
      <c r="H140" s="19"/>
      <c r="I140" s="19"/>
      <c r="J140" s="19"/>
      <c r="K140" s="19"/>
    </row>
    <row r="141">
      <c r="F141" s="19"/>
      <c r="G141" s="19"/>
      <c r="H141" s="19"/>
      <c r="I141" s="19"/>
      <c r="J141" s="19"/>
      <c r="K141" s="19"/>
    </row>
    <row r="142">
      <c r="F142" s="19"/>
      <c r="G142" s="19"/>
      <c r="H142" s="19"/>
      <c r="I142" s="19"/>
      <c r="J142" s="19"/>
      <c r="K142" s="19"/>
    </row>
    <row r="143">
      <c r="F143" s="19"/>
      <c r="G143" s="19"/>
      <c r="H143" s="19"/>
      <c r="I143" s="19"/>
      <c r="J143" s="19"/>
      <c r="K143" s="19"/>
    </row>
    <row r="144">
      <c r="F144" s="19"/>
      <c r="G144" s="19"/>
      <c r="H144" s="19"/>
      <c r="I144" s="19"/>
      <c r="J144" s="19"/>
      <c r="K144" s="19"/>
    </row>
    <row r="145">
      <c r="F145" s="19"/>
      <c r="G145" s="19"/>
      <c r="H145" s="19"/>
      <c r="I145" s="19"/>
      <c r="J145" s="19"/>
      <c r="K145" s="19"/>
    </row>
    <row r="146">
      <c r="F146" s="19"/>
      <c r="G146" s="19"/>
      <c r="H146" s="19"/>
      <c r="I146" s="19"/>
      <c r="J146" s="19"/>
      <c r="K146" s="19"/>
    </row>
    <row r="147">
      <c r="F147" s="19"/>
      <c r="G147" s="19"/>
      <c r="H147" s="19"/>
      <c r="I147" s="19"/>
      <c r="J147" s="19"/>
      <c r="K147" s="19"/>
    </row>
    <row r="148">
      <c r="F148" s="19"/>
      <c r="G148" s="19"/>
      <c r="H148" s="19"/>
      <c r="I148" s="19"/>
      <c r="J148" s="19"/>
      <c r="K148" s="19"/>
    </row>
    <row r="149">
      <c r="F149" s="19"/>
      <c r="G149" s="19"/>
      <c r="H149" s="19"/>
      <c r="I149" s="19"/>
      <c r="J149" s="19"/>
      <c r="K149" s="19"/>
    </row>
    <row r="150">
      <c r="F150" s="19"/>
      <c r="G150" s="19"/>
      <c r="H150" s="19"/>
      <c r="I150" s="19"/>
      <c r="J150" s="19"/>
      <c r="K150" s="19"/>
    </row>
    <row r="151">
      <c r="F151" s="19"/>
      <c r="G151" s="19"/>
      <c r="H151" s="19"/>
      <c r="I151" s="19"/>
      <c r="J151" s="19"/>
      <c r="K151" s="19"/>
    </row>
    <row r="152">
      <c r="F152" s="19"/>
      <c r="G152" s="19"/>
      <c r="H152" s="19"/>
      <c r="I152" s="19"/>
      <c r="J152" s="19"/>
      <c r="K152" s="19"/>
    </row>
    <row r="153">
      <c r="F153" s="19"/>
      <c r="G153" s="19"/>
      <c r="H153" s="19"/>
      <c r="I153" s="19"/>
      <c r="J153" s="19"/>
      <c r="K153" s="19"/>
    </row>
    <row r="154">
      <c r="F154" s="19"/>
      <c r="G154" s="19"/>
      <c r="H154" s="19"/>
      <c r="I154" s="19"/>
      <c r="J154" s="19"/>
      <c r="K154" s="19"/>
    </row>
    <row r="155">
      <c r="F155" s="19"/>
      <c r="G155" s="19"/>
      <c r="H155" s="19"/>
      <c r="I155" s="19"/>
      <c r="J155" s="19"/>
      <c r="K155" s="19"/>
    </row>
    <row r="156">
      <c r="F156" s="19"/>
      <c r="G156" s="19"/>
      <c r="H156" s="19"/>
      <c r="I156" s="19"/>
      <c r="J156" s="19"/>
      <c r="K156" s="19"/>
    </row>
    <row r="157">
      <c r="F157" s="19"/>
      <c r="G157" s="19"/>
      <c r="H157" s="19"/>
      <c r="I157" s="19"/>
      <c r="J157" s="19"/>
      <c r="K157" s="19"/>
    </row>
    <row r="158">
      <c r="F158" s="19"/>
      <c r="G158" s="19"/>
      <c r="H158" s="19"/>
      <c r="I158" s="19"/>
      <c r="J158" s="19"/>
      <c r="K158" s="19"/>
    </row>
    <row r="159">
      <c r="F159" s="19"/>
      <c r="G159" s="19"/>
      <c r="H159" s="19"/>
      <c r="I159" s="19"/>
      <c r="J159" s="19"/>
      <c r="K159" s="19"/>
    </row>
    <row r="160">
      <c r="F160" s="19"/>
      <c r="G160" s="19"/>
      <c r="H160" s="19"/>
      <c r="I160" s="19"/>
      <c r="J160" s="19"/>
      <c r="K160" s="19"/>
    </row>
    <row r="161">
      <c r="F161" s="19"/>
      <c r="G161" s="19"/>
      <c r="H161" s="19"/>
      <c r="I161" s="19"/>
      <c r="J161" s="19"/>
      <c r="K161" s="19"/>
    </row>
    <row r="162">
      <c r="F162" s="19"/>
      <c r="G162" s="19"/>
      <c r="H162" s="19"/>
      <c r="I162" s="19"/>
      <c r="J162" s="19"/>
      <c r="K162" s="19"/>
    </row>
    <row r="163">
      <c r="F163" s="19"/>
      <c r="G163" s="19"/>
      <c r="H163" s="19"/>
      <c r="I163" s="19"/>
      <c r="J163" s="19"/>
      <c r="K163" s="19"/>
    </row>
    <row r="164">
      <c r="F164" s="19"/>
      <c r="G164" s="19"/>
      <c r="H164" s="19"/>
      <c r="I164" s="19"/>
      <c r="J164" s="19"/>
      <c r="K164" s="19"/>
    </row>
    <row r="165">
      <c r="F165" s="19"/>
      <c r="G165" s="19"/>
      <c r="H165" s="19"/>
      <c r="I165" s="19"/>
      <c r="J165" s="19"/>
      <c r="K165" s="19"/>
    </row>
    <row r="166">
      <c r="F166" s="19"/>
      <c r="G166" s="19"/>
      <c r="H166" s="19"/>
      <c r="I166" s="19"/>
      <c r="J166" s="19"/>
      <c r="K166" s="19"/>
    </row>
    <row r="167">
      <c r="F167" s="19"/>
      <c r="G167" s="19"/>
      <c r="H167" s="19"/>
      <c r="I167" s="19"/>
      <c r="J167" s="19"/>
      <c r="K167" s="19"/>
    </row>
    <row r="168">
      <c r="F168" s="19"/>
      <c r="G168" s="19"/>
      <c r="H168" s="19"/>
      <c r="I168" s="19"/>
      <c r="J168" s="19"/>
      <c r="K168" s="19"/>
    </row>
    <row r="169">
      <c r="F169" s="19"/>
      <c r="G169" s="19"/>
      <c r="H169" s="19"/>
      <c r="I169" s="19"/>
      <c r="J169" s="19"/>
      <c r="K169" s="19"/>
    </row>
    <row r="170">
      <c r="F170" s="19"/>
      <c r="G170" s="19"/>
      <c r="H170" s="19"/>
      <c r="I170" s="19"/>
      <c r="J170" s="19"/>
      <c r="K170" s="19"/>
    </row>
    <row r="171">
      <c r="F171" s="19"/>
      <c r="G171" s="19"/>
      <c r="H171" s="19"/>
      <c r="I171" s="19"/>
      <c r="J171" s="19"/>
      <c r="K171" s="19"/>
    </row>
    <row r="172">
      <c r="F172" s="19"/>
      <c r="G172" s="19"/>
      <c r="H172" s="19"/>
      <c r="I172" s="19"/>
      <c r="J172" s="19"/>
      <c r="K172" s="19"/>
    </row>
    <row r="173">
      <c r="F173" s="19"/>
      <c r="G173" s="19"/>
      <c r="H173" s="19"/>
      <c r="I173" s="19"/>
      <c r="J173" s="19"/>
      <c r="K173" s="19"/>
    </row>
    <row r="174">
      <c r="F174" s="19"/>
      <c r="G174" s="19"/>
      <c r="H174" s="19"/>
      <c r="I174" s="19"/>
      <c r="J174" s="19"/>
      <c r="K174" s="19"/>
    </row>
    <row r="175">
      <c r="F175" s="19"/>
      <c r="G175" s="19"/>
      <c r="H175" s="19"/>
      <c r="I175" s="19"/>
      <c r="J175" s="19"/>
      <c r="K175" s="19"/>
    </row>
    <row r="176">
      <c r="F176" s="19"/>
      <c r="G176" s="19"/>
      <c r="H176" s="19"/>
      <c r="I176" s="19"/>
      <c r="J176" s="19"/>
      <c r="K176" s="19"/>
    </row>
    <row r="177">
      <c r="F177" s="19"/>
      <c r="G177" s="19"/>
      <c r="H177" s="19"/>
      <c r="I177" s="19"/>
      <c r="J177" s="19"/>
      <c r="K177" s="19"/>
    </row>
    <row r="178">
      <c r="F178" s="19"/>
      <c r="G178" s="19"/>
      <c r="H178" s="19"/>
      <c r="I178" s="19"/>
      <c r="J178" s="19"/>
      <c r="K178" s="19"/>
    </row>
    <row r="179">
      <c r="F179" s="19"/>
      <c r="G179" s="19"/>
      <c r="H179" s="19"/>
      <c r="I179" s="19"/>
      <c r="J179" s="19"/>
      <c r="K179" s="19"/>
    </row>
    <row r="180">
      <c r="F180" s="19"/>
      <c r="G180" s="19"/>
      <c r="H180" s="19"/>
      <c r="I180" s="19"/>
      <c r="J180" s="19"/>
      <c r="K180" s="19"/>
    </row>
    <row r="181">
      <c r="F181" s="19"/>
      <c r="G181" s="19"/>
      <c r="H181" s="19"/>
      <c r="I181" s="19"/>
      <c r="J181" s="19"/>
      <c r="K181" s="19"/>
    </row>
    <row r="182">
      <c r="F182" s="19"/>
      <c r="G182" s="19"/>
      <c r="H182" s="19"/>
      <c r="I182" s="19"/>
      <c r="J182" s="19"/>
      <c r="K182" s="19"/>
    </row>
    <row r="183">
      <c r="F183" s="19"/>
      <c r="G183" s="19"/>
      <c r="H183" s="19"/>
      <c r="I183" s="19"/>
      <c r="J183" s="19"/>
      <c r="K183" s="19"/>
    </row>
    <row r="184">
      <c r="F184" s="19"/>
      <c r="G184" s="19"/>
      <c r="H184" s="19"/>
      <c r="I184" s="19"/>
      <c r="J184" s="19"/>
      <c r="K184" s="19"/>
    </row>
    <row r="185">
      <c r="F185" s="19"/>
      <c r="G185" s="19"/>
      <c r="H185" s="19"/>
      <c r="I185" s="19"/>
      <c r="J185" s="19"/>
      <c r="K185" s="19"/>
    </row>
    <row r="186">
      <c r="F186" s="19"/>
      <c r="G186" s="19"/>
      <c r="H186" s="19"/>
      <c r="I186" s="19"/>
      <c r="J186" s="19"/>
      <c r="K186" s="19"/>
    </row>
    <row r="187">
      <c r="F187" s="19"/>
      <c r="G187" s="19"/>
      <c r="H187" s="19"/>
      <c r="I187" s="19"/>
      <c r="J187" s="19"/>
      <c r="K187" s="19"/>
    </row>
    <row r="188">
      <c r="F188" s="19"/>
      <c r="G188" s="19"/>
      <c r="H188" s="19"/>
      <c r="I188" s="19"/>
      <c r="J188" s="19"/>
      <c r="K188" s="19"/>
    </row>
    <row r="189">
      <c r="F189" s="19"/>
      <c r="G189" s="19"/>
      <c r="H189" s="19"/>
      <c r="I189" s="19"/>
      <c r="J189" s="19"/>
      <c r="K189" s="19"/>
    </row>
    <row r="190">
      <c r="F190" s="19"/>
      <c r="G190" s="19"/>
      <c r="H190" s="19"/>
      <c r="I190" s="19"/>
      <c r="J190" s="19"/>
      <c r="K190" s="19"/>
    </row>
    <row r="191">
      <c r="F191" s="19"/>
      <c r="G191" s="19"/>
      <c r="H191" s="19"/>
      <c r="I191" s="19"/>
      <c r="J191" s="19"/>
      <c r="K191" s="19"/>
    </row>
    <row r="192">
      <c r="F192" s="19"/>
      <c r="G192" s="19"/>
      <c r="H192" s="19"/>
      <c r="I192" s="19"/>
      <c r="J192" s="19"/>
      <c r="K192" s="19"/>
    </row>
    <row r="193">
      <c r="F193" s="19"/>
      <c r="G193" s="19"/>
      <c r="H193" s="19"/>
      <c r="I193" s="19"/>
      <c r="J193" s="19"/>
      <c r="K193" s="19"/>
    </row>
    <row r="194">
      <c r="F194" s="19"/>
      <c r="G194" s="19"/>
      <c r="H194" s="19"/>
      <c r="I194" s="19"/>
      <c r="J194" s="19"/>
      <c r="K194" s="19"/>
    </row>
    <row r="195">
      <c r="F195" s="19"/>
      <c r="G195" s="19"/>
      <c r="H195" s="19"/>
      <c r="I195" s="19"/>
      <c r="J195" s="19"/>
      <c r="K195" s="19"/>
    </row>
    <row r="196">
      <c r="F196" s="19"/>
      <c r="G196" s="19"/>
      <c r="H196" s="19"/>
      <c r="I196" s="19"/>
      <c r="J196" s="19"/>
      <c r="K196" s="19"/>
    </row>
    <row r="197">
      <c r="F197" s="19"/>
      <c r="G197" s="19"/>
      <c r="H197" s="19"/>
      <c r="I197" s="19"/>
      <c r="J197" s="19"/>
      <c r="K197" s="19"/>
    </row>
    <row r="198">
      <c r="F198" s="19"/>
      <c r="G198" s="19"/>
      <c r="H198" s="19"/>
      <c r="I198" s="19"/>
      <c r="J198" s="19"/>
      <c r="K198" s="19"/>
    </row>
    <row r="199">
      <c r="F199" s="19"/>
      <c r="G199" s="19"/>
      <c r="H199" s="19"/>
      <c r="I199" s="19"/>
      <c r="J199" s="19"/>
      <c r="K199" s="19"/>
    </row>
    <row r="200">
      <c r="F200" s="19"/>
      <c r="G200" s="19"/>
      <c r="H200" s="19"/>
      <c r="I200" s="19"/>
      <c r="J200" s="19"/>
      <c r="K200" s="19"/>
    </row>
    <row r="201">
      <c r="F201" s="19"/>
      <c r="G201" s="19"/>
      <c r="H201" s="19"/>
      <c r="I201" s="19"/>
      <c r="J201" s="19"/>
      <c r="K201" s="19"/>
    </row>
    <row r="202">
      <c r="F202" s="19"/>
      <c r="G202" s="19"/>
      <c r="H202" s="19"/>
      <c r="I202" s="19"/>
      <c r="J202" s="19"/>
      <c r="K202" s="19"/>
    </row>
    <row r="203">
      <c r="F203" s="19"/>
      <c r="G203" s="19"/>
      <c r="H203" s="19"/>
      <c r="I203" s="19"/>
      <c r="J203" s="19"/>
      <c r="K203" s="19"/>
    </row>
    <row r="204">
      <c r="F204" s="19"/>
      <c r="G204" s="19"/>
      <c r="H204" s="19"/>
      <c r="I204" s="19"/>
      <c r="J204" s="19"/>
      <c r="K204" s="19"/>
    </row>
    <row r="205">
      <c r="F205" s="19"/>
      <c r="G205" s="19"/>
      <c r="H205" s="19"/>
      <c r="I205" s="19"/>
      <c r="J205" s="19"/>
      <c r="K205" s="19"/>
    </row>
    <row r="206">
      <c r="F206" s="19"/>
      <c r="G206" s="19"/>
      <c r="H206" s="19"/>
      <c r="I206" s="19"/>
      <c r="J206" s="19"/>
      <c r="K206" s="19"/>
    </row>
    <row r="207">
      <c r="F207" s="19"/>
      <c r="G207" s="19"/>
      <c r="H207" s="19"/>
      <c r="I207" s="19"/>
      <c r="J207" s="19"/>
      <c r="K207" s="19"/>
    </row>
    <row r="208">
      <c r="F208" s="19"/>
      <c r="G208" s="19"/>
      <c r="H208" s="19"/>
      <c r="I208" s="19"/>
      <c r="J208" s="19"/>
      <c r="K208" s="19"/>
    </row>
    <row r="209">
      <c r="F209" s="19"/>
      <c r="G209" s="19"/>
      <c r="H209" s="19"/>
      <c r="I209" s="19"/>
      <c r="J209" s="19"/>
      <c r="K209" s="19"/>
    </row>
    <row r="210">
      <c r="F210" s="19"/>
      <c r="G210" s="19"/>
      <c r="H210" s="19"/>
      <c r="I210" s="19"/>
      <c r="J210" s="19"/>
      <c r="K210" s="19"/>
    </row>
    <row r="211">
      <c r="F211" s="19"/>
      <c r="G211" s="19"/>
      <c r="H211" s="19"/>
      <c r="I211" s="19"/>
      <c r="J211" s="19"/>
      <c r="K211" s="19"/>
    </row>
    <row r="212">
      <c r="F212" s="19"/>
      <c r="G212" s="19"/>
      <c r="H212" s="19"/>
      <c r="I212" s="19"/>
      <c r="J212" s="19"/>
      <c r="K212" s="19"/>
    </row>
    <row r="213">
      <c r="F213" s="19"/>
      <c r="G213" s="19"/>
      <c r="H213" s="19"/>
      <c r="I213" s="19"/>
      <c r="J213" s="19"/>
      <c r="K213" s="19"/>
    </row>
    <row r="214">
      <c r="F214" s="19"/>
      <c r="G214" s="19"/>
      <c r="H214" s="19"/>
      <c r="I214" s="19"/>
      <c r="J214" s="19"/>
      <c r="K214" s="19"/>
    </row>
    <row r="215">
      <c r="F215" s="19"/>
      <c r="G215" s="19"/>
      <c r="H215" s="19"/>
      <c r="I215" s="19"/>
      <c r="J215" s="19"/>
      <c r="K215" s="19"/>
    </row>
    <row r="216">
      <c r="F216" s="19"/>
      <c r="G216" s="19"/>
      <c r="H216" s="19"/>
      <c r="I216" s="19"/>
      <c r="J216" s="19"/>
      <c r="K216" s="19"/>
    </row>
    <row r="217">
      <c r="F217" s="19"/>
      <c r="G217" s="19"/>
      <c r="H217" s="19"/>
      <c r="I217" s="19"/>
      <c r="J217" s="19"/>
      <c r="K217" s="19"/>
    </row>
    <row r="218">
      <c r="F218" s="19"/>
      <c r="G218" s="19"/>
      <c r="H218" s="19"/>
      <c r="I218" s="19"/>
      <c r="J218" s="19"/>
      <c r="K218" s="19"/>
    </row>
    <row r="219">
      <c r="F219" s="19"/>
      <c r="G219" s="19"/>
      <c r="H219" s="19"/>
      <c r="I219" s="19"/>
      <c r="J219" s="19"/>
      <c r="K219" s="19"/>
    </row>
    <row r="220">
      <c r="F220" s="19"/>
      <c r="G220" s="19"/>
      <c r="H220" s="19"/>
      <c r="I220" s="19"/>
      <c r="J220" s="19"/>
      <c r="K220" s="19"/>
    </row>
    <row r="221">
      <c r="F221" s="19"/>
      <c r="G221" s="19"/>
      <c r="H221" s="19"/>
      <c r="I221" s="19"/>
      <c r="J221" s="19"/>
      <c r="K221" s="19"/>
    </row>
    <row r="222">
      <c r="F222" s="19"/>
      <c r="G222" s="19"/>
      <c r="H222" s="19"/>
      <c r="I222" s="19"/>
      <c r="J222" s="19"/>
      <c r="K222" s="19"/>
    </row>
    <row r="223">
      <c r="F223" s="19"/>
      <c r="G223" s="19"/>
      <c r="H223" s="19"/>
      <c r="I223" s="19"/>
      <c r="J223" s="19"/>
      <c r="K223" s="19"/>
    </row>
    <row r="224">
      <c r="F224" s="19"/>
      <c r="G224" s="19"/>
      <c r="H224" s="19"/>
      <c r="I224" s="19"/>
      <c r="J224" s="19"/>
      <c r="K224" s="19"/>
    </row>
    <row r="225">
      <c r="F225" s="19"/>
      <c r="G225" s="19"/>
      <c r="H225" s="19"/>
      <c r="I225" s="19"/>
      <c r="J225" s="19"/>
      <c r="K225" s="19"/>
    </row>
    <row r="226">
      <c r="F226" s="19"/>
      <c r="G226" s="19"/>
      <c r="H226" s="19"/>
      <c r="I226" s="19"/>
      <c r="J226" s="19"/>
      <c r="K226" s="19"/>
    </row>
    <row r="227">
      <c r="F227" s="19"/>
      <c r="G227" s="19"/>
      <c r="H227" s="19"/>
      <c r="I227" s="19"/>
      <c r="J227" s="19"/>
      <c r="K227" s="19"/>
    </row>
    <row r="228">
      <c r="F228" s="19"/>
      <c r="G228" s="19"/>
      <c r="H228" s="19"/>
      <c r="I228" s="19"/>
      <c r="J228" s="19"/>
      <c r="K228" s="19"/>
    </row>
    <row r="229">
      <c r="F229" s="19"/>
      <c r="G229" s="19"/>
      <c r="H229" s="19"/>
      <c r="I229" s="19"/>
      <c r="J229" s="19"/>
      <c r="K229" s="19"/>
    </row>
    <row r="230">
      <c r="F230" s="19"/>
      <c r="G230" s="19"/>
      <c r="H230" s="19"/>
      <c r="I230" s="19"/>
      <c r="J230" s="19"/>
      <c r="K230" s="19"/>
    </row>
    <row r="231">
      <c r="F231" s="19"/>
      <c r="G231" s="19"/>
      <c r="H231" s="19"/>
      <c r="I231" s="19"/>
      <c r="J231" s="19"/>
      <c r="K231" s="19"/>
    </row>
    <row r="232">
      <c r="F232" s="19"/>
      <c r="G232" s="19"/>
      <c r="H232" s="19"/>
      <c r="I232" s="19"/>
      <c r="J232" s="19"/>
      <c r="K232" s="19"/>
    </row>
    <row r="233">
      <c r="F233" s="19"/>
      <c r="G233" s="19"/>
      <c r="H233" s="19"/>
      <c r="I233" s="19"/>
      <c r="J233" s="19"/>
      <c r="K233" s="19"/>
    </row>
    <row r="234">
      <c r="F234" s="19"/>
      <c r="G234" s="19"/>
      <c r="H234" s="19"/>
      <c r="I234" s="19"/>
      <c r="J234" s="19"/>
      <c r="K234" s="19"/>
    </row>
    <row r="235">
      <c r="F235" s="19"/>
      <c r="G235" s="19"/>
      <c r="H235" s="19"/>
      <c r="I235" s="19"/>
      <c r="J235" s="19"/>
      <c r="K235" s="19"/>
    </row>
    <row r="236">
      <c r="F236" s="19"/>
      <c r="G236" s="19"/>
      <c r="H236" s="19"/>
      <c r="I236" s="19"/>
      <c r="J236" s="19"/>
      <c r="K236" s="19"/>
    </row>
    <row r="237">
      <c r="F237" s="19"/>
      <c r="G237" s="19"/>
      <c r="H237" s="19"/>
      <c r="I237" s="19"/>
      <c r="J237" s="19"/>
      <c r="K237" s="19"/>
    </row>
    <row r="238">
      <c r="F238" s="19"/>
      <c r="G238" s="19"/>
      <c r="H238" s="19"/>
      <c r="I238" s="19"/>
      <c r="J238" s="19"/>
      <c r="K238" s="19"/>
    </row>
    <row r="239">
      <c r="F239" s="19"/>
      <c r="G239" s="19"/>
      <c r="H239" s="19"/>
      <c r="I239" s="19"/>
      <c r="J239" s="19"/>
      <c r="K239" s="19"/>
    </row>
    <row r="240">
      <c r="F240" s="19"/>
      <c r="G240" s="19"/>
      <c r="H240" s="19"/>
      <c r="I240" s="19"/>
      <c r="J240" s="19"/>
      <c r="K240" s="19"/>
    </row>
    <row r="241">
      <c r="F241" s="19"/>
      <c r="G241" s="19"/>
      <c r="H241" s="19"/>
      <c r="I241" s="19"/>
      <c r="J241" s="19"/>
      <c r="K241" s="19"/>
    </row>
    <row r="242">
      <c r="F242" s="19"/>
      <c r="G242" s="19"/>
      <c r="H242" s="19"/>
      <c r="I242" s="19"/>
      <c r="J242" s="19"/>
      <c r="K242" s="19"/>
    </row>
    <row r="243">
      <c r="F243" s="19"/>
      <c r="G243" s="19"/>
      <c r="H243" s="19"/>
      <c r="I243" s="19"/>
      <c r="J243" s="19"/>
      <c r="K243" s="19"/>
    </row>
    <row r="244">
      <c r="F244" s="19"/>
      <c r="G244" s="19"/>
      <c r="H244" s="19"/>
      <c r="I244" s="19"/>
      <c r="J244" s="19"/>
      <c r="K244" s="19"/>
    </row>
    <row r="245">
      <c r="F245" s="19"/>
      <c r="G245" s="19"/>
      <c r="H245" s="19"/>
      <c r="I245" s="19"/>
      <c r="J245" s="19"/>
      <c r="K245" s="19"/>
    </row>
    <row r="246">
      <c r="F246" s="19"/>
      <c r="G246" s="19"/>
      <c r="H246" s="19"/>
      <c r="I246" s="19"/>
      <c r="J246" s="19"/>
      <c r="K246" s="19"/>
    </row>
    <row r="247">
      <c r="F247" s="19"/>
      <c r="G247" s="19"/>
      <c r="H247" s="19"/>
      <c r="I247" s="19"/>
      <c r="J247" s="19"/>
      <c r="K247" s="19"/>
    </row>
    <row r="248">
      <c r="F248" s="19"/>
      <c r="G248" s="19"/>
      <c r="H248" s="19"/>
      <c r="I248" s="19"/>
      <c r="J248" s="19"/>
      <c r="K248" s="19"/>
    </row>
    <row r="249">
      <c r="F249" s="19"/>
      <c r="G249" s="19"/>
      <c r="H249" s="19"/>
      <c r="I249" s="19"/>
      <c r="J249" s="19"/>
      <c r="K249" s="19"/>
    </row>
    <row r="250">
      <c r="F250" s="19"/>
      <c r="G250" s="19"/>
      <c r="H250" s="19"/>
      <c r="I250" s="19"/>
      <c r="J250" s="19"/>
      <c r="K250" s="19"/>
    </row>
    <row r="251">
      <c r="F251" s="19"/>
      <c r="G251" s="19"/>
      <c r="H251" s="19"/>
      <c r="I251" s="19"/>
      <c r="J251" s="19"/>
      <c r="K251" s="19"/>
    </row>
    <row r="252">
      <c r="F252" s="19"/>
      <c r="G252" s="19"/>
      <c r="H252" s="19"/>
      <c r="I252" s="19"/>
      <c r="J252" s="19"/>
      <c r="K252" s="19"/>
    </row>
    <row r="253">
      <c r="F253" s="19"/>
      <c r="G253" s="19"/>
      <c r="H253" s="19"/>
      <c r="I253" s="19"/>
      <c r="J253" s="19"/>
      <c r="K253" s="19"/>
    </row>
    <row r="254">
      <c r="F254" s="19"/>
      <c r="G254" s="19"/>
      <c r="H254" s="19"/>
      <c r="I254" s="19"/>
      <c r="J254" s="19"/>
      <c r="K254" s="19"/>
    </row>
    <row r="255">
      <c r="F255" s="19"/>
      <c r="G255" s="19"/>
      <c r="H255" s="19"/>
      <c r="I255" s="19"/>
      <c r="J255" s="19"/>
      <c r="K255" s="19"/>
    </row>
    <row r="256">
      <c r="F256" s="19"/>
      <c r="G256" s="19"/>
      <c r="H256" s="19"/>
      <c r="I256" s="19"/>
      <c r="J256" s="19"/>
      <c r="K256" s="19"/>
    </row>
    <row r="257">
      <c r="F257" s="19"/>
      <c r="G257" s="19"/>
      <c r="H257" s="19"/>
      <c r="I257" s="19"/>
      <c r="J257" s="19"/>
      <c r="K257" s="19"/>
    </row>
    <row r="258">
      <c r="F258" s="19"/>
      <c r="G258" s="19"/>
      <c r="H258" s="19"/>
      <c r="I258" s="19"/>
      <c r="J258" s="19"/>
      <c r="K258" s="19"/>
    </row>
    <row r="259">
      <c r="F259" s="19"/>
      <c r="G259" s="19"/>
      <c r="H259" s="19"/>
      <c r="I259" s="19"/>
      <c r="J259" s="19"/>
      <c r="K259" s="19"/>
    </row>
    <row r="260">
      <c r="F260" s="19"/>
      <c r="G260" s="19"/>
      <c r="H260" s="19"/>
      <c r="I260" s="19"/>
      <c r="J260" s="19"/>
      <c r="K260" s="19"/>
    </row>
    <row r="261">
      <c r="F261" s="19"/>
      <c r="G261" s="19"/>
      <c r="H261" s="19"/>
      <c r="I261" s="19"/>
      <c r="J261" s="19"/>
      <c r="K261" s="19"/>
    </row>
    <row r="262">
      <c r="F262" s="19"/>
      <c r="G262" s="19"/>
      <c r="H262" s="19"/>
      <c r="I262" s="19"/>
      <c r="J262" s="19"/>
      <c r="K262" s="19"/>
    </row>
    <row r="263">
      <c r="F263" s="19"/>
      <c r="G263" s="19"/>
      <c r="H263" s="19"/>
      <c r="I263" s="19"/>
      <c r="J263" s="19"/>
      <c r="K263" s="19"/>
    </row>
    <row r="264">
      <c r="F264" s="19"/>
      <c r="G264" s="19"/>
      <c r="H264" s="19"/>
      <c r="I264" s="19"/>
      <c r="J264" s="19"/>
      <c r="K264" s="19"/>
    </row>
    <row r="265">
      <c r="F265" s="19"/>
      <c r="G265" s="19"/>
      <c r="H265" s="19"/>
      <c r="I265" s="19"/>
      <c r="J265" s="19"/>
      <c r="K265" s="19"/>
    </row>
    <row r="266">
      <c r="F266" s="19"/>
      <c r="G266" s="19"/>
      <c r="H266" s="19"/>
      <c r="I266" s="19"/>
      <c r="J266" s="19"/>
      <c r="K266" s="19"/>
    </row>
    <row r="267">
      <c r="F267" s="19"/>
      <c r="G267" s="19"/>
      <c r="H267" s="19"/>
      <c r="I267" s="19"/>
      <c r="J267" s="19"/>
      <c r="K267" s="19"/>
    </row>
    <row r="268">
      <c r="F268" s="19"/>
      <c r="G268" s="19"/>
      <c r="H268" s="19"/>
      <c r="I268" s="19"/>
      <c r="J268" s="19"/>
      <c r="K268" s="19"/>
    </row>
    <row r="269">
      <c r="F269" s="19"/>
      <c r="G269" s="19"/>
      <c r="H269" s="19"/>
      <c r="I269" s="19"/>
      <c r="J269" s="19"/>
      <c r="K269" s="19"/>
    </row>
    <row r="270">
      <c r="F270" s="19"/>
      <c r="G270" s="19"/>
      <c r="H270" s="19"/>
      <c r="I270" s="19"/>
      <c r="J270" s="19"/>
      <c r="K270" s="19"/>
    </row>
    <row r="271">
      <c r="F271" s="19"/>
      <c r="G271" s="19"/>
      <c r="H271" s="19"/>
      <c r="I271" s="19"/>
      <c r="J271" s="19"/>
      <c r="K271" s="19"/>
    </row>
    <row r="272">
      <c r="F272" s="19"/>
      <c r="G272" s="19"/>
      <c r="H272" s="19"/>
      <c r="I272" s="19"/>
      <c r="J272" s="19"/>
      <c r="K272" s="19"/>
    </row>
    <row r="273">
      <c r="F273" s="19"/>
      <c r="G273" s="19"/>
      <c r="H273" s="19"/>
      <c r="I273" s="19"/>
      <c r="J273" s="19"/>
      <c r="K273" s="19"/>
    </row>
    <row r="274">
      <c r="F274" s="19"/>
      <c r="G274" s="19"/>
      <c r="H274" s="19"/>
      <c r="I274" s="19"/>
      <c r="J274" s="19"/>
      <c r="K274" s="19"/>
    </row>
    <row r="275">
      <c r="F275" s="19"/>
      <c r="G275" s="19"/>
      <c r="H275" s="19"/>
      <c r="I275" s="19"/>
      <c r="J275" s="19"/>
      <c r="K275" s="19"/>
    </row>
    <row r="276">
      <c r="F276" s="19"/>
      <c r="G276" s="19"/>
      <c r="H276" s="19"/>
      <c r="I276" s="19"/>
      <c r="J276" s="19"/>
      <c r="K276" s="19"/>
    </row>
    <row r="277">
      <c r="F277" s="19"/>
      <c r="G277" s="19"/>
      <c r="H277" s="19"/>
      <c r="I277" s="19"/>
      <c r="J277" s="19"/>
      <c r="K277" s="19"/>
    </row>
    <row r="278">
      <c r="F278" s="19"/>
      <c r="G278" s="19"/>
      <c r="H278" s="19"/>
      <c r="I278" s="19"/>
      <c r="J278" s="19"/>
      <c r="K278" s="19"/>
    </row>
    <row r="279">
      <c r="F279" s="19"/>
      <c r="G279" s="19"/>
      <c r="H279" s="19"/>
      <c r="I279" s="19"/>
      <c r="J279" s="19"/>
      <c r="K279" s="19"/>
    </row>
    <row r="280">
      <c r="F280" s="19"/>
      <c r="G280" s="19"/>
      <c r="H280" s="19"/>
      <c r="I280" s="19"/>
      <c r="J280" s="19"/>
      <c r="K280" s="19"/>
    </row>
    <row r="281">
      <c r="F281" s="19"/>
      <c r="G281" s="19"/>
      <c r="H281" s="19"/>
      <c r="I281" s="19"/>
      <c r="J281" s="19"/>
      <c r="K281" s="19"/>
    </row>
    <row r="282">
      <c r="F282" s="19"/>
      <c r="G282" s="19"/>
      <c r="H282" s="19"/>
      <c r="I282" s="19"/>
      <c r="J282" s="19"/>
      <c r="K282" s="19"/>
    </row>
    <row r="283">
      <c r="F283" s="19"/>
      <c r="G283" s="19"/>
      <c r="H283" s="19"/>
      <c r="I283" s="19"/>
      <c r="J283" s="19"/>
      <c r="K283" s="19"/>
    </row>
    <row r="284">
      <c r="F284" s="19"/>
      <c r="G284" s="19"/>
      <c r="H284" s="19"/>
      <c r="I284" s="19"/>
      <c r="J284" s="19"/>
      <c r="K284" s="19"/>
    </row>
    <row r="285">
      <c r="F285" s="19"/>
      <c r="G285" s="19"/>
      <c r="H285" s="19"/>
      <c r="I285" s="19"/>
      <c r="J285" s="19"/>
      <c r="K285" s="19"/>
    </row>
    <row r="286">
      <c r="F286" s="19"/>
      <c r="G286" s="19"/>
      <c r="H286" s="19"/>
      <c r="I286" s="19"/>
      <c r="J286" s="19"/>
      <c r="K286" s="19"/>
    </row>
    <row r="287">
      <c r="F287" s="19"/>
      <c r="G287" s="19"/>
      <c r="H287" s="19"/>
      <c r="I287" s="19"/>
      <c r="J287" s="19"/>
      <c r="K287" s="19"/>
    </row>
    <row r="288">
      <c r="F288" s="19"/>
      <c r="G288" s="19"/>
      <c r="H288" s="19"/>
      <c r="I288" s="19"/>
      <c r="J288" s="19"/>
      <c r="K288" s="19"/>
    </row>
    <row r="289">
      <c r="F289" s="19"/>
      <c r="G289" s="19"/>
      <c r="H289" s="19"/>
      <c r="I289" s="19"/>
      <c r="J289" s="19"/>
      <c r="K289" s="19"/>
    </row>
    <row r="290">
      <c r="F290" s="19"/>
      <c r="G290" s="19"/>
      <c r="H290" s="19"/>
      <c r="I290" s="19"/>
      <c r="J290" s="19"/>
      <c r="K290" s="19"/>
    </row>
    <row r="291">
      <c r="F291" s="19"/>
      <c r="G291" s="19"/>
      <c r="H291" s="19"/>
      <c r="I291" s="19"/>
      <c r="J291" s="19"/>
      <c r="K291" s="19"/>
    </row>
    <row r="292">
      <c r="F292" s="19"/>
      <c r="G292" s="19"/>
      <c r="H292" s="19"/>
      <c r="I292" s="19"/>
      <c r="J292" s="19"/>
      <c r="K292" s="19"/>
    </row>
    <row r="293">
      <c r="F293" s="19"/>
      <c r="G293" s="19"/>
      <c r="H293" s="19"/>
      <c r="I293" s="19"/>
      <c r="J293" s="19"/>
      <c r="K293" s="19"/>
    </row>
    <row r="294">
      <c r="F294" s="19"/>
      <c r="G294" s="19"/>
      <c r="H294" s="19"/>
      <c r="I294" s="19"/>
      <c r="J294" s="19"/>
      <c r="K294" s="19"/>
    </row>
    <row r="295">
      <c r="F295" s="19"/>
      <c r="G295" s="19"/>
      <c r="H295" s="19"/>
      <c r="I295" s="19"/>
      <c r="J295" s="19"/>
      <c r="K295" s="19"/>
    </row>
    <row r="296">
      <c r="F296" s="19"/>
      <c r="G296" s="19"/>
      <c r="H296" s="19"/>
      <c r="I296" s="19"/>
      <c r="J296" s="19"/>
      <c r="K296" s="19"/>
    </row>
    <row r="297">
      <c r="F297" s="19"/>
      <c r="G297" s="19"/>
      <c r="H297" s="19"/>
      <c r="I297" s="19"/>
      <c r="J297" s="19"/>
      <c r="K297" s="19"/>
    </row>
    <row r="298">
      <c r="F298" s="19"/>
      <c r="G298" s="19"/>
      <c r="H298" s="19"/>
      <c r="I298" s="19"/>
      <c r="J298" s="19"/>
      <c r="K298" s="19"/>
    </row>
    <row r="299">
      <c r="F299" s="19"/>
      <c r="G299" s="19"/>
      <c r="H299" s="19"/>
      <c r="I299" s="19"/>
      <c r="J299" s="19"/>
      <c r="K299" s="19"/>
    </row>
    <row r="300">
      <c r="F300" s="19"/>
      <c r="G300" s="19"/>
      <c r="H300" s="19"/>
      <c r="I300" s="19"/>
      <c r="J300" s="19"/>
      <c r="K300" s="19"/>
    </row>
    <row r="301">
      <c r="F301" s="19"/>
      <c r="G301" s="19"/>
      <c r="H301" s="19"/>
      <c r="I301" s="19"/>
      <c r="J301" s="19"/>
      <c r="K301" s="19"/>
    </row>
    <row r="302">
      <c r="F302" s="19"/>
      <c r="G302" s="19"/>
      <c r="H302" s="19"/>
      <c r="I302" s="19"/>
      <c r="J302" s="19"/>
      <c r="K302" s="19"/>
    </row>
    <row r="303">
      <c r="F303" s="19"/>
      <c r="G303" s="19"/>
      <c r="H303" s="19"/>
      <c r="I303" s="19"/>
      <c r="J303" s="19"/>
      <c r="K303" s="19"/>
    </row>
    <row r="304">
      <c r="F304" s="19"/>
      <c r="G304" s="19"/>
      <c r="H304" s="19"/>
      <c r="I304" s="19"/>
      <c r="J304" s="19"/>
      <c r="K304" s="19"/>
    </row>
    <row r="305">
      <c r="F305" s="19"/>
      <c r="G305" s="19"/>
      <c r="H305" s="19"/>
      <c r="I305" s="19"/>
      <c r="J305" s="19"/>
      <c r="K305" s="19"/>
    </row>
    <row r="306">
      <c r="F306" s="19"/>
      <c r="G306" s="19"/>
      <c r="H306" s="19"/>
      <c r="I306" s="19"/>
      <c r="J306" s="19"/>
      <c r="K306" s="19"/>
    </row>
    <row r="307">
      <c r="F307" s="19"/>
      <c r="G307" s="19"/>
      <c r="H307" s="19"/>
      <c r="I307" s="19"/>
      <c r="J307" s="19"/>
      <c r="K307" s="19"/>
    </row>
    <row r="308">
      <c r="F308" s="19"/>
      <c r="G308" s="19"/>
      <c r="H308" s="19"/>
      <c r="I308" s="19"/>
      <c r="J308" s="19"/>
      <c r="K308" s="19"/>
    </row>
    <row r="309">
      <c r="F309" s="19"/>
      <c r="G309" s="19"/>
      <c r="H309" s="19"/>
      <c r="I309" s="19"/>
      <c r="J309" s="19"/>
      <c r="K309" s="19"/>
    </row>
    <row r="310">
      <c r="F310" s="19"/>
      <c r="G310" s="19"/>
      <c r="H310" s="19"/>
      <c r="I310" s="19"/>
      <c r="J310" s="19"/>
      <c r="K310" s="19"/>
    </row>
    <row r="311">
      <c r="F311" s="19"/>
      <c r="G311" s="19"/>
      <c r="H311" s="19"/>
      <c r="I311" s="19"/>
      <c r="J311" s="19"/>
      <c r="K311" s="19"/>
    </row>
    <row r="312">
      <c r="F312" s="19"/>
      <c r="G312" s="19"/>
      <c r="H312" s="19"/>
      <c r="I312" s="19"/>
      <c r="J312" s="19"/>
      <c r="K312" s="19"/>
    </row>
    <row r="313">
      <c r="F313" s="19"/>
      <c r="G313" s="19"/>
      <c r="H313" s="19"/>
      <c r="I313" s="19"/>
      <c r="J313" s="19"/>
      <c r="K313" s="19"/>
    </row>
    <row r="314">
      <c r="F314" s="19"/>
      <c r="G314" s="19"/>
      <c r="H314" s="19"/>
      <c r="I314" s="19"/>
      <c r="J314" s="19"/>
      <c r="K314" s="19"/>
    </row>
    <row r="315">
      <c r="F315" s="19"/>
      <c r="G315" s="19"/>
      <c r="H315" s="19"/>
      <c r="I315" s="19"/>
      <c r="J315" s="19"/>
      <c r="K315" s="19"/>
    </row>
    <row r="316">
      <c r="F316" s="19"/>
      <c r="G316" s="19"/>
      <c r="H316" s="19"/>
      <c r="I316" s="19"/>
      <c r="J316" s="19"/>
      <c r="K316" s="19"/>
    </row>
    <row r="317">
      <c r="F317" s="19"/>
      <c r="G317" s="19"/>
      <c r="H317" s="19"/>
      <c r="I317" s="19"/>
      <c r="J317" s="19"/>
      <c r="K317" s="19"/>
    </row>
    <row r="318">
      <c r="F318" s="19"/>
      <c r="G318" s="19"/>
      <c r="H318" s="19"/>
      <c r="I318" s="19"/>
      <c r="J318" s="19"/>
      <c r="K318" s="19"/>
    </row>
    <row r="319">
      <c r="F319" s="19"/>
      <c r="G319" s="19"/>
      <c r="H319" s="19"/>
      <c r="I319" s="19"/>
      <c r="J319" s="19"/>
      <c r="K319" s="19"/>
    </row>
    <row r="320">
      <c r="F320" s="19"/>
      <c r="G320" s="19"/>
      <c r="H320" s="19"/>
      <c r="I320" s="19"/>
      <c r="J320" s="19"/>
      <c r="K320" s="19"/>
    </row>
    <row r="321">
      <c r="F321" s="19"/>
      <c r="G321" s="19"/>
      <c r="H321" s="19"/>
      <c r="I321" s="19"/>
      <c r="J321" s="19"/>
      <c r="K321" s="19"/>
    </row>
    <row r="322">
      <c r="F322" s="19"/>
      <c r="G322" s="19"/>
      <c r="H322" s="19"/>
      <c r="I322" s="19"/>
      <c r="J322" s="19"/>
      <c r="K322" s="19"/>
    </row>
    <row r="323">
      <c r="F323" s="19"/>
      <c r="G323" s="19"/>
      <c r="H323" s="19"/>
      <c r="I323" s="19"/>
      <c r="J323" s="19"/>
      <c r="K323" s="19"/>
    </row>
    <row r="324">
      <c r="F324" s="19"/>
      <c r="G324" s="19"/>
      <c r="H324" s="19"/>
      <c r="I324" s="19"/>
      <c r="J324" s="19"/>
      <c r="K324" s="19"/>
    </row>
    <row r="325">
      <c r="F325" s="19"/>
      <c r="G325" s="19"/>
      <c r="H325" s="19"/>
      <c r="I325" s="19"/>
      <c r="J325" s="19"/>
      <c r="K325" s="19"/>
    </row>
    <row r="326">
      <c r="F326" s="19"/>
      <c r="G326" s="19"/>
      <c r="H326" s="19"/>
      <c r="I326" s="19"/>
      <c r="J326" s="19"/>
      <c r="K326" s="19"/>
    </row>
    <row r="327">
      <c r="F327" s="19"/>
      <c r="G327" s="19"/>
      <c r="H327" s="19"/>
      <c r="I327" s="19"/>
      <c r="J327" s="19"/>
      <c r="K327" s="19"/>
    </row>
    <row r="328">
      <c r="F328" s="19"/>
      <c r="G328" s="19"/>
      <c r="H328" s="19"/>
      <c r="I328" s="19"/>
      <c r="J328" s="19"/>
      <c r="K328" s="19"/>
    </row>
    <row r="329">
      <c r="F329" s="19"/>
      <c r="G329" s="19"/>
      <c r="H329" s="19"/>
      <c r="I329" s="19"/>
      <c r="J329" s="19"/>
      <c r="K329" s="19"/>
    </row>
    <row r="330">
      <c r="F330" s="19"/>
      <c r="G330" s="19"/>
      <c r="H330" s="19"/>
      <c r="I330" s="19"/>
      <c r="J330" s="19"/>
      <c r="K330" s="19"/>
    </row>
    <row r="331">
      <c r="F331" s="19"/>
      <c r="G331" s="19"/>
      <c r="H331" s="19"/>
      <c r="I331" s="19"/>
      <c r="J331" s="19"/>
      <c r="K331" s="19"/>
    </row>
    <row r="332">
      <c r="F332" s="19"/>
      <c r="G332" s="19"/>
      <c r="H332" s="19"/>
      <c r="I332" s="19"/>
      <c r="J332" s="19"/>
      <c r="K332" s="19"/>
    </row>
    <row r="333">
      <c r="F333" s="19"/>
      <c r="G333" s="19"/>
      <c r="H333" s="19"/>
      <c r="I333" s="19"/>
      <c r="J333" s="19"/>
      <c r="K333" s="19"/>
    </row>
    <row r="334">
      <c r="F334" s="19"/>
      <c r="G334" s="19"/>
      <c r="H334" s="19"/>
      <c r="I334" s="19"/>
      <c r="J334" s="19"/>
      <c r="K334" s="19"/>
    </row>
    <row r="335">
      <c r="F335" s="19"/>
      <c r="G335" s="19"/>
      <c r="H335" s="19"/>
      <c r="I335" s="19"/>
      <c r="J335" s="19"/>
      <c r="K335" s="19"/>
    </row>
    <row r="336">
      <c r="F336" s="19"/>
      <c r="G336" s="19"/>
      <c r="H336" s="19"/>
      <c r="I336" s="19"/>
      <c r="J336" s="19"/>
      <c r="K336" s="19"/>
    </row>
    <row r="337">
      <c r="F337" s="19"/>
      <c r="G337" s="19"/>
      <c r="H337" s="19"/>
      <c r="I337" s="19"/>
      <c r="J337" s="19"/>
      <c r="K337" s="19"/>
    </row>
    <row r="338">
      <c r="F338" s="19"/>
      <c r="G338" s="19"/>
      <c r="H338" s="19"/>
      <c r="I338" s="19"/>
      <c r="J338" s="19"/>
      <c r="K338" s="19"/>
    </row>
    <row r="339">
      <c r="F339" s="19"/>
      <c r="G339" s="19"/>
      <c r="H339" s="19"/>
      <c r="I339" s="19"/>
      <c r="J339" s="19"/>
      <c r="K339" s="19"/>
    </row>
    <row r="340">
      <c r="F340" s="19"/>
      <c r="G340" s="19"/>
      <c r="H340" s="19"/>
      <c r="I340" s="19"/>
      <c r="J340" s="19"/>
      <c r="K340" s="19"/>
    </row>
    <row r="341">
      <c r="F341" s="19"/>
      <c r="G341" s="19"/>
      <c r="H341" s="19"/>
      <c r="I341" s="19"/>
      <c r="J341" s="19"/>
      <c r="K341" s="19"/>
    </row>
    <row r="342">
      <c r="F342" s="19"/>
      <c r="G342" s="19"/>
      <c r="H342" s="19"/>
      <c r="I342" s="19"/>
      <c r="J342" s="19"/>
      <c r="K342" s="19"/>
    </row>
    <row r="343">
      <c r="F343" s="19"/>
      <c r="G343" s="19"/>
      <c r="H343" s="19"/>
      <c r="I343" s="19"/>
      <c r="J343" s="19"/>
      <c r="K343" s="19"/>
    </row>
    <row r="344">
      <c r="F344" s="19"/>
      <c r="G344" s="19"/>
      <c r="H344" s="19"/>
      <c r="I344" s="19"/>
      <c r="J344" s="19"/>
      <c r="K344" s="19"/>
    </row>
    <row r="345">
      <c r="F345" s="19"/>
      <c r="G345" s="19"/>
      <c r="H345" s="19"/>
      <c r="I345" s="19"/>
      <c r="J345" s="19"/>
      <c r="K345" s="19"/>
    </row>
    <row r="346">
      <c r="F346" s="19"/>
      <c r="G346" s="19"/>
      <c r="H346" s="19"/>
      <c r="I346" s="19"/>
      <c r="J346" s="19"/>
      <c r="K346" s="19"/>
    </row>
    <row r="347">
      <c r="F347" s="19"/>
      <c r="G347" s="19"/>
      <c r="H347" s="19"/>
      <c r="I347" s="19"/>
      <c r="J347" s="19"/>
      <c r="K347" s="19"/>
    </row>
    <row r="348">
      <c r="F348" s="19"/>
      <c r="G348" s="19"/>
      <c r="H348" s="19"/>
      <c r="I348" s="19"/>
      <c r="J348" s="19"/>
      <c r="K348" s="19"/>
    </row>
    <row r="349">
      <c r="F349" s="19"/>
      <c r="G349" s="19"/>
      <c r="H349" s="19"/>
      <c r="I349" s="19"/>
      <c r="J349" s="19"/>
      <c r="K349" s="19"/>
    </row>
    <row r="350">
      <c r="F350" s="19"/>
      <c r="G350" s="19"/>
      <c r="H350" s="19"/>
      <c r="I350" s="19"/>
      <c r="J350" s="19"/>
      <c r="K350" s="19"/>
    </row>
    <row r="351">
      <c r="F351" s="19"/>
      <c r="G351" s="19"/>
      <c r="H351" s="19"/>
      <c r="I351" s="19"/>
      <c r="J351" s="19"/>
      <c r="K351" s="19"/>
    </row>
    <row r="352">
      <c r="F352" s="19"/>
      <c r="G352" s="19"/>
      <c r="H352" s="19"/>
      <c r="I352" s="19"/>
      <c r="J352" s="19"/>
      <c r="K352" s="19"/>
    </row>
    <row r="353">
      <c r="F353" s="19"/>
      <c r="G353" s="19"/>
      <c r="H353" s="19"/>
      <c r="I353" s="19"/>
      <c r="J353" s="19"/>
      <c r="K353" s="19"/>
    </row>
    <row r="354">
      <c r="F354" s="19"/>
      <c r="G354" s="19"/>
      <c r="H354" s="19"/>
      <c r="I354" s="19"/>
      <c r="J354" s="19"/>
      <c r="K354" s="19"/>
    </row>
    <row r="355">
      <c r="F355" s="19"/>
      <c r="G355" s="19"/>
      <c r="H355" s="19"/>
      <c r="I355" s="19"/>
      <c r="J355" s="19"/>
      <c r="K355" s="19"/>
    </row>
    <row r="356">
      <c r="F356" s="19"/>
      <c r="G356" s="19"/>
      <c r="H356" s="19"/>
      <c r="I356" s="19"/>
      <c r="J356" s="19"/>
      <c r="K356" s="19"/>
    </row>
    <row r="357">
      <c r="F357" s="19"/>
      <c r="G357" s="19"/>
      <c r="H357" s="19"/>
      <c r="I357" s="19"/>
      <c r="J357" s="19"/>
      <c r="K357" s="19"/>
    </row>
    <row r="358">
      <c r="F358" s="19"/>
      <c r="G358" s="19"/>
      <c r="H358" s="19"/>
      <c r="I358" s="19"/>
      <c r="J358" s="19"/>
      <c r="K358" s="19"/>
    </row>
    <row r="359">
      <c r="F359" s="19"/>
      <c r="G359" s="19"/>
      <c r="H359" s="19"/>
      <c r="I359" s="19"/>
      <c r="J359" s="19"/>
      <c r="K359" s="19"/>
    </row>
    <row r="360">
      <c r="F360" s="19"/>
      <c r="G360" s="19"/>
      <c r="H360" s="19"/>
      <c r="I360" s="19"/>
      <c r="J360" s="19"/>
      <c r="K360" s="19"/>
    </row>
    <row r="361">
      <c r="F361" s="19"/>
      <c r="G361" s="19"/>
      <c r="H361" s="19"/>
      <c r="I361" s="19"/>
      <c r="J361" s="19"/>
      <c r="K361" s="19"/>
    </row>
    <row r="362">
      <c r="F362" s="19"/>
      <c r="G362" s="19"/>
      <c r="H362" s="19"/>
      <c r="I362" s="19"/>
      <c r="J362" s="19"/>
      <c r="K362" s="19"/>
    </row>
    <row r="363">
      <c r="F363" s="19"/>
      <c r="G363" s="19"/>
      <c r="H363" s="19"/>
      <c r="I363" s="19"/>
      <c r="J363" s="19"/>
      <c r="K363" s="19"/>
    </row>
    <row r="364">
      <c r="F364" s="19"/>
      <c r="G364" s="19"/>
      <c r="H364" s="19"/>
      <c r="I364" s="19"/>
      <c r="J364" s="19"/>
      <c r="K364" s="19"/>
    </row>
    <row r="365">
      <c r="F365" s="19"/>
      <c r="G365" s="19"/>
      <c r="H365" s="19"/>
      <c r="I365" s="19"/>
      <c r="J365" s="19"/>
      <c r="K365" s="19"/>
    </row>
    <row r="366">
      <c r="F366" s="19"/>
      <c r="G366" s="19"/>
      <c r="H366" s="19"/>
      <c r="I366" s="19"/>
      <c r="J366" s="19"/>
      <c r="K366" s="19"/>
    </row>
    <row r="367">
      <c r="F367" s="19"/>
      <c r="G367" s="19"/>
      <c r="H367" s="19"/>
      <c r="I367" s="19"/>
      <c r="J367" s="19"/>
      <c r="K367" s="19"/>
    </row>
    <row r="368">
      <c r="F368" s="19"/>
      <c r="G368" s="19"/>
      <c r="H368" s="19"/>
      <c r="I368" s="19"/>
      <c r="J368" s="19"/>
      <c r="K368" s="19"/>
    </row>
    <row r="369">
      <c r="F369" s="19"/>
      <c r="G369" s="19"/>
      <c r="H369" s="19"/>
      <c r="I369" s="19"/>
      <c r="J369" s="19"/>
      <c r="K369" s="19"/>
    </row>
    <row r="370">
      <c r="F370" s="19"/>
      <c r="G370" s="19"/>
      <c r="H370" s="19"/>
      <c r="I370" s="19"/>
      <c r="J370" s="19"/>
      <c r="K370" s="19"/>
    </row>
    <row r="371">
      <c r="F371" s="19"/>
      <c r="G371" s="19"/>
      <c r="H371" s="19"/>
      <c r="I371" s="19"/>
      <c r="J371" s="19"/>
      <c r="K371" s="19"/>
    </row>
    <row r="372">
      <c r="F372" s="19"/>
      <c r="G372" s="19"/>
      <c r="H372" s="19"/>
      <c r="I372" s="19"/>
      <c r="J372" s="19"/>
      <c r="K372" s="19"/>
    </row>
    <row r="373">
      <c r="F373" s="19"/>
      <c r="G373" s="19"/>
      <c r="H373" s="19"/>
      <c r="I373" s="19"/>
      <c r="J373" s="19"/>
      <c r="K373" s="19"/>
    </row>
    <row r="374">
      <c r="F374" s="19"/>
      <c r="G374" s="19"/>
      <c r="H374" s="19"/>
      <c r="I374" s="19"/>
      <c r="J374" s="19"/>
      <c r="K374" s="19"/>
    </row>
    <row r="375">
      <c r="F375" s="19"/>
      <c r="G375" s="19"/>
      <c r="H375" s="19"/>
      <c r="I375" s="19"/>
      <c r="J375" s="19"/>
      <c r="K375" s="19"/>
    </row>
    <row r="376">
      <c r="F376" s="19"/>
      <c r="G376" s="19"/>
      <c r="H376" s="19"/>
      <c r="I376" s="19"/>
      <c r="J376" s="19"/>
      <c r="K376" s="19"/>
    </row>
    <row r="377">
      <c r="F377" s="19"/>
      <c r="G377" s="19"/>
      <c r="H377" s="19"/>
      <c r="I377" s="19"/>
      <c r="J377" s="19"/>
      <c r="K377" s="19"/>
    </row>
    <row r="378">
      <c r="F378" s="19"/>
      <c r="G378" s="19"/>
      <c r="H378" s="19"/>
      <c r="I378" s="19"/>
      <c r="J378" s="19"/>
      <c r="K378" s="19"/>
    </row>
    <row r="379">
      <c r="F379" s="19"/>
      <c r="G379" s="19"/>
      <c r="H379" s="19"/>
      <c r="I379" s="19"/>
      <c r="J379" s="19"/>
      <c r="K379" s="19"/>
    </row>
    <row r="380">
      <c r="F380" s="19"/>
      <c r="G380" s="19"/>
      <c r="H380" s="19"/>
      <c r="I380" s="19"/>
      <c r="J380" s="19"/>
      <c r="K380" s="19"/>
    </row>
    <row r="381">
      <c r="F381" s="19"/>
      <c r="G381" s="19"/>
      <c r="H381" s="19"/>
      <c r="I381" s="19"/>
      <c r="J381" s="19"/>
      <c r="K381" s="19"/>
    </row>
    <row r="382">
      <c r="F382" s="19"/>
      <c r="G382" s="19"/>
      <c r="H382" s="19"/>
      <c r="I382" s="19"/>
      <c r="J382" s="19"/>
      <c r="K382" s="19"/>
    </row>
    <row r="383">
      <c r="F383" s="19"/>
      <c r="G383" s="19"/>
      <c r="H383" s="19"/>
      <c r="I383" s="19"/>
      <c r="J383" s="19"/>
      <c r="K383" s="19"/>
    </row>
    <row r="384">
      <c r="F384" s="19"/>
      <c r="G384" s="19"/>
      <c r="H384" s="19"/>
      <c r="I384" s="19"/>
      <c r="J384" s="19"/>
      <c r="K384" s="19"/>
    </row>
    <row r="385">
      <c r="F385" s="19"/>
      <c r="G385" s="19"/>
      <c r="H385" s="19"/>
      <c r="I385" s="19"/>
      <c r="J385" s="19"/>
      <c r="K385" s="19"/>
    </row>
    <row r="386">
      <c r="F386" s="19"/>
      <c r="G386" s="19"/>
      <c r="H386" s="19"/>
      <c r="I386" s="19"/>
      <c r="J386" s="19"/>
      <c r="K386" s="19"/>
    </row>
    <row r="387">
      <c r="F387" s="19"/>
      <c r="G387" s="19"/>
      <c r="H387" s="19"/>
      <c r="I387" s="19"/>
      <c r="J387" s="19"/>
      <c r="K387" s="19"/>
    </row>
    <row r="388">
      <c r="F388" s="19"/>
      <c r="G388" s="19"/>
      <c r="H388" s="19"/>
      <c r="I388" s="19"/>
      <c r="J388" s="19"/>
      <c r="K388" s="19"/>
    </row>
    <row r="389">
      <c r="F389" s="19"/>
      <c r="G389" s="19"/>
      <c r="H389" s="19"/>
      <c r="I389" s="19"/>
      <c r="J389" s="19"/>
      <c r="K389" s="19"/>
    </row>
    <row r="390">
      <c r="F390" s="19"/>
      <c r="G390" s="19"/>
      <c r="H390" s="19"/>
      <c r="I390" s="19"/>
      <c r="J390" s="19"/>
      <c r="K390" s="19"/>
    </row>
    <row r="391">
      <c r="F391" s="19"/>
      <c r="G391" s="19"/>
      <c r="H391" s="19"/>
      <c r="I391" s="19"/>
      <c r="J391" s="19"/>
      <c r="K391" s="19"/>
    </row>
    <row r="392">
      <c r="F392" s="19"/>
      <c r="G392" s="19"/>
      <c r="H392" s="19"/>
      <c r="I392" s="19"/>
      <c r="J392" s="19"/>
      <c r="K392" s="19"/>
    </row>
    <row r="393">
      <c r="F393" s="19"/>
      <c r="G393" s="19"/>
      <c r="H393" s="19"/>
      <c r="I393" s="19"/>
      <c r="J393" s="19"/>
      <c r="K393" s="19"/>
    </row>
    <row r="394">
      <c r="F394" s="19"/>
      <c r="G394" s="19"/>
      <c r="H394" s="19"/>
      <c r="I394" s="19"/>
      <c r="J394" s="19"/>
      <c r="K394" s="19"/>
    </row>
    <row r="395">
      <c r="F395" s="19"/>
      <c r="G395" s="19"/>
      <c r="H395" s="19"/>
      <c r="I395" s="19"/>
      <c r="J395" s="19"/>
      <c r="K395" s="19"/>
    </row>
    <row r="396">
      <c r="F396" s="19"/>
      <c r="G396" s="19"/>
      <c r="H396" s="19"/>
      <c r="I396" s="19"/>
      <c r="J396" s="19"/>
      <c r="K396" s="19"/>
    </row>
    <row r="397">
      <c r="F397" s="19"/>
      <c r="G397" s="19"/>
      <c r="H397" s="19"/>
      <c r="I397" s="19"/>
      <c r="J397" s="19"/>
      <c r="K397" s="19"/>
    </row>
    <row r="398">
      <c r="F398" s="19"/>
      <c r="G398" s="19"/>
      <c r="H398" s="19"/>
      <c r="I398" s="19"/>
      <c r="J398" s="19"/>
      <c r="K398" s="19"/>
    </row>
    <row r="399">
      <c r="F399" s="19"/>
      <c r="G399" s="19"/>
      <c r="H399" s="19"/>
      <c r="I399" s="19"/>
      <c r="J399" s="19"/>
      <c r="K399" s="19"/>
    </row>
    <row r="400">
      <c r="F400" s="19"/>
      <c r="G400" s="19"/>
      <c r="H400" s="19"/>
      <c r="I400" s="19"/>
      <c r="J400" s="19"/>
      <c r="K400" s="19"/>
    </row>
    <row r="401">
      <c r="F401" s="19"/>
      <c r="G401" s="19"/>
      <c r="H401" s="19"/>
      <c r="I401" s="19"/>
      <c r="J401" s="19"/>
      <c r="K401" s="19"/>
    </row>
    <row r="402">
      <c r="F402" s="19"/>
      <c r="G402" s="19"/>
      <c r="H402" s="19"/>
      <c r="I402" s="19"/>
      <c r="J402" s="19"/>
      <c r="K402" s="19"/>
    </row>
    <row r="403">
      <c r="F403" s="19"/>
      <c r="G403" s="19"/>
      <c r="H403" s="19"/>
      <c r="I403" s="19"/>
      <c r="J403" s="19"/>
      <c r="K403" s="19"/>
    </row>
    <row r="404">
      <c r="F404" s="19"/>
      <c r="G404" s="19"/>
      <c r="H404" s="19"/>
      <c r="I404" s="19"/>
      <c r="J404" s="19"/>
      <c r="K404" s="19"/>
    </row>
    <row r="405">
      <c r="F405" s="19"/>
      <c r="G405" s="19"/>
      <c r="H405" s="19"/>
      <c r="I405" s="19"/>
      <c r="J405" s="19"/>
      <c r="K405" s="19"/>
    </row>
    <row r="406">
      <c r="F406" s="19"/>
      <c r="G406" s="19"/>
      <c r="H406" s="19"/>
      <c r="I406" s="19"/>
      <c r="J406" s="19"/>
      <c r="K406" s="19"/>
    </row>
    <row r="407">
      <c r="F407" s="19"/>
      <c r="G407" s="19"/>
      <c r="H407" s="19"/>
      <c r="I407" s="19"/>
      <c r="J407" s="19"/>
      <c r="K407" s="19"/>
    </row>
    <row r="408">
      <c r="F408" s="19"/>
      <c r="G408" s="19"/>
      <c r="H408" s="19"/>
      <c r="I408" s="19"/>
      <c r="J408" s="19"/>
      <c r="K408" s="19"/>
    </row>
    <row r="409">
      <c r="F409" s="19"/>
      <c r="G409" s="19"/>
      <c r="H409" s="19"/>
      <c r="I409" s="19"/>
      <c r="J409" s="19"/>
      <c r="K409" s="19"/>
    </row>
    <row r="410">
      <c r="F410" s="19"/>
      <c r="G410" s="19"/>
      <c r="H410" s="19"/>
      <c r="I410" s="19"/>
      <c r="J410" s="19"/>
      <c r="K410" s="19"/>
    </row>
    <row r="411">
      <c r="F411" s="19"/>
      <c r="G411" s="19"/>
      <c r="H411" s="19"/>
      <c r="I411" s="19"/>
      <c r="J411" s="19"/>
      <c r="K411" s="19"/>
    </row>
    <row r="412">
      <c r="F412" s="19"/>
      <c r="G412" s="19"/>
      <c r="H412" s="19"/>
      <c r="I412" s="19"/>
      <c r="J412" s="19"/>
      <c r="K412" s="19"/>
    </row>
    <row r="413">
      <c r="F413" s="19"/>
      <c r="G413" s="19"/>
      <c r="H413" s="19"/>
      <c r="I413" s="19"/>
      <c r="J413" s="19"/>
      <c r="K413" s="19"/>
    </row>
    <row r="414">
      <c r="F414" s="19"/>
      <c r="G414" s="19"/>
      <c r="H414" s="19"/>
      <c r="I414" s="19"/>
      <c r="J414" s="19"/>
      <c r="K414" s="19"/>
    </row>
    <row r="415">
      <c r="F415" s="19"/>
      <c r="G415" s="19"/>
      <c r="H415" s="19"/>
      <c r="I415" s="19"/>
      <c r="J415" s="19"/>
      <c r="K415" s="19"/>
    </row>
    <row r="416">
      <c r="F416" s="19"/>
      <c r="G416" s="19"/>
      <c r="H416" s="19"/>
      <c r="I416" s="19"/>
      <c r="J416" s="19"/>
      <c r="K416" s="19"/>
    </row>
    <row r="417">
      <c r="F417" s="19"/>
      <c r="G417" s="19"/>
      <c r="H417" s="19"/>
      <c r="I417" s="19"/>
      <c r="J417" s="19"/>
      <c r="K417" s="19"/>
    </row>
    <row r="418">
      <c r="F418" s="19"/>
      <c r="G418" s="19"/>
      <c r="H418" s="19"/>
      <c r="I418" s="19"/>
      <c r="J418" s="19"/>
      <c r="K418" s="19"/>
    </row>
    <row r="419">
      <c r="F419" s="19"/>
      <c r="G419" s="19"/>
      <c r="H419" s="19"/>
      <c r="I419" s="19"/>
      <c r="J419" s="19"/>
      <c r="K419" s="19"/>
    </row>
    <row r="420">
      <c r="F420" s="19"/>
      <c r="G420" s="19"/>
      <c r="H420" s="19"/>
      <c r="I420" s="19"/>
      <c r="J420" s="19"/>
      <c r="K420" s="19"/>
    </row>
    <row r="421">
      <c r="F421" s="19"/>
      <c r="G421" s="19"/>
      <c r="H421" s="19"/>
      <c r="I421" s="19"/>
      <c r="J421" s="19"/>
      <c r="K421" s="19"/>
    </row>
    <row r="422">
      <c r="F422" s="19"/>
      <c r="G422" s="19"/>
      <c r="H422" s="19"/>
      <c r="I422" s="19"/>
      <c r="J422" s="19"/>
      <c r="K422" s="19"/>
    </row>
    <row r="423">
      <c r="F423" s="19"/>
      <c r="G423" s="19"/>
      <c r="H423" s="19"/>
      <c r="I423" s="19"/>
      <c r="J423" s="19"/>
      <c r="K423" s="19"/>
    </row>
    <row r="424">
      <c r="F424" s="19"/>
      <c r="G424" s="19"/>
      <c r="H424" s="19"/>
      <c r="I424" s="19"/>
      <c r="J424" s="19"/>
      <c r="K424" s="19"/>
    </row>
    <row r="425">
      <c r="F425" s="19"/>
      <c r="G425" s="19"/>
      <c r="H425" s="19"/>
      <c r="I425" s="19"/>
      <c r="J425" s="19"/>
      <c r="K425" s="19"/>
    </row>
    <row r="426">
      <c r="F426" s="19"/>
      <c r="G426" s="19"/>
      <c r="H426" s="19"/>
      <c r="I426" s="19"/>
      <c r="J426" s="19"/>
      <c r="K426" s="19"/>
    </row>
    <row r="427">
      <c r="F427" s="19"/>
      <c r="G427" s="19"/>
      <c r="H427" s="19"/>
      <c r="I427" s="19"/>
      <c r="J427" s="19"/>
      <c r="K427" s="19"/>
    </row>
    <row r="428">
      <c r="F428" s="19"/>
      <c r="G428" s="19"/>
      <c r="H428" s="19"/>
      <c r="I428" s="19"/>
      <c r="J428" s="19"/>
      <c r="K428" s="19"/>
    </row>
    <row r="429">
      <c r="F429" s="19"/>
      <c r="G429" s="19"/>
      <c r="H429" s="19"/>
      <c r="I429" s="19"/>
      <c r="J429" s="19"/>
      <c r="K429" s="19"/>
    </row>
    <row r="430">
      <c r="F430" s="19"/>
      <c r="G430" s="19"/>
      <c r="H430" s="19"/>
      <c r="I430" s="19"/>
      <c r="J430" s="19"/>
      <c r="K430" s="19"/>
    </row>
    <row r="431">
      <c r="F431" s="19"/>
      <c r="G431" s="19"/>
      <c r="H431" s="19"/>
      <c r="I431" s="19"/>
      <c r="J431" s="19"/>
      <c r="K431" s="19"/>
    </row>
    <row r="432">
      <c r="F432" s="19"/>
      <c r="G432" s="19"/>
      <c r="H432" s="19"/>
      <c r="I432" s="19"/>
      <c r="J432" s="19"/>
      <c r="K432" s="19"/>
    </row>
    <row r="433">
      <c r="F433" s="19"/>
      <c r="G433" s="19"/>
      <c r="H433" s="19"/>
      <c r="I433" s="19"/>
      <c r="J433" s="19"/>
      <c r="K433" s="19"/>
    </row>
    <row r="434">
      <c r="F434" s="19"/>
      <c r="G434" s="19"/>
      <c r="H434" s="19"/>
      <c r="I434" s="19"/>
      <c r="J434" s="19"/>
      <c r="K434" s="19"/>
    </row>
    <row r="435">
      <c r="F435" s="19"/>
      <c r="G435" s="19"/>
      <c r="H435" s="19"/>
      <c r="I435" s="19"/>
      <c r="J435" s="19"/>
      <c r="K435" s="19"/>
    </row>
    <row r="436">
      <c r="F436" s="19"/>
      <c r="G436" s="19"/>
      <c r="H436" s="19"/>
      <c r="I436" s="19"/>
      <c r="J436" s="19"/>
      <c r="K436" s="19"/>
    </row>
    <row r="437">
      <c r="F437" s="19"/>
      <c r="G437" s="19"/>
      <c r="H437" s="19"/>
      <c r="I437" s="19"/>
      <c r="J437" s="19"/>
      <c r="K437" s="19"/>
    </row>
    <row r="438">
      <c r="F438" s="19"/>
      <c r="G438" s="19"/>
      <c r="H438" s="19"/>
      <c r="I438" s="19"/>
      <c r="J438" s="19"/>
      <c r="K438" s="19"/>
    </row>
    <row r="439">
      <c r="F439" s="19"/>
      <c r="G439" s="19"/>
      <c r="H439" s="19"/>
      <c r="I439" s="19"/>
      <c r="J439" s="19"/>
      <c r="K439" s="19"/>
    </row>
    <row r="440">
      <c r="F440" s="19"/>
      <c r="G440" s="19"/>
      <c r="H440" s="19"/>
      <c r="I440" s="19"/>
      <c r="J440" s="19"/>
      <c r="K440" s="19"/>
    </row>
    <row r="441">
      <c r="F441" s="19"/>
      <c r="G441" s="19"/>
      <c r="H441" s="19"/>
      <c r="I441" s="19"/>
      <c r="J441" s="19"/>
      <c r="K441" s="19"/>
    </row>
    <row r="442">
      <c r="F442" s="19"/>
      <c r="G442" s="19"/>
      <c r="H442" s="19"/>
      <c r="I442" s="19"/>
      <c r="J442" s="19"/>
      <c r="K442" s="19"/>
    </row>
    <row r="443">
      <c r="F443" s="19"/>
      <c r="G443" s="19"/>
      <c r="H443" s="19"/>
      <c r="I443" s="19"/>
      <c r="J443" s="19"/>
      <c r="K443" s="19"/>
    </row>
    <row r="444">
      <c r="F444" s="19"/>
      <c r="G444" s="19"/>
      <c r="H444" s="19"/>
      <c r="I444" s="19"/>
      <c r="J444" s="19"/>
      <c r="K444" s="19"/>
    </row>
    <row r="445">
      <c r="F445" s="19"/>
      <c r="G445" s="19"/>
      <c r="H445" s="19"/>
      <c r="I445" s="19"/>
      <c r="J445" s="19"/>
      <c r="K445" s="19"/>
    </row>
    <row r="446">
      <c r="F446" s="19"/>
      <c r="G446" s="19"/>
      <c r="H446" s="19"/>
      <c r="I446" s="19"/>
      <c r="J446" s="19"/>
      <c r="K446" s="19"/>
    </row>
    <row r="447">
      <c r="F447" s="19"/>
      <c r="G447" s="19"/>
      <c r="H447" s="19"/>
      <c r="I447" s="19"/>
      <c r="J447" s="19"/>
      <c r="K447" s="19"/>
    </row>
    <row r="448">
      <c r="F448" s="19"/>
      <c r="G448" s="19"/>
      <c r="H448" s="19"/>
      <c r="I448" s="19"/>
      <c r="J448" s="19"/>
      <c r="K448" s="19"/>
    </row>
    <row r="449">
      <c r="F449" s="19"/>
      <c r="G449" s="19"/>
      <c r="H449" s="19"/>
      <c r="I449" s="19"/>
      <c r="J449" s="19"/>
      <c r="K449" s="19"/>
    </row>
    <row r="450">
      <c r="F450" s="19"/>
      <c r="G450" s="19"/>
      <c r="H450" s="19"/>
      <c r="I450" s="19"/>
      <c r="J450" s="19"/>
      <c r="K450" s="19"/>
    </row>
    <row r="451">
      <c r="F451" s="19"/>
      <c r="G451" s="19"/>
      <c r="H451" s="19"/>
      <c r="I451" s="19"/>
      <c r="J451" s="19"/>
      <c r="K451" s="19"/>
    </row>
    <row r="452">
      <c r="F452" s="19"/>
      <c r="G452" s="19"/>
      <c r="H452" s="19"/>
      <c r="I452" s="19"/>
      <c r="J452" s="19"/>
      <c r="K452" s="19"/>
    </row>
    <row r="453">
      <c r="F453" s="19"/>
      <c r="G453" s="19"/>
      <c r="H453" s="19"/>
      <c r="I453" s="19"/>
      <c r="J453" s="19"/>
      <c r="K453" s="19"/>
    </row>
    <row r="454">
      <c r="F454" s="19"/>
      <c r="G454" s="19"/>
      <c r="H454" s="19"/>
      <c r="I454" s="19"/>
      <c r="J454" s="19"/>
      <c r="K454" s="19"/>
    </row>
    <row r="455">
      <c r="F455" s="19"/>
      <c r="G455" s="19"/>
      <c r="H455" s="19"/>
      <c r="I455" s="19"/>
      <c r="J455" s="19"/>
      <c r="K455" s="19"/>
    </row>
    <row r="456">
      <c r="F456" s="19"/>
      <c r="G456" s="19"/>
      <c r="H456" s="19"/>
      <c r="I456" s="19"/>
      <c r="J456" s="19"/>
      <c r="K456" s="19"/>
    </row>
    <row r="457">
      <c r="F457" s="19"/>
      <c r="G457" s="19"/>
      <c r="H457" s="19"/>
      <c r="I457" s="19"/>
      <c r="J457" s="19"/>
      <c r="K457" s="19"/>
    </row>
    <row r="458">
      <c r="F458" s="19"/>
      <c r="G458" s="19"/>
      <c r="H458" s="19"/>
      <c r="I458" s="19"/>
      <c r="J458" s="19"/>
      <c r="K458" s="19"/>
    </row>
    <row r="459">
      <c r="F459" s="19"/>
      <c r="G459" s="19"/>
      <c r="H459" s="19"/>
      <c r="I459" s="19"/>
      <c r="J459" s="19"/>
      <c r="K459" s="19"/>
    </row>
    <row r="460">
      <c r="F460" s="19"/>
      <c r="G460" s="19"/>
      <c r="H460" s="19"/>
      <c r="I460" s="19"/>
      <c r="J460" s="19"/>
      <c r="K460" s="19"/>
    </row>
    <row r="461">
      <c r="F461" s="19"/>
      <c r="G461" s="19"/>
      <c r="H461" s="19"/>
      <c r="I461" s="19"/>
      <c r="J461" s="19"/>
      <c r="K461" s="19"/>
    </row>
    <row r="462">
      <c r="F462" s="19"/>
      <c r="G462" s="19"/>
      <c r="H462" s="19"/>
      <c r="I462" s="19"/>
      <c r="J462" s="19"/>
      <c r="K462" s="19"/>
    </row>
    <row r="463">
      <c r="F463" s="19"/>
      <c r="G463" s="19"/>
      <c r="H463" s="19"/>
      <c r="I463" s="19"/>
      <c r="J463" s="19"/>
      <c r="K463" s="19"/>
    </row>
    <row r="464">
      <c r="F464" s="19"/>
      <c r="G464" s="19"/>
      <c r="H464" s="19"/>
      <c r="I464" s="19"/>
      <c r="J464" s="19"/>
      <c r="K464" s="19"/>
    </row>
    <row r="465">
      <c r="F465" s="19"/>
      <c r="G465" s="19"/>
      <c r="H465" s="19"/>
      <c r="I465" s="19"/>
      <c r="J465" s="19"/>
      <c r="K465" s="19"/>
    </row>
    <row r="466">
      <c r="F466" s="19"/>
      <c r="G466" s="19"/>
      <c r="H466" s="19"/>
      <c r="I466" s="19"/>
      <c r="J466" s="19"/>
      <c r="K466" s="19"/>
    </row>
    <row r="467">
      <c r="F467" s="19"/>
      <c r="G467" s="19"/>
      <c r="H467" s="19"/>
      <c r="I467" s="19"/>
      <c r="J467" s="19"/>
      <c r="K467" s="19"/>
    </row>
    <row r="468">
      <c r="F468" s="19"/>
      <c r="G468" s="19"/>
      <c r="H468" s="19"/>
      <c r="I468" s="19"/>
      <c r="J468" s="19"/>
      <c r="K468" s="19"/>
    </row>
    <row r="469">
      <c r="F469" s="19"/>
      <c r="G469" s="19"/>
      <c r="H469" s="19"/>
      <c r="I469" s="19"/>
      <c r="J469" s="19"/>
      <c r="K469" s="19"/>
    </row>
    <row r="470">
      <c r="F470" s="19"/>
      <c r="G470" s="19"/>
      <c r="H470" s="19"/>
      <c r="I470" s="19"/>
      <c r="J470" s="19"/>
      <c r="K470" s="19"/>
    </row>
    <row r="471">
      <c r="F471" s="19"/>
      <c r="G471" s="19"/>
      <c r="H471" s="19"/>
      <c r="I471" s="19"/>
      <c r="J471" s="19"/>
      <c r="K471" s="19"/>
    </row>
    <row r="472">
      <c r="F472" s="19"/>
      <c r="G472" s="19"/>
      <c r="H472" s="19"/>
      <c r="I472" s="19"/>
      <c r="J472" s="19"/>
      <c r="K472" s="19"/>
    </row>
    <row r="473">
      <c r="F473" s="19"/>
      <c r="G473" s="19"/>
      <c r="H473" s="19"/>
      <c r="I473" s="19"/>
      <c r="J473" s="19"/>
      <c r="K473" s="19"/>
    </row>
    <row r="474">
      <c r="F474" s="19"/>
      <c r="G474" s="19"/>
      <c r="H474" s="19"/>
      <c r="I474" s="19"/>
      <c r="J474" s="19"/>
      <c r="K474" s="19"/>
    </row>
    <row r="475">
      <c r="F475" s="19"/>
      <c r="G475" s="19"/>
      <c r="H475" s="19"/>
      <c r="I475" s="19"/>
      <c r="J475" s="19"/>
      <c r="K475" s="19"/>
    </row>
    <row r="476">
      <c r="F476" s="19"/>
      <c r="G476" s="19"/>
      <c r="H476" s="19"/>
      <c r="I476" s="19"/>
      <c r="J476" s="19"/>
      <c r="K476" s="19"/>
    </row>
    <row r="477">
      <c r="F477" s="19"/>
      <c r="G477" s="19"/>
      <c r="H477" s="19"/>
      <c r="I477" s="19"/>
      <c r="J477" s="19"/>
      <c r="K477" s="19"/>
    </row>
    <row r="478">
      <c r="F478" s="19"/>
      <c r="G478" s="19"/>
      <c r="H478" s="19"/>
      <c r="I478" s="19"/>
      <c r="J478" s="19"/>
      <c r="K478" s="19"/>
    </row>
    <row r="479">
      <c r="F479" s="19"/>
      <c r="G479" s="19"/>
      <c r="H479" s="19"/>
      <c r="I479" s="19"/>
      <c r="J479" s="19"/>
      <c r="K479" s="19"/>
    </row>
    <row r="480">
      <c r="F480" s="19"/>
      <c r="G480" s="19"/>
      <c r="H480" s="19"/>
      <c r="I480" s="19"/>
      <c r="J480" s="19"/>
      <c r="K480" s="19"/>
    </row>
    <row r="481">
      <c r="F481" s="19"/>
      <c r="G481" s="19"/>
      <c r="H481" s="19"/>
      <c r="I481" s="19"/>
      <c r="J481" s="19"/>
      <c r="K481" s="19"/>
    </row>
    <row r="482">
      <c r="F482" s="19"/>
      <c r="G482" s="19"/>
      <c r="H482" s="19"/>
      <c r="I482" s="19"/>
      <c r="J482" s="19"/>
      <c r="K482" s="19"/>
    </row>
    <row r="483">
      <c r="F483" s="19"/>
      <c r="G483" s="19"/>
      <c r="H483" s="19"/>
      <c r="I483" s="19"/>
      <c r="J483" s="19"/>
      <c r="K483" s="19"/>
    </row>
    <row r="484">
      <c r="F484" s="19"/>
      <c r="G484" s="19"/>
      <c r="H484" s="19"/>
      <c r="I484" s="19"/>
      <c r="J484" s="19"/>
      <c r="K484" s="19"/>
    </row>
    <row r="485">
      <c r="F485" s="19"/>
      <c r="G485" s="19"/>
      <c r="H485" s="19"/>
      <c r="I485" s="19"/>
      <c r="J485" s="19"/>
      <c r="K485" s="19"/>
    </row>
    <row r="486">
      <c r="F486" s="19"/>
      <c r="G486" s="19"/>
      <c r="H486" s="19"/>
      <c r="I486" s="19"/>
      <c r="J486" s="19"/>
      <c r="K486" s="19"/>
    </row>
    <row r="487">
      <c r="F487" s="19"/>
      <c r="G487" s="19"/>
      <c r="H487" s="19"/>
      <c r="I487" s="19"/>
      <c r="J487" s="19"/>
      <c r="K487" s="19"/>
    </row>
    <row r="488">
      <c r="F488" s="19"/>
      <c r="G488" s="19"/>
      <c r="H488" s="19"/>
      <c r="I488" s="19"/>
      <c r="J488" s="19"/>
      <c r="K488" s="19"/>
    </row>
    <row r="489">
      <c r="F489" s="19"/>
      <c r="G489" s="19"/>
      <c r="H489" s="19"/>
      <c r="I489" s="19"/>
      <c r="J489" s="19"/>
      <c r="K489" s="19"/>
    </row>
    <row r="490">
      <c r="F490" s="19"/>
      <c r="G490" s="19"/>
      <c r="H490" s="19"/>
      <c r="I490" s="19"/>
      <c r="J490" s="19"/>
      <c r="K490" s="19"/>
    </row>
    <row r="491">
      <c r="F491" s="19"/>
      <c r="G491" s="19"/>
      <c r="H491" s="19"/>
      <c r="I491" s="19"/>
      <c r="J491" s="19"/>
      <c r="K491" s="19"/>
    </row>
    <row r="492">
      <c r="F492" s="19"/>
      <c r="G492" s="19"/>
      <c r="H492" s="19"/>
      <c r="I492" s="19"/>
      <c r="J492" s="19"/>
      <c r="K492" s="19"/>
    </row>
    <row r="493">
      <c r="F493" s="19"/>
      <c r="G493" s="19"/>
      <c r="H493" s="19"/>
      <c r="I493" s="19"/>
      <c r="J493" s="19"/>
      <c r="K493" s="19"/>
    </row>
    <row r="494">
      <c r="F494" s="19"/>
      <c r="G494" s="19"/>
      <c r="H494" s="19"/>
      <c r="I494" s="19"/>
      <c r="J494" s="19"/>
      <c r="K494" s="19"/>
    </row>
    <row r="495">
      <c r="F495" s="19"/>
      <c r="G495" s="19"/>
      <c r="H495" s="19"/>
      <c r="I495" s="19"/>
      <c r="J495" s="19"/>
      <c r="K495" s="19"/>
    </row>
    <row r="496">
      <c r="F496" s="19"/>
      <c r="G496" s="19"/>
      <c r="H496" s="19"/>
      <c r="I496" s="19"/>
      <c r="J496" s="19"/>
      <c r="K496" s="19"/>
    </row>
    <row r="497">
      <c r="F497" s="19"/>
      <c r="G497" s="19"/>
      <c r="H497" s="19"/>
      <c r="I497" s="19"/>
      <c r="J497" s="19"/>
      <c r="K497" s="19"/>
    </row>
    <row r="498">
      <c r="F498" s="19"/>
      <c r="G498" s="19"/>
      <c r="H498" s="19"/>
      <c r="I498" s="19"/>
      <c r="J498" s="19"/>
      <c r="K498" s="19"/>
    </row>
    <row r="499">
      <c r="F499" s="19"/>
      <c r="G499" s="19"/>
      <c r="H499" s="19"/>
      <c r="I499" s="19"/>
      <c r="J499" s="19"/>
      <c r="K499" s="19"/>
    </row>
    <row r="500">
      <c r="F500" s="19"/>
      <c r="G500" s="19"/>
      <c r="H500" s="19"/>
      <c r="I500" s="19"/>
      <c r="J500" s="19"/>
      <c r="K500" s="19"/>
    </row>
    <row r="501">
      <c r="F501" s="19"/>
      <c r="G501" s="19"/>
      <c r="H501" s="19"/>
      <c r="I501" s="19"/>
      <c r="J501" s="19"/>
      <c r="K501" s="19"/>
    </row>
    <row r="502">
      <c r="F502" s="19"/>
      <c r="G502" s="19"/>
      <c r="H502" s="19"/>
      <c r="I502" s="19"/>
      <c r="J502" s="19"/>
      <c r="K502" s="19"/>
    </row>
    <row r="503">
      <c r="F503" s="19"/>
      <c r="G503" s="19"/>
      <c r="H503" s="19"/>
      <c r="I503" s="19"/>
      <c r="J503" s="19"/>
      <c r="K503" s="19"/>
    </row>
    <row r="504">
      <c r="F504" s="19"/>
      <c r="G504" s="19"/>
      <c r="H504" s="19"/>
      <c r="I504" s="19"/>
      <c r="J504" s="19"/>
      <c r="K504" s="19"/>
    </row>
    <row r="505">
      <c r="F505" s="19"/>
      <c r="G505" s="19"/>
      <c r="H505" s="19"/>
      <c r="I505" s="19"/>
      <c r="J505" s="19"/>
      <c r="K505" s="19"/>
    </row>
    <row r="506">
      <c r="F506" s="19"/>
      <c r="G506" s="19"/>
      <c r="H506" s="19"/>
      <c r="I506" s="19"/>
      <c r="J506" s="19"/>
      <c r="K506" s="19"/>
    </row>
    <row r="507">
      <c r="F507" s="19"/>
      <c r="G507" s="19"/>
      <c r="H507" s="19"/>
      <c r="I507" s="19"/>
      <c r="J507" s="19"/>
      <c r="K507" s="19"/>
    </row>
    <row r="508">
      <c r="F508" s="19"/>
      <c r="G508" s="19"/>
      <c r="H508" s="19"/>
      <c r="I508" s="19"/>
      <c r="J508" s="19"/>
      <c r="K508" s="19"/>
    </row>
    <row r="509">
      <c r="F509" s="19"/>
      <c r="G509" s="19"/>
      <c r="H509" s="19"/>
      <c r="I509" s="19"/>
      <c r="J509" s="19"/>
      <c r="K509" s="19"/>
    </row>
    <row r="510">
      <c r="F510" s="19"/>
      <c r="G510" s="19"/>
      <c r="H510" s="19"/>
      <c r="I510" s="19"/>
      <c r="J510" s="19"/>
      <c r="K510" s="19"/>
    </row>
    <row r="511">
      <c r="F511" s="19"/>
      <c r="G511" s="19"/>
      <c r="H511" s="19"/>
      <c r="I511" s="19"/>
      <c r="J511" s="19"/>
      <c r="K511" s="19"/>
    </row>
    <row r="512">
      <c r="F512" s="19"/>
      <c r="G512" s="19"/>
      <c r="H512" s="19"/>
      <c r="I512" s="19"/>
      <c r="J512" s="19"/>
      <c r="K512" s="19"/>
    </row>
    <row r="513">
      <c r="F513" s="19"/>
      <c r="G513" s="19"/>
      <c r="H513" s="19"/>
      <c r="I513" s="19"/>
      <c r="J513" s="19"/>
      <c r="K513" s="19"/>
    </row>
    <row r="514">
      <c r="F514" s="19"/>
      <c r="G514" s="19"/>
      <c r="H514" s="19"/>
      <c r="I514" s="19"/>
      <c r="J514" s="19"/>
      <c r="K514" s="19"/>
    </row>
    <row r="515">
      <c r="F515" s="19"/>
      <c r="G515" s="19"/>
      <c r="H515" s="19"/>
      <c r="I515" s="19"/>
      <c r="J515" s="19"/>
      <c r="K515" s="19"/>
    </row>
    <row r="516">
      <c r="F516" s="19"/>
      <c r="G516" s="19"/>
      <c r="H516" s="19"/>
      <c r="I516" s="19"/>
      <c r="J516" s="19"/>
      <c r="K516" s="19"/>
    </row>
    <row r="517">
      <c r="F517" s="19"/>
      <c r="G517" s="19"/>
      <c r="H517" s="19"/>
      <c r="I517" s="19"/>
      <c r="J517" s="19"/>
      <c r="K517" s="19"/>
    </row>
    <row r="518">
      <c r="F518" s="19"/>
      <c r="G518" s="19"/>
      <c r="H518" s="19"/>
      <c r="I518" s="19"/>
      <c r="J518" s="19"/>
      <c r="K518" s="19"/>
    </row>
    <row r="519">
      <c r="F519" s="19"/>
      <c r="G519" s="19"/>
      <c r="H519" s="19"/>
      <c r="I519" s="19"/>
      <c r="J519" s="19"/>
      <c r="K519" s="19"/>
    </row>
    <row r="520">
      <c r="F520" s="19"/>
      <c r="G520" s="19"/>
      <c r="H520" s="19"/>
      <c r="I520" s="19"/>
      <c r="J520" s="19"/>
      <c r="K520" s="19"/>
    </row>
    <row r="521">
      <c r="F521" s="19"/>
      <c r="G521" s="19"/>
      <c r="H521" s="19"/>
      <c r="I521" s="19"/>
      <c r="J521" s="19"/>
      <c r="K521" s="19"/>
    </row>
    <row r="522">
      <c r="F522" s="19"/>
      <c r="G522" s="19"/>
      <c r="H522" s="19"/>
      <c r="I522" s="19"/>
      <c r="J522" s="19"/>
      <c r="K522" s="19"/>
    </row>
    <row r="523">
      <c r="F523" s="19"/>
      <c r="G523" s="19"/>
      <c r="H523" s="19"/>
      <c r="I523" s="19"/>
      <c r="J523" s="19"/>
      <c r="K523" s="19"/>
    </row>
    <row r="524">
      <c r="F524" s="19"/>
      <c r="G524" s="19"/>
      <c r="H524" s="19"/>
      <c r="I524" s="19"/>
      <c r="J524" s="19"/>
      <c r="K524" s="19"/>
    </row>
    <row r="525">
      <c r="F525" s="19"/>
      <c r="G525" s="19"/>
      <c r="H525" s="19"/>
      <c r="I525" s="19"/>
      <c r="J525" s="19"/>
      <c r="K525" s="19"/>
    </row>
    <row r="526">
      <c r="F526" s="19"/>
      <c r="G526" s="19"/>
      <c r="H526" s="19"/>
      <c r="I526" s="19"/>
      <c r="J526" s="19"/>
      <c r="K526" s="19"/>
    </row>
    <row r="527">
      <c r="F527" s="19"/>
      <c r="G527" s="19"/>
      <c r="H527" s="19"/>
      <c r="I527" s="19"/>
      <c r="J527" s="19"/>
      <c r="K527" s="19"/>
    </row>
    <row r="528">
      <c r="F528" s="19"/>
      <c r="G528" s="19"/>
      <c r="H528" s="19"/>
      <c r="I528" s="19"/>
      <c r="J528" s="19"/>
      <c r="K528" s="19"/>
    </row>
    <row r="529">
      <c r="F529" s="19"/>
      <c r="G529" s="19"/>
      <c r="H529" s="19"/>
      <c r="I529" s="19"/>
      <c r="J529" s="19"/>
      <c r="K529" s="19"/>
    </row>
    <row r="530">
      <c r="F530" s="19"/>
      <c r="G530" s="19"/>
      <c r="H530" s="19"/>
      <c r="I530" s="19"/>
      <c r="J530" s="19"/>
      <c r="K530" s="19"/>
    </row>
    <row r="531">
      <c r="F531" s="19"/>
      <c r="G531" s="19"/>
      <c r="H531" s="19"/>
      <c r="I531" s="19"/>
      <c r="J531" s="19"/>
      <c r="K531" s="19"/>
    </row>
    <row r="532">
      <c r="F532" s="19"/>
      <c r="G532" s="19"/>
      <c r="H532" s="19"/>
      <c r="I532" s="19"/>
      <c r="J532" s="19"/>
      <c r="K532" s="19"/>
    </row>
    <row r="533">
      <c r="F533" s="19"/>
      <c r="G533" s="19"/>
      <c r="H533" s="19"/>
      <c r="I533" s="19"/>
      <c r="J533" s="19"/>
      <c r="K533" s="19"/>
    </row>
    <row r="534">
      <c r="F534" s="19"/>
      <c r="G534" s="19"/>
      <c r="H534" s="19"/>
      <c r="I534" s="19"/>
      <c r="J534" s="19"/>
      <c r="K534" s="19"/>
    </row>
    <row r="535">
      <c r="F535" s="19"/>
      <c r="G535" s="19"/>
      <c r="H535" s="19"/>
      <c r="I535" s="19"/>
      <c r="J535" s="19"/>
      <c r="K535" s="19"/>
    </row>
    <row r="536">
      <c r="F536" s="19"/>
      <c r="G536" s="19"/>
      <c r="H536" s="19"/>
      <c r="I536" s="19"/>
      <c r="J536" s="19"/>
      <c r="K536" s="19"/>
    </row>
    <row r="537">
      <c r="F537" s="19"/>
      <c r="G537" s="19"/>
      <c r="H537" s="19"/>
      <c r="I537" s="19"/>
      <c r="J537" s="19"/>
      <c r="K537" s="19"/>
    </row>
    <row r="538">
      <c r="F538" s="19"/>
      <c r="G538" s="19"/>
      <c r="H538" s="19"/>
      <c r="I538" s="19"/>
      <c r="J538" s="19"/>
      <c r="K538" s="19"/>
    </row>
    <row r="539">
      <c r="F539" s="19"/>
      <c r="G539" s="19"/>
      <c r="H539" s="19"/>
      <c r="I539" s="19"/>
      <c r="J539" s="19"/>
      <c r="K539" s="19"/>
    </row>
    <row r="540">
      <c r="F540" s="19"/>
      <c r="G540" s="19"/>
      <c r="H540" s="19"/>
      <c r="I540" s="19"/>
      <c r="J540" s="19"/>
      <c r="K540" s="19"/>
    </row>
    <row r="541">
      <c r="F541" s="19"/>
      <c r="G541" s="19"/>
      <c r="H541" s="19"/>
      <c r="I541" s="19"/>
      <c r="J541" s="19"/>
      <c r="K541" s="19"/>
    </row>
    <row r="542">
      <c r="F542" s="19"/>
      <c r="G542" s="19"/>
      <c r="H542" s="19"/>
      <c r="I542" s="19"/>
      <c r="J542" s="19"/>
      <c r="K542" s="19"/>
    </row>
    <row r="543">
      <c r="F543" s="19"/>
      <c r="G543" s="19"/>
      <c r="H543" s="19"/>
      <c r="I543" s="19"/>
      <c r="J543" s="19"/>
      <c r="K543" s="19"/>
    </row>
    <row r="544">
      <c r="F544" s="19"/>
      <c r="G544" s="19"/>
      <c r="H544" s="19"/>
      <c r="I544" s="19"/>
      <c r="J544" s="19"/>
      <c r="K544" s="19"/>
    </row>
    <row r="545">
      <c r="F545" s="19"/>
      <c r="G545" s="19"/>
      <c r="H545" s="19"/>
      <c r="I545" s="19"/>
      <c r="J545" s="19"/>
      <c r="K545" s="19"/>
    </row>
    <row r="546">
      <c r="F546" s="19"/>
      <c r="G546" s="19"/>
      <c r="H546" s="19"/>
      <c r="I546" s="19"/>
      <c r="J546" s="19"/>
      <c r="K546" s="19"/>
    </row>
    <row r="547">
      <c r="F547" s="19"/>
      <c r="G547" s="19"/>
      <c r="H547" s="19"/>
      <c r="I547" s="19"/>
      <c r="J547" s="19"/>
      <c r="K547" s="19"/>
    </row>
    <row r="548">
      <c r="F548" s="19"/>
      <c r="G548" s="19"/>
      <c r="H548" s="19"/>
      <c r="I548" s="19"/>
      <c r="J548" s="19"/>
      <c r="K548" s="19"/>
    </row>
    <row r="549">
      <c r="F549" s="19"/>
      <c r="G549" s="19"/>
      <c r="H549" s="19"/>
      <c r="I549" s="19"/>
      <c r="J549" s="19"/>
      <c r="K549" s="19"/>
    </row>
    <row r="550">
      <c r="F550" s="19"/>
      <c r="G550" s="19"/>
      <c r="H550" s="19"/>
      <c r="I550" s="19"/>
      <c r="J550" s="19"/>
      <c r="K550" s="19"/>
    </row>
    <row r="551">
      <c r="F551" s="19"/>
      <c r="G551" s="19"/>
      <c r="H551" s="19"/>
      <c r="I551" s="19"/>
      <c r="J551" s="19"/>
      <c r="K551" s="19"/>
    </row>
    <row r="552">
      <c r="F552" s="19"/>
      <c r="G552" s="19"/>
      <c r="H552" s="19"/>
      <c r="I552" s="19"/>
      <c r="J552" s="19"/>
      <c r="K552" s="19"/>
    </row>
    <row r="553">
      <c r="F553" s="19"/>
      <c r="G553" s="19"/>
      <c r="H553" s="19"/>
      <c r="I553" s="19"/>
      <c r="J553" s="19"/>
      <c r="K553" s="19"/>
    </row>
    <row r="554">
      <c r="F554" s="19"/>
      <c r="G554" s="19"/>
      <c r="H554" s="19"/>
      <c r="I554" s="19"/>
      <c r="J554" s="19"/>
      <c r="K554" s="19"/>
    </row>
    <row r="555">
      <c r="F555" s="19"/>
      <c r="G555" s="19"/>
      <c r="H555" s="19"/>
      <c r="I555" s="19"/>
      <c r="J555" s="19"/>
      <c r="K555" s="19"/>
    </row>
    <row r="556">
      <c r="F556" s="19"/>
      <c r="G556" s="19"/>
      <c r="H556" s="19"/>
      <c r="I556" s="19"/>
      <c r="J556" s="19"/>
      <c r="K556" s="19"/>
    </row>
    <row r="557">
      <c r="F557" s="19"/>
      <c r="G557" s="19"/>
      <c r="H557" s="19"/>
      <c r="I557" s="19"/>
      <c r="J557" s="19"/>
      <c r="K557" s="19"/>
    </row>
    <row r="558">
      <c r="F558" s="19"/>
      <c r="G558" s="19"/>
      <c r="H558" s="19"/>
      <c r="I558" s="19"/>
      <c r="J558" s="19"/>
      <c r="K558" s="19"/>
    </row>
    <row r="559">
      <c r="F559" s="19"/>
      <c r="G559" s="19"/>
      <c r="H559" s="19"/>
      <c r="I559" s="19"/>
      <c r="J559" s="19"/>
      <c r="K559" s="19"/>
    </row>
    <row r="560">
      <c r="F560" s="19"/>
      <c r="G560" s="19"/>
      <c r="H560" s="19"/>
      <c r="I560" s="19"/>
      <c r="J560" s="19"/>
      <c r="K560" s="19"/>
    </row>
    <row r="561">
      <c r="F561" s="19"/>
      <c r="G561" s="19"/>
      <c r="H561" s="19"/>
      <c r="I561" s="19"/>
      <c r="J561" s="19"/>
      <c r="K561" s="19"/>
    </row>
    <row r="562">
      <c r="F562" s="19"/>
      <c r="G562" s="19"/>
      <c r="H562" s="19"/>
      <c r="I562" s="19"/>
      <c r="J562" s="19"/>
      <c r="K562" s="19"/>
    </row>
    <row r="563">
      <c r="F563" s="19"/>
      <c r="G563" s="19"/>
      <c r="H563" s="19"/>
      <c r="I563" s="19"/>
      <c r="J563" s="19"/>
      <c r="K563" s="19"/>
    </row>
    <row r="564">
      <c r="F564" s="19"/>
      <c r="G564" s="19"/>
      <c r="H564" s="19"/>
      <c r="I564" s="19"/>
      <c r="J564" s="19"/>
      <c r="K564" s="19"/>
    </row>
    <row r="565">
      <c r="F565" s="19"/>
      <c r="G565" s="19"/>
      <c r="H565" s="19"/>
      <c r="I565" s="19"/>
      <c r="J565" s="19"/>
      <c r="K565" s="19"/>
    </row>
    <row r="566">
      <c r="F566" s="19"/>
      <c r="G566" s="19"/>
      <c r="H566" s="19"/>
      <c r="I566" s="19"/>
      <c r="J566" s="19"/>
      <c r="K566" s="19"/>
    </row>
    <row r="567">
      <c r="F567" s="19"/>
      <c r="G567" s="19"/>
      <c r="H567" s="19"/>
      <c r="I567" s="19"/>
      <c r="J567" s="19"/>
      <c r="K567" s="19"/>
    </row>
    <row r="568">
      <c r="F568" s="19"/>
      <c r="G568" s="19"/>
      <c r="H568" s="19"/>
      <c r="I568" s="19"/>
      <c r="J568" s="19"/>
      <c r="K568" s="19"/>
    </row>
    <row r="569">
      <c r="F569" s="19"/>
      <c r="G569" s="19"/>
      <c r="H569" s="19"/>
      <c r="I569" s="19"/>
      <c r="J569" s="19"/>
      <c r="K569" s="19"/>
    </row>
    <row r="570">
      <c r="F570" s="19"/>
      <c r="G570" s="19"/>
      <c r="H570" s="19"/>
      <c r="I570" s="19"/>
      <c r="J570" s="19"/>
      <c r="K570" s="19"/>
    </row>
    <row r="571">
      <c r="F571" s="19"/>
      <c r="G571" s="19"/>
      <c r="H571" s="19"/>
      <c r="I571" s="19"/>
      <c r="J571" s="19"/>
      <c r="K571" s="19"/>
    </row>
    <row r="572">
      <c r="F572" s="19"/>
      <c r="G572" s="19"/>
      <c r="H572" s="19"/>
      <c r="I572" s="19"/>
      <c r="J572" s="19"/>
      <c r="K572" s="19"/>
    </row>
    <row r="573">
      <c r="F573" s="19"/>
      <c r="G573" s="19"/>
      <c r="H573" s="19"/>
      <c r="I573" s="19"/>
      <c r="J573" s="19"/>
      <c r="K573" s="19"/>
    </row>
    <row r="574">
      <c r="F574" s="19"/>
      <c r="G574" s="19"/>
      <c r="H574" s="19"/>
      <c r="I574" s="19"/>
      <c r="J574" s="19"/>
      <c r="K574" s="19"/>
    </row>
    <row r="575">
      <c r="F575" s="19"/>
      <c r="G575" s="19"/>
      <c r="H575" s="19"/>
      <c r="I575" s="19"/>
      <c r="J575" s="19"/>
      <c r="K575" s="19"/>
    </row>
    <row r="576">
      <c r="F576" s="19"/>
      <c r="G576" s="19"/>
      <c r="H576" s="19"/>
      <c r="I576" s="19"/>
      <c r="J576" s="19"/>
      <c r="K576" s="19"/>
    </row>
    <row r="577">
      <c r="F577" s="19"/>
      <c r="G577" s="19"/>
      <c r="H577" s="19"/>
      <c r="I577" s="19"/>
      <c r="J577" s="19"/>
      <c r="K577" s="19"/>
    </row>
    <row r="578">
      <c r="F578" s="19"/>
      <c r="G578" s="19"/>
      <c r="H578" s="19"/>
      <c r="I578" s="19"/>
      <c r="J578" s="19"/>
      <c r="K578" s="19"/>
    </row>
    <row r="579">
      <c r="F579" s="19"/>
      <c r="G579" s="19"/>
      <c r="H579" s="19"/>
      <c r="I579" s="19"/>
      <c r="J579" s="19"/>
      <c r="K579" s="19"/>
    </row>
    <row r="580">
      <c r="F580" s="19"/>
      <c r="G580" s="19"/>
      <c r="H580" s="19"/>
      <c r="I580" s="19"/>
      <c r="J580" s="19"/>
      <c r="K580" s="19"/>
    </row>
    <row r="581">
      <c r="F581" s="19"/>
      <c r="G581" s="19"/>
      <c r="H581" s="19"/>
      <c r="I581" s="19"/>
      <c r="J581" s="19"/>
      <c r="K581" s="19"/>
    </row>
    <row r="582">
      <c r="F582" s="19"/>
      <c r="G582" s="19"/>
      <c r="H582" s="19"/>
      <c r="I582" s="19"/>
      <c r="J582" s="19"/>
      <c r="K582" s="19"/>
    </row>
    <row r="583">
      <c r="F583" s="19"/>
      <c r="G583" s="19"/>
      <c r="H583" s="19"/>
      <c r="I583" s="19"/>
      <c r="J583" s="19"/>
      <c r="K583" s="19"/>
    </row>
    <row r="584">
      <c r="F584" s="19"/>
      <c r="G584" s="19"/>
      <c r="H584" s="19"/>
      <c r="I584" s="19"/>
      <c r="J584" s="19"/>
      <c r="K584" s="19"/>
    </row>
    <row r="585">
      <c r="F585" s="19"/>
      <c r="G585" s="19"/>
      <c r="H585" s="19"/>
      <c r="I585" s="19"/>
      <c r="J585" s="19"/>
      <c r="K585" s="19"/>
    </row>
    <row r="586">
      <c r="F586" s="19"/>
      <c r="G586" s="19"/>
      <c r="H586" s="19"/>
      <c r="I586" s="19"/>
      <c r="J586" s="19"/>
      <c r="K586" s="19"/>
    </row>
    <row r="587">
      <c r="F587" s="19"/>
      <c r="G587" s="19"/>
      <c r="H587" s="19"/>
      <c r="I587" s="19"/>
      <c r="J587" s="19"/>
      <c r="K587" s="19"/>
    </row>
    <row r="588">
      <c r="F588" s="19"/>
      <c r="G588" s="19"/>
      <c r="H588" s="19"/>
      <c r="I588" s="19"/>
      <c r="J588" s="19"/>
      <c r="K588" s="19"/>
    </row>
    <row r="589">
      <c r="F589" s="19"/>
      <c r="G589" s="19"/>
      <c r="H589" s="19"/>
      <c r="I589" s="19"/>
      <c r="J589" s="19"/>
      <c r="K589" s="19"/>
    </row>
    <row r="590">
      <c r="F590" s="19"/>
      <c r="G590" s="19"/>
      <c r="H590" s="19"/>
      <c r="I590" s="19"/>
      <c r="J590" s="19"/>
      <c r="K590" s="19"/>
    </row>
    <row r="591">
      <c r="F591" s="19"/>
      <c r="G591" s="19"/>
      <c r="H591" s="19"/>
      <c r="I591" s="19"/>
      <c r="J591" s="19"/>
      <c r="K591" s="19"/>
    </row>
    <row r="592">
      <c r="F592" s="19"/>
      <c r="G592" s="19"/>
      <c r="H592" s="19"/>
      <c r="I592" s="19"/>
      <c r="J592" s="19"/>
      <c r="K592" s="19"/>
    </row>
    <row r="593">
      <c r="F593" s="19"/>
      <c r="G593" s="19"/>
      <c r="H593" s="19"/>
      <c r="I593" s="19"/>
      <c r="J593" s="19"/>
      <c r="K593" s="19"/>
    </row>
    <row r="594">
      <c r="F594" s="19"/>
      <c r="G594" s="19"/>
      <c r="H594" s="19"/>
      <c r="I594" s="19"/>
      <c r="J594" s="19"/>
      <c r="K594" s="19"/>
    </row>
    <row r="595">
      <c r="F595" s="19"/>
      <c r="G595" s="19"/>
      <c r="H595" s="19"/>
      <c r="I595" s="19"/>
      <c r="J595" s="19"/>
      <c r="K595" s="19"/>
    </row>
    <row r="596">
      <c r="F596" s="19"/>
      <c r="G596" s="19"/>
      <c r="H596" s="19"/>
      <c r="I596" s="19"/>
      <c r="J596" s="19"/>
      <c r="K596" s="19"/>
    </row>
    <row r="597">
      <c r="F597" s="19"/>
      <c r="G597" s="19"/>
      <c r="H597" s="19"/>
      <c r="I597" s="19"/>
      <c r="J597" s="19"/>
      <c r="K597" s="19"/>
    </row>
    <row r="598">
      <c r="F598" s="19"/>
      <c r="G598" s="19"/>
      <c r="H598" s="19"/>
      <c r="I598" s="19"/>
      <c r="J598" s="19"/>
      <c r="K598" s="19"/>
    </row>
    <row r="599">
      <c r="F599" s="19"/>
      <c r="G599" s="19"/>
      <c r="H599" s="19"/>
      <c r="I599" s="19"/>
      <c r="J599" s="19"/>
      <c r="K599" s="19"/>
    </row>
    <row r="600">
      <c r="F600" s="19"/>
      <c r="G600" s="19"/>
      <c r="H600" s="19"/>
      <c r="I600" s="19"/>
      <c r="J600" s="19"/>
      <c r="K600" s="19"/>
    </row>
    <row r="601">
      <c r="F601" s="19"/>
      <c r="G601" s="19"/>
      <c r="H601" s="19"/>
      <c r="I601" s="19"/>
      <c r="J601" s="19"/>
      <c r="K601" s="19"/>
    </row>
    <row r="602">
      <c r="F602" s="19"/>
      <c r="G602" s="19"/>
      <c r="H602" s="19"/>
      <c r="I602" s="19"/>
      <c r="J602" s="19"/>
      <c r="K602" s="19"/>
    </row>
    <row r="603">
      <c r="F603" s="19"/>
      <c r="G603" s="19"/>
      <c r="H603" s="19"/>
      <c r="I603" s="19"/>
      <c r="J603" s="19"/>
      <c r="K603" s="19"/>
    </row>
    <row r="604">
      <c r="F604" s="19"/>
      <c r="G604" s="19"/>
      <c r="H604" s="19"/>
      <c r="I604" s="19"/>
      <c r="J604" s="19"/>
      <c r="K604" s="19"/>
    </row>
    <row r="605">
      <c r="F605" s="19"/>
      <c r="G605" s="19"/>
      <c r="H605" s="19"/>
      <c r="I605" s="19"/>
      <c r="J605" s="19"/>
      <c r="K605" s="19"/>
    </row>
    <row r="606">
      <c r="F606" s="19"/>
      <c r="G606" s="19"/>
      <c r="H606" s="19"/>
      <c r="I606" s="19"/>
      <c r="J606" s="19"/>
      <c r="K606" s="19"/>
    </row>
    <row r="607">
      <c r="F607" s="19"/>
      <c r="G607" s="19"/>
      <c r="H607" s="19"/>
      <c r="I607" s="19"/>
      <c r="J607" s="19"/>
      <c r="K607" s="19"/>
    </row>
    <row r="608">
      <c r="F608" s="19"/>
      <c r="G608" s="19"/>
      <c r="H608" s="19"/>
      <c r="I608" s="19"/>
      <c r="J608" s="19"/>
      <c r="K608" s="19"/>
    </row>
    <row r="609">
      <c r="F609" s="19"/>
      <c r="G609" s="19"/>
      <c r="H609" s="19"/>
      <c r="I609" s="19"/>
      <c r="J609" s="19"/>
      <c r="K609" s="19"/>
    </row>
    <row r="610">
      <c r="F610" s="19"/>
      <c r="G610" s="19"/>
      <c r="H610" s="19"/>
      <c r="I610" s="19"/>
      <c r="J610" s="19"/>
      <c r="K610" s="19"/>
    </row>
    <row r="611">
      <c r="F611" s="19"/>
      <c r="G611" s="19"/>
      <c r="H611" s="19"/>
      <c r="I611" s="19"/>
      <c r="J611" s="19"/>
      <c r="K611" s="19"/>
    </row>
    <row r="612">
      <c r="F612" s="19"/>
      <c r="G612" s="19"/>
      <c r="H612" s="19"/>
      <c r="I612" s="19"/>
      <c r="J612" s="19"/>
      <c r="K612" s="19"/>
    </row>
    <row r="613">
      <c r="F613" s="19"/>
      <c r="G613" s="19"/>
      <c r="H613" s="19"/>
      <c r="I613" s="19"/>
      <c r="J613" s="19"/>
      <c r="K613" s="19"/>
    </row>
    <row r="614">
      <c r="F614" s="19"/>
      <c r="G614" s="19"/>
      <c r="H614" s="19"/>
      <c r="I614" s="19"/>
      <c r="J614" s="19"/>
      <c r="K614" s="19"/>
    </row>
    <row r="615">
      <c r="F615" s="19"/>
      <c r="G615" s="19"/>
      <c r="H615" s="19"/>
      <c r="I615" s="19"/>
      <c r="J615" s="19"/>
      <c r="K615" s="19"/>
    </row>
    <row r="616">
      <c r="F616" s="19"/>
      <c r="G616" s="19"/>
      <c r="H616" s="19"/>
      <c r="I616" s="19"/>
      <c r="J616" s="19"/>
      <c r="K616" s="19"/>
    </row>
    <row r="617">
      <c r="F617" s="19"/>
      <c r="G617" s="19"/>
      <c r="H617" s="19"/>
      <c r="I617" s="19"/>
      <c r="J617" s="19"/>
      <c r="K617" s="19"/>
    </row>
    <row r="618">
      <c r="F618" s="19"/>
      <c r="G618" s="19"/>
      <c r="H618" s="19"/>
      <c r="I618" s="19"/>
      <c r="J618" s="19"/>
      <c r="K618" s="19"/>
    </row>
    <row r="619">
      <c r="F619" s="19"/>
      <c r="G619" s="19"/>
      <c r="H619" s="19"/>
      <c r="I619" s="19"/>
      <c r="J619" s="19"/>
      <c r="K619" s="19"/>
    </row>
    <row r="620">
      <c r="F620" s="19"/>
      <c r="G620" s="19"/>
      <c r="H620" s="19"/>
      <c r="I620" s="19"/>
      <c r="J620" s="19"/>
      <c r="K620" s="19"/>
    </row>
    <row r="621">
      <c r="F621" s="19"/>
      <c r="G621" s="19"/>
      <c r="H621" s="19"/>
      <c r="I621" s="19"/>
      <c r="J621" s="19"/>
      <c r="K621" s="19"/>
    </row>
    <row r="622">
      <c r="F622" s="19"/>
      <c r="G622" s="19"/>
      <c r="H622" s="19"/>
      <c r="I622" s="19"/>
      <c r="J622" s="19"/>
      <c r="K622" s="19"/>
    </row>
    <row r="623">
      <c r="F623" s="19"/>
      <c r="G623" s="19"/>
      <c r="H623" s="19"/>
      <c r="I623" s="19"/>
      <c r="J623" s="19"/>
      <c r="K623" s="19"/>
    </row>
    <row r="624">
      <c r="F624" s="19"/>
      <c r="G624" s="19"/>
      <c r="H624" s="19"/>
      <c r="I624" s="19"/>
      <c r="J624" s="19"/>
      <c r="K624" s="19"/>
    </row>
    <row r="625">
      <c r="F625" s="19"/>
      <c r="G625" s="19"/>
      <c r="H625" s="19"/>
      <c r="I625" s="19"/>
      <c r="J625" s="19"/>
      <c r="K625" s="19"/>
    </row>
    <row r="626">
      <c r="F626" s="19"/>
      <c r="G626" s="19"/>
      <c r="H626" s="19"/>
      <c r="I626" s="19"/>
      <c r="J626" s="19"/>
      <c r="K626" s="19"/>
    </row>
    <row r="627">
      <c r="F627" s="19"/>
      <c r="G627" s="19"/>
      <c r="H627" s="19"/>
      <c r="I627" s="19"/>
      <c r="J627" s="19"/>
      <c r="K627" s="19"/>
    </row>
    <row r="628">
      <c r="F628" s="19"/>
      <c r="G628" s="19"/>
      <c r="H628" s="19"/>
      <c r="I628" s="19"/>
      <c r="J628" s="19"/>
      <c r="K628" s="19"/>
    </row>
    <row r="629">
      <c r="F629" s="19"/>
      <c r="G629" s="19"/>
      <c r="H629" s="19"/>
      <c r="I629" s="19"/>
      <c r="J629" s="19"/>
      <c r="K629" s="19"/>
    </row>
    <row r="630">
      <c r="F630" s="19"/>
      <c r="G630" s="19"/>
      <c r="H630" s="19"/>
      <c r="I630" s="19"/>
      <c r="J630" s="19"/>
      <c r="K630" s="19"/>
    </row>
    <row r="631">
      <c r="F631" s="19"/>
      <c r="G631" s="19"/>
      <c r="H631" s="19"/>
      <c r="I631" s="19"/>
      <c r="J631" s="19"/>
      <c r="K631" s="19"/>
    </row>
    <row r="632">
      <c r="F632" s="19"/>
      <c r="G632" s="19"/>
      <c r="H632" s="19"/>
      <c r="I632" s="19"/>
      <c r="J632" s="19"/>
      <c r="K632" s="19"/>
    </row>
    <row r="633">
      <c r="F633" s="19"/>
      <c r="G633" s="19"/>
      <c r="H633" s="19"/>
      <c r="I633" s="19"/>
      <c r="J633" s="19"/>
      <c r="K633" s="19"/>
    </row>
    <row r="634">
      <c r="F634" s="19"/>
      <c r="G634" s="19"/>
      <c r="H634" s="19"/>
      <c r="I634" s="19"/>
      <c r="J634" s="19"/>
      <c r="K634" s="19"/>
    </row>
    <row r="635">
      <c r="F635" s="19"/>
      <c r="G635" s="19"/>
      <c r="H635" s="19"/>
      <c r="I635" s="19"/>
      <c r="J635" s="19"/>
      <c r="K635" s="19"/>
    </row>
    <row r="636">
      <c r="F636" s="19"/>
      <c r="G636" s="19"/>
      <c r="H636" s="19"/>
      <c r="I636" s="19"/>
      <c r="J636" s="19"/>
      <c r="K636" s="19"/>
    </row>
    <row r="637">
      <c r="F637" s="19"/>
      <c r="G637" s="19"/>
      <c r="H637" s="19"/>
      <c r="I637" s="19"/>
      <c r="J637" s="19"/>
      <c r="K637" s="19"/>
    </row>
    <row r="638">
      <c r="F638" s="19"/>
      <c r="G638" s="19"/>
      <c r="H638" s="19"/>
      <c r="I638" s="19"/>
      <c r="J638" s="19"/>
      <c r="K638" s="19"/>
    </row>
    <row r="639">
      <c r="F639" s="19"/>
      <c r="G639" s="19"/>
      <c r="H639" s="19"/>
      <c r="I639" s="19"/>
      <c r="J639" s="19"/>
      <c r="K639" s="19"/>
    </row>
    <row r="640">
      <c r="F640" s="19"/>
      <c r="G640" s="19"/>
      <c r="H640" s="19"/>
      <c r="I640" s="19"/>
      <c r="J640" s="19"/>
      <c r="K640" s="19"/>
    </row>
    <row r="641">
      <c r="F641" s="19"/>
      <c r="G641" s="19"/>
      <c r="H641" s="19"/>
      <c r="I641" s="19"/>
      <c r="J641" s="19"/>
      <c r="K641" s="19"/>
    </row>
    <row r="642">
      <c r="F642" s="19"/>
      <c r="G642" s="19"/>
      <c r="H642" s="19"/>
      <c r="I642" s="19"/>
      <c r="J642" s="19"/>
      <c r="K642" s="19"/>
    </row>
    <row r="643">
      <c r="F643" s="19"/>
      <c r="G643" s="19"/>
      <c r="H643" s="19"/>
      <c r="I643" s="19"/>
      <c r="J643" s="19"/>
      <c r="K643" s="19"/>
    </row>
    <row r="644">
      <c r="F644" s="19"/>
      <c r="G644" s="19"/>
      <c r="H644" s="19"/>
      <c r="I644" s="19"/>
      <c r="J644" s="19"/>
      <c r="K644" s="19"/>
    </row>
    <row r="645">
      <c r="F645" s="19"/>
      <c r="G645" s="19"/>
      <c r="H645" s="19"/>
      <c r="I645" s="19"/>
      <c r="J645" s="19"/>
      <c r="K645" s="19"/>
    </row>
    <row r="646">
      <c r="F646" s="19"/>
      <c r="G646" s="19"/>
      <c r="H646" s="19"/>
      <c r="I646" s="19"/>
      <c r="J646" s="19"/>
      <c r="K646" s="19"/>
    </row>
    <row r="647">
      <c r="F647" s="19"/>
      <c r="G647" s="19"/>
      <c r="H647" s="19"/>
      <c r="I647" s="19"/>
      <c r="J647" s="19"/>
      <c r="K647" s="19"/>
    </row>
    <row r="648">
      <c r="F648" s="19"/>
      <c r="G648" s="19"/>
      <c r="H648" s="19"/>
      <c r="I648" s="19"/>
      <c r="J648" s="19"/>
      <c r="K648" s="19"/>
    </row>
    <row r="649">
      <c r="F649" s="19"/>
      <c r="G649" s="19"/>
      <c r="H649" s="19"/>
      <c r="I649" s="19"/>
      <c r="J649" s="19"/>
      <c r="K649" s="19"/>
    </row>
    <row r="650">
      <c r="F650" s="19"/>
      <c r="G650" s="19"/>
      <c r="H650" s="19"/>
      <c r="I650" s="19"/>
      <c r="J650" s="19"/>
      <c r="K650" s="19"/>
    </row>
    <row r="651">
      <c r="F651" s="19"/>
      <c r="G651" s="19"/>
      <c r="H651" s="19"/>
      <c r="I651" s="19"/>
      <c r="J651" s="19"/>
      <c r="K651" s="19"/>
    </row>
    <row r="652">
      <c r="F652" s="19"/>
      <c r="G652" s="19"/>
      <c r="H652" s="19"/>
      <c r="I652" s="19"/>
      <c r="J652" s="19"/>
      <c r="K652" s="19"/>
    </row>
    <row r="653">
      <c r="F653" s="19"/>
      <c r="G653" s="19"/>
      <c r="H653" s="19"/>
      <c r="I653" s="19"/>
      <c r="J653" s="19"/>
      <c r="K653" s="19"/>
    </row>
    <row r="654">
      <c r="F654" s="19"/>
      <c r="G654" s="19"/>
      <c r="H654" s="19"/>
      <c r="I654" s="19"/>
      <c r="J654" s="19"/>
      <c r="K654" s="19"/>
    </row>
    <row r="655">
      <c r="F655" s="19"/>
      <c r="G655" s="19"/>
      <c r="H655" s="19"/>
      <c r="I655" s="19"/>
      <c r="J655" s="19"/>
      <c r="K655" s="19"/>
    </row>
    <row r="656">
      <c r="F656" s="19"/>
      <c r="G656" s="19"/>
      <c r="H656" s="19"/>
      <c r="I656" s="19"/>
      <c r="J656" s="19"/>
      <c r="K656" s="19"/>
    </row>
    <row r="657">
      <c r="F657" s="19"/>
      <c r="G657" s="19"/>
      <c r="H657" s="19"/>
      <c r="I657" s="19"/>
      <c r="J657" s="19"/>
      <c r="K657" s="19"/>
    </row>
    <row r="658">
      <c r="F658" s="19"/>
      <c r="G658" s="19"/>
      <c r="H658" s="19"/>
      <c r="I658" s="19"/>
      <c r="J658" s="19"/>
      <c r="K658" s="19"/>
    </row>
    <row r="659">
      <c r="F659" s="19"/>
      <c r="G659" s="19"/>
      <c r="H659" s="19"/>
      <c r="I659" s="19"/>
      <c r="J659" s="19"/>
      <c r="K659" s="19"/>
    </row>
    <row r="660">
      <c r="F660" s="19"/>
      <c r="G660" s="19"/>
      <c r="H660" s="19"/>
      <c r="I660" s="19"/>
      <c r="J660" s="19"/>
      <c r="K660" s="19"/>
    </row>
    <row r="661">
      <c r="F661" s="19"/>
      <c r="G661" s="19"/>
      <c r="H661" s="19"/>
      <c r="I661" s="19"/>
      <c r="J661" s="19"/>
      <c r="K661" s="19"/>
    </row>
    <row r="662">
      <c r="F662" s="19"/>
      <c r="G662" s="19"/>
      <c r="H662" s="19"/>
      <c r="I662" s="19"/>
      <c r="J662" s="19"/>
      <c r="K662" s="19"/>
    </row>
    <row r="663">
      <c r="F663" s="19"/>
      <c r="G663" s="19"/>
      <c r="H663" s="19"/>
      <c r="I663" s="19"/>
      <c r="J663" s="19"/>
      <c r="K663" s="19"/>
    </row>
    <row r="664">
      <c r="F664" s="19"/>
      <c r="G664" s="19"/>
      <c r="H664" s="19"/>
      <c r="I664" s="19"/>
      <c r="J664" s="19"/>
      <c r="K664" s="19"/>
    </row>
    <row r="665">
      <c r="F665" s="19"/>
      <c r="G665" s="19"/>
      <c r="H665" s="19"/>
      <c r="I665" s="19"/>
      <c r="J665" s="19"/>
      <c r="K665" s="19"/>
    </row>
    <row r="666">
      <c r="F666" s="19"/>
      <c r="G666" s="19"/>
      <c r="H666" s="19"/>
      <c r="I666" s="19"/>
      <c r="J666" s="19"/>
      <c r="K666" s="19"/>
    </row>
    <row r="667">
      <c r="F667" s="19"/>
      <c r="G667" s="19"/>
      <c r="H667" s="19"/>
      <c r="I667" s="19"/>
      <c r="J667" s="19"/>
      <c r="K667" s="19"/>
    </row>
    <row r="668">
      <c r="F668" s="19"/>
      <c r="G668" s="19"/>
      <c r="H668" s="19"/>
      <c r="I668" s="19"/>
      <c r="J668" s="19"/>
      <c r="K668" s="19"/>
    </row>
    <row r="669">
      <c r="F669" s="19"/>
      <c r="G669" s="19"/>
      <c r="H669" s="19"/>
      <c r="I669" s="19"/>
      <c r="J669" s="19"/>
      <c r="K669" s="19"/>
    </row>
    <row r="670">
      <c r="F670" s="19"/>
      <c r="G670" s="19"/>
      <c r="H670" s="19"/>
      <c r="I670" s="19"/>
      <c r="J670" s="19"/>
      <c r="K670" s="19"/>
    </row>
    <row r="671">
      <c r="F671" s="19"/>
      <c r="G671" s="19"/>
      <c r="H671" s="19"/>
      <c r="I671" s="19"/>
      <c r="J671" s="19"/>
      <c r="K671" s="19"/>
    </row>
    <row r="672">
      <c r="F672" s="19"/>
      <c r="G672" s="19"/>
      <c r="H672" s="19"/>
      <c r="I672" s="19"/>
      <c r="J672" s="19"/>
      <c r="K672" s="19"/>
    </row>
    <row r="673">
      <c r="F673" s="19"/>
      <c r="G673" s="19"/>
      <c r="H673" s="19"/>
      <c r="I673" s="19"/>
      <c r="J673" s="19"/>
      <c r="K673" s="19"/>
    </row>
    <row r="674">
      <c r="F674" s="19"/>
      <c r="G674" s="19"/>
      <c r="H674" s="19"/>
      <c r="I674" s="19"/>
      <c r="J674" s="19"/>
      <c r="K674" s="19"/>
    </row>
    <row r="675">
      <c r="F675" s="19"/>
      <c r="G675" s="19"/>
      <c r="H675" s="19"/>
      <c r="I675" s="19"/>
      <c r="J675" s="19"/>
      <c r="K675" s="19"/>
    </row>
    <row r="676">
      <c r="F676" s="19"/>
      <c r="G676" s="19"/>
      <c r="H676" s="19"/>
      <c r="I676" s="19"/>
      <c r="J676" s="19"/>
      <c r="K676" s="19"/>
    </row>
    <row r="677">
      <c r="F677" s="19"/>
      <c r="G677" s="19"/>
      <c r="H677" s="19"/>
      <c r="I677" s="19"/>
      <c r="J677" s="19"/>
      <c r="K677" s="19"/>
    </row>
    <row r="678">
      <c r="F678" s="19"/>
      <c r="G678" s="19"/>
      <c r="H678" s="19"/>
      <c r="I678" s="19"/>
      <c r="J678" s="19"/>
      <c r="K678" s="19"/>
    </row>
    <row r="679">
      <c r="F679" s="19"/>
      <c r="G679" s="19"/>
      <c r="H679" s="19"/>
      <c r="I679" s="19"/>
      <c r="J679" s="19"/>
      <c r="K679" s="19"/>
    </row>
    <row r="680">
      <c r="F680" s="19"/>
      <c r="G680" s="19"/>
      <c r="H680" s="19"/>
      <c r="I680" s="19"/>
      <c r="J680" s="19"/>
      <c r="K680" s="19"/>
    </row>
    <row r="681">
      <c r="F681" s="19"/>
      <c r="G681" s="19"/>
      <c r="H681" s="19"/>
      <c r="I681" s="19"/>
      <c r="J681" s="19"/>
      <c r="K681" s="19"/>
    </row>
    <row r="682">
      <c r="F682" s="19"/>
      <c r="G682" s="19"/>
      <c r="H682" s="19"/>
      <c r="I682" s="19"/>
      <c r="J682" s="19"/>
      <c r="K682" s="19"/>
    </row>
    <row r="683">
      <c r="F683" s="19"/>
      <c r="G683" s="19"/>
      <c r="H683" s="19"/>
      <c r="I683" s="19"/>
      <c r="J683" s="19"/>
      <c r="K683" s="19"/>
    </row>
    <row r="684">
      <c r="F684" s="19"/>
      <c r="G684" s="19"/>
      <c r="H684" s="19"/>
      <c r="I684" s="19"/>
      <c r="J684" s="19"/>
      <c r="K684" s="19"/>
    </row>
    <row r="685">
      <c r="F685" s="19"/>
      <c r="G685" s="19"/>
      <c r="H685" s="19"/>
      <c r="I685" s="19"/>
      <c r="J685" s="19"/>
      <c r="K685" s="19"/>
    </row>
    <row r="686">
      <c r="F686" s="19"/>
      <c r="G686" s="19"/>
      <c r="H686" s="19"/>
      <c r="I686" s="19"/>
      <c r="J686" s="19"/>
      <c r="K686" s="19"/>
    </row>
    <row r="687">
      <c r="F687" s="19"/>
      <c r="G687" s="19"/>
      <c r="H687" s="19"/>
      <c r="I687" s="19"/>
      <c r="J687" s="19"/>
      <c r="K687" s="19"/>
    </row>
    <row r="688">
      <c r="F688" s="19"/>
      <c r="G688" s="19"/>
      <c r="H688" s="19"/>
      <c r="I688" s="19"/>
      <c r="J688" s="19"/>
      <c r="K688" s="19"/>
    </row>
    <row r="689">
      <c r="F689" s="19"/>
      <c r="G689" s="19"/>
      <c r="H689" s="19"/>
      <c r="I689" s="19"/>
      <c r="J689" s="19"/>
      <c r="K689" s="19"/>
    </row>
    <row r="690">
      <c r="F690" s="19"/>
      <c r="G690" s="19"/>
      <c r="H690" s="19"/>
      <c r="I690" s="19"/>
      <c r="J690" s="19"/>
      <c r="K690" s="19"/>
    </row>
    <row r="691">
      <c r="F691" s="19"/>
      <c r="G691" s="19"/>
      <c r="H691" s="19"/>
      <c r="I691" s="19"/>
      <c r="J691" s="19"/>
      <c r="K691" s="19"/>
    </row>
    <row r="692">
      <c r="F692" s="19"/>
      <c r="G692" s="19"/>
      <c r="H692" s="19"/>
      <c r="I692" s="19"/>
      <c r="J692" s="19"/>
      <c r="K692" s="19"/>
    </row>
    <row r="693">
      <c r="F693" s="19"/>
      <c r="G693" s="19"/>
      <c r="H693" s="19"/>
      <c r="I693" s="19"/>
      <c r="J693" s="19"/>
      <c r="K693" s="19"/>
    </row>
    <row r="694">
      <c r="F694" s="19"/>
      <c r="G694" s="19"/>
      <c r="H694" s="19"/>
      <c r="I694" s="19"/>
      <c r="J694" s="19"/>
      <c r="K694" s="19"/>
    </row>
    <row r="695">
      <c r="F695" s="19"/>
      <c r="G695" s="19"/>
      <c r="H695" s="19"/>
      <c r="I695" s="19"/>
      <c r="J695" s="19"/>
      <c r="K695" s="19"/>
    </row>
    <row r="696">
      <c r="F696" s="19"/>
      <c r="G696" s="19"/>
      <c r="H696" s="19"/>
      <c r="I696" s="19"/>
      <c r="J696" s="19"/>
      <c r="K696" s="19"/>
    </row>
    <row r="697">
      <c r="F697" s="19"/>
      <c r="G697" s="19"/>
      <c r="H697" s="19"/>
      <c r="I697" s="19"/>
      <c r="J697" s="19"/>
      <c r="K697" s="19"/>
    </row>
    <row r="698">
      <c r="F698" s="19"/>
      <c r="G698" s="19"/>
      <c r="H698" s="19"/>
      <c r="I698" s="19"/>
      <c r="J698" s="19"/>
      <c r="K698" s="19"/>
    </row>
    <row r="699">
      <c r="F699" s="19"/>
      <c r="G699" s="19"/>
      <c r="H699" s="19"/>
      <c r="I699" s="19"/>
      <c r="J699" s="19"/>
      <c r="K699" s="19"/>
    </row>
    <row r="700">
      <c r="F700" s="19"/>
      <c r="G700" s="19"/>
      <c r="H700" s="19"/>
      <c r="I700" s="19"/>
      <c r="J700" s="19"/>
      <c r="K700" s="19"/>
    </row>
    <row r="701">
      <c r="F701" s="19"/>
      <c r="G701" s="19"/>
      <c r="H701" s="19"/>
      <c r="I701" s="19"/>
      <c r="J701" s="19"/>
      <c r="K701" s="19"/>
    </row>
    <row r="702">
      <c r="F702" s="19"/>
      <c r="G702" s="19"/>
      <c r="H702" s="19"/>
      <c r="I702" s="19"/>
      <c r="J702" s="19"/>
      <c r="K702" s="19"/>
    </row>
    <row r="703">
      <c r="F703" s="19"/>
      <c r="G703" s="19"/>
      <c r="H703" s="19"/>
      <c r="I703" s="19"/>
      <c r="J703" s="19"/>
      <c r="K703" s="19"/>
    </row>
    <row r="704">
      <c r="F704" s="19"/>
      <c r="G704" s="19"/>
      <c r="H704" s="19"/>
      <c r="I704" s="19"/>
      <c r="J704" s="19"/>
      <c r="K704" s="19"/>
    </row>
    <row r="705">
      <c r="F705" s="19"/>
      <c r="G705" s="19"/>
      <c r="H705" s="19"/>
      <c r="I705" s="19"/>
      <c r="J705" s="19"/>
      <c r="K705" s="19"/>
    </row>
    <row r="706">
      <c r="F706" s="19"/>
      <c r="G706" s="19"/>
      <c r="H706" s="19"/>
      <c r="I706" s="19"/>
      <c r="J706" s="19"/>
      <c r="K706" s="19"/>
    </row>
    <row r="707">
      <c r="F707" s="19"/>
      <c r="G707" s="19"/>
      <c r="H707" s="19"/>
      <c r="I707" s="19"/>
      <c r="J707" s="19"/>
      <c r="K707" s="19"/>
    </row>
    <row r="708">
      <c r="F708" s="19"/>
      <c r="G708" s="19"/>
      <c r="H708" s="19"/>
      <c r="I708" s="19"/>
      <c r="J708" s="19"/>
      <c r="K708" s="19"/>
    </row>
    <row r="709">
      <c r="F709" s="19"/>
      <c r="G709" s="19"/>
      <c r="H709" s="19"/>
      <c r="I709" s="19"/>
      <c r="J709" s="19"/>
      <c r="K709" s="19"/>
    </row>
    <row r="710">
      <c r="F710" s="19"/>
      <c r="G710" s="19"/>
      <c r="H710" s="19"/>
      <c r="I710" s="19"/>
      <c r="J710" s="19"/>
      <c r="K710" s="19"/>
    </row>
    <row r="711">
      <c r="F711" s="19"/>
      <c r="G711" s="19"/>
      <c r="H711" s="19"/>
      <c r="I711" s="19"/>
      <c r="J711" s="19"/>
      <c r="K711" s="19"/>
    </row>
    <row r="712">
      <c r="F712" s="19"/>
      <c r="G712" s="19"/>
      <c r="H712" s="19"/>
      <c r="I712" s="19"/>
      <c r="J712" s="19"/>
      <c r="K712" s="19"/>
    </row>
    <row r="713">
      <c r="F713" s="19"/>
      <c r="G713" s="19"/>
      <c r="H713" s="19"/>
      <c r="I713" s="19"/>
      <c r="J713" s="19"/>
      <c r="K713" s="19"/>
    </row>
    <row r="714">
      <c r="F714" s="19"/>
      <c r="G714" s="19"/>
      <c r="H714" s="19"/>
      <c r="I714" s="19"/>
      <c r="J714" s="19"/>
      <c r="K714" s="19"/>
    </row>
    <row r="715">
      <c r="F715" s="19"/>
      <c r="G715" s="19"/>
      <c r="H715" s="19"/>
      <c r="I715" s="19"/>
      <c r="J715" s="19"/>
      <c r="K715" s="19"/>
    </row>
    <row r="716">
      <c r="F716" s="19"/>
      <c r="G716" s="19"/>
      <c r="H716" s="19"/>
      <c r="I716" s="19"/>
      <c r="J716" s="19"/>
      <c r="K716" s="19"/>
    </row>
    <row r="717">
      <c r="F717" s="19"/>
      <c r="G717" s="19"/>
      <c r="H717" s="19"/>
      <c r="I717" s="19"/>
      <c r="J717" s="19"/>
      <c r="K717" s="19"/>
    </row>
    <row r="718">
      <c r="F718" s="19"/>
      <c r="G718" s="19"/>
      <c r="H718" s="19"/>
      <c r="I718" s="19"/>
      <c r="J718" s="19"/>
      <c r="K718" s="19"/>
    </row>
    <row r="719">
      <c r="F719" s="19"/>
      <c r="G719" s="19"/>
      <c r="H719" s="19"/>
      <c r="I719" s="19"/>
      <c r="J719" s="19"/>
      <c r="K719" s="19"/>
    </row>
    <row r="720">
      <c r="F720" s="19"/>
      <c r="G720" s="19"/>
      <c r="H720" s="19"/>
      <c r="I720" s="19"/>
      <c r="J720" s="19"/>
      <c r="K720" s="19"/>
    </row>
    <row r="721">
      <c r="F721" s="19"/>
      <c r="G721" s="19"/>
      <c r="H721" s="19"/>
      <c r="I721" s="19"/>
      <c r="J721" s="19"/>
      <c r="K721" s="19"/>
    </row>
    <row r="722">
      <c r="F722" s="19"/>
      <c r="G722" s="19"/>
      <c r="H722" s="19"/>
      <c r="I722" s="19"/>
      <c r="J722" s="19"/>
      <c r="K722" s="19"/>
    </row>
    <row r="723">
      <c r="F723" s="19"/>
      <c r="G723" s="19"/>
      <c r="H723" s="19"/>
      <c r="I723" s="19"/>
      <c r="J723" s="19"/>
      <c r="K723" s="19"/>
    </row>
    <row r="724">
      <c r="F724" s="19"/>
      <c r="G724" s="19"/>
      <c r="H724" s="19"/>
      <c r="I724" s="19"/>
      <c r="J724" s="19"/>
      <c r="K724" s="19"/>
    </row>
    <row r="725">
      <c r="F725" s="19"/>
      <c r="G725" s="19"/>
      <c r="H725" s="19"/>
      <c r="I725" s="19"/>
      <c r="J725" s="19"/>
      <c r="K725" s="19"/>
    </row>
    <row r="726">
      <c r="F726" s="19"/>
      <c r="G726" s="19"/>
      <c r="H726" s="19"/>
      <c r="I726" s="19"/>
      <c r="J726" s="19"/>
      <c r="K726" s="19"/>
    </row>
    <row r="727">
      <c r="F727" s="19"/>
      <c r="G727" s="19"/>
      <c r="H727" s="19"/>
      <c r="I727" s="19"/>
      <c r="J727" s="19"/>
      <c r="K727" s="19"/>
    </row>
    <row r="728">
      <c r="F728" s="19"/>
      <c r="G728" s="19"/>
      <c r="H728" s="19"/>
      <c r="I728" s="19"/>
      <c r="J728" s="19"/>
      <c r="K728" s="19"/>
    </row>
    <row r="729">
      <c r="F729" s="19"/>
      <c r="G729" s="19"/>
      <c r="H729" s="19"/>
      <c r="I729" s="19"/>
      <c r="J729" s="19"/>
      <c r="K729" s="19"/>
    </row>
    <row r="730">
      <c r="F730" s="19"/>
      <c r="G730" s="19"/>
      <c r="H730" s="19"/>
      <c r="I730" s="19"/>
      <c r="J730" s="19"/>
      <c r="K730" s="19"/>
    </row>
    <row r="731">
      <c r="F731" s="19"/>
      <c r="G731" s="19"/>
      <c r="H731" s="19"/>
      <c r="I731" s="19"/>
      <c r="J731" s="19"/>
      <c r="K731" s="19"/>
    </row>
    <row r="732">
      <c r="F732" s="19"/>
      <c r="G732" s="19"/>
      <c r="H732" s="19"/>
      <c r="I732" s="19"/>
      <c r="J732" s="19"/>
      <c r="K732" s="19"/>
    </row>
    <row r="733">
      <c r="F733" s="19"/>
      <c r="G733" s="19"/>
      <c r="H733" s="19"/>
      <c r="I733" s="19"/>
      <c r="J733" s="19"/>
      <c r="K733" s="19"/>
    </row>
    <row r="734">
      <c r="F734" s="19"/>
      <c r="G734" s="19"/>
      <c r="H734" s="19"/>
      <c r="I734" s="19"/>
      <c r="J734" s="19"/>
      <c r="K734" s="19"/>
    </row>
    <row r="735">
      <c r="F735" s="19"/>
      <c r="G735" s="19"/>
      <c r="H735" s="19"/>
      <c r="I735" s="19"/>
      <c r="J735" s="19"/>
      <c r="K735" s="19"/>
    </row>
    <row r="736">
      <c r="F736" s="19"/>
      <c r="G736" s="19"/>
      <c r="H736" s="19"/>
      <c r="I736" s="19"/>
      <c r="J736" s="19"/>
      <c r="K736" s="19"/>
    </row>
    <row r="737">
      <c r="F737" s="19"/>
      <c r="G737" s="19"/>
      <c r="H737" s="19"/>
      <c r="I737" s="19"/>
      <c r="J737" s="19"/>
      <c r="K737" s="19"/>
    </row>
    <row r="738">
      <c r="F738" s="19"/>
      <c r="G738" s="19"/>
      <c r="H738" s="19"/>
      <c r="I738" s="19"/>
      <c r="J738" s="19"/>
      <c r="K738" s="19"/>
    </row>
    <row r="739">
      <c r="F739" s="19"/>
      <c r="G739" s="19"/>
      <c r="H739" s="19"/>
      <c r="I739" s="19"/>
      <c r="J739" s="19"/>
      <c r="K739" s="19"/>
    </row>
    <row r="740">
      <c r="F740" s="19"/>
      <c r="G740" s="19"/>
      <c r="H740" s="19"/>
      <c r="I740" s="19"/>
      <c r="J740" s="19"/>
      <c r="K740" s="19"/>
    </row>
    <row r="741">
      <c r="F741" s="19"/>
      <c r="G741" s="19"/>
      <c r="H741" s="19"/>
      <c r="I741" s="19"/>
      <c r="J741" s="19"/>
      <c r="K741" s="19"/>
    </row>
    <row r="742">
      <c r="F742" s="19"/>
      <c r="G742" s="19"/>
      <c r="H742" s="19"/>
      <c r="I742" s="19"/>
      <c r="J742" s="19"/>
      <c r="K742" s="19"/>
    </row>
    <row r="743">
      <c r="F743" s="19"/>
      <c r="G743" s="19"/>
      <c r="H743" s="19"/>
      <c r="I743" s="19"/>
      <c r="J743" s="19"/>
      <c r="K743" s="19"/>
    </row>
    <row r="744">
      <c r="F744" s="19"/>
      <c r="G744" s="19"/>
      <c r="H744" s="19"/>
      <c r="I744" s="19"/>
      <c r="J744" s="19"/>
      <c r="K744" s="19"/>
    </row>
    <row r="745">
      <c r="F745" s="19"/>
      <c r="G745" s="19"/>
      <c r="H745" s="19"/>
      <c r="I745" s="19"/>
      <c r="J745" s="19"/>
      <c r="K745" s="19"/>
    </row>
    <row r="746">
      <c r="F746" s="19"/>
      <c r="G746" s="19"/>
      <c r="H746" s="19"/>
      <c r="I746" s="19"/>
      <c r="J746" s="19"/>
      <c r="K746" s="19"/>
    </row>
    <row r="747">
      <c r="F747" s="19"/>
      <c r="G747" s="19"/>
      <c r="H747" s="19"/>
      <c r="I747" s="19"/>
      <c r="J747" s="19"/>
      <c r="K747" s="19"/>
    </row>
    <row r="748">
      <c r="F748" s="19"/>
      <c r="G748" s="19"/>
      <c r="H748" s="19"/>
      <c r="I748" s="19"/>
      <c r="J748" s="19"/>
      <c r="K748" s="19"/>
    </row>
    <row r="749">
      <c r="F749" s="19"/>
      <c r="G749" s="19"/>
      <c r="H749" s="19"/>
      <c r="I749" s="19"/>
      <c r="J749" s="19"/>
      <c r="K749" s="19"/>
    </row>
    <row r="750">
      <c r="F750" s="19"/>
      <c r="G750" s="19"/>
      <c r="H750" s="19"/>
      <c r="I750" s="19"/>
      <c r="J750" s="19"/>
      <c r="K750" s="19"/>
    </row>
    <row r="751">
      <c r="F751" s="19"/>
      <c r="G751" s="19"/>
      <c r="H751" s="19"/>
      <c r="I751" s="19"/>
      <c r="J751" s="19"/>
      <c r="K751" s="19"/>
    </row>
    <row r="752">
      <c r="F752" s="19"/>
      <c r="G752" s="19"/>
      <c r="H752" s="19"/>
      <c r="I752" s="19"/>
      <c r="J752" s="19"/>
      <c r="K752" s="19"/>
    </row>
    <row r="753">
      <c r="F753" s="19"/>
      <c r="G753" s="19"/>
      <c r="H753" s="19"/>
      <c r="I753" s="19"/>
      <c r="J753" s="19"/>
      <c r="K753" s="19"/>
    </row>
    <row r="754">
      <c r="F754" s="19"/>
      <c r="G754" s="19"/>
      <c r="H754" s="19"/>
      <c r="I754" s="19"/>
      <c r="J754" s="19"/>
      <c r="K754" s="19"/>
    </row>
    <row r="755">
      <c r="F755" s="19"/>
      <c r="G755" s="19"/>
      <c r="H755" s="19"/>
      <c r="I755" s="19"/>
      <c r="J755" s="19"/>
      <c r="K755" s="19"/>
    </row>
    <row r="756">
      <c r="F756" s="19"/>
      <c r="G756" s="19"/>
      <c r="H756" s="19"/>
      <c r="I756" s="19"/>
      <c r="J756" s="19"/>
      <c r="K756" s="19"/>
    </row>
    <row r="757">
      <c r="F757" s="19"/>
      <c r="G757" s="19"/>
      <c r="H757" s="19"/>
      <c r="I757" s="19"/>
      <c r="J757" s="19"/>
      <c r="K757" s="19"/>
    </row>
    <row r="758">
      <c r="F758" s="19"/>
      <c r="G758" s="19"/>
      <c r="H758" s="19"/>
      <c r="I758" s="19"/>
      <c r="J758" s="19"/>
      <c r="K758" s="19"/>
    </row>
    <row r="759">
      <c r="F759" s="19"/>
      <c r="G759" s="19"/>
      <c r="H759" s="19"/>
      <c r="I759" s="19"/>
      <c r="J759" s="19"/>
      <c r="K759" s="19"/>
    </row>
    <row r="760">
      <c r="F760" s="19"/>
      <c r="G760" s="19"/>
      <c r="H760" s="19"/>
      <c r="I760" s="19"/>
      <c r="J760" s="19"/>
      <c r="K760" s="19"/>
    </row>
    <row r="761">
      <c r="F761" s="19"/>
      <c r="G761" s="19"/>
      <c r="H761" s="19"/>
      <c r="I761" s="19"/>
      <c r="J761" s="19"/>
      <c r="K761" s="19"/>
    </row>
    <row r="762">
      <c r="F762" s="19"/>
      <c r="G762" s="19"/>
      <c r="H762" s="19"/>
      <c r="I762" s="19"/>
      <c r="J762" s="19"/>
      <c r="K762" s="19"/>
    </row>
    <row r="763">
      <c r="F763" s="19"/>
      <c r="G763" s="19"/>
      <c r="H763" s="19"/>
      <c r="I763" s="19"/>
      <c r="J763" s="19"/>
      <c r="K763" s="19"/>
    </row>
    <row r="764">
      <c r="F764" s="19"/>
      <c r="G764" s="19"/>
      <c r="H764" s="19"/>
      <c r="I764" s="19"/>
      <c r="J764" s="19"/>
      <c r="K764" s="19"/>
    </row>
    <row r="765">
      <c r="F765" s="19"/>
      <c r="G765" s="19"/>
      <c r="H765" s="19"/>
      <c r="I765" s="19"/>
      <c r="J765" s="19"/>
      <c r="K765" s="19"/>
    </row>
    <row r="766">
      <c r="F766" s="19"/>
      <c r="G766" s="19"/>
      <c r="H766" s="19"/>
      <c r="I766" s="19"/>
      <c r="J766" s="19"/>
      <c r="K766" s="19"/>
    </row>
    <row r="767">
      <c r="F767" s="19"/>
      <c r="G767" s="19"/>
      <c r="H767" s="19"/>
      <c r="I767" s="19"/>
      <c r="J767" s="19"/>
      <c r="K767" s="19"/>
    </row>
    <row r="768">
      <c r="F768" s="19"/>
      <c r="G768" s="19"/>
      <c r="H768" s="19"/>
      <c r="I768" s="19"/>
      <c r="J768" s="19"/>
      <c r="K768" s="19"/>
    </row>
    <row r="769">
      <c r="F769" s="19"/>
      <c r="G769" s="19"/>
      <c r="H769" s="19"/>
      <c r="I769" s="19"/>
      <c r="J769" s="19"/>
      <c r="K769" s="19"/>
    </row>
    <row r="770">
      <c r="F770" s="19"/>
      <c r="G770" s="19"/>
      <c r="H770" s="19"/>
      <c r="I770" s="19"/>
      <c r="J770" s="19"/>
      <c r="K770" s="19"/>
    </row>
    <row r="771">
      <c r="F771" s="19"/>
      <c r="G771" s="19"/>
      <c r="H771" s="19"/>
      <c r="I771" s="19"/>
      <c r="J771" s="19"/>
      <c r="K771" s="19"/>
    </row>
    <row r="772">
      <c r="F772" s="19"/>
      <c r="G772" s="19"/>
      <c r="H772" s="19"/>
      <c r="I772" s="19"/>
      <c r="J772" s="19"/>
      <c r="K772" s="19"/>
    </row>
    <row r="773">
      <c r="F773" s="19"/>
      <c r="G773" s="19"/>
      <c r="H773" s="19"/>
      <c r="I773" s="19"/>
      <c r="J773" s="19"/>
      <c r="K773" s="19"/>
    </row>
    <row r="774">
      <c r="F774" s="19"/>
      <c r="G774" s="19"/>
      <c r="H774" s="19"/>
      <c r="I774" s="19"/>
      <c r="J774" s="19"/>
      <c r="K774" s="19"/>
    </row>
    <row r="775">
      <c r="F775" s="19"/>
      <c r="G775" s="19"/>
      <c r="H775" s="19"/>
      <c r="I775" s="19"/>
      <c r="J775" s="19"/>
      <c r="K775" s="19"/>
    </row>
    <row r="776">
      <c r="F776" s="19"/>
      <c r="G776" s="19"/>
      <c r="H776" s="19"/>
      <c r="I776" s="19"/>
      <c r="J776" s="19"/>
      <c r="K776" s="19"/>
    </row>
    <row r="777">
      <c r="F777" s="19"/>
      <c r="G777" s="19"/>
      <c r="H777" s="19"/>
      <c r="I777" s="19"/>
      <c r="J777" s="19"/>
      <c r="K777" s="19"/>
    </row>
    <row r="778">
      <c r="F778" s="19"/>
      <c r="G778" s="19"/>
      <c r="H778" s="19"/>
      <c r="I778" s="19"/>
      <c r="J778" s="19"/>
      <c r="K778" s="19"/>
    </row>
    <row r="779">
      <c r="F779" s="19"/>
      <c r="G779" s="19"/>
      <c r="H779" s="19"/>
      <c r="I779" s="19"/>
      <c r="J779" s="19"/>
      <c r="K779" s="19"/>
    </row>
    <row r="780">
      <c r="F780" s="19"/>
      <c r="G780" s="19"/>
      <c r="H780" s="19"/>
      <c r="I780" s="19"/>
      <c r="J780" s="19"/>
      <c r="K780" s="19"/>
    </row>
    <row r="781">
      <c r="F781" s="19"/>
      <c r="G781" s="19"/>
      <c r="H781" s="19"/>
      <c r="I781" s="19"/>
      <c r="J781" s="19"/>
      <c r="K781" s="19"/>
    </row>
    <row r="782">
      <c r="F782" s="19"/>
      <c r="G782" s="19"/>
      <c r="H782" s="19"/>
      <c r="I782" s="19"/>
      <c r="J782" s="19"/>
      <c r="K782" s="19"/>
    </row>
    <row r="783">
      <c r="F783" s="19"/>
      <c r="G783" s="19"/>
      <c r="H783" s="19"/>
      <c r="I783" s="19"/>
      <c r="J783" s="19"/>
      <c r="K783" s="19"/>
    </row>
    <row r="784">
      <c r="F784" s="19"/>
      <c r="G784" s="19"/>
      <c r="H784" s="19"/>
      <c r="I784" s="19"/>
      <c r="J784" s="19"/>
      <c r="K784" s="19"/>
    </row>
    <row r="785">
      <c r="F785" s="19"/>
      <c r="G785" s="19"/>
      <c r="H785" s="19"/>
      <c r="I785" s="19"/>
      <c r="J785" s="19"/>
      <c r="K785" s="19"/>
    </row>
    <row r="786">
      <c r="F786" s="19"/>
      <c r="G786" s="19"/>
      <c r="H786" s="19"/>
      <c r="I786" s="19"/>
      <c r="J786" s="19"/>
      <c r="K786" s="19"/>
    </row>
    <row r="787">
      <c r="F787" s="19"/>
      <c r="G787" s="19"/>
      <c r="H787" s="19"/>
      <c r="I787" s="19"/>
      <c r="J787" s="19"/>
      <c r="K787" s="19"/>
    </row>
    <row r="788">
      <c r="F788" s="19"/>
      <c r="G788" s="19"/>
      <c r="H788" s="19"/>
      <c r="I788" s="19"/>
      <c r="J788" s="19"/>
      <c r="K788" s="19"/>
    </row>
    <row r="789">
      <c r="F789" s="19"/>
      <c r="G789" s="19"/>
      <c r="H789" s="19"/>
      <c r="I789" s="19"/>
      <c r="J789" s="19"/>
      <c r="K789" s="19"/>
    </row>
    <row r="790">
      <c r="F790" s="19"/>
      <c r="G790" s="19"/>
      <c r="H790" s="19"/>
      <c r="I790" s="19"/>
      <c r="J790" s="19"/>
      <c r="K790" s="19"/>
    </row>
    <row r="791">
      <c r="F791" s="19"/>
      <c r="G791" s="19"/>
      <c r="H791" s="19"/>
      <c r="I791" s="19"/>
      <c r="J791" s="19"/>
      <c r="K791" s="19"/>
    </row>
    <row r="792">
      <c r="F792" s="19"/>
      <c r="G792" s="19"/>
      <c r="H792" s="19"/>
      <c r="I792" s="19"/>
      <c r="J792" s="19"/>
      <c r="K792" s="19"/>
    </row>
    <row r="793">
      <c r="F793" s="19"/>
      <c r="G793" s="19"/>
      <c r="H793" s="19"/>
      <c r="I793" s="19"/>
      <c r="J793" s="19"/>
      <c r="K793" s="19"/>
    </row>
    <row r="794">
      <c r="F794" s="19"/>
      <c r="G794" s="19"/>
      <c r="H794" s="19"/>
      <c r="I794" s="19"/>
      <c r="J794" s="19"/>
      <c r="K794" s="19"/>
    </row>
    <row r="795">
      <c r="F795" s="19"/>
      <c r="G795" s="19"/>
      <c r="H795" s="19"/>
      <c r="I795" s="19"/>
      <c r="J795" s="19"/>
      <c r="K795" s="19"/>
    </row>
    <row r="796">
      <c r="F796" s="19"/>
      <c r="G796" s="19"/>
      <c r="H796" s="19"/>
      <c r="I796" s="19"/>
      <c r="J796" s="19"/>
      <c r="K796" s="19"/>
    </row>
    <row r="797">
      <c r="F797" s="19"/>
      <c r="G797" s="19"/>
      <c r="H797" s="19"/>
      <c r="I797" s="19"/>
      <c r="J797" s="19"/>
      <c r="K797" s="19"/>
    </row>
    <row r="798">
      <c r="F798" s="19"/>
      <c r="G798" s="19"/>
      <c r="H798" s="19"/>
      <c r="I798" s="19"/>
      <c r="J798" s="19"/>
      <c r="K798" s="19"/>
    </row>
    <row r="799">
      <c r="F799" s="19"/>
      <c r="G799" s="19"/>
      <c r="H799" s="19"/>
      <c r="I799" s="19"/>
      <c r="J799" s="19"/>
      <c r="K799" s="19"/>
    </row>
    <row r="800">
      <c r="F800" s="19"/>
      <c r="G800" s="19"/>
      <c r="H800" s="19"/>
      <c r="I800" s="19"/>
      <c r="J800" s="19"/>
      <c r="K800" s="19"/>
    </row>
    <row r="801">
      <c r="F801" s="19"/>
      <c r="G801" s="19"/>
      <c r="H801" s="19"/>
      <c r="I801" s="19"/>
      <c r="J801" s="19"/>
      <c r="K801" s="19"/>
    </row>
    <row r="802">
      <c r="F802" s="19"/>
      <c r="G802" s="19"/>
      <c r="H802" s="19"/>
      <c r="I802" s="19"/>
      <c r="J802" s="19"/>
      <c r="K802" s="19"/>
    </row>
    <row r="803">
      <c r="F803" s="19"/>
      <c r="G803" s="19"/>
      <c r="H803" s="19"/>
      <c r="I803" s="19"/>
      <c r="J803" s="19"/>
      <c r="K803" s="19"/>
    </row>
    <row r="804">
      <c r="F804" s="19"/>
      <c r="G804" s="19"/>
      <c r="H804" s="19"/>
      <c r="I804" s="19"/>
      <c r="J804" s="19"/>
      <c r="K804" s="19"/>
    </row>
    <row r="805">
      <c r="F805" s="19"/>
      <c r="G805" s="19"/>
      <c r="H805" s="19"/>
      <c r="I805" s="19"/>
      <c r="J805" s="19"/>
      <c r="K805" s="19"/>
    </row>
    <row r="806">
      <c r="F806" s="19"/>
      <c r="G806" s="19"/>
      <c r="H806" s="19"/>
      <c r="I806" s="19"/>
      <c r="J806" s="19"/>
      <c r="K806" s="19"/>
    </row>
    <row r="807">
      <c r="F807" s="19"/>
      <c r="G807" s="19"/>
      <c r="H807" s="19"/>
      <c r="I807" s="19"/>
      <c r="J807" s="19"/>
      <c r="K807" s="19"/>
    </row>
    <row r="808">
      <c r="F808" s="19"/>
      <c r="G808" s="19"/>
      <c r="H808" s="19"/>
      <c r="I808" s="19"/>
      <c r="J808" s="19"/>
      <c r="K808" s="19"/>
    </row>
    <row r="809">
      <c r="F809" s="19"/>
      <c r="G809" s="19"/>
      <c r="H809" s="19"/>
      <c r="I809" s="19"/>
      <c r="J809" s="19"/>
      <c r="K809" s="19"/>
    </row>
    <row r="810">
      <c r="F810" s="19"/>
      <c r="G810" s="19"/>
      <c r="H810" s="19"/>
      <c r="I810" s="19"/>
      <c r="J810" s="19"/>
      <c r="K810" s="19"/>
    </row>
    <row r="811">
      <c r="F811" s="19"/>
      <c r="G811" s="19"/>
      <c r="H811" s="19"/>
      <c r="I811" s="19"/>
      <c r="J811" s="19"/>
      <c r="K811" s="19"/>
    </row>
    <row r="812">
      <c r="F812" s="19"/>
      <c r="G812" s="19"/>
      <c r="H812" s="19"/>
      <c r="I812" s="19"/>
      <c r="J812" s="19"/>
      <c r="K812" s="19"/>
    </row>
    <row r="813">
      <c r="F813" s="19"/>
      <c r="G813" s="19"/>
      <c r="H813" s="19"/>
      <c r="I813" s="19"/>
      <c r="J813" s="19"/>
      <c r="K813" s="19"/>
    </row>
    <row r="814">
      <c r="F814" s="19"/>
      <c r="G814" s="19"/>
      <c r="H814" s="19"/>
      <c r="I814" s="19"/>
      <c r="J814" s="19"/>
      <c r="K814" s="19"/>
    </row>
    <row r="815">
      <c r="F815" s="19"/>
      <c r="G815" s="19"/>
      <c r="H815" s="19"/>
      <c r="I815" s="19"/>
      <c r="J815" s="19"/>
      <c r="K815" s="19"/>
    </row>
    <row r="816">
      <c r="F816" s="19"/>
      <c r="G816" s="19"/>
      <c r="H816" s="19"/>
      <c r="I816" s="19"/>
      <c r="J816" s="19"/>
      <c r="K816" s="19"/>
    </row>
    <row r="817">
      <c r="F817" s="19"/>
      <c r="G817" s="19"/>
      <c r="H817" s="19"/>
      <c r="I817" s="19"/>
      <c r="J817" s="19"/>
      <c r="K817" s="19"/>
    </row>
    <row r="818">
      <c r="F818" s="19"/>
      <c r="G818" s="19"/>
      <c r="H818" s="19"/>
      <c r="I818" s="19"/>
      <c r="J818" s="19"/>
      <c r="K818" s="19"/>
    </row>
    <row r="819">
      <c r="F819" s="19"/>
      <c r="G819" s="19"/>
      <c r="H819" s="19"/>
      <c r="I819" s="19"/>
      <c r="J819" s="19"/>
      <c r="K819" s="19"/>
    </row>
    <row r="820">
      <c r="F820" s="19"/>
      <c r="G820" s="19"/>
      <c r="H820" s="19"/>
      <c r="I820" s="19"/>
      <c r="J820" s="19"/>
      <c r="K820" s="19"/>
    </row>
    <row r="821">
      <c r="F821" s="19"/>
      <c r="G821" s="19"/>
      <c r="H821" s="19"/>
      <c r="I821" s="19"/>
      <c r="J821" s="19"/>
      <c r="K821" s="19"/>
    </row>
    <row r="822">
      <c r="F822" s="19"/>
      <c r="G822" s="19"/>
      <c r="H822" s="19"/>
      <c r="I822" s="19"/>
      <c r="J822" s="19"/>
      <c r="K822" s="19"/>
    </row>
    <row r="823">
      <c r="F823" s="19"/>
      <c r="G823" s="19"/>
      <c r="H823" s="19"/>
      <c r="I823" s="19"/>
      <c r="J823" s="19"/>
      <c r="K823" s="19"/>
    </row>
    <row r="824">
      <c r="F824" s="19"/>
      <c r="G824" s="19"/>
      <c r="H824" s="19"/>
      <c r="I824" s="19"/>
      <c r="J824" s="19"/>
      <c r="K824" s="19"/>
    </row>
    <row r="825">
      <c r="F825" s="19"/>
      <c r="G825" s="19"/>
      <c r="H825" s="19"/>
      <c r="I825" s="19"/>
      <c r="J825" s="19"/>
      <c r="K825" s="19"/>
    </row>
    <row r="826">
      <c r="F826" s="19"/>
      <c r="G826" s="19"/>
      <c r="H826" s="19"/>
      <c r="I826" s="19"/>
      <c r="J826" s="19"/>
      <c r="K826" s="19"/>
    </row>
    <row r="827">
      <c r="F827" s="19"/>
      <c r="G827" s="19"/>
      <c r="H827" s="19"/>
      <c r="I827" s="19"/>
      <c r="J827" s="19"/>
      <c r="K827" s="19"/>
    </row>
    <row r="828">
      <c r="F828" s="19"/>
      <c r="G828" s="19"/>
      <c r="H828" s="19"/>
      <c r="I828" s="19"/>
      <c r="J828" s="19"/>
      <c r="K828" s="19"/>
    </row>
    <row r="829">
      <c r="F829" s="19"/>
      <c r="G829" s="19"/>
      <c r="H829" s="19"/>
      <c r="I829" s="19"/>
      <c r="J829" s="19"/>
      <c r="K829" s="19"/>
    </row>
    <row r="830">
      <c r="F830" s="19"/>
      <c r="G830" s="19"/>
      <c r="H830" s="19"/>
      <c r="I830" s="19"/>
      <c r="J830" s="19"/>
      <c r="K830" s="19"/>
    </row>
    <row r="831">
      <c r="F831" s="19"/>
      <c r="G831" s="19"/>
      <c r="H831" s="19"/>
      <c r="I831" s="19"/>
      <c r="J831" s="19"/>
      <c r="K831" s="19"/>
    </row>
    <row r="832">
      <c r="F832" s="19"/>
      <c r="G832" s="19"/>
      <c r="H832" s="19"/>
      <c r="I832" s="19"/>
      <c r="J832" s="19"/>
      <c r="K832" s="19"/>
    </row>
    <row r="833">
      <c r="F833" s="19"/>
      <c r="G833" s="19"/>
      <c r="H833" s="19"/>
      <c r="I833" s="19"/>
      <c r="J833" s="19"/>
      <c r="K833" s="19"/>
    </row>
    <row r="834">
      <c r="F834" s="19"/>
      <c r="G834" s="19"/>
      <c r="H834" s="19"/>
      <c r="I834" s="19"/>
      <c r="J834" s="19"/>
      <c r="K834" s="19"/>
    </row>
    <row r="835">
      <c r="F835" s="19"/>
      <c r="G835" s="19"/>
      <c r="H835" s="19"/>
      <c r="I835" s="19"/>
      <c r="J835" s="19"/>
      <c r="K835" s="19"/>
    </row>
    <row r="836">
      <c r="F836" s="19"/>
      <c r="G836" s="19"/>
      <c r="H836" s="19"/>
      <c r="I836" s="19"/>
      <c r="J836" s="19"/>
      <c r="K836" s="19"/>
    </row>
    <row r="837">
      <c r="F837" s="19"/>
      <c r="G837" s="19"/>
      <c r="H837" s="19"/>
      <c r="I837" s="19"/>
      <c r="J837" s="19"/>
      <c r="K837" s="19"/>
    </row>
    <row r="838">
      <c r="F838" s="19"/>
      <c r="G838" s="19"/>
      <c r="H838" s="19"/>
      <c r="I838" s="19"/>
      <c r="J838" s="19"/>
      <c r="K838" s="19"/>
    </row>
    <row r="839">
      <c r="F839" s="19"/>
      <c r="G839" s="19"/>
      <c r="H839" s="19"/>
      <c r="I839" s="19"/>
      <c r="J839" s="19"/>
      <c r="K839" s="19"/>
    </row>
    <row r="840">
      <c r="F840" s="19"/>
      <c r="G840" s="19"/>
      <c r="H840" s="19"/>
      <c r="I840" s="19"/>
      <c r="J840" s="19"/>
      <c r="K840" s="19"/>
    </row>
    <row r="841">
      <c r="F841" s="19"/>
      <c r="G841" s="19"/>
      <c r="H841" s="19"/>
      <c r="I841" s="19"/>
      <c r="J841" s="19"/>
      <c r="K841" s="19"/>
    </row>
    <row r="842">
      <c r="F842" s="19"/>
      <c r="G842" s="19"/>
      <c r="H842" s="19"/>
      <c r="I842" s="19"/>
      <c r="J842" s="19"/>
      <c r="K842" s="19"/>
    </row>
    <row r="843">
      <c r="F843" s="19"/>
      <c r="G843" s="19"/>
      <c r="H843" s="19"/>
      <c r="I843" s="19"/>
      <c r="J843" s="19"/>
      <c r="K843" s="19"/>
    </row>
    <row r="844">
      <c r="F844" s="19"/>
      <c r="G844" s="19"/>
      <c r="H844" s="19"/>
      <c r="I844" s="19"/>
      <c r="J844" s="19"/>
      <c r="K844" s="19"/>
    </row>
    <row r="845">
      <c r="F845" s="19"/>
      <c r="G845" s="19"/>
      <c r="H845" s="19"/>
      <c r="I845" s="19"/>
      <c r="J845" s="19"/>
      <c r="K845" s="19"/>
    </row>
    <row r="846">
      <c r="F846" s="19"/>
      <c r="G846" s="19"/>
      <c r="H846" s="19"/>
      <c r="I846" s="19"/>
      <c r="J846" s="19"/>
      <c r="K846" s="19"/>
    </row>
    <row r="847">
      <c r="F847" s="19"/>
      <c r="G847" s="19"/>
      <c r="H847" s="19"/>
      <c r="I847" s="19"/>
      <c r="J847" s="19"/>
      <c r="K847" s="19"/>
    </row>
    <row r="848">
      <c r="F848" s="19"/>
      <c r="G848" s="19"/>
      <c r="H848" s="19"/>
      <c r="I848" s="19"/>
      <c r="J848" s="19"/>
      <c r="K848" s="19"/>
    </row>
    <row r="849">
      <c r="F849" s="19"/>
      <c r="G849" s="19"/>
      <c r="H849" s="19"/>
      <c r="I849" s="19"/>
      <c r="J849" s="19"/>
      <c r="K849" s="19"/>
    </row>
    <row r="850">
      <c r="F850" s="19"/>
      <c r="G850" s="19"/>
      <c r="H850" s="19"/>
      <c r="I850" s="19"/>
      <c r="J850" s="19"/>
      <c r="K850" s="19"/>
    </row>
    <row r="851">
      <c r="F851" s="19"/>
      <c r="G851" s="19"/>
      <c r="H851" s="19"/>
      <c r="I851" s="19"/>
      <c r="J851" s="19"/>
      <c r="K851" s="19"/>
    </row>
    <row r="852">
      <c r="F852" s="19"/>
      <c r="G852" s="19"/>
      <c r="H852" s="19"/>
      <c r="I852" s="19"/>
      <c r="J852" s="19"/>
      <c r="K852" s="19"/>
    </row>
    <row r="853">
      <c r="F853" s="19"/>
      <c r="G853" s="19"/>
      <c r="H853" s="19"/>
      <c r="I853" s="19"/>
      <c r="J853" s="19"/>
      <c r="K853" s="19"/>
    </row>
    <row r="854">
      <c r="F854" s="19"/>
      <c r="G854" s="19"/>
      <c r="H854" s="19"/>
      <c r="I854" s="19"/>
      <c r="J854" s="19"/>
      <c r="K854" s="19"/>
    </row>
    <row r="855">
      <c r="F855" s="19"/>
      <c r="G855" s="19"/>
      <c r="H855" s="19"/>
      <c r="I855" s="19"/>
      <c r="J855" s="19"/>
      <c r="K855" s="19"/>
    </row>
    <row r="856">
      <c r="F856" s="19"/>
      <c r="G856" s="19"/>
      <c r="H856" s="19"/>
      <c r="I856" s="19"/>
      <c r="J856" s="19"/>
      <c r="K856" s="19"/>
    </row>
    <row r="857">
      <c r="F857" s="19"/>
      <c r="G857" s="19"/>
      <c r="H857" s="19"/>
      <c r="I857" s="19"/>
      <c r="J857" s="19"/>
      <c r="K857" s="19"/>
    </row>
    <row r="858">
      <c r="F858" s="19"/>
      <c r="G858" s="19"/>
      <c r="H858" s="19"/>
      <c r="I858" s="19"/>
      <c r="J858" s="19"/>
      <c r="K858" s="19"/>
    </row>
    <row r="859">
      <c r="F859" s="19"/>
      <c r="G859" s="19"/>
      <c r="H859" s="19"/>
      <c r="I859" s="19"/>
      <c r="J859" s="19"/>
      <c r="K859" s="19"/>
    </row>
    <row r="860">
      <c r="F860" s="19"/>
      <c r="G860" s="19"/>
      <c r="H860" s="19"/>
      <c r="I860" s="19"/>
      <c r="J860" s="19"/>
      <c r="K860" s="19"/>
    </row>
    <row r="861">
      <c r="F861" s="19"/>
      <c r="G861" s="19"/>
      <c r="H861" s="19"/>
      <c r="I861" s="19"/>
      <c r="J861" s="19"/>
      <c r="K861" s="19"/>
    </row>
    <row r="862">
      <c r="F862" s="19"/>
      <c r="G862" s="19"/>
      <c r="H862" s="19"/>
      <c r="I862" s="19"/>
      <c r="J862" s="19"/>
      <c r="K862" s="19"/>
    </row>
    <row r="863">
      <c r="F863" s="19"/>
      <c r="G863" s="19"/>
      <c r="H863" s="19"/>
      <c r="I863" s="19"/>
      <c r="J863" s="19"/>
      <c r="K863" s="19"/>
    </row>
    <row r="864">
      <c r="F864" s="19"/>
      <c r="G864" s="19"/>
      <c r="H864" s="19"/>
      <c r="I864" s="19"/>
      <c r="J864" s="19"/>
      <c r="K864" s="19"/>
    </row>
    <row r="865">
      <c r="F865" s="19"/>
      <c r="G865" s="19"/>
      <c r="H865" s="19"/>
      <c r="I865" s="19"/>
      <c r="J865" s="19"/>
      <c r="K865" s="19"/>
    </row>
    <row r="866">
      <c r="F866" s="19"/>
      <c r="G866" s="19"/>
      <c r="H866" s="19"/>
      <c r="I866" s="19"/>
      <c r="J866" s="19"/>
      <c r="K866" s="19"/>
    </row>
    <row r="867">
      <c r="F867" s="19"/>
      <c r="G867" s="19"/>
      <c r="H867" s="19"/>
      <c r="I867" s="19"/>
      <c r="J867" s="19"/>
      <c r="K867" s="19"/>
    </row>
    <row r="868">
      <c r="F868" s="19"/>
      <c r="G868" s="19"/>
      <c r="H868" s="19"/>
      <c r="I868" s="19"/>
      <c r="J868" s="19"/>
      <c r="K868" s="19"/>
    </row>
    <row r="869">
      <c r="F869" s="19"/>
      <c r="G869" s="19"/>
      <c r="H869" s="19"/>
      <c r="I869" s="19"/>
      <c r="J869" s="19"/>
      <c r="K869" s="19"/>
    </row>
    <row r="870">
      <c r="F870" s="19"/>
      <c r="G870" s="19"/>
      <c r="H870" s="19"/>
      <c r="I870" s="19"/>
      <c r="J870" s="19"/>
      <c r="K870" s="19"/>
    </row>
    <row r="871">
      <c r="F871" s="19"/>
      <c r="G871" s="19"/>
      <c r="H871" s="19"/>
      <c r="I871" s="19"/>
      <c r="J871" s="19"/>
      <c r="K871" s="19"/>
    </row>
    <row r="872">
      <c r="F872" s="19"/>
      <c r="G872" s="19"/>
      <c r="H872" s="19"/>
      <c r="I872" s="19"/>
      <c r="J872" s="19"/>
      <c r="K872" s="19"/>
    </row>
    <row r="873">
      <c r="F873" s="19"/>
      <c r="G873" s="19"/>
      <c r="H873" s="19"/>
      <c r="I873" s="19"/>
      <c r="J873" s="19"/>
      <c r="K873" s="19"/>
    </row>
    <row r="874">
      <c r="F874" s="19"/>
      <c r="G874" s="19"/>
      <c r="H874" s="19"/>
      <c r="I874" s="19"/>
      <c r="J874" s="19"/>
      <c r="K874" s="19"/>
    </row>
    <row r="875">
      <c r="F875" s="19"/>
      <c r="G875" s="19"/>
      <c r="H875" s="19"/>
      <c r="I875" s="19"/>
      <c r="J875" s="19"/>
      <c r="K875" s="19"/>
    </row>
    <row r="876">
      <c r="F876" s="19"/>
      <c r="G876" s="19"/>
      <c r="H876" s="19"/>
      <c r="I876" s="19"/>
      <c r="J876" s="19"/>
      <c r="K876" s="19"/>
    </row>
    <row r="877">
      <c r="F877" s="19"/>
      <c r="G877" s="19"/>
      <c r="H877" s="19"/>
      <c r="I877" s="19"/>
      <c r="J877" s="19"/>
      <c r="K877" s="19"/>
    </row>
    <row r="878">
      <c r="F878" s="19"/>
      <c r="G878" s="19"/>
      <c r="H878" s="19"/>
      <c r="I878" s="19"/>
      <c r="J878" s="19"/>
      <c r="K878" s="19"/>
    </row>
    <row r="879">
      <c r="F879" s="19"/>
      <c r="G879" s="19"/>
      <c r="H879" s="19"/>
      <c r="I879" s="19"/>
      <c r="J879" s="19"/>
      <c r="K879" s="19"/>
    </row>
    <row r="880">
      <c r="F880" s="19"/>
      <c r="G880" s="19"/>
      <c r="H880" s="19"/>
      <c r="I880" s="19"/>
      <c r="J880" s="19"/>
      <c r="K880" s="19"/>
    </row>
    <row r="881">
      <c r="F881" s="19"/>
      <c r="G881" s="19"/>
      <c r="H881" s="19"/>
      <c r="I881" s="19"/>
      <c r="J881" s="19"/>
      <c r="K881" s="19"/>
    </row>
    <row r="882">
      <c r="F882" s="19"/>
      <c r="G882" s="19"/>
      <c r="H882" s="19"/>
      <c r="I882" s="19"/>
      <c r="J882" s="19"/>
      <c r="K882" s="19"/>
    </row>
    <row r="883">
      <c r="F883" s="19"/>
      <c r="G883" s="19"/>
      <c r="H883" s="19"/>
      <c r="I883" s="19"/>
      <c r="J883" s="19"/>
      <c r="K883" s="19"/>
    </row>
    <row r="884">
      <c r="F884" s="19"/>
      <c r="G884" s="19"/>
      <c r="H884" s="19"/>
      <c r="I884" s="19"/>
      <c r="J884" s="19"/>
      <c r="K884" s="19"/>
    </row>
    <row r="885">
      <c r="F885" s="19"/>
      <c r="G885" s="19"/>
      <c r="H885" s="19"/>
      <c r="I885" s="19"/>
      <c r="J885" s="19"/>
      <c r="K885" s="19"/>
    </row>
    <row r="886">
      <c r="F886" s="19"/>
      <c r="G886" s="19"/>
      <c r="H886" s="19"/>
      <c r="I886" s="19"/>
      <c r="J886" s="19"/>
      <c r="K886" s="19"/>
    </row>
    <row r="887">
      <c r="F887" s="19"/>
      <c r="G887" s="19"/>
      <c r="H887" s="19"/>
      <c r="I887" s="19"/>
      <c r="J887" s="19"/>
      <c r="K887" s="19"/>
    </row>
    <row r="888">
      <c r="F888" s="19"/>
      <c r="G888" s="19"/>
      <c r="H888" s="19"/>
      <c r="I888" s="19"/>
      <c r="J888" s="19"/>
      <c r="K888" s="19"/>
    </row>
    <row r="889">
      <c r="F889" s="19"/>
      <c r="G889" s="19"/>
      <c r="H889" s="19"/>
      <c r="I889" s="19"/>
      <c r="J889" s="19"/>
      <c r="K889" s="19"/>
    </row>
    <row r="890">
      <c r="F890" s="19"/>
      <c r="G890" s="19"/>
      <c r="H890" s="19"/>
      <c r="I890" s="19"/>
      <c r="J890" s="19"/>
      <c r="K890" s="19"/>
    </row>
    <row r="891">
      <c r="F891" s="19"/>
      <c r="G891" s="19"/>
      <c r="H891" s="19"/>
      <c r="I891" s="19"/>
      <c r="J891" s="19"/>
      <c r="K891" s="19"/>
    </row>
    <row r="892">
      <c r="F892" s="19"/>
      <c r="G892" s="19"/>
      <c r="H892" s="19"/>
      <c r="I892" s="19"/>
      <c r="J892" s="19"/>
      <c r="K892" s="19"/>
    </row>
    <row r="893">
      <c r="F893" s="19"/>
      <c r="G893" s="19"/>
      <c r="H893" s="19"/>
      <c r="I893" s="19"/>
      <c r="J893" s="19"/>
      <c r="K893" s="19"/>
    </row>
    <row r="894">
      <c r="F894" s="19"/>
      <c r="G894" s="19"/>
      <c r="H894" s="19"/>
      <c r="I894" s="19"/>
      <c r="J894" s="19"/>
      <c r="K894" s="19"/>
    </row>
    <row r="895">
      <c r="F895" s="19"/>
      <c r="G895" s="19"/>
      <c r="H895" s="19"/>
      <c r="I895" s="19"/>
      <c r="J895" s="19"/>
      <c r="K895" s="19"/>
    </row>
    <row r="896">
      <c r="F896" s="19"/>
      <c r="G896" s="19"/>
      <c r="H896" s="19"/>
      <c r="I896" s="19"/>
      <c r="J896" s="19"/>
      <c r="K896" s="19"/>
    </row>
    <row r="897">
      <c r="F897" s="19"/>
      <c r="G897" s="19"/>
      <c r="H897" s="19"/>
      <c r="I897" s="19"/>
      <c r="J897" s="19"/>
      <c r="K897" s="19"/>
    </row>
    <row r="898">
      <c r="F898" s="19"/>
      <c r="G898" s="19"/>
      <c r="H898" s="19"/>
      <c r="I898" s="19"/>
      <c r="J898" s="19"/>
      <c r="K898" s="19"/>
    </row>
    <row r="899">
      <c r="F899" s="19"/>
      <c r="G899" s="19"/>
      <c r="H899" s="19"/>
      <c r="I899" s="19"/>
      <c r="J899" s="19"/>
      <c r="K899" s="19"/>
    </row>
    <row r="900">
      <c r="F900" s="19"/>
      <c r="G900" s="19"/>
      <c r="H900" s="19"/>
      <c r="I900" s="19"/>
      <c r="J900" s="19"/>
      <c r="K900" s="19"/>
    </row>
    <row r="901">
      <c r="F901" s="19"/>
      <c r="G901" s="19"/>
      <c r="H901" s="19"/>
      <c r="I901" s="19"/>
      <c r="J901" s="19"/>
      <c r="K901" s="19"/>
    </row>
    <row r="902">
      <c r="F902" s="19"/>
      <c r="G902" s="19"/>
      <c r="H902" s="19"/>
      <c r="I902" s="19"/>
      <c r="J902" s="19"/>
      <c r="K902" s="19"/>
    </row>
    <row r="903">
      <c r="F903" s="19"/>
      <c r="G903" s="19"/>
      <c r="H903" s="19"/>
      <c r="I903" s="19"/>
      <c r="J903" s="19"/>
      <c r="K903" s="19"/>
    </row>
    <row r="904">
      <c r="F904" s="19"/>
      <c r="G904" s="19"/>
      <c r="H904" s="19"/>
      <c r="I904" s="19"/>
      <c r="J904" s="19"/>
      <c r="K904" s="19"/>
    </row>
    <row r="905">
      <c r="F905" s="19"/>
      <c r="G905" s="19"/>
      <c r="H905" s="19"/>
      <c r="I905" s="19"/>
      <c r="J905" s="19"/>
      <c r="K905" s="19"/>
    </row>
    <row r="906">
      <c r="F906" s="19"/>
      <c r="G906" s="19"/>
      <c r="H906" s="19"/>
      <c r="I906" s="19"/>
      <c r="J906" s="19"/>
      <c r="K906" s="19"/>
    </row>
    <row r="907">
      <c r="F907" s="19"/>
      <c r="G907" s="19"/>
      <c r="H907" s="19"/>
      <c r="I907" s="19"/>
      <c r="J907" s="19"/>
      <c r="K907" s="19"/>
    </row>
    <row r="908">
      <c r="F908" s="19"/>
      <c r="G908" s="19"/>
      <c r="H908" s="19"/>
      <c r="I908" s="19"/>
      <c r="J908" s="19"/>
      <c r="K908" s="19"/>
    </row>
    <row r="909">
      <c r="F909" s="19"/>
      <c r="G909" s="19"/>
      <c r="H909" s="19"/>
      <c r="I909" s="19"/>
      <c r="J909" s="19"/>
      <c r="K909" s="19"/>
    </row>
    <row r="910">
      <c r="F910" s="19"/>
      <c r="G910" s="19"/>
      <c r="H910" s="19"/>
      <c r="I910" s="19"/>
      <c r="J910" s="19"/>
      <c r="K910" s="19"/>
    </row>
    <row r="911">
      <c r="F911" s="19"/>
      <c r="G911" s="19"/>
      <c r="H911" s="19"/>
      <c r="I911" s="19"/>
      <c r="J911" s="19"/>
      <c r="K911" s="19"/>
    </row>
    <row r="912">
      <c r="F912" s="19"/>
      <c r="G912" s="19"/>
      <c r="H912" s="19"/>
      <c r="I912" s="19"/>
      <c r="J912" s="19"/>
      <c r="K912" s="19"/>
    </row>
    <row r="913">
      <c r="F913" s="19"/>
      <c r="G913" s="19"/>
      <c r="H913" s="19"/>
      <c r="I913" s="19"/>
      <c r="J913" s="19"/>
      <c r="K913" s="19"/>
    </row>
    <row r="914">
      <c r="F914" s="19"/>
      <c r="G914" s="19"/>
      <c r="H914" s="19"/>
      <c r="I914" s="19"/>
      <c r="J914" s="19"/>
      <c r="K914" s="19"/>
    </row>
    <row r="915">
      <c r="F915" s="19"/>
      <c r="G915" s="19"/>
      <c r="H915" s="19"/>
      <c r="I915" s="19"/>
      <c r="J915" s="19"/>
      <c r="K915" s="19"/>
    </row>
    <row r="916">
      <c r="F916" s="19"/>
      <c r="G916" s="19"/>
      <c r="H916" s="19"/>
      <c r="I916" s="19"/>
      <c r="J916" s="19"/>
      <c r="K916" s="19"/>
    </row>
    <row r="917">
      <c r="F917" s="19"/>
      <c r="G917" s="19"/>
      <c r="H917" s="19"/>
      <c r="I917" s="19"/>
      <c r="J917" s="19"/>
      <c r="K917" s="19"/>
    </row>
    <row r="918">
      <c r="F918" s="19"/>
      <c r="G918" s="19"/>
      <c r="H918" s="19"/>
      <c r="I918" s="19"/>
      <c r="J918" s="19"/>
      <c r="K918" s="19"/>
    </row>
    <row r="919">
      <c r="F919" s="19"/>
      <c r="G919" s="19"/>
      <c r="H919" s="19"/>
      <c r="I919" s="19"/>
      <c r="J919" s="19"/>
      <c r="K919" s="19"/>
    </row>
    <row r="920">
      <c r="F920" s="19"/>
      <c r="G920" s="19"/>
      <c r="H920" s="19"/>
      <c r="I920" s="19"/>
      <c r="J920" s="19"/>
      <c r="K920" s="19"/>
    </row>
    <row r="921">
      <c r="F921" s="19"/>
      <c r="G921" s="19"/>
      <c r="H921" s="19"/>
      <c r="I921" s="19"/>
      <c r="J921" s="19"/>
      <c r="K921" s="19"/>
    </row>
    <row r="922">
      <c r="F922" s="19"/>
      <c r="G922" s="19"/>
      <c r="H922" s="19"/>
      <c r="I922" s="19"/>
      <c r="J922" s="19"/>
      <c r="K922" s="19"/>
    </row>
    <row r="923">
      <c r="F923" s="19"/>
      <c r="G923" s="19"/>
      <c r="H923" s="19"/>
      <c r="I923" s="19"/>
      <c r="J923" s="19"/>
      <c r="K923" s="19"/>
    </row>
    <row r="924">
      <c r="F924" s="19"/>
      <c r="G924" s="19"/>
      <c r="H924" s="19"/>
      <c r="I924" s="19"/>
      <c r="J924" s="19"/>
      <c r="K924" s="19"/>
    </row>
    <row r="925">
      <c r="F925" s="19"/>
      <c r="G925" s="19"/>
      <c r="H925" s="19"/>
      <c r="I925" s="19"/>
      <c r="J925" s="19"/>
      <c r="K925" s="19"/>
    </row>
    <row r="926">
      <c r="F926" s="19"/>
      <c r="G926" s="19"/>
      <c r="H926" s="19"/>
      <c r="I926" s="19"/>
      <c r="J926" s="19"/>
      <c r="K926" s="19"/>
    </row>
    <row r="927">
      <c r="F927" s="19"/>
      <c r="G927" s="19"/>
      <c r="H927" s="19"/>
      <c r="I927" s="19"/>
      <c r="J927" s="19"/>
      <c r="K927" s="19"/>
    </row>
    <row r="928">
      <c r="F928" s="19"/>
      <c r="G928" s="19"/>
      <c r="H928" s="19"/>
      <c r="I928" s="19"/>
      <c r="J928" s="19"/>
      <c r="K928" s="19"/>
    </row>
    <row r="929">
      <c r="F929" s="19"/>
      <c r="G929" s="19"/>
      <c r="H929" s="19"/>
      <c r="I929" s="19"/>
      <c r="J929" s="19"/>
      <c r="K929" s="19"/>
    </row>
    <row r="930">
      <c r="F930" s="19"/>
      <c r="G930" s="19"/>
      <c r="H930" s="19"/>
      <c r="I930" s="19"/>
      <c r="J930" s="19"/>
      <c r="K930" s="19"/>
    </row>
    <row r="931">
      <c r="F931" s="19"/>
      <c r="G931" s="19"/>
      <c r="H931" s="19"/>
      <c r="I931" s="19"/>
      <c r="J931" s="19"/>
      <c r="K931" s="19"/>
    </row>
    <row r="932">
      <c r="F932" s="19"/>
      <c r="G932" s="19"/>
      <c r="H932" s="19"/>
      <c r="I932" s="19"/>
      <c r="J932" s="19"/>
      <c r="K932" s="19"/>
    </row>
    <row r="933">
      <c r="F933" s="19"/>
      <c r="G933" s="19"/>
      <c r="H933" s="19"/>
      <c r="I933" s="19"/>
      <c r="J933" s="19"/>
      <c r="K933" s="19"/>
    </row>
    <row r="934">
      <c r="F934" s="19"/>
      <c r="G934" s="19"/>
      <c r="H934" s="19"/>
      <c r="I934" s="19"/>
      <c r="J934" s="19"/>
      <c r="K934" s="19"/>
    </row>
    <row r="935">
      <c r="F935" s="19"/>
      <c r="G935" s="19"/>
      <c r="H935" s="19"/>
      <c r="I935" s="19"/>
      <c r="J935" s="19"/>
      <c r="K935" s="19"/>
    </row>
    <row r="936">
      <c r="F936" s="19"/>
      <c r="G936" s="19"/>
      <c r="H936" s="19"/>
      <c r="I936" s="19"/>
      <c r="J936" s="19"/>
      <c r="K936" s="19"/>
    </row>
    <row r="937">
      <c r="F937" s="19"/>
      <c r="G937" s="19"/>
      <c r="H937" s="19"/>
      <c r="I937" s="19"/>
      <c r="J937" s="19"/>
      <c r="K937" s="19"/>
    </row>
    <row r="938">
      <c r="F938" s="19"/>
      <c r="G938" s="19"/>
      <c r="H938" s="19"/>
      <c r="I938" s="19"/>
      <c r="J938" s="19"/>
      <c r="K938" s="19"/>
    </row>
    <row r="939">
      <c r="F939" s="19"/>
      <c r="G939" s="19"/>
      <c r="H939" s="19"/>
      <c r="I939" s="19"/>
      <c r="J939" s="19"/>
      <c r="K939" s="19"/>
    </row>
    <row r="940">
      <c r="F940" s="19"/>
      <c r="G940" s="19"/>
      <c r="H940" s="19"/>
      <c r="I940" s="19"/>
      <c r="J940" s="19"/>
      <c r="K940" s="19"/>
    </row>
    <row r="941">
      <c r="F941" s="19"/>
      <c r="G941" s="19"/>
      <c r="H941" s="19"/>
      <c r="I941" s="19"/>
      <c r="J941" s="19"/>
      <c r="K941" s="19"/>
    </row>
    <row r="942">
      <c r="F942" s="19"/>
      <c r="G942" s="19"/>
      <c r="H942" s="19"/>
      <c r="I942" s="19"/>
      <c r="J942" s="19"/>
      <c r="K942" s="19"/>
    </row>
    <row r="943">
      <c r="F943" s="19"/>
      <c r="G943" s="19"/>
      <c r="H943" s="19"/>
      <c r="I943" s="19"/>
      <c r="J943" s="19"/>
      <c r="K943" s="19"/>
    </row>
    <row r="944">
      <c r="F944" s="19"/>
      <c r="G944" s="19"/>
      <c r="H944" s="19"/>
      <c r="I944" s="19"/>
      <c r="J944" s="19"/>
      <c r="K944" s="19"/>
    </row>
    <row r="945">
      <c r="F945" s="19"/>
      <c r="G945" s="19"/>
      <c r="H945" s="19"/>
      <c r="I945" s="19"/>
      <c r="J945" s="19"/>
      <c r="K945" s="19"/>
    </row>
    <row r="946">
      <c r="F946" s="19"/>
      <c r="G946" s="19"/>
      <c r="H946" s="19"/>
      <c r="I946" s="19"/>
      <c r="J946" s="19"/>
      <c r="K946" s="19"/>
    </row>
    <row r="947">
      <c r="F947" s="19"/>
      <c r="G947" s="19"/>
      <c r="H947" s="19"/>
      <c r="I947" s="19"/>
      <c r="J947" s="19"/>
      <c r="K947" s="19"/>
    </row>
    <row r="948">
      <c r="F948" s="19"/>
      <c r="G948" s="19"/>
      <c r="H948" s="19"/>
      <c r="I948" s="19"/>
      <c r="J948" s="19"/>
      <c r="K948" s="19"/>
    </row>
    <row r="949">
      <c r="F949" s="19"/>
      <c r="G949" s="19"/>
      <c r="H949" s="19"/>
      <c r="I949" s="19"/>
      <c r="J949" s="19"/>
      <c r="K949" s="19"/>
    </row>
    <row r="950">
      <c r="F950" s="19"/>
      <c r="G950" s="19"/>
      <c r="H950" s="19"/>
      <c r="I950" s="19"/>
      <c r="J950" s="19"/>
      <c r="K950" s="19"/>
    </row>
    <row r="951">
      <c r="F951" s="19"/>
      <c r="G951" s="19"/>
      <c r="H951" s="19"/>
      <c r="I951" s="19"/>
      <c r="J951" s="19"/>
      <c r="K951" s="19"/>
    </row>
    <row r="952">
      <c r="F952" s="19"/>
      <c r="G952" s="19"/>
      <c r="H952" s="19"/>
      <c r="I952" s="19"/>
      <c r="J952" s="19"/>
      <c r="K952" s="19"/>
    </row>
    <row r="953">
      <c r="F953" s="19"/>
      <c r="G953" s="19"/>
      <c r="H953" s="19"/>
      <c r="I953" s="19"/>
      <c r="J953" s="19"/>
      <c r="K953" s="19"/>
    </row>
    <row r="954">
      <c r="F954" s="19"/>
      <c r="G954" s="19"/>
      <c r="H954" s="19"/>
      <c r="I954" s="19"/>
      <c r="J954" s="19"/>
      <c r="K954" s="19"/>
    </row>
    <row r="955">
      <c r="F955" s="19"/>
      <c r="G955" s="19"/>
      <c r="H955" s="19"/>
      <c r="I955" s="19"/>
      <c r="J955" s="19"/>
      <c r="K955" s="19"/>
    </row>
    <row r="956">
      <c r="F956" s="19"/>
      <c r="G956" s="19"/>
      <c r="H956" s="19"/>
      <c r="I956" s="19"/>
      <c r="J956" s="19"/>
      <c r="K956" s="19"/>
    </row>
    <row r="957">
      <c r="F957" s="19"/>
      <c r="G957" s="19"/>
      <c r="H957" s="19"/>
      <c r="I957" s="19"/>
      <c r="J957" s="19"/>
      <c r="K957" s="19"/>
    </row>
    <row r="958">
      <c r="F958" s="19"/>
      <c r="G958" s="19"/>
      <c r="H958" s="19"/>
      <c r="I958" s="19"/>
      <c r="J958" s="19"/>
      <c r="K958" s="19"/>
    </row>
    <row r="959">
      <c r="F959" s="19"/>
      <c r="G959" s="19"/>
      <c r="H959" s="19"/>
      <c r="I959" s="19"/>
      <c r="J959" s="19"/>
      <c r="K959" s="19"/>
    </row>
    <row r="960">
      <c r="F960" s="19"/>
      <c r="G960" s="19"/>
      <c r="H960" s="19"/>
      <c r="I960" s="19"/>
      <c r="J960" s="19"/>
      <c r="K960" s="19"/>
    </row>
    <row r="961">
      <c r="F961" s="19"/>
      <c r="G961" s="19"/>
      <c r="H961" s="19"/>
      <c r="I961" s="19"/>
      <c r="J961" s="19"/>
      <c r="K961" s="19"/>
    </row>
    <row r="962">
      <c r="F962" s="19"/>
      <c r="G962" s="19"/>
      <c r="H962" s="19"/>
      <c r="I962" s="19"/>
      <c r="J962" s="19"/>
      <c r="K962" s="19"/>
    </row>
    <row r="963">
      <c r="F963" s="19"/>
      <c r="G963" s="19"/>
      <c r="H963" s="19"/>
      <c r="I963" s="19"/>
      <c r="J963" s="19"/>
      <c r="K963" s="19"/>
    </row>
    <row r="964">
      <c r="F964" s="19"/>
      <c r="G964" s="19"/>
      <c r="H964" s="19"/>
      <c r="I964" s="19"/>
      <c r="J964" s="19"/>
      <c r="K964" s="19"/>
    </row>
    <row r="965">
      <c r="F965" s="19"/>
      <c r="G965" s="19"/>
      <c r="H965" s="19"/>
      <c r="I965" s="19"/>
      <c r="J965" s="19"/>
      <c r="K965" s="19"/>
    </row>
    <row r="966">
      <c r="F966" s="19"/>
      <c r="G966" s="19"/>
      <c r="H966" s="19"/>
      <c r="I966" s="19"/>
      <c r="J966" s="19"/>
      <c r="K966" s="19"/>
    </row>
    <row r="967">
      <c r="F967" s="19"/>
      <c r="G967" s="19"/>
      <c r="H967" s="19"/>
      <c r="I967" s="19"/>
      <c r="J967" s="19"/>
      <c r="K967" s="19"/>
    </row>
    <row r="968">
      <c r="F968" s="19"/>
      <c r="G968" s="19"/>
      <c r="H968" s="19"/>
      <c r="I968" s="19"/>
      <c r="J968" s="19"/>
      <c r="K968" s="19"/>
    </row>
    <row r="969">
      <c r="F969" s="19"/>
      <c r="G969" s="19"/>
      <c r="H969" s="19"/>
      <c r="I969" s="19"/>
      <c r="J969" s="19"/>
      <c r="K969" s="19"/>
    </row>
    <row r="970">
      <c r="F970" s="19"/>
      <c r="G970" s="19"/>
      <c r="H970" s="19"/>
      <c r="I970" s="19"/>
      <c r="J970" s="19"/>
      <c r="K970" s="19"/>
    </row>
    <row r="971">
      <c r="F971" s="19"/>
      <c r="G971" s="19"/>
      <c r="H971" s="19"/>
      <c r="I971" s="19"/>
      <c r="J971" s="19"/>
      <c r="K971" s="19"/>
    </row>
    <row r="972">
      <c r="F972" s="19"/>
      <c r="G972" s="19"/>
      <c r="H972" s="19"/>
      <c r="I972" s="19"/>
      <c r="J972" s="19"/>
      <c r="K972" s="19"/>
    </row>
    <row r="973">
      <c r="F973" s="19"/>
      <c r="G973" s="19"/>
      <c r="H973" s="19"/>
      <c r="I973" s="19"/>
      <c r="J973" s="19"/>
      <c r="K973" s="19"/>
    </row>
    <row r="974">
      <c r="F974" s="19"/>
      <c r="G974" s="19"/>
      <c r="H974" s="19"/>
      <c r="I974" s="19"/>
      <c r="J974" s="19"/>
      <c r="K974" s="19"/>
    </row>
    <row r="975">
      <c r="F975" s="19"/>
      <c r="G975" s="19"/>
      <c r="H975" s="19"/>
      <c r="I975" s="19"/>
      <c r="J975" s="19"/>
      <c r="K975" s="19"/>
    </row>
    <row r="976">
      <c r="F976" s="19"/>
      <c r="G976" s="19"/>
      <c r="H976" s="19"/>
      <c r="I976" s="19"/>
      <c r="J976" s="19"/>
      <c r="K976" s="19"/>
    </row>
    <row r="977">
      <c r="F977" s="19"/>
      <c r="G977" s="19"/>
      <c r="H977" s="19"/>
      <c r="I977" s="19"/>
      <c r="J977" s="19"/>
      <c r="K977" s="19"/>
    </row>
    <row r="978">
      <c r="F978" s="19"/>
      <c r="G978" s="19"/>
      <c r="H978" s="19"/>
      <c r="I978" s="19"/>
      <c r="J978" s="19"/>
      <c r="K978" s="19"/>
    </row>
    <row r="979">
      <c r="F979" s="19"/>
      <c r="G979" s="19"/>
      <c r="H979" s="19"/>
      <c r="I979" s="19"/>
      <c r="J979" s="19"/>
      <c r="K979" s="19"/>
    </row>
    <row r="980">
      <c r="F980" s="19"/>
      <c r="G980" s="19"/>
      <c r="H980" s="19"/>
      <c r="I980" s="19"/>
      <c r="J980" s="19"/>
      <c r="K980" s="19"/>
    </row>
    <row r="981">
      <c r="F981" s="19"/>
      <c r="G981" s="19"/>
      <c r="H981" s="19"/>
      <c r="I981" s="19"/>
      <c r="J981" s="19"/>
      <c r="K981" s="19"/>
    </row>
    <row r="982">
      <c r="F982" s="19"/>
      <c r="G982" s="19"/>
      <c r="H982" s="19"/>
      <c r="I982" s="19"/>
      <c r="J982" s="19"/>
      <c r="K982" s="19"/>
    </row>
    <row r="983">
      <c r="F983" s="19"/>
      <c r="G983" s="19"/>
      <c r="H983" s="19"/>
      <c r="I983" s="19"/>
      <c r="J983" s="19"/>
      <c r="K983" s="19"/>
    </row>
    <row r="984">
      <c r="F984" s="19"/>
      <c r="G984" s="19"/>
      <c r="H984" s="19"/>
      <c r="I984" s="19"/>
      <c r="J984" s="19"/>
      <c r="K984" s="19"/>
    </row>
    <row r="985">
      <c r="F985" s="19"/>
      <c r="G985" s="19"/>
      <c r="H985" s="19"/>
      <c r="I985" s="19"/>
      <c r="J985" s="19"/>
      <c r="K985" s="19"/>
    </row>
    <row r="986">
      <c r="F986" s="19"/>
      <c r="G986" s="19"/>
      <c r="H986" s="19"/>
      <c r="I986" s="19"/>
      <c r="J986" s="19"/>
      <c r="K986" s="19"/>
    </row>
    <row r="987">
      <c r="F987" s="19"/>
      <c r="G987" s="19"/>
      <c r="H987" s="19"/>
      <c r="I987" s="19"/>
      <c r="J987" s="19"/>
      <c r="K987" s="19"/>
    </row>
    <row r="988">
      <c r="F988" s="19"/>
      <c r="G988" s="19"/>
      <c r="H988" s="19"/>
      <c r="I988" s="19"/>
      <c r="J988" s="19"/>
      <c r="K988" s="19"/>
    </row>
    <row r="989">
      <c r="F989" s="19"/>
      <c r="G989" s="19"/>
      <c r="H989" s="19"/>
      <c r="I989" s="19"/>
      <c r="J989" s="19"/>
      <c r="K989" s="19"/>
    </row>
    <row r="990">
      <c r="F990" s="19"/>
      <c r="G990" s="19"/>
      <c r="H990" s="19"/>
      <c r="I990" s="19"/>
      <c r="J990" s="19"/>
      <c r="K990" s="19"/>
    </row>
    <row r="991">
      <c r="F991" s="19"/>
      <c r="G991" s="19"/>
      <c r="H991" s="19"/>
      <c r="I991" s="19"/>
      <c r="J991" s="19"/>
      <c r="K991" s="19"/>
    </row>
    <row r="992">
      <c r="F992" s="19"/>
      <c r="G992" s="19"/>
      <c r="H992" s="19"/>
      <c r="I992" s="19"/>
      <c r="J992" s="19"/>
      <c r="K992" s="19"/>
    </row>
    <row r="993">
      <c r="F993" s="19"/>
      <c r="G993" s="19"/>
      <c r="H993" s="19"/>
      <c r="I993" s="19"/>
      <c r="J993" s="19"/>
      <c r="K993" s="19"/>
    </row>
    <row r="994">
      <c r="F994" s="19"/>
      <c r="G994" s="19"/>
      <c r="H994" s="19"/>
      <c r="I994" s="19"/>
      <c r="J994" s="19"/>
      <c r="K994" s="19"/>
    </row>
    <row r="995">
      <c r="F995" s="19"/>
      <c r="G995" s="19"/>
      <c r="H995" s="19"/>
      <c r="I995" s="19"/>
      <c r="J995" s="19"/>
      <c r="K995" s="19"/>
    </row>
    <row r="996">
      <c r="F996" s="19"/>
      <c r="G996" s="19"/>
      <c r="H996" s="19"/>
      <c r="I996" s="19"/>
      <c r="J996" s="19"/>
      <c r="K996" s="19"/>
    </row>
    <row r="997">
      <c r="F997" s="19"/>
      <c r="G997" s="19"/>
      <c r="H997" s="19"/>
      <c r="I997" s="19"/>
      <c r="J997" s="19"/>
      <c r="K997" s="19"/>
    </row>
    <row r="998">
      <c r="F998" s="19"/>
      <c r="G998" s="19"/>
      <c r="H998" s="19"/>
      <c r="I998" s="19"/>
      <c r="J998" s="19"/>
      <c r="K998" s="19"/>
    </row>
    <row r="999">
      <c r="F999" s="19"/>
      <c r="G999" s="19"/>
      <c r="H999" s="19"/>
      <c r="I999" s="19"/>
      <c r="J999" s="19"/>
      <c r="K999" s="19"/>
    </row>
    <row r="1000">
      <c r="F1000" s="19"/>
      <c r="G1000" s="19"/>
      <c r="H1000" s="19"/>
      <c r="I1000" s="19"/>
      <c r="J1000" s="19"/>
      <c r="K1000" s="19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56" t="s">
        <v>3191</v>
      </c>
    </row>
    <row r="2">
      <c r="A2" s="257" t="s">
        <v>664</v>
      </c>
      <c r="B2" s="257" t="s">
        <v>9</v>
      </c>
      <c r="C2" s="257" t="s">
        <v>11</v>
      </c>
      <c r="D2" s="257" t="s">
        <v>12</v>
      </c>
      <c r="E2" s="257" t="s">
        <v>14</v>
      </c>
      <c r="F2" s="257" t="s">
        <v>15</v>
      </c>
      <c r="G2" s="257" t="s">
        <v>16</v>
      </c>
      <c r="H2" s="257" t="s">
        <v>18</v>
      </c>
      <c r="I2" s="257" t="s">
        <v>20</v>
      </c>
      <c r="J2" s="257" t="s">
        <v>23</v>
      </c>
      <c r="K2" s="257" t="s">
        <v>27</v>
      </c>
      <c r="L2" s="257" t="s">
        <v>30</v>
      </c>
    </row>
    <row r="3">
      <c r="A3" s="14" t="s">
        <v>3199</v>
      </c>
      <c r="B3" s="14" t="s">
        <v>3200</v>
      </c>
      <c r="C3" s="14" t="s">
        <v>3201</v>
      </c>
      <c r="D3" s="14" t="s">
        <v>716</v>
      </c>
      <c r="E3" s="14" t="s">
        <v>3202</v>
      </c>
      <c r="F3" s="14" t="s">
        <v>3203</v>
      </c>
      <c r="G3" s="14" t="s">
        <v>3204</v>
      </c>
      <c r="H3" s="14" t="s">
        <v>3205</v>
      </c>
      <c r="I3" s="14" t="s">
        <v>934</v>
      </c>
      <c r="J3" s="14" t="s">
        <v>3206</v>
      </c>
      <c r="K3" s="14" t="s">
        <v>3208</v>
      </c>
      <c r="L3" s="14" t="s">
        <v>3159</v>
      </c>
    </row>
    <row r="5">
      <c r="A5" s="256" t="s">
        <v>2954</v>
      </c>
      <c r="D5" s="256" t="s">
        <v>2956</v>
      </c>
    </row>
    <row r="6">
      <c r="A6" s="5" t="s">
        <v>3213</v>
      </c>
      <c r="B6" s="5" t="s">
        <v>3214</v>
      </c>
      <c r="D6" s="5" t="s">
        <v>3213</v>
      </c>
      <c r="E6" s="5" t="s">
        <v>3214</v>
      </c>
    </row>
    <row r="7">
      <c r="A7" s="258" t="s">
        <v>3208</v>
      </c>
      <c r="B7" s="14" t="s">
        <v>27</v>
      </c>
      <c r="D7" s="14" t="s">
        <v>3217</v>
      </c>
      <c r="E7" s="14" t="s">
        <v>664</v>
      </c>
    </row>
    <row r="8">
      <c r="A8" s="14" t="s">
        <v>934</v>
      </c>
      <c r="B8" s="14" t="s">
        <v>20</v>
      </c>
      <c r="D8" s="14" t="s">
        <v>3220</v>
      </c>
      <c r="E8" s="14" t="s">
        <v>9</v>
      </c>
    </row>
    <row r="9">
      <c r="A9" s="14" t="s">
        <v>3221</v>
      </c>
      <c r="B9" s="14" t="s">
        <v>23</v>
      </c>
      <c r="D9" s="14" t="s">
        <v>3222</v>
      </c>
      <c r="E9" s="14" t="s">
        <v>11</v>
      </c>
    </row>
    <row r="10">
      <c r="A10" s="258" t="s">
        <v>3226</v>
      </c>
      <c r="B10" s="14" t="s">
        <v>18</v>
      </c>
      <c r="D10" s="14" t="s">
        <v>3203</v>
      </c>
      <c r="E10" s="14" t="s">
        <v>15</v>
      </c>
    </row>
    <row r="11">
      <c r="A11" s="14" t="s">
        <v>739</v>
      </c>
      <c r="B11" s="14" t="s">
        <v>14</v>
      </c>
      <c r="D11" s="14" t="s">
        <v>3204</v>
      </c>
      <c r="E11" s="14" t="s">
        <v>16</v>
      </c>
    </row>
    <row r="12">
      <c r="A12" s="14" t="s">
        <v>3197</v>
      </c>
      <c r="B12" s="14" t="s">
        <v>12</v>
      </c>
      <c r="D12" s="14" t="s">
        <v>3159</v>
      </c>
      <c r="E12" s="14" t="s">
        <v>30</v>
      </c>
    </row>
    <row r="14">
      <c r="A14" s="256" t="s">
        <v>2996</v>
      </c>
      <c r="C14" s="5" t="s">
        <v>2999</v>
      </c>
      <c r="D14" s="256" t="s">
        <v>3126</v>
      </c>
      <c r="F14" s="5" t="s">
        <v>2999</v>
      </c>
      <c r="G14" s="256" t="s">
        <v>3234</v>
      </c>
      <c r="I14" s="5" t="s">
        <v>2999</v>
      </c>
    </row>
    <row r="15">
      <c r="A15" s="11" t="s">
        <v>3235</v>
      </c>
      <c r="C15" s="19"/>
      <c r="D15" s="11" t="s">
        <v>3235</v>
      </c>
      <c r="F15" s="19"/>
      <c r="G15" s="11" t="s">
        <v>3238</v>
      </c>
    </row>
    <row r="16">
      <c r="A16" s="14" t="s">
        <v>3240</v>
      </c>
      <c r="B16" s="259">
        <v>0.8333333333333334</v>
      </c>
      <c r="C16" s="14" t="s">
        <v>934</v>
      </c>
      <c r="D16" s="14" t="s">
        <v>3247</v>
      </c>
      <c r="E16" s="259">
        <v>0.8402777777777778</v>
      </c>
      <c r="F16" s="14" t="s">
        <v>3220</v>
      </c>
      <c r="G16" s="14" t="s">
        <v>3251</v>
      </c>
      <c r="H16" s="260">
        <v>0.8333333333333334</v>
      </c>
      <c r="I16" s="12" t="s">
        <v>3197</v>
      </c>
    </row>
    <row r="17">
      <c r="A17" s="14" t="s">
        <v>3257</v>
      </c>
      <c r="B17" s="259">
        <v>0.8472222222222222</v>
      </c>
      <c r="C17" s="14" t="s">
        <v>3260</v>
      </c>
      <c r="D17" s="14" t="s">
        <v>3262</v>
      </c>
      <c r="E17" s="259">
        <v>0.8541666666666666</v>
      </c>
      <c r="F17" s="14" t="s">
        <v>3263</v>
      </c>
      <c r="G17" s="14" t="s">
        <v>3264</v>
      </c>
      <c r="H17" s="260">
        <v>0.8472222222222222</v>
      </c>
      <c r="I17" s="12" t="s">
        <v>3221</v>
      </c>
    </row>
    <row r="18">
      <c r="A18" s="14" t="s">
        <v>3265</v>
      </c>
      <c r="B18" s="259">
        <v>0.8611111111111112</v>
      </c>
      <c r="C18" s="14" t="s">
        <v>3197</v>
      </c>
      <c r="D18" s="14" t="s">
        <v>3269</v>
      </c>
      <c r="E18" s="259">
        <v>0.8680555555555556</v>
      </c>
      <c r="F18" s="14" t="s">
        <v>3159</v>
      </c>
      <c r="G18" s="14" t="s">
        <v>3270</v>
      </c>
      <c r="H18" s="260">
        <v>0.8611111111111112</v>
      </c>
      <c r="I18" s="12" t="s">
        <v>739</v>
      </c>
    </row>
    <row r="19">
      <c r="A19" s="14" t="s">
        <v>3273</v>
      </c>
      <c r="B19" s="259">
        <v>0.875</v>
      </c>
      <c r="C19" s="14" t="s">
        <v>3221</v>
      </c>
      <c r="D19" s="14" t="s">
        <v>3274</v>
      </c>
      <c r="E19" s="259">
        <v>0.8819444444444444</v>
      </c>
      <c r="F19" s="14" t="s">
        <v>3217</v>
      </c>
      <c r="G19" s="14" t="s">
        <v>3275</v>
      </c>
      <c r="H19" s="260">
        <v>0.875</v>
      </c>
      <c r="I19" s="12" t="s">
        <v>934</v>
      </c>
    </row>
    <row r="20">
      <c r="A20" s="14" t="s">
        <v>3277</v>
      </c>
      <c r="B20" s="259">
        <v>0.8888888888888888</v>
      </c>
      <c r="C20" s="14" t="s">
        <v>739</v>
      </c>
      <c r="D20" s="14" t="s">
        <v>3279</v>
      </c>
      <c r="E20" s="259">
        <v>0.8958333333333334</v>
      </c>
      <c r="F20" s="14" t="s">
        <v>3220</v>
      </c>
    </row>
    <row r="21">
      <c r="A21" s="14" t="s">
        <v>3283</v>
      </c>
      <c r="B21" s="259">
        <v>0.9027777777777778</v>
      </c>
      <c r="C21" s="14" t="s">
        <v>3197</v>
      </c>
      <c r="D21" s="14" t="s">
        <v>3284</v>
      </c>
      <c r="E21" s="259">
        <v>0.9097222222222222</v>
      </c>
      <c r="F21" s="14" t="s">
        <v>3203</v>
      </c>
      <c r="G21" s="256" t="s">
        <v>3285</v>
      </c>
      <c r="I21" s="5" t="s">
        <v>2999</v>
      </c>
      <c r="J21" s="256" t="s">
        <v>3288</v>
      </c>
      <c r="L21" s="5" t="s">
        <v>2999</v>
      </c>
    </row>
    <row r="22">
      <c r="A22" s="14" t="s">
        <v>3289</v>
      </c>
      <c r="B22" s="259">
        <v>0.9166666666666666</v>
      </c>
      <c r="C22" s="14" t="s">
        <v>3208</v>
      </c>
      <c r="D22" s="14" t="s">
        <v>3290</v>
      </c>
      <c r="E22" s="259">
        <v>0.9236111111111112</v>
      </c>
      <c r="F22" s="14" t="s">
        <v>3204</v>
      </c>
      <c r="G22" s="11" t="s">
        <v>3238</v>
      </c>
      <c r="J22" s="11" t="s">
        <v>3294</v>
      </c>
    </row>
    <row r="23">
      <c r="A23" s="14" t="s">
        <v>3296</v>
      </c>
      <c r="B23" s="259">
        <v>0.9305555555555556</v>
      </c>
      <c r="C23" s="14" t="s">
        <v>3221</v>
      </c>
      <c r="D23" s="14" t="s">
        <v>3299</v>
      </c>
      <c r="E23" s="259">
        <v>0.9375</v>
      </c>
      <c r="F23" s="14" t="s">
        <v>3220</v>
      </c>
      <c r="G23" s="12" t="s">
        <v>3301</v>
      </c>
      <c r="H23" s="259">
        <v>0.8888888888888888</v>
      </c>
      <c r="I23" s="12" t="s">
        <v>3197</v>
      </c>
      <c r="J23" s="12" t="s">
        <v>3302</v>
      </c>
      <c r="K23" s="260">
        <v>0.8333333333333334</v>
      </c>
      <c r="L23" s="12" t="s">
        <v>934</v>
      </c>
    </row>
    <row r="24">
      <c r="A24" s="11" t="s">
        <v>3303</v>
      </c>
      <c r="C24" s="19"/>
      <c r="D24" s="11" t="s">
        <v>3303</v>
      </c>
      <c r="F24" s="19"/>
      <c r="G24" s="12" t="s">
        <v>3277</v>
      </c>
      <c r="H24" s="259">
        <v>0.9027777777777778</v>
      </c>
      <c r="I24" s="12" t="s">
        <v>934</v>
      </c>
    </row>
    <row r="25">
      <c r="A25" s="14" t="s">
        <v>3307</v>
      </c>
      <c r="B25" s="259">
        <v>0.8333333333333334</v>
      </c>
      <c r="C25" s="14" t="s">
        <v>3208</v>
      </c>
      <c r="D25" s="14" t="s">
        <v>3308</v>
      </c>
      <c r="E25" s="259">
        <v>0.8402777777777778</v>
      </c>
      <c r="F25" s="14" t="s">
        <v>3217</v>
      </c>
      <c r="G25" s="11" t="s">
        <v>3309</v>
      </c>
    </row>
    <row r="26">
      <c r="A26" s="14" t="s">
        <v>3310</v>
      </c>
      <c r="B26" s="259">
        <v>0.8472222222222222</v>
      </c>
      <c r="C26" s="14" t="s">
        <v>739</v>
      </c>
      <c r="D26" s="14" t="s">
        <v>3313</v>
      </c>
      <c r="E26" s="259">
        <v>0.8541666666666666</v>
      </c>
      <c r="F26" s="14" t="s">
        <v>3204</v>
      </c>
    </row>
    <row r="27">
      <c r="A27" s="14" t="s">
        <v>3317</v>
      </c>
      <c r="B27" s="259">
        <v>0.8611111111111112</v>
      </c>
      <c r="C27" s="14" t="s">
        <v>934</v>
      </c>
      <c r="D27" s="14" t="s">
        <v>3319</v>
      </c>
      <c r="E27" s="259">
        <v>0.8680555555555556</v>
      </c>
      <c r="F27" s="14" t="s">
        <v>3220</v>
      </c>
    </row>
    <row r="28">
      <c r="A28" s="14" t="s">
        <v>3322</v>
      </c>
      <c r="B28" s="259">
        <v>0.875</v>
      </c>
      <c r="C28" s="14" t="s">
        <v>3197</v>
      </c>
      <c r="D28" s="14" t="s">
        <v>3323</v>
      </c>
      <c r="E28" s="259">
        <v>0.8819444444444444</v>
      </c>
      <c r="F28" s="14" t="s">
        <v>3159</v>
      </c>
    </row>
    <row r="29">
      <c r="A29" s="14" t="s">
        <v>3325</v>
      </c>
      <c r="B29" s="259">
        <v>0.8888888888888888</v>
      </c>
      <c r="C29" s="14" t="s">
        <v>3260</v>
      </c>
      <c r="D29" s="14" t="s">
        <v>3327</v>
      </c>
      <c r="E29" s="259">
        <v>0.8958333333333334</v>
      </c>
      <c r="F29" s="14" t="s">
        <v>3217</v>
      </c>
    </row>
    <row r="30">
      <c r="A30" s="14" t="s">
        <v>3329</v>
      </c>
      <c r="B30" s="259">
        <v>0.9027777777777778</v>
      </c>
      <c r="C30" s="14" t="s">
        <v>3221</v>
      </c>
      <c r="D30" s="14" t="s">
        <v>3333</v>
      </c>
      <c r="E30" s="259">
        <v>0.9097222222222222</v>
      </c>
      <c r="F30" s="14" t="s">
        <v>3263</v>
      </c>
    </row>
    <row r="31">
      <c r="A31" s="14" t="s">
        <v>3334</v>
      </c>
      <c r="B31" s="259">
        <v>0.9166666666666666</v>
      </c>
      <c r="C31" s="14" t="s">
        <v>3197</v>
      </c>
      <c r="D31" s="14" t="s">
        <v>3335</v>
      </c>
      <c r="E31" s="259">
        <v>0.9236111111111112</v>
      </c>
      <c r="F31" s="14" t="s">
        <v>3220</v>
      </c>
    </row>
    <row r="32">
      <c r="A32" s="11" t="s">
        <v>3309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66" t="s">
        <v>3449</v>
      </c>
    </row>
    <row r="2">
      <c r="A2" s="85" t="s">
        <v>3451</v>
      </c>
    </row>
    <row r="3">
      <c r="A3" s="267" t="s">
        <v>3454</v>
      </c>
    </row>
    <row r="4">
      <c r="A4" s="14" t="s">
        <v>3213</v>
      </c>
      <c r="B4" s="14" t="s">
        <v>3214</v>
      </c>
      <c r="C4" s="14" t="s">
        <v>135</v>
      </c>
      <c r="D4" s="14" t="s">
        <v>3459</v>
      </c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61" t="s">
        <v>784</v>
      </c>
      <c r="B5" s="161" t="s">
        <v>30</v>
      </c>
      <c r="C5" s="161" t="s">
        <v>705</v>
      </c>
      <c r="D5" s="161" t="s">
        <v>3461</v>
      </c>
    </row>
    <row r="6">
      <c r="A6" s="161" t="s">
        <v>479</v>
      </c>
      <c r="B6" s="161" t="s">
        <v>11</v>
      </c>
      <c r="C6" s="161" t="s">
        <v>696</v>
      </c>
      <c r="D6" s="161" t="s">
        <v>3462</v>
      </c>
    </row>
    <row r="8">
      <c r="A8" s="85" t="s">
        <v>3463</v>
      </c>
    </row>
    <row r="9">
      <c r="A9" s="267" t="s">
        <v>3464</v>
      </c>
    </row>
    <row r="10">
      <c r="A10" s="14" t="s">
        <v>3213</v>
      </c>
      <c r="B10" s="14" t="s">
        <v>3214</v>
      </c>
      <c r="C10" s="14" t="s">
        <v>135</v>
      </c>
      <c r="D10" s="14" t="s">
        <v>3459</v>
      </c>
    </row>
    <row r="11">
      <c r="A11" s="161" t="s">
        <v>3465</v>
      </c>
      <c r="B11" s="161" t="s">
        <v>12</v>
      </c>
      <c r="C11" s="161" t="s">
        <v>705</v>
      </c>
      <c r="D11" s="161" t="s">
        <v>3466</v>
      </c>
    </row>
    <row r="12">
      <c r="A12" s="161" t="s">
        <v>755</v>
      </c>
      <c r="B12" s="161" t="s">
        <v>12</v>
      </c>
      <c r="C12" s="161" t="s">
        <v>696</v>
      </c>
      <c r="D12" s="161" t="s">
        <v>3467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68" t="s">
        <v>3468</v>
      </c>
    </row>
    <row r="2">
      <c r="A2" s="11" t="s">
        <v>664</v>
      </c>
      <c r="B2" s="11" t="s">
        <v>9</v>
      </c>
      <c r="C2" s="11" t="s">
        <v>27</v>
      </c>
      <c r="D2" s="11" t="s">
        <v>20</v>
      </c>
      <c r="E2" s="11" t="s">
        <v>30</v>
      </c>
      <c r="F2" s="11" t="s">
        <v>3469</v>
      </c>
    </row>
    <row r="3">
      <c r="A3" s="12" t="s">
        <v>2054</v>
      </c>
      <c r="B3" s="12" t="s">
        <v>1032</v>
      </c>
      <c r="C3" s="12" t="s">
        <v>2638</v>
      </c>
      <c r="D3" s="12" t="s">
        <v>2086</v>
      </c>
      <c r="E3" s="12" t="s">
        <v>3314</v>
      </c>
      <c r="F3" s="12" t="s">
        <v>242</v>
      </c>
    </row>
    <row r="4">
      <c r="A4" s="12" t="s">
        <v>2056</v>
      </c>
      <c r="B4" s="12" t="s">
        <v>1118</v>
      </c>
      <c r="C4" s="12" t="s">
        <v>3470</v>
      </c>
      <c r="D4" s="12" t="s">
        <v>1930</v>
      </c>
      <c r="E4" s="12" t="s">
        <v>3471</v>
      </c>
      <c r="F4" s="12" t="s">
        <v>1637</v>
      </c>
    </row>
    <row r="5">
      <c r="A5" s="12" t="s">
        <v>3472</v>
      </c>
      <c r="B5" s="12" t="s">
        <v>3473</v>
      </c>
      <c r="C5" s="12" t="s">
        <v>3474</v>
      </c>
      <c r="D5" s="12" t="s">
        <v>3475</v>
      </c>
      <c r="E5" s="12" t="s">
        <v>3326</v>
      </c>
      <c r="F5" s="12" t="s">
        <v>3476</v>
      </c>
    </row>
    <row r="6">
      <c r="A6" s="12" t="s">
        <v>3477</v>
      </c>
      <c r="B6" s="12" t="s">
        <v>1123</v>
      </c>
      <c r="C6" s="12" t="s">
        <v>2675</v>
      </c>
      <c r="D6" s="12" t="s">
        <v>3478</v>
      </c>
      <c r="E6" s="12" t="s">
        <v>3479</v>
      </c>
      <c r="F6" s="12" t="s">
        <v>3480</v>
      </c>
    </row>
    <row r="7">
      <c r="A7" s="12" t="s">
        <v>3481</v>
      </c>
      <c r="B7" s="12" t="s">
        <v>3482</v>
      </c>
      <c r="C7" s="12" t="s">
        <v>2610</v>
      </c>
      <c r="D7" s="12" t="s">
        <v>3483</v>
      </c>
      <c r="E7" s="12" t="s">
        <v>3450</v>
      </c>
      <c r="F7" s="12" t="s">
        <v>806</v>
      </c>
    </row>
    <row r="8">
      <c r="A8" s="12" t="s">
        <v>3484</v>
      </c>
      <c r="B8" s="12" t="s">
        <v>3485</v>
      </c>
      <c r="C8" s="12" t="s">
        <v>3486</v>
      </c>
      <c r="D8" s="12" t="s">
        <v>3487</v>
      </c>
      <c r="E8" s="12" t="s">
        <v>3488</v>
      </c>
      <c r="F8" s="12" t="s">
        <v>3489</v>
      </c>
      <c r="H8" s="79">
        <f>8+9+12+10+11+10+15+7+6+14+2+2</f>
        <v>106</v>
      </c>
    </row>
    <row r="9">
      <c r="A9" s="12" t="s">
        <v>3490</v>
      </c>
      <c r="B9" s="12" t="s">
        <v>3491</v>
      </c>
      <c r="C9" s="12" t="s">
        <v>3492</v>
      </c>
      <c r="D9" s="12" t="s">
        <v>3493</v>
      </c>
      <c r="E9" s="12" t="s">
        <v>3494</v>
      </c>
      <c r="F9" s="12" t="s">
        <v>3495</v>
      </c>
    </row>
    <row r="10">
      <c r="A10" s="12" t="s">
        <v>3496</v>
      </c>
      <c r="B10" s="12" t="s">
        <v>3497</v>
      </c>
      <c r="C10" s="12" t="s">
        <v>3498</v>
      </c>
      <c r="D10" s="12" t="s">
        <v>3499</v>
      </c>
      <c r="E10" s="12" t="s">
        <v>3500</v>
      </c>
      <c r="F10" s="12" t="s">
        <v>3501</v>
      </c>
    </row>
    <row r="11">
      <c r="B11" s="12" t="s">
        <v>3502</v>
      </c>
      <c r="C11" s="12" t="s">
        <v>3503</v>
      </c>
      <c r="D11" s="12" t="s">
        <v>3504</v>
      </c>
      <c r="E11" s="12" t="s">
        <v>3505</v>
      </c>
      <c r="F11" s="12" t="s">
        <v>3506</v>
      </c>
    </row>
    <row r="12">
      <c r="C12" s="12" t="s">
        <v>3507</v>
      </c>
      <c r="D12" s="12" t="s">
        <v>1278</v>
      </c>
      <c r="E12" s="12" t="s">
        <v>3508</v>
      </c>
      <c r="F12" s="12" t="s">
        <v>3509</v>
      </c>
    </row>
    <row r="13">
      <c r="C13" s="12" t="s">
        <v>3510</v>
      </c>
      <c r="E13" s="12" t="s">
        <v>3511</v>
      </c>
    </row>
    <row r="14">
      <c r="C14" s="12" t="s">
        <v>3512</v>
      </c>
    </row>
    <row r="16">
      <c r="A16" s="11" t="s">
        <v>18</v>
      </c>
      <c r="B16" s="11" t="s">
        <v>14</v>
      </c>
      <c r="C16" s="11" t="s">
        <v>29</v>
      </c>
      <c r="D16" s="11" t="s">
        <v>16</v>
      </c>
      <c r="E16" s="11" t="s">
        <v>581</v>
      </c>
      <c r="F16" s="11" t="s">
        <v>15</v>
      </c>
    </row>
    <row r="17">
      <c r="A17" s="12" t="s">
        <v>1810</v>
      </c>
      <c r="B17" s="12" t="s">
        <v>1360</v>
      </c>
      <c r="C17" s="12" t="s">
        <v>3513</v>
      </c>
      <c r="D17" s="12" t="s">
        <v>3514</v>
      </c>
      <c r="E17" s="12" t="s">
        <v>3515</v>
      </c>
      <c r="F17" s="12" t="s">
        <v>1480</v>
      </c>
    </row>
    <row r="18">
      <c r="A18" s="12" t="s">
        <v>1900</v>
      </c>
      <c r="B18" s="12" t="s">
        <v>1361</v>
      </c>
      <c r="C18" s="12" t="s">
        <v>3516</v>
      </c>
      <c r="D18" s="12" t="s">
        <v>1502</v>
      </c>
      <c r="E18" s="12" t="s">
        <v>3517</v>
      </c>
      <c r="F18" s="12" t="s">
        <v>1406</v>
      </c>
    </row>
    <row r="19">
      <c r="A19" s="12" t="s">
        <v>2078</v>
      </c>
      <c r="B19" s="12" t="s">
        <v>1299</v>
      </c>
      <c r="C19" s="12" t="s">
        <v>3518</v>
      </c>
      <c r="D19" s="12" t="s">
        <v>3519</v>
      </c>
      <c r="E19" s="12" t="s">
        <v>3520</v>
      </c>
    </row>
    <row r="20">
      <c r="A20" s="12" t="s">
        <v>3521</v>
      </c>
      <c r="B20" s="12" t="s">
        <v>3522</v>
      </c>
      <c r="C20" s="12" t="s">
        <v>3523</v>
      </c>
      <c r="D20" s="12" t="s">
        <v>3524</v>
      </c>
      <c r="E20" s="12" t="s">
        <v>3525</v>
      </c>
    </row>
    <row r="21">
      <c r="A21" s="12" t="s">
        <v>3526</v>
      </c>
      <c r="B21" s="12" t="s">
        <v>3527</v>
      </c>
      <c r="C21" s="12" t="s">
        <v>3528</v>
      </c>
      <c r="D21" s="12" t="s">
        <v>3529</v>
      </c>
    </row>
    <row r="22">
      <c r="A22" s="12" t="s">
        <v>3530</v>
      </c>
      <c r="B22" s="12" t="s">
        <v>3531</v>
      </c>
      <c r="C22" s="12" t="s">
        <v>3532</v>
      </c>
      <c r="D22" s="12" t="s">
        <v>3533</v>
      </c>
    </row>
    <row r="23">
      <c r="A23" s="12" t="s">
        <v>3534</v>
      </c>
      <c r="B23" s="12" t="s">
        <v>3535</v>
      </c>
      <c r="D23" s="12" t="s">
        <v>3536</v>
      </c>
    </row>
    <row r="24">
      <c r="A24" s="12" t="s">
        <v>3537</v>
      </c>
      <c r="D24" s="12" t="s">
        <v>3538</v>
      </c>
    </row>
    <row r="25">
      <c r="A25" s="12" t="s">
        <v>3539</v>
      </c>
      <c r="D25" s="12" t="s">
        <v>3540</v>
      </c>
    </row>
    <row r="26">
      <c r="A26" s="12" t="s">
        <v>3541</v>
      </c>
      <c r="D26" s="12" t="s">
        <v>3542</v>
      </c>
    </row>
    <row r="27">
      <c r="A27" s="12" t="s">
        <v>3543</v>
      </c>
      <c r="D27" s="12" t="s">
        <v>3544</v>
      </c>
    </row>
    <row r="28">
      <c r="A28" s="12" t="s">
        <v>3545</v>
      </c>
      <c r="D28" s="12" t="s">
        <v>3546</v>
      </c>
    </row>
    <row r="29">
      <c r="A29" s="12" t="s">
        <v>3547</v>
      </c>
      <c r="D29" s="12" t="s">
        <v>3548</v>
      </c>
    </row>
    <row r="30">
      <c r="A30" s="12" t="s">
        <v>3549</v>
      </c>
      <c r="D30" s="12" t="s">
        <v>3550</v>
      </c>
    </row>
    <row r="31">
      <c r="A31" s="12" t="s">
        <v>3551</v>
      </c>
    </row>
    <row r="33">
      <c r="A33" s="268" t="s">
        <v>3552</v>
      </c>
    </row>
    <row r="34">
      <c r="A34" s="85" t="s">
        <v>576</v>
      </c>
      <c r="B34" s="85" t="s">
        <v>577</v>
      </c>
      <c r="C34" s="85" t="s">
        <v>578</v>
      </c>
      <c r="D34" s="85" t="s">
        <v>579</v>
      </c>
      <c r="E34" s="85" t="s">
        <v>580</v>
      </c>
    </row>
    <row r="35">
      <c r="A35" s="58" t="s">
        <v>3553</v>
      </c>
      <c r="B35" s="58" t="s">
        <v>3554</v>
      </c>
      <c r="C35" s="58" t="s">
        <v>3555</v>
      </c>
      <c r="D35" s="58" t="s">
        <v>3556</v>
      </c>
      <c r="E35" s="58" t="s">
        <v>3557</v>
      </c>
    </row>
    <row r="36">
      <c r="A36" s="58" t="s">
        <v>3558</v>
      </c>
      <c r="B36" s="58" t="s">
        <v>3559</v>
      </c>
      <c r="C36" s="58" t="s">
        <v>3560</v>
      </c>
      <c r="D36" s="58" t="s">
        <v>3561</v>
      </c>
      <c r="E36" s="58" t="s">
        <v>3562</v>
      </c>
    </row>
    <row r="37">
      <c r="A37" s="12" t="s">
        <v>3563</v>
      </c>
      <c r="B37" s="12" t="s">
        <v>3564</v>
      </c>
      <c r="C37" s="12" t="s">
        <v>3565</v>
      </c>
      <c r="D37" s="12" t="s">
        <v>3566</v>
      </c>
      <c r="E37" s="12" t="s">
        <v>3567</v>
      </c>
    </row>
    <row r="38">
      <c r="A38" s="269" t="s">
        <v>3568</v>
      </c>
      <c r="B38" s="12" t="s">
        <v>3569</v>
      </c>
      <c r="C38" s="269" t="s">
        <v>3570</v>
      </c>
      <c r="D38" s="269" t="s">
        <v>3571</v>
      </c>
      <c r="E38" s="12" t="s">
        <v>3572</v>
      </c>
    </row>
    <row r="39">
      <c r="A39" s="12" t="s">
        <v>3573</v>
      </c>
      <c r="B39" s="12" t="s">
        <v>3574</v>
      </c>
      <c r="C39" s="12" t="s">
        <v>3575</v>
      </c>
      <c r="D39" s="12" t="s">
        <v>3576</v>
      </c>
      <c r="E39" s="12" t="s">
        <v>3577</v>
      </c>
    </row>
    <row r="40">
      <c r="A40" s="12" t="s">
        <v>3578</v>
      </c>
      <c r="B40" s="12" t="s">
        <v>3579</v>
      </c>
      <c r="C40" s="12" t="s">
        <v>3580</v>
      </c>
      <c r="D40" s="12" t="s">
        <v>3581</v>
      </c>
      <c r="E40" s="12" t="s">
        <v>3582</v>
      </c>
    </row>
    <row r="41">
      <c r="A41" s="12" t="s">
        <v>3583</v>
      </c>
      <c r="B41" s="269" t="s">
        <v>3584</v>
      </c>
      <c r="C41" s="12" t="s">
        <v>3585</v>
      </c>
      <c r="D41" s="12" t="s">
        <v>3586</v>
      </c>
      <c r="E41" s="12" t="s">
        <v>3587</v>
      </c>
    </row>
    <row r="42">
      <c r="A42" s="12" t="s">
        <v>3588</v>
      </c>
      <c r="B42" s="12" t="s">
        <v>3589</v>
      </c>
      <c r="C42" s="262" t="s">
        <v>3590</v>
      </c>
      <c r="D42" s="12" t="s">
        <v>3591</v>
      </c>
      <c r="E42" s="12" t="s">
        <v>3592</v>
      </c>
    </row>
    <row r="43">
      <c r="A43" s="12" t="s">
        <v>3593</v>
      </c>
      <c r="B43" s="12" t="s">
        <v>3594</v>
      </c>
      <c r="C43" s="12" t="s">
        <v>3595</v>
      </c>
      <c r="D43" s="12" t="s">
        <v>3596</v>
      </c>
      <c r="E43" s="12" t="s">
        <v>3597</v>
      </c>
    </row>
    <row r="44">
      <c r="A44" s="12" t="s">
        <v>3598</v>
      </c>
      <c r="B44" s="262" t="s">
        <v>3599</v>
      </c>
      <c r="C44" s="12" t="s">
        <v>3600</v>
      </c>
      <c r="D44" s="12" t="s">
        <v>3601</v>
      </c>
      <c r="E44" s="12" t="s">
        <v>3602</v>
      </c>
    </row>
    <row r="45">
      <c r="A45" s="12" t="s">
        <v>3603</v>
      </c>
      <c r="B45" s="12" t="s">
        <v>3604</v>
      </c>
      <c r="C45" s="12" t="s">
        <v>3606</v>
      </c>
      <c r="D45" s="12" t="s">
        <v>3607</v>
      </c>
      <c r="E45" s="12" t="s">
        <v>3608</v>
      </c>
    </row>
    <row r="46">
      <c r="A46" s="12" t="s">
        <v>3609</v>
      </c>
      <c r="B46" s="12" t="s">
        <v>3610</v>
      </c>
      <c r="C46" s="12" t="s">
        <v>3611</v>
      </c>
      <c r="D46" s="12" t="s">
        <v>3612</v>
      </c>
      <c r="E46" s="12" t="s">
        <v>3613</v>
      </c>
    </row>
    <row r="47">
      <c r="A47" s="12" t="s">
        <v>3614</v>
      </c>
      <c r="B47" s="12" t="s">
        <v>3615</v>
      </c>
      <c r="C47" s="12" t="s">
        <v>3616</v>
      </c>
      <c r="D47" s="262" t="s">
        <v>3617</v>
      </c>
      <c r="E47" s="12" t="s">
        <v>3618</v>
      </c>
    </row>
    <row r="48">
      <c r="A48" s="269" t="s">
        <v>3619</v>
      </c>
      <c r="B48" s="12" t="s">
        <v>3620</v>
      </c>
      <c r="C48" s="12" t="s">
        <v>3621</v>
      </c>
      <c r="D48" s="12" t="s">
        <v>3622</v>
      </c>
      <c r="E48" s="262" t="s">
        <v>3623</v>
      </c>
    </row>
    <row r="49">
      <c r="A49" s="12" t="s">
        <v>3624</v>
      </c>
      <c r="B49" s="269" t="s">
        <v>3625</v>
      </c>
      <c r="C49" s="12" t="s">
        <v>3626</v>
      </c>
      <c r="D49" s="269" t="s">
        <v>3627</v>
      </c>
      <c r="E49" s="12" t="s">
        <v>3628</v>
      </c>
    </row>
    <row r="50">
      <c r="A50" s="12" t="s">
        <v>3629</v>
      </c>
      <c r="B50" s="12" t="s">
        <v>3631</v>
      </c>
      <c r="C50" s="12" t="s">
        <v>3632</v>
      </c>
      <c r="D50" s="12" t="s">
        <v>3633</v>
      </c>
    </row>
    <row r="51">
      <c r="A51" s="12" t="s">
        <v>3634</v>
      </c>
      <c r="C51" s="12" t="s">
        <v>3635</v>
      </c>
      <c r="D51" s="12" t="s">
        <v>3636</v>
      </c>
    </row>
    <row r="52">
      <c r="D52" s="12" t="s">
        <v>3638</v>
      </c>
    </row>
    <row r="54">
      <c r="A54" s="219" t="s">
        <v>3640</v>
      </c>
    </row>
    <row r="55">
      <c r="A55" s="270" t="s">
        <v>2998</v>
      </c>
      <c r="B55" s="270" t="s">
        <v>3066</v>
      </c>
      <c r="C55" s="270" t="s">
        <v>2999</v>
      </c>
      <c r="D55" s="270" t="s">
        <v>85</v>
      </c>
      <c r="E55" s="270" t="s">
        <v>3069</v>
      </c>
      <c r="F55" s="270" t="s">
        <v>705</v>
      </c>
      <c r="G55" s="270" t="s">
        <v>696</v>
      </c>
    </row>
    <row r="56">
      <c r="A56" s="14" t="s">
        <v>3643</v>
      </c>
      <c r="B56" s="14" t="s">
        <v>3644</v>
      </c>
      <c r="C56" s="14" t="s">
        <v>576</v>
      </c>
      <c r="D56" s="14" t="s">
        <v>755</v>
      </c>
      <c r="E56" s="14" t="s">
        <v>3646</v>
      </c>
      <c r="F56" s="14" t="s">
        <v>3646</v>
      </c>
      <c r="G56" s="14" t="s">
        <v>3648</v>
      </c>
    </row>
    <row r="57">
      <c r="A57" s="14" t="s">
        <v>3649</v>
      </c>
      <c r="B57" s="14" t="s">
        <v>3644</v>
      </c>
      <c r="C57" s="14" t="s">
        <v>578</v>
      </c>
      <c r="D57" s="14" t="s">
        <v>716</v>
      </c>
      <c r="E57" s="14" t="s">
        <v>3652</v>
      </c>
      <c r="F57" s="14" t="s">
        <v>3653</v>
      </c>
      <c r="G57" s="14" t="s">
        <v>3655</v>
      </c>
    </row>
    <row r="58">
      <c r="A58" s="14" t="s">
        <v>3657</v>
      </c>
      <c r="B58" s="14" t="s">
        <v>3658</v>
      </c>
      <c r="C58" s="14" t="s">
        <v>580</v>
      </c>
      <c r="D58" s="14" t="s">
        <v>716</v>
      </c>
      <c r="E58" s="14" t="s">
        <v>3661</v>
      </c>
      <c r="F58" s="14" t="s">
        <v>3661</v>
      </c>
      <c r="G58" s="14" t="s">
        <v>3663</v>
      </c>
    </row>
    <row r="59">
      <c r="A59" s="14" t="s">
        <v>3665</v>
      </c>
      <c r="B59" s="14" t="s">
        <v>3667</v>
      </c>
      <c r="C59" s="14" t="s">
        <v>579</v>
      </c>
      <c r="D59" s="14" t="s">
        <v>3669</v>
      </c>
      <c r="E59" s="14" t="s">
        <v>3670</v>
      </c>
      <c r="F59" s="14" t="s">
        <v>3672</v>
      </c>
      <c r="G59" s="14" t="s">
        <v>3673</v>
      </c>
    </row>
    <row r="60">
      <c r="A60" s="14" t="s">
        <v>3675</v>
      </c>
      <c r="B60" s="14" t="s">
        <v>3667</v>
      </c>
      <c r="C60" s="14" t="s">
        <v>578</v>
      </c>
      <c r="D60" s="14" t="s">
        <v>3021</v>
      </c>
      <c r="E60" s="14" t="s">
        <v>3678</v>
      </c>
      <c r="F60" s="14" t="s">
        <v>3678</v>
      </c>
      <c r="G60" s="14" t="s">
        <v>3681</v>
      </c>
    </row>
    <row r="61">
      <c r="A61" s="14" t="s">
        <v>3682</v>
      </c>
      <c r="B61" s="14" t="s">
        <v>3683</v>
      </c>
      <c r="C61" s="14" t="s">
        <v>578</v>
      </c>
      <c r="D61" s="14" t="s">
        <v>755</v>
      </c>
      <c r="E61" s="14" t="s">
        <v>3678</v>
      </c>
      <c r="F61" s="14" t="s">
        <v>3678</v>
      </c>
      <c r="G61" s="14" t="s">
        <v>3655</v>
      </c>
    </row>
    <row r="62">
      <c r="A62" s="14" t="s">
        <v>3688</v>
      </c>
      <c r="B62" s="14" t="s">
        <v>3690</v>
      </c>
      <c r="C62" s="14" t="s">
        <v>580</v>
      </c>
      <c r="D62" s="14" t="s">
        <v>3691</v>
      </c>
      <c r="E62" s="14" t="s">
        <v>3693</v>
      </c>
      <c r="F62" s="14" t="s">
        <v>3694</v>
      </c>
      <c r="G62" s="14" t="s">
        <v>3696</v>
      </c>
    </row>
    <row r="63">
      <c r="A63" s="14" t="s">
        <v>3698</v>
      </c>
      <c r="B63" s="14" t="s">
        <v>3690</v>
      </c>
      <c r="C63" s="14" t="s">
        <v>579</v>
      </c>
      <c r="D63" s="14" t="s">
        <v>3701</v>
      </c>
      <c r="E63" s="14" t="s">
        <v>3673</v>
      </c>
      <c r="F63" s="14" t="s">
        <v>3703</v>
      </c>
      <c r="G63" s="14" t="s">
        <v>3678</v>
      </c>
    </row>
    <row r="64">
      <c r="A64" s="14" t="s">
        <v>3705</v>
      </c>
      <c r="B64" s="14" t="s">
        <v>3706</v>
      </c>
      <c r="C64" s="14" t="s">
        <v>577</v>
      </c>
      <c r="D64" s="14" t="s">
        <v>3082</v>
      </c>
      <c r="E64" s="14" t="s">
        <v>3708</v>
      </c>
      <c r="F64" s="14" t="s">
        <v>3710</v>
      </c>
      <c r="G64" s="14" t="s">
        <v>3712</v>
      </c>
    </row>
    <row r="65">
      <c r="A65" s="14" t="s">
        <v>3713</v>
      </c>
      <c r="B65" s="14" t="s">
        <v>3714</v>
      </c>
      <c r="C65" s="14" t="s">
        <v>579</v>
      </c>
      <c r="D65" s="14" t="s">
        <v>716</v>
      </c>
      <c r="E65" s="14" t="s">
        <v>3703</v>
      </c>
      <c r="F65" s="14" t="s">
        <v>3703</v>
      </c>
      <c r="G65" s="14" t="s">
        <v>3717</v>
      </c>
    </row>
    <row r="66">
      <c r="A66" s="14" t="s">
        <v>3718</v>
      </c>
      <c r="B66" s="14" t="s">
        <v>3714</v>
      </c>
      <c r="C66" s="14" t="s">
        <v>577</v>
      </c>
      <c r="D66" s="14" t="s">
        <v>3669</v>
      </c>
      <c r="E66" s="14" t="s">
        <v>3672</v>
      </c>
      <c r="F66" s="14" t="s">
        <v>3721</v>
      </c>
      <c r="G66" s="14" t="s">
        <v>3672</v>
      </c>
    </row>
    <row r="67">
      <c r="A67" s="14" t="s">
        <v>3722</v>
      </c>
      <c r="B67" s="14" t="s">
        <v>3724</v>
      </c>
      <c r="C67" s="14" t="s">
        <v>576</v>
      </c>
      <c r="D67" s="14" t="s">
        <v>3726</v>
      </c>
      <c r="E67" s="14" t="s">
        <v>3727</v>
      </c>
      <c r="F67" s="14" t="s">
        <v>3729</v>
      </c>
      <c r="G67" s="14" t="s">
        <v>3727</v>
      </c>
    </row>
    <row r="68">
      <c r="A68" s="14" t="s">
        <v>3730</v>
      </c>
      <c r="B68" s="14" t="s">
        <v>3731</v>
      </c>
      <c r="C68" s="14" t="s">
        <v>579</v>
      </c>
      <c r="D68" s="14" t="s">
        <v>3268</v>
      </c>
      <c r="E68" s="14" t="s">
        <v>3673</v>
      </c>
      <c r="F68" s="14" t="s">
        <v>3732</v>
      </c>
      <c r="G68" s="14" t="s">
        <v>3673</v>
      </c>
    </row>
    <row r="69">
      <c r="A69" s="14" t="s">
        <v>3733</v>
      </c>
      <c r="B69" s="14" t="s">
        <v>3731</v>
      </c>
      <c r="C69" s="14" t="s">
        <v>576</v>
      </c>
      <c r="D69" s="14" t="s">
        <v>3669</v>
      </c>
      <c r="E69" s="14" t="s">
        <v>3734</v>
      </c>
      <c r="F69" s="14" t="s">
        <v>3678</v>
      </c>
      <c r="G69" s="14" t="s">
        <v>3710</v>
      </c>
    </row>
    <row r="70">
      <c r="A70" s="14" t="s">
        <v>3735</v>
      </c>
      <c r="B70" s="14" t="s">
        <v>3736</v>
      </c>
      <c r="C70" s="14" t="s">
        <v>580</v>
      </c>
      <c r="D70" s="14" t="s">
        <v>3737</v>
      </c>
      <c r="E70" s="14" t="s">
        <v>3729</v>
      </c>
      <c r="F70" s="14" t="s">
        <v>3729</v>
      </c>
      <c r="G70" s="14" t="s">
        <v>3738</v>
      </c>
    </row>
    <row r="71">
      <c r="A71" s="14" t="s">
        <v>3739</v>
      </c>
      <c r="B71" s="14" t="s">
        <v>3740</v>
      </c>
      <c r="C71" s="14" t="s">
        <v>580</v>
      </c>
      <c r="D71" s="14" t="s">
        <v>716</v>
      </c>
      <c r="E71" s="14" t="s">
        <v>3738</v>
      </c>
      <c r="F71" s="14" t="s">
        <v>3741</v>
      </c>
      <c r="G71" s="14" t="s">
        <v>3738</v>
      </c>
    </row>
    <row r="72">
      <c r="A72" s="14" t="s">
        <v>3742</v>
      </c>
      <c r="B72" s="14" t="s">
        <v>3740</v>
      </c>
      <c r="C72" s="14" t="s">
        <v>579</v>
      </c>
      <c r="D72" s="14" t="s">
        <v>3743</v>
      </c>
      <c r="E72" s="14" t="s">
        <v>3717</v>
      </c>
      <c r="F72" s="14" t="s">
        <v>3745</v>
      </c>
      <c r="G72" s="14" t="s">
        <v>3717</v>
      </c>
    </row>
    <row r="73">
      <c r="A73" s="14" t="s">
        <v>3747</v>
      </c>
      <c r="B73" s="14" t="s">
        <v>3748</v>
      </c>
      <c r="C73" s="14" t="s">
        <v>576</v>
      </c>
      <c r="D73" s="14" t="s">
        <v>3669</v>
      </c>
      <c r="E73" s="14" t="s">
        <v>3710</v>
      </c>
      <c r="F73" s="14" t="s">
        <v>3710</v>
      </c>
      <c r="G73" s="14" t="s">
        <v>3750</v>
      </c>
    </row>
    <row r="74">
      <c r="A74" s="14" t="s">
        <v>3752</v>
      </c>
      <c r="B74" s="14" t="s">
        <v>3754</v>
      </c>
      <c r="C74" s="14" t="s">
        <v>578</v>
      </c>
      <c r="D74" s="14" t="s">
        <v>3737</v>
      </c>
      <c r="E74" s="14" t="s">
        <v>3652</v>
      </c>
      <c r="F74" s="14" t="s">
        <v>3652</v>
      </c>
      <c r="G74" s="14" t="s">
        <v>3678</v>
      </c>
    </row>
    <row r="75">
      <c r="A75" s="14" t="s">
        <v>3643</v>
      </c>
      <c r="B75" s="14" t="s">
        <v>3757</v>
      </c>
      <c r="C75" s="14" t="s">
        <v>579</v>
      </c>
      <c r="D75" s="14" t="s">
        <v>3669</v>
      </c>
      <c r="E75" s="14" t="s">
        <v>3745</v>
      </c>
      <c r="F75" s="14" t="s">
        <v>3745</v>
      </c>
      <c r="G75" s="14" t="s">
        <v>3760</v>
      </c>
    </row>
    <row r="76">
      <c r="A76" s="14" t="s">
        <v>3761</v>
      </c>
      <c r="B76" s="14" t="s">
        <v>3762</v>
      </c>
      <c r="C76" s="14" t="s">
        <v>580</v>
      </c>
      <c r="D76" s="14" t="s">
        <v>3256</v>
      </c>
      <c r="E76" s="14" t="s">
        <v>3738</v>
      </c>
      <c r="F76" s="14" t="s">
        <v>3764</v>
      </c>
      <c r="G76" s="14" t="s">
        <v>3738</v>
      </c>
    </row>
    <row r="77">
      <c r="A77" s="14" t="s">
        <v>3765</v>
      </c>
      <c r="B77" s="14" t="s">
        <v>3766</v>
      </c>
      <c r="C77" s="14" t="s">
        <v>579</v>
      </c>
      <c r="D77" s="14" t="s">
        <v>755</v>
      </c>
      <c r="E77" s="14" t="s">
        <v>3767</v>
      </c>
      <c r="F77" s="14" t="s">
        <v>3661</v>
      </c>
      <c r="G77" s="14" t="s">
        <v>3768</v>
      </c>
    </row>
    <row r="78">
      <c r="A78" s="19"/>
      <c r="B78" s="19"/>
      <c r="C78" s="19"/>
      <c r="D78" s="19"/>
      <c r="E78" s="19"/>
      <c r="F78" s="19"/>
      <c r="G78" s="19"/>
    </row>
    <row r="79">
      <c r="A79" s="271" t="s">
        <v>3771</v>
      </c>
      <c r="F79" s="19"/>
      <c r="G79" s="19"/>
    </row>
    <row r="80">
      <c r="A80" s="165" t="s">
        <v>627</v>
      </c>
      <c r="B80" s="165" t="s">
        <v>629</v>
      </c>
      <c r="C80" s="165" t="s">
        <v>631</v>
      </c>
      <c r="D80" s="165" t="s">
        <v>633</v>
      </c>
      <c r="E80" s="165" t="s">
        <v>3169</v>
      </c>
      <c r="F80" s="19"/>
      <c r="G80" s="19"/>
    </row>
    <row r="81">
      <c r="A81" s="14" t="s">
        <v>649</v>
      </c>
      <c r="B81" s="14" t="s">
        <v>650</v>
      </c>
      <c r="C81" s="14" t="s">
        <v>577</v>
      </c>
      <c r="D81" s="14" t="s">
        <v>12</v>
      </c>
      <c r="E81" s="14">
        <v>5000.0</v>
      </c>
      <c r="F81" s="19"/>
      <c r="G81" s="19"/>
    </row>
    <row r="82">
      <c r="A82" s="14" t="s">
        <v>661</v>
      </c>
      <c r="B82" s="14" t="s">
        <v>663</v>
      </c>
      <c r="C82" s="14" t="s">
        <v>577</v>
      </c>
      <c r="D82" s="14" t="s">
        <v>664</v>
      </c>
      <c r="E82" s="14">
        <v>5000.0</v>
      </c>
      <c r="F82" s="19"/>
      <c r="G82" s="19"/>
    </row>
    <row r="83">
      <c r="A83" s="14" t="s">
        <v>677</v>
      </c>
      <c r="B83" s="14" t="s">
        <v>679</v>
      </c>
      <c r="C83" s="14" t="s">
        <v>579</v>
      </c>
      <c r="D83" s="14" t="s">
        <v>18</v>
      </c>
      <c r="E83" s="14">
        <v>5000.0</v>
      </c>
      <c r="F83" s="19"/>
      <c r="G83" s="19"/>
    </row>
    <row r="84">
      <c r="A84" s="14" t="s">
        <v>696</v>
      </c>
      <c r="B84" s="14" t="s">
        <v>697</v>
      </c>
      <c r="C84" s="14" t="s">
        <v>580</v>
      </c>
      <c r="D84" s="14" t="s">
        <v>12</v>
      </c>
      <c r="E84" s="14">
        <v>10000.0</v>
      </c>
      <c r="F84" s="19"/>
      <c r="G84" s="19"/>
    </row>
    <row r="85">
      <c r="A85" s="14" t="s">
        <v>705</v>
      </c>
      <c r="B85" s="14" t="s">
        <v>708</v>
      </c>
      <c r="C85" s="14" t="s">
        <v>580</v>
      </c>
      <c r="D85" s="14" t="s">
        <v>16</v>
      </c>
      <c r="E85" s="14">
        <v>10000.0</v>
      </c>
      <c r="F85" s="19"/>
      <c r="G85" s="19"/>
    </row>
    <row r="86">
      <c r="A86" s="14" t="s">
        <v>720</v>
      </c>
      <c r="B86" s="14" t="s">
        <v>722</v>
      </c>
      <c r="C86" s="14" t="s">
        <v>578</v>
      </c>
      <c r="D86" s="14" t="s">
        <v>14</v>
      </c>
      <c r="E86" s="14">
        <v>20000.0</v>
      </c>
      <c r="F86" s="19"/>
      <c r="G86" s="19"/>
    </row>
    <row r="87">
      <c r="A87" s="14" t="s">
        <v>726</v>
      </c>
      <c r="B87" s="14" t="s">
        <v>580</v>
      </c>
      <c r="E87" s="14">
        <v>40000.0</v>
      </c>
      <c r="F87" s="19"/>
      <c r="G87" s="19"/>
    </row>
    <row r="88">
      <c r="A88" s="14" t="s">
        <v>446</v>
      </c>
      <c r="B88" s="14" t="s">
        <v>579</v>
      </c>
      <c r="E88" s="14">
        <v>80000.0</v>
      </c>
      <c r="F88" s="19"/>
      <c r="G88" s="19"/>
    </row>
    <row r="89">
      <c r="A89" s="19"/>
      <c r="B89" s="19"/>
      <c r="C89" s="19"/>
      <c r="D89" s="19"/>
      <c r="E89" s="19"/>
      <c r="F89" s="19"/>
      <c r="G89" s="19"/>
    </row>
    <row r="90">
      <c r="A90" s="19"/>
      <c r="B90" s="19"/>
      <c r="C90" s="19"/>
      <c r="D90" s="19"/>
      <c r="E90" s="19"/>
      <c r="F90" s="19"/>
      <c r="G90" s="19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87" t="s">
        <v>3605</v>
      </c>
    </row>
    <row r="2">
      <c r="A2" s="11" t="s">
        <v>664</v>
      </c>
      <c r="B2" s="11" t="s">
        <v>12</v>
      </c>
      <c r="C2" s="11" t="s">
        <v>9</v>
      </c>
      <c r="D2" s="11" t="s">
        <v>27</v>
      </c>
      <c r="E2" s="11" t="s">
        <v>14</v>
      </c>
      <c r="F2" s="11" t="s">
        <v>18</v>
      </c>
      <c r="G2" s="11" t="s">
        <v>23</v>
      </c>
    </row>
    <row r="3">
      <c r="A3" s="12" t="s">
        <v>2156</v>
      </c>
      <c r="B3" s="12" t="s">
        <v>1492</v>
      </c>
      <c r="C3" s="12" t="s">
        <v>149</v>
      </c>
      <c r="D3" s="12" t="s">
        <v>2638</v>
      </c>
      <c r="E3" s="12" t="s">
        <v>3630</v>
      </c>
      <c r="F3" s="12" t="s">
        <v>1810</v>
      </c>
      <c r="G3" s="12" t="s">
        <v>2545</v>
      </c>
    </row>
    <row r="4">
      <c r="A4" s="12" t="s">
        <v>2056</v>
      </c>
      <c r="B4" s="12" t="s">
        <v>3637</v>
      </c>
      <c r="C4" s="12" t="s">
        <v>3639</v>
      </c>
      <c r="D4" s="12" t="s">
        <v>3641</v>
      </c>
      <c r="E4" s="12" t="s">
        <v>1667</v>
      </c>
      <c r="F4" s="12" t="s">
        <v>2394</v>
      </c>
      <c r="G4" s="12" t="s">
        <v>2612</v>
      </c>
    </row>
    <row r="5">
      <c r="A5" s="12" t="s">
        <v>2071</v>
      </c>
      <c r="B5" s="12" t="s">
        <v>291</v>
      </c>
      <c r="C5" s="12" t="s">
        <v>3642</v>
      </c>
      <c r="D5" s="12" t="s">
        <v>2640</v>
      </c>
      <c r="E5" s="12" t="s">
        <v>1232</v>
      </c>
      <c r="F5" s="12" t="s">
        <v>2135</v>
      </c>
      <c r="G5" s="12" t="s">
        <v>3645</v>
      </c>
    </row>
    <row r="6">
      <c r="A6" s="12" t="s">
        <v>3647</v>
      </c>
      <c r="B6" s="12" t="s">
        <v>1187</v>
      </c>
      <c r="C6" s="12" t="s">
        <v>3650</v>
      </c>
      <c r="D6" s="12" t="s">
        <v>2675</v>
      </c>
      <c r="E6" s="12" t="s">
        <v>3651</v>
      </c>
      <c r="F6" s="12" t="s">
        <v>3654</v>
      </c>
      <c r="G6" s="12" t="s">
        <v>3656</v>
      </c>
    </row>
    <row r="7">
      <c r="A7" s="12" t="s">
        <v>3659</v>
      </c>
      <c r="B7" s="12" t="s">
        <v>3660</v>
      </c>
      <c r="C7" s="12" t="s">
        <v>3662</v>
      </c>
      <c r="D7" s="12" t="s">
        <v>3664</v>
      </c>
      <c r="E7" s="12" t="s">
        <v>3666</v>
      </c>
      <c r="F7" s="12" t="s">
        <v>3668</v>
      </c>
      <c r="G7" s="12" t="s">
        <v>3671</v>
      </c>
    </row>
    <row r="8">
      <c r="A8" s="12" t="s">
        <v>3674</v>
      </c>
      <c r="C8" s="12" t="s">
        <v>3676</v>
      </c>
      <c r="D8" s="12" t="s">
        <v>3486</v>
      </c>
      <c r="E8" s="12" t="s">
        <v>3677</v>
      </c>
      <c r="F8" s="12" t="s">
        <v>3679</v>
      </c>
      <c r="G8" s="12" t="s">
        <v>3680</v>
      </c>
    </row>
    <row r="9">
      <c r="A9" s="12" t="s">
        <v>3684</v>
      </c>
      <c r="C9" s="12" t="s">
        <v>3685</v>
      </c>
      <c r="D9" s="12" t="s">
        <v>3686</v>
      </c>
      <c r="E9" s="12" t="s">
        <v>3535</v>
      </c>
      <c r="F9" s="12" t="s">
        <v>3687</v>
      </c>
      <c r="G9" s="12" t="s">
        <v>3689</v>
      </c>
    </row>
    <row r="10">
      <c r="A10" s="12" t="s">
        <v>3692</v>
      </c>
      <c r="C10" s="12" t="s">
        <v>3695</v>
      </c>
      <c r="D10" s="12" t="s">
        <v>3697</v>
      </c>
      <c r="E10" s="12" t="s">
        <v>3699</v>
      </c>
      <c r="F10" s="12" t="s">
        <v>3700</v>
      </c>
      <c r="G10" s="12" t="s">
        <v>3702</v>
      </c>
    </row>
    <row r="11">
      <c r="A11" s="12" t="s">
        <v>3704</v>
      </c>
      <c r="C11" s="12" t="s">
        <v>1161</v>
      </c>
      <c r="D11" s="12" t="s">
        <v>3707</v>
      </c>
      <c r="F11" s="12" t="s">
        <v>3709</v>
      </c>
      <c r="G11" s="12" t="s">
        <v>3711</v>
      </c>
    </row>
    <row r="12">
      <c r="C12" s="12" t="s">
        <v>3715</v>
      </c>
      <c r="D12" s="12" t="s">
        <v>3716</v>
      </c>
      <c r="F12" s="12" t="s">
        <v>3541</v>
      </c>
    </row>
    <row r="13">
      <c r="C13" s="12" t="s">
        <v>3719</v>
      </c>
      <c r="D13" s="12" t="s">
        <v>3720</v>
      </c>
      <c r="F13" s="12" t="s">
        <v>3543</v>
      </c>
    </row>
    <row r="14">
      <c r="C14" s="12" t="s">
        <v>3723</v>
      </c>
      <c r="D14" s="12" t="s">
        <v>3725</v>
      </c>
      <c r="F14" s="12" t="s">
        <v>3728</v>
      </c>
      <c r="H14" s="79">
        <f>9+5+14+15+8+19+9+8+10+2+16+10+12</f>
        <v>137</v>
      </c>
    </row>
    <row r="15">
      <c r="C15" s="12" t="s">
        <v>3744</v>
      </c>
      <c r="D15" s="12" t="s">
        <v>3746</v>
      </c>
      <c r="F15" s="12" t="s">
        <v>2798</v>
      </c>
    </row>
    <row r="16">
      <c r="C16" s="12" t="s">
        <v>3749</v>
      </c>
      <c r="D16" s="12" t="s">
        <v>3751</v>
      </c>
      <c r="F16" s="12" t="s">
        <v>3753</v>
      </c>
    </row>
    <row r="17">
      <c r="D17" s="12" t="s">
        <v>3755</v>
      </c>
      <c r="F17" s="12" t="s">
        <v>3756</v>
      </c>
    </row>
    <row r="18">
      <c r="F18" s="12" t="s">
        <v>3758</v>
      </c>
    </row>
    <row r="19">
      <c r="F19" s="12" t="s">
        <v>3759</v>
      </c>
    </row>
    <row r="20">
      <c r="F20" s="12" t="s">
        <v>2002</v>
      </c>
    </row>
    <row r="21">
      <c r="F21" s="12" t="s">
        <v>3763</v>
      </c>
    </row>
    <row r="23">
      <c r="A23" s="11" t="s">
        <v>29</v>
      </c>
      <c r="B23" s="11" t="s">
        <v>16</v>
      </c>
      <c r="C23" s="11" t="s">
        <v>15</v>
      </c>
      <c r="D23" s="11" t="s">
        <v>11</v>
      </c>
      <c r="E23" s="11" t="s">
        <v>30</v>
      </c>
      <c r="F23" s="11" t="s">
        <v>3769</v>
      </c>
    </row>
    <row r="24">
      <c r="A24" s="12" t="s">
        <v>3770</v>
      </c>
      <c r="B24" s="12" t="s">
        <v>3514</v>
      </c>
      <c r="C24" s="12" t="s">
        <v>1629</v>
      </c>
      <c r="D24" s="12" t="s">
        <v>102</v>
      </c>
      <c r="E24" s="12" t="s">
        <v>3357</v>
      </c>
      <c r="F24" s="12" t="s">
        <v>3772</v>
      </c>
    </row>
    <row r="25">
      <c r="A25" s="12" t="s">
        <v>3516</v>
      </c>
      <c r="B25" s="12" t="s">
        <v>1502</v>
      </c>
      <c r="C25" s="12" t="s">
        <v>3773</v>
      </c>
      <c r="D25" s="12" t="s">
        <v>3774</v>
      </c>
      <c r="E25" s="12" t="s">
        <v>3024</v>
      </c>
      <c r="F25" s="12" t="s">
        <v>3775</v>
      </c>
    </row>
    <row r="26">
      <c r="A26" s="12" t="s">
        <v>3776</v>
      </c>
      <c r="B26" s="12" t="s">
        <v>3519</v>
      </c>
      <c r="D26" s="12" t="s">
        <v>3777</v>
      </c>
      <c r="E26" s="12" t="s">
        <v>3778</v>
      </c>
      <c r="F26" s="12" t="s">
        <v>3779</v>
      </c>
    </row>
    <row r="27">
      <c r="A27" s="12" t="s">
        <v>3780</v>
      </c>
      <c r="B27" s="12" t="s">
        <v>3781</v>
      </c>
      <c r="D27" s="12" t="s">
        <v>3782</v>
      </c>
      <c r="E27" s="12" t="s">
        <v>3783</v>
      </c>
      <c r="F27" s="12" t="s">
        <v>3784</v>
      </c>
    </row>
    <row r="28">
      <c r="A28" s="12" t="s">
        <v>3785</v>
      </c>
      <c r="B28" s="12" t="s">
        <v>3786</v>
      </c>
      <c r="D28" s="12" t="s">
        <v>3787</v>
      </c>
      <c r="E28" s="12" t="s">
        <v>3788</v>
      </c>
      <c r="F28" s="12" t="s">
        <v>3789</v>
      </c>
    </row>
    <row r="29">
      <c r="A29" s="12" t="s">
        <v>3790</v>
      </c>
      <c r="B29" s="12" t="s">
        <v>3791</v>
      </c>
      <c r="D29" s="12" t="s">
        <v>3792</v>
      </c>
      <c r="E29" s="12" t="s">
        <v>3793</v>
      </c>
      <c r="F29" s="12" t="s">
        <v>3794</v>
      </c>
    </row>
    <row r="30">
      <c r="A30" s="12" t="s">
        <v>3795</v>
      </c>
      <c r="B30" s="12" t="s">
        <v>3796</v>
      </c>
      <c r="D30" s="12" t="s">
        <v>3797</v>
      </c>
      <c r="E30" s="12" t="s">
        <v>3494</v>
      </c>
      <c r="F30" s="12" t="s">
        <v>3798</v>
      </c>
    </row>
    <row r="31">
      <c r="A31" s="12" t="s">
        <v>3799</v>
      </c>
      <c r="B31" s="12" t="s">
        <v>3800</v>
      </c>
      <c r="D31" s="12" t="s">
        <v>3801</v>
      </c>
      <c r="E31" s="12" t="s">
        <v>3802</v>
      </c>
      <c r="F31" s="12" t="s">
        <v>3803</v>
      </c>
    </row>
    <row r="32">
      <c r="B32" s="12" t="s">
        <v>3804</v>
      </c>
      <c r="D32" s="12" t="s">
        <v>3805</v>
      </c>
      <c r="E32" s="12" t="s">
        <v>3806</v>
      </c>
      <c r="F32" s="12" t="s">
        <v>3807</v>
      </c>
    </row>
    <row r="33">
      <c r="B33" s="12" t="s">
        <v>3808</v>
      </c>
      <c r="D33" s="12" t="s">
        <v>3809</v>
      </c>
      <c r="E33" s="12" t="s">
        <v>3810</v>
      </c>
      <c r="F33" s="12" t="s">
        <v>3811</v>
      </c>
    </row>
    <row r="34">
      <c r="D34" s="12" t="s">
        <v>3812</v>
      </c>
      <c r="F34" s="12" t="s">
        <v>3813</v>
      </c>
    </row>
    <row r="35">
      <c r="D35" s="12" t="s">
        <v>3814</v>
      </c>
      <c r="F35" s="12" t="s">
        <v>3815</v>
      </c>
    </row>
    <row r="36">
      <c r="D36" s="12" t="s">
        <v>3816</v>
      </c>
    </row>
    <row r="37">
      <c r="D37" s="12" t="s">
        <v>3817</v>
      </c>
    </row>
    <row r="38">
      <c r="D38" s="12" t="s">
        <v>3818</v>
      </c>
    </row>
    <row r="39">
      <c r="D39" s="12" t="s">
        <v>3819</v>
      </c>
    </row>
    <row r="43">
      <c r="A43" s="87" t="s">
        <v>3820</v>
      </c>
    </row>
    <row r="44">
      <c r="A44" s="85" t="s">
        <v>592</v>
      </c>
      <c r="B44" s="85" t="s">
        <v>593</v>
      </c>
      <c r="C44" s="85" t="s">
        <v>594</v>
      </c>
      <c r="D44" s="85" t="s">
        <v>595</v>
      </c>
      <c r="E44" s="85" t="s">
        <v>596</v>
      </c>
      <c r="F44" s="85" t="s">
        <v>597</v>
      </c>
    </row>
    <row r="45">
      <c r="A45" s="12" t="s">
        <v>3821</v>
      </c>
      <c r="B45" s="12" t="s">
        <v>3822</v>
      </c>
      <c r="C45" s="12" t="s">
        <v>3823</v>
      </c>
      <c r="D45" s="12" t="s">
        <v>3824</v>
      </c>
      <c r="E45" s="12" t="s">
        <v>3825</v>
      </c>
      <c r="F45" s="12" t="s">
        <v>3826</v>
      </c>
    </row>
    <row r="46">
      <c r="A46" s="12" t="s">
        <v>3827</v>
      </c>
      <c r="B46" s="12" t="s">
        <v>3828</v>
      </c>
      <c r="C46" s="12" t="s">
        <v>3829</v>
      </c>
      <c r="D46" s="12" t="s">
        <v>3830</v>
      </c>
      <c r="E46" s="12" t="s">
        <v>3831</v>
      </c>
      <c r="F46" s="12" t="s">
        <v>3832</v>
      </c>
    </row>
    <row r="47">
      <c r="A47" s="12" t="s">
        <v>3833</v>
      </c>
      <c r="B47" s="12" t="s">
        <v>3834</v>
      </c>
      <c r="C47" s="12" t="s">
        <v>3835</v>
      </c>
      <c r="D47" s="12" t="s">
        <v>3836</v>
      </c>
      <c r="E47" s="12" t="s">
        <v>3837</v>
      </c>
      <c r="F47" s="12" t="s">
        <v>3838</v>
      </c>
    </row>
    <row r="48">
      <c r="A48" s="12" t="s">
        <v>3839</v>
      </c>
      <c r="B48" s="12" t="s">
        <v>3840</v>
      </c>
      <c r="C48" s="12" t="s">
        <v>3841</v>
      </c>
      <c r="D48" s="12" t="s">
        <v>3842</v>
      </c>
      <c r="E48" s="12" t="s">
        <v>3843</v>
      </c>
      <c r="F48" s="12" t="s">
        <v>3844</v>
      </c>
    </row>
    <row r="49">
      <c r="A49" s="12" t="s">
        <v>3845</v>
      </c>
      <c r="B49" s="12" t="s">
        <v>3846</v>
      </c>
      <c r="C49" s="12" t="s">
        <v>3847</v>
      </c>
      <c r="D49" s="12" t="s">
        <v>3848</v>
      </c>
      <c r="E49" s="12" t="s">
        <v>3849</v>
      </c>
      <c r="F49" s="12" t="s">
        <v>3850</v>
      </c>
    </row>
    <row r="50">
      <c r="A50" s="12" t="s">
        <v>3851</v>
      </c>
      <c r="B50" s="12" t="s">
        <v>3852</v>
      </c>
      <c r="C50" s="12" t="s">
        <v>3853</v>
      </c>
      <c r="D50" s="12" t="s">
        <v>3854</v>
      </c>
      <c r="E50" s="12" t="s">
        <v>3855</v>
      </c>
      <c r="F50" s="12" t="s">
        <v>3856</v>
      </c>
    </row>
    <row r="51">
      <c r="A51" s="12" t="s">
        <v>3857</v>
      </c>
      <c r="B51" s="12" t="s">
        <v>3858</v>
      </c>
      <c r="C51" s="12" t="s">
        <v>3859</v>
      </c>
      <c r="D51" s="12" t="s">
        <v>3860</v>
      </c>
      <c r="E51" s="12" t="s">
        <v>3861</v>
      </c>
      <c r="F51" s="12" t="s">
        <v>3862</v>
      </c>
    </row>
    <row r="52">
      <c r="A52" s="12" t="s">
        <v>3863</v>
      </c>
      <c r="B52" s="12" t="s">
        <v>3864</v>
      </c>
      <c r="C52" s="12" t="s">
        <v>3865</v>
      </c>
      <c r="D52" s="12" t="s">
        <v>3866</v>
      </c>
      <c r="E52" s="12" t="s">
        <v>3867</v>
      </c>
      <c r="F52" s="12" t="s">
        <v>3868</v>
      </c>
    </row>
    <row r="53">
      <c r="A53" s="12" t="s">
        <v>3869</v>
      </c>
      <c r="B53" s="12" t="s">
        <v>3870</v>
      </c>
      <c r="C53" s="12" t="s">
        <v>3871</v>
      </c>
      <c r="D53" s="12" t="s">
        <v>3872</v>
      </c>
      <c r="E53" s="12" t="s">
        <v>3873</v>
      </c>
      <c r="F53" s="12" t="s">
        <v>3874</v>
      </c>
    </row>
    <row r="54">
      <c r="A54" s="12" t="s">
        <v>3875</v>
      </c>
      <c r="B54" s="12" t="s">
        <v>3876</v>
      </c>
      <c r="C54" s="12" t="s">
        <v>3877</v>
      </c>
      <c r="D54" s="12" t="s">
        <v>3878</v>
      </c>
      <c r="E54" s="12" t="s">
        <v>3879</v>
      </c>
      <c r="F54" s="12" t="s">
        <v>3880</v>
      </c>
    </row>
    <row r="55">
      <c r="A55" s="12" t="s">
        <v>3881</v>
      </c>
      <c r="B55" s="12" t="s">
        <v>3882</v>
      </c>
      <c r="C55" s="12" t="s">
        <v>3883</v>
      </c>
      <c r="D55" s="12" t="s">
        <v>3884</v>
      </c>
      <c r="E55" s="12" t="s">
        <v>3885</v>
      </c>
      <c r="F55" s="12" t="s">
        <v>3886</v>
      </c>
    </row>
    <row r="56">
      <c r="A56" s="12" t="s">
        <v>3887</v>
      </c>
      <c r="B56" s="12" t="s">
        <v>3888</v>
      </c>
      <c r="C56" s="12" t="s">
        <v>3889</v>
      </c>
      <c r="D56" s="12" t="s">
        <v>3890</v>
      </c>
      <c r="E56" s="12" t="s">
        <v>3891</v>
      </c>
      <c r="F56" s="12" t="s">
        <v>3892</v>
      </c>
    </row>
    <row r="57">
      <c r="A57" s="12" t="s">
        <v>3893</v>
      </c>
      <c r="B57" s="12" t="s">
        <v>3894</v>
      </c>
      <c r="C57" s="12" t="s">
        <v>3895</v>
      </c>
      <c r="D57" s="12" t="s">
        <v>3896</v>
      </c>
      <c r="E57" s="12" t="s">
        <v>3897</v>
      </c>
      <c r="F57" s="12" t="s">
        <v>3898</v>
      </c>
    </row>
    <row r="58">
      <c r="A58" s="12" t="s">
        <v>3899</v>
      </c>
      <c r="B58" s="12" t="s">
        <v>3900</v>
      </c>
      <c r="C58" s="12" t="s">
        <v>3901</v>
      </c>
      <c r="D58" s="12" t="s">
        <v>3902</v>
      </c>
      <c r="E58" s="12" t="s">
        <v>3903</v>
      </c>
      <c r="F58" s="12" t="s">
        <v>3904</v>
      </c>
    </row>
    <row r="59">
      <c r="A59" s="12" t="s">
        <v>3905</v>
      </c>
      <c r="B59" s="12" t="s">
        <v>3906</v>
      </c>
      <c r="C59" s="12" t="s">
        <v>3907</v>
      </c>
      <c r="D59" s="12" t="s">
        <v>3908</v>
      </c>
      <c r="E59" s="12" t="s">
        <v>3909</v>
      </c>
      <c r="F59" s="12" t="s">
        <v>3910</v>
      </c>
    </row>
    <row r="60">
      <c r="A60" s="12" t="s">
        <v>3911</v>
      </c>
      <c r="B60" s="12" t="s">
        <v>3912</v>
      </c>
      <c r="C60" s="12" t="s">
        <v>3913</v>
      </c>
      <c r="D60" s="12" t="s">
        <v>3914</v>
      </c>
      <c r="E60" s="12" t="s">
        <v>3915</v>
      </c>
      <c r="F60" s="12" t="s">
        <v>3916</v>
      </c>
    </row>
    <row r="61">
      <c r="A61" s="12" t="s">
        <v>3917</v>
      </c>
      <c r="B61" s="12" t="s">
        <v>3918</v>
      </c>
      <c r="C61" s="12" t="s">
        <v>3919</v>
      </c>
      <c r="D61" s="12" t="s">
        <v>3920</v>
      </c>
      <c r="E61" s="12" t="s">
        <v>3921</v>
      </c>
      <c r="F61" s="12" t="s">
        <v>3922</v>
      </c>
    </row>
    <row r="62">
      <c r="A62" s="12" t="s">
        <v>3923</v>
      </c>
      <c r="B62" s="12" t="s">
        <v>3924</v>
      </c>
      <c r="C62" s="12" t="s">
        <v>3925</v>
      </c>
      <c r="D62" s="12" t="s">
        <v>3926</v>
      </c>
      <c r="E62" s="12" t="s">
        <v>3927</v>
      </c>
      <c r="F62" s="12" t="s">
        <v>3928</v>
      </c>
    </row>
    <row r="63">
      <c r="A63" s="12" t="s">
        <v>3929</v>
      </c>
      <c r="C63" s="12" t="s">
        <v>3930</v>
      </c>
      <c r="D63" s="12" t="s">
        <v>3931</v>
      </c>
      <c r="F63" s="12" t="s">
        <v>3932</v>
      </c>
    </row>
    <row r="64">
      <c r="A64" s="12" t="s">
        <v>3933</v>
      </c>
      <c r="C64" s="12" t="s">
        <v>3934</v>
      </c>
      <c r="D64" s="12" t="s">
        <v>3935</v>
      </c>
      <c r="F64" s="12" t="s">
        <v>3936</v>
      </c>
    </row>
    <row r="65">
      <c r="A65" s="18" t="s">
        <v>3937</v>
      </c>
      <c r="B65" s="18" t="s">
        <v>3938</v>
      </c>
      <c r="C65" s="18" t="s">
        <v>3939</v>
      </c>
      <c r="D65" s="18" t="s">
        <v>3940</v>
      </c>
      <c r="E65" s="18" t="s">
        <v>3941</v>
      </c>
      <c r="F65" s="18" t="s">
        <v>3942</v>
      </c>
    </row>
    <row r="69">
      <c r="A69" s="219" t="s">
        <v>3640</v>
      </c>
    </row>
    <row r="70">
      <c r="A70" s="270" t="s">
        <v>2998</v>
      </c>
      <c r="B70" s="270" t="s">
        <v>3066</v>
      </c>
      <c r="C70" s="186" t="s">
        <v>3067</v>
      </c>
      <c r="D70" s="270" t="s">
        <v>2999</v>
      </c>
      <c r="E70" s="270" t="s">
        <v>85</v>
      </c>
      <c r="F70" s="270" t="s">
        <v>3069</v>
      </c>
      <c r="G70" s="270" t="s">
        <v>705</v>
      </c>
      <c r="H70" s="270" t="s">
        <v>696</v>
      </c>
    </row>
    <row r="71">
      <c r="A71" s="14" t="s">
        <v>3943</v>
      </c>
      <c r="B71" s="14" t="s">
        <v>3944</v>
      </c>
      <c r="C71" s="14" t="s">
        <v>3945</v>
      </c>
      <c r="D71" s="14" t="s">
        <v>3946</v>
      </c>
      <c r="E71" s="14" t="s">
        <v>3179</v>
      </c>
      <c r="F71" s="14" t="s">
        <v>3947</v>
      </c>
      <c r="G71" s="14" t="s">
        <v>3948</v>
      </c>
      <c r="H71" s="14" t="s">
        <v>3949</v>
      </c>
    </row>
    <row r="72">
      <c r="A72" s="14" t="s">
        <v>3950</v>
      </c>
      <c r="B72" s="14" t="s">
        <v>3944</v>
      </c>
      <c r="C72" s="14" t="s">
        <v>3951</v>
      </c>
      <c r="D72" s="14" t="s">
        <v>3952</v>
      </c>
      <c r="E72" s="14" t="s">
        <v>3953</v>
      </c>
      <c r="F72" s="14" t="s">
        <v>3954</v>
      </c>
      <c r="G72" s="14" t="s">
        <v>3954</v>
      </c>
      <c r="H72" s="14" t="s">
        <v>3955</v>
      </c>
    </row>
    <row r="73">
      <c r="A73" s="14" t="s">
        <v>3956</v>
      </c>
      <c r="B73" s="14" t="s">
        <v>3957</v>
      </c>
      <c r="C73" s="14" t="s">
        <v>3958</v>
      </c>
      <c r="D73" s="14" t="s">
        <v>3959</v>
      </c>
      <c r="E73" s="14" t="s">
        <v>3953</v>
      </c>
      <c r="F73" s="14" t="s">
        <v>3960</v>
      </c>
      <c r="G73" s="14" t="s">
        <v>3961</v>
      </c>
      <c r="H73" s="14" t="s">
        <v>3962</v>
      </c>
    </row>
    <row r="74">
      <c r="A74" s="14" t="s">
        <v>3963</v>
      </c>
      <c r="B74" s="14" t="s">
        <v>3957</v>
      </c>
      <c r="C74" s="14" t="s">
        <v>3951</v>
      </c>
      <c r="D74" s="14" t="s">
        <v>3946</v>
      </c>
      <c r="E74" s="14" t="s">
        <v>3179</v>
      </c>
      <c r="F74" s="14" t="s">
        <v>3964</v>
      </c>
      <c r="G74" s="14" t="s">
        <v>3964</v>
      </c>
      <c r="H74" s="14" t="s">
        <v>3965</v>
      </c>
    </row>
    <row r="75">
      <c r="A75" s="14" t="s">
        <v>3966</v>
      </c>
      <c r="B75" s="14" t="s">
        <v>3957</v>
      </c>
      <c r="C75" s="14" t="s">
        <v>3945</v>
      </c>
      <c r="D75" s="14" t="s">
        <v>743</v>
      </c>
      <c r="E75" s="14" t="s">
        <v>3021</v>
      </c>
      <c r="F75" s="14" t="s">
        <v>3967</v>
      </c>
      <c r="G75" s="14" t="s">
        <v>3968</v>
      </c>
      <c r="H75" s="14" t="s">
        <v>3967</v>
      </c>
    </row>
    <row r="76">
      <c r="A76" s="14" t="s">
        <v>3969</v>
      </c>
      <c r="B76" s="14" t="s">
        <v>3970</v>
      </c>
      <c r="C76" s="14" t="s">
        <v>3971</v>
      </c>
      <c r="D76" s="14" t="s">
        <v>3952</v>
      </c>
      <c r="E76" s="14" t="s">
        <v>3179</v>
      </c>
      <c r="F76" s="14" t="s">
        <v>3972</v>
      </c>
      <c r="G76" s="14" t="s">
        <v>3972</v>
      </c>
      <c r="H76" s="14" t="s">
        <v>3973</v>
      </c>
    </row>
    <row r="77">
      <c r="A77" s="14" t="s">
        <v>3974</v>
      </c>
      <c r="B77" s="14" t="s">
        <v>3970</v>
      </c>
      <c r="C77" s="14" t="s">
        <v>3958</v>
      </c>
      <c r="D77" s="14" t="s">
        <v>3975</v>
      </c>
      <c r="E77" s="14" t="s">
        <v>3953</v>
      </c>
      <c r="F77" s="14" t="s">
        <v>3977</v>
      </c>
      <c r="G77" s="14" t="s">
        <v>3978</v>
      </c>
      <c r="H77" s="14" t="s">
        <v>3977</v>
      </c>
    </row>
    <row r="78">
      <c r="A78" s="14" t="s">
        <v>3979</v>
      </c>
      <c r="B78" s="14" t="s">
        <v>3980</v>
      </c>
      <c r="C78" s="14" t="s">
        <v>3981</v>
      </c>
      <c r="D78" s="14" t="s">
        <v>3952</v>
      </c>
      <c r="E78" s="14" t="s">
        <v>3179</v>
      </c>
      <c r="F78" s="14" t="s">
        <v>3955</v>
      </c>
      <c r="G78" s="14" t="s">
        <v>3972</v>
      </c>
      <c r="H78" s="14" t="s">
        <v>3955</v>
      </c>
    </row>
    <row r="79">
      <c r="A79" s="14" t="s">
        <v>3982</v>
      </c>
      <c r="B79" s="14" t="s">
        <v>3980</v>
      </c>
      <c r="C79" s="14" t="s">
        <v>3971</v>
      </c>
      <c r="D79" s="14" t="s">
        <v>743</v>
      </c>
      <c r="E79" s="14" t="s">
        <v>3953</v>
      </c>
      <c r="F79" s="14" t="s">
        <v>3984</v>
      </c>
      <c r="G79" s="14" t="s">
        <v>3985</v>
      </c>
      <c r="H79" s="14" t="s">
        <v>3973</v>
      </c>
    </row>
    <row r="80">
      <c r="A80" s="14" t="s">
        <v>3986</v>
      </c>
      <c r="B80" s="14" t="s">
        <v>3987</v>
      </c>
      <c r="C80" s="14" t="s">
        <v>3971</v>
      </c>
      <c r="D80" s="14" t="s">
        <v>3959</v>
      </c>
      <c r="E80" s="14" t="s">
        <v>3179</v>
      </c>
      <c r="F80" s="14" t="s">
        <v>3973</v>
      </c>
      <c r="G80" s="14" t="s">
        <v>3989</v>
      </c>
      <c r="H80" s="14" t="s">
        <v>3991</v>
      </c>
    </row>
    <row r="81">
      <c r="A81" s="14" t="s">
        <v>3992</v>
      </c>
      <c r="B81" s="14" t="s">
        <v>3987</v>
      </c>
      <c r="C81" s="14" t="s">
        <v>3981</v>
      </c>
      <c r="D81" s="14" t="s">
        <v>3952</v>
      </c>
      <c r="E81" s="14" t="s">
        <v>3953</v>
      </c>
      <c r="F81" s="14" t="s">
        <v>3955</v>
      </c>
      <c r="G81" s="14" t="s">
        <v>3972</v>
      </c>
      <c r="H81" s="14" t="s">
        <v>3955</v>
      </c>
    </row>
    <row r="82">
      <c r="A82" s="14" t="s">
        <v>3995</v>
      </c>
      <c r="B82" s="14" t="s">
        <v>3987</v>
      </c>
      <c r="C82" s="14" t="s">
        <v>3945</v>
      </c>
      <c r="D82" s="14" t="s">
        <v>3996</v>
      </c>
      <c r="E82" s="14" t="s">
        <v>3179</v>
      </c>
      <c r="F82" s="14" t="s">
        <v>3998</v>
      </c>
      <c r="G82" s="14" t="s">
        <v>3998</v>
      </c>
      <c r="H82" s="14" t="s">
        <v>3984</v>
      </c>
    </row>
    <row r="83">
      <c r="A83" s="14" t="s">
        <v>4001</v>
      </c>
      <c r="B83" s="14" t="s">
        <v>4002</v>
      </c>
      <c r="C83" s="14" t="s">
        <v>4003</v>
      </c>
      <c r="D83" s="14" t="s">
        <v>3946</v>
      </c>
      <c r="E83" s="14" t="s">
        <v>3108</v>
      </c>
      <c r="F83" s="14" t="s">
        <v>4004</v>
      </c>
      <c r="G83" s="14" t="s">
        <v>4004</v>
      </c>
      <c r="H83" s="14" t="s">
        <v>4007</v>
      </c>
    </row>
    <row r="84">
      <c r="A84" s="14" t="s">
        <v>4009</v>
      </c>
      <c r="B84" s="14" t="s">
        <v>4002</v>
      </c>
      <c r="C84" s="14" t="s">
        <v>3981</v>
      </c>
      <c r="D84" s="14" t="s">
        <v>743</v>
      </c>
      <c r="E84" s="14" t="s">
        <v>3953</v>
      </c>
      <c r="F84" s="14" t="s">
        <v>4014</v>
      </c>
      <c r="G84" s="14" t="s">
        <v>4015</v>
      </c>
      <c r="H84" s="14" t="s">
        <v>4014</v>
      </c>
    </row>
    <row r="85">
      <c r="A85" s="14" t="s">
        <v>4016</v>
      </c>
      <c r="B85" s="14" t="s">
        <v>4017</v>
      </c>
      <c r="C85" s="14" t="s">
        <v>3958</v>
      </c>
      <c r="D85" s="14" t="s">
        <v>3975</v>
      </c>
      <c r="E85" s="14" t="s">
        <v>3953</v>
      </c>
      <c r="F85" s="14" t="s">
        <v>4018</v>
      </c>
      <c r="G85" s="14" t="s">
        <v>4019</v>
      </c>
      <c r="H85" s="14" t="s">
        <v>3967</v>
      </c>
    </row>
    <row r="86">
      <c r="A86" s="14" t="s">
        <v>4021</v>
      </c>
      <c r="B86" s="14" t="s">
        <v>4017</v>
      </c>
      <c r="C86" s="14" t="s">
        <v>3971</v>
      </c>
      <c r="D86" s="14" t="s">
        <v>3996</v>
      </c>
      <c r="E86" s="14" t="s">
        <v>3108</v>
      </c>
      <c r="F86" s="14" t="s">
        <v>4028</v>
      </c>
      <c r="G86" s="14" t="s">
        <v>4031</v>
      </c>
      <c r="H86" s="14" t="s">
        <v>4028</v>
      </c>
    </row>
    <row r="87">
      <c r="A87" s="14" t="s">
        <v>4033</v>
      </c>
      <c r="B87" s="14" t="s">
        <v>4034</v>
      </c>
      <c r="C87" s="14" t="s">
        <v>4003</v>
      </c>
      <c r="D87" s="14" t="s">
        <v>743</v>
      </c>
      <c r="E87" s="14" t="s">
        <v>3179</v>
      </c>
      <c r="F87" s="14" t="s">
        <v>4036</v>
      </c>
      <c r="G87" s="14" t="s">
        <v>4036</v>
      </c>
      <c r="H87" s="14" t="s">
        <v>3967</v>
      </c>
    </row>
    <row r="88">
      <c r="A88" s="14" t="s">
        <v>4043</v>
      </c>
      <c r="B88" s="14" t="s">
        <v>4034</v>
      </c>
      <c r="C88" s="14" t="s">
        <v>3971</v>
      </c>
      <c r="D88" s="14" t="s">
        <v>3975</v>
      </c>
      <c r="E88" s="14" t="s">
        <v>3953</v>
      </c>
      <c r="F88" s="14" t="s">
        <v>3978</v>
      </c>
      <c r="G88" s="14" t="s">
        <v>4046</v>
      </c>
      <c r="H88" s="14" t="s">
        <v>3978</v>
      </c>
    </row>
    <row r="89">
      <c r="A89" s="14" t="s">
        <v>4047</v>
      </c>
      <c r="B89" s="14" t="s">
        <v>4048</v>
      </c>
      <c r="C89" s="14" t="s">
        <v>4003</v>
      </c>
      <c r="D89" s="14" t="s">
        <v>3946</v>
      </c>
      <c r="E89" s="14" t="s">
        <v>3108</v>
      </c>
      <c r="F89" s="14" t="s">
        <v>4054</v>
      </c>
      <c r="G89" s="14" t="s">
        <v>4054</v>
      </c>
      <c r="H89" s="14" t="s">
        <v>4054</v>
      </c>
    </row>
    <row r="90">
      <c r="A90" s="14" t="s">
        <v>4016</v>
      </c>
      <c r="B90" s="14" t="s">
        <v>4048</v>
      </c>
      <c r="C90" s="14" t="s">
        <v>3945</v>
      </c>
      <c r="D90" s="14" t="s">
        <v>3975</v>
      </c>
      <c r="E90" s="14" t="s">
        <v>3953</v>
      </c>
      <c r="F90" s="14" t="s">
        <v>4059</v>
      </c>
      <c r="G90" s="14" t="s">
        <v>4046</v>
      </c>
      <c r="H90" s="14" t="s">
        <v>4061</v>
      </c>
    </row>
    <row r="91">
      <c r="A91" s="14" t="s">
        <v>4021</v>
      </c>
      <c r="B91" s="14" t="s">
        <v>4048</v>
      </c>
      <c r="C91" s="14" t="s">
        <v>3951</v>
      </c>
      <c r="D91" s="14" t="s">
        <v>3959</v>
      </c>
      <c r="E91" s="14" t="s">
        <v>3179</v>
      </c>
      <c r="F91" s="14" t="s">
        <v>4070</v>
      </c>
      <c r="G91" s="14" t="s">
        <v>4071</v>
      </c>
      <c r="H91" s="14" t="s">
        <v>4070</v>
      </c>
    </row>
    <row r="92">
      <c r="A92" s="14" t="s">
        <v>4072</v>
      </c>
      <c r="B92" s="14" t="s">
        <v>4073</v>
      </c>
      <c r="C92" s="14" t="s">
        <v>4003</v>
      </c>
      <c r="D92" s="14" t="s">
        <v>3946</v>
      </c>
      <c r="E92" s="14" t="s">
        <v>4078</v>
      </c>
      <c r="F92" s="14" t="s">
        <v>3947</v>
      </c>
      <c r="G92" s="14" t="s">
        <v>4054</v>
      </c>
      <c r="H92" s="14" t="s">
        <v>3947</v>
      </c>
    </row>
    <row r="93">
      <c r="A93" s="14" t="s">
        <v>4084</v>
      </c>
      <c r="B93" s="14" t="s">
        <v>4073</v>
      </c>
      <c r="C93" s="14" t="s">
        <v>3981</v>
      </c>
      <c r="D93" s="14" t="s">
        <v>3959</v>
      </c>
      <c r="E93" s="14" t="s">
        <v>4085</v>
      </c>
      <c r="F93" s="14" t="s">
        <v>4086</v>
      </c>
      <c r="G93" s="14" t="s">
        <v>4087</v>
      </c>
      <c r="H93" s="14" t="s">
        <v>4090</v>
      </c>
    </row>
    <row r="94">
      <c r="A94" s="14" t="s">
        <v>4093</v>
      </c>
      <c r="B94" s="14" t="s">
        <v>4095</v>
      </c>
      <c r="C94" s="14" t="s">
        <v>3951</v>
      </c>
      <c r="D94" s="14" t="s">
        <v>3975</v>
      </c>
      <c r="E94" s="14" t="s">
        <v>3953</v>
      </c>
      <c r="F94" s="14" t="s">
        <v>4100</v>
      </c>
      <c r="G94" s="14" t="s">
        <v>4059</v>
      </c>
      <c r="H94" s="14" t="s">
        <v>4100</v>
      </c>
    </row>
    <row r="95">
      <c r="A95" s="14" t="s">
        <v>4101</v>
      </c>
      <c r="B95" s="14" t="s">
        <v>4095</v>
      </c>
      <c r="C95" s="14" t="s">
        <v>4003</v>
      </c>
      <c r="D95" s="14" t="s">
        <v>3959</v>
      </c>
      <c r="E95" s="14" t="s">
        <v>3179</v>
      </c>
      <c r="F95" s="14" t="s">
        <v>4086</v>
      </c>
      <c r="G95" s="14" t="s">
        <v>4108</v>
      </c>
      <c r="H95" s="14" t="s">
        <v>4070</v>
      </c>
    </row>
    <row r="96">
      <c r="A96" s="14" t="s">
        <v>4111</v>
      </c>
      <c r="B96" s="14" t="s">
        <v>4112</v>
      </c>
      <c r="C96" s="14" t="s">
        <v>3958</v>
      </c>
      <c r="D96" s="14" t="s">
        <v>3952</v>
      </c>
      <c r="E96" s="14" t="s">
        <v>3953</v>
      </c>
      <c r="F96" s="14" t="s">
        <v>4113</v>
      </c>
      <c r="G96" s="14" t="s">
        <v>4015</v>
      </c>
      <c r="H96" s="14" t="s">
        <v>3977</v>
      </c>
    </row>
    <row r="97">
      <c r="A97" s="14" t="s">
        <v>4120</v>
      </c>
      <c r="B97" s="14" t="s">
        <v>4112</v>
      </c>
      <c r="C97" s="14" t="s">
        <v>3951</v>
      </c>
      <c r="D97" s="14" t="s">
        <v>3996</v>
      </c>
      <c r="E97" s="14" t="s">
        <v>3021</v>
      </c>
      <c r="F97" s="14" t="s">
        <v>4122</v>
      </c>
      <c r="G97" s="14" t="s">
        <v>4123</v>
      </c>
      <c r="H97" s="14" t="s">
        <v>4122</v>
      </c>
    </row>
    <row r="98">
      <c r="A98" s="14" t="s">
        <v>4127</v>
      </c>
      <c r="B98" s="14" t="s">
        <v>4130</v>
      </c>
      <c r="C98" s="14" t="s">
        <v>3958</v>
      </c>
      <c r="D98" s="14" t="s">
        <v>3946</v>
      </c>
      <c r="E98" s="14" t="s">
        <v>3108</v>
      </c>
      <c r="F98" s="14" t="s">
        <v>4133</v>
      </c>
      <c r="G98" s="14" t="s">
        <v>3961</v>
      </c>
      <c r="H98" s="14" t="s">
        <v>4133</v>
      </c>
    </row>
    <row r="99">
      <c r="A99" s="14" t="s">
        <v>4136</v>
      </c>
      <c r="B99" s="14" t="s">
        <v>4130</v>
      </c>
      <c r="C99" s="14" t="s">
        <v>3945</v>
      </c>
      <c r="D99" s="14" t="s">
        <v>743</v>
      </c>
      <c r="E99" s="14" t="s">
        <v>3953</v>
      </c>
      <c r="F99" s="14" t="s">
        <v>3984</v>
      </c>
      <c r="G99" s="14" t="s">
        <v>3984</v>
      </c>
      <c r="H99" s="14" t="s">
        <v>4141</v>
      </c>
    </row>
    <row r="100">
      <c r="A100" s="14" t="s">
        <v>3950</v>
      </c>
      <c r="B100" s="14" t="s">
        <v>4130</v>
      </c>
      <c r="C100" s="14" t="s">
        <v>3981</v>
      </c>
      <c r="D100" s="14" t="s">
        <v>3996</v>
      </c>
      <c r="E100" s="14" t="s">
        <v>3179</v>
      </c>
      <c r="F100" s="14" t="s">
        <v>4122</v>
      </c>
      <c r="G100" s="14" t="s">
        <v>3998</v>
      </c>
      <c r="H100" s="14" t="s">
        <v>4122</v>
      </c>
    </row>
    <row r="101">
      <c r="A101" s="14" t="s">
        <v>4147</v>
      </c>
      <c r="B101" s="14" t="s">
        <v>4149</v>
      </c>
      <c r="C101" s="14" t="s">
        <v>4003</v>
      </c>
      <c r="D101" s="14" t="s">
        <v>3946</v>
      </c>
      <c r="E101" s="14" t="s">
        <v>4153</v>
      </c>
      <c r="F101" s="14" t="s">
        <v>3947</v>
      </c>
      <c r="G101" s="14" t="s">
        <v>3947</v>
      </c>
      <c r="H101" s="14" t="s">
        <v>3991</v>
      </c>
    </row>
    <row r="102">
      <c r="A102" s="14" t="s">
        <v>4154</v>
      </c>
      <c r="B102" s="14" t="s">
        <v>4149</v>
      </c>
      <c r="C102" s="14" t="s">
        <v>3958</v>
      </c>
      <c r="D102" s="14" t="s">
        <v>3952</v>
      </c>
      <c r="E102" s="14" t="s">
        <v>3953</v>
      </c>
      <c r="F102" s="14" t="s">
        <v>3972</v>
      </c>
      <c r="G102" s="14" t="s">
        <v>3972</v>
      </c>
      <c r="H102" s="14" t="s">
        <v>4156</v>
      </c>
    </row>
    <row r="103">
      <c r="A103" s="14" t="s">
        <v>4157</v>
      </c>
      <c r="B103" s="14" t="s">
        <v>4158</v>
      </c>
      <c r="C103" s="14" t="s">
        <v>3945</v>
      </c>
      <c r="D103" s="14" t="s">
        <v>743</v>
      </c>
      <c r="E103" s="14" t="s">
        <v>3179</v>
      </c>
      <c r="F103" s="14" t="s">
        <v>4159</v>
      </c>
      <c r="G103" s="14" t="s">
        <v>4036</v>
      </c>
      <c r="H103" s="14" t="s">
        <v>4159</v>
      </c>
    </row>
    <row r="104">
      <c r="A104" s="14" t="s">
        <v>4161</v>
      </c>
      <c r="B104" s="14" t="s">
        <v>4162</v>
      </c>
      <c r="C104" s="14" t="s">
        <v>4003</v>
      </c>
      <c r="D104" s="14" t="s">
        <v>743</v>
      </c>
      <c r="E104" s="14" t="s">
        <v>4163</v>
      </c>
      <c r="F104" s="14" t="s">
        <v>4159</v>
      </c>
      <c r="G104" s="14" t="s">
        <v>4165</v>
      </c>
      <c r="H104" s="14" t="s">
        <v>4159</v>
      </c>
    </row>
    <row r="105">
      <c r="A105" s="19"/>
      <c r="B105" s="19"/>
      <c r="C105" s="19"/>
      <c r="D105" s="19"/>
      <c r="E105" s="19"/>
      <c r="F105" s="19"/>
      <c r="G105" s="19"/>
      <c r="H105" s="19"/>
    </row>
    <row r="106">
      <c r="A106" s="49" t="s">
        <v>4166</v>
      </c>
      <c r="F106" s="19"/>
      <c r="G106" s="19"/>
      <c r="H106" s="19"/>
    </row>
    <row r="107">
      <c r="A107" s="163" t="s">
        <v>627</v>
      </c>
      <c r="B107" s="163" t="s">
        <v>629</v>
      </c>
      <c r="C107" s="163" t="s">
        <v>631</v>
      </c>
      <c r="D107" s="163" t="s">
        <v>633</v>
      </c>
      <c r="E107" s="163" t="s">
        <v>3169</v>
      </c>
      <c r="F107" s="19"/>
      <c r="G107" s="19"/>
      <c r="H107" s="19"/>
    </row>
    <row r="108">
      <c r="A108" s="14" t="s">
        <v>649</v>
      </c>
      <c r="B108" s="14" t="s">
        <v>742</v>
      </c>
      <c r="C108" s="14" t="s">
        <v>743</v>
      </c>
      <c r="D108" s="14" t="s">
        <v>20</v>
      </c>
      <c r="E108" s="14">
        <v>5000.0</v>
      </c>
      <c r="F108" s="19"/>
      <c r="G108" s="19"/>
      <c r="H108" s="19"/>
    </row>
    <row r="109">
      <c r="A109" s="14" t="s">
        <v>677</v>
      </c>
      <c r="B109" s="14" t="s">
        <v>753</v>
      </c>
      <c r="C109" s="14" t="s">
        <v>743</v>
      </c>
      <c r="D109" s="14" t="s">
        <v>20</v>
      </c>
      <c r="E109" s="14">
        <v>5000.0</v>
      </c>
      <c r="F109" s="19"/>
      <c r="G109" s="19"/>
      <c r="H109" s="19"/>
    </row>
    <row r="110">
      <c r="A110" s="14" t="s">
        <v>763</v>
      </c>
      <c r="B110" s="14" t="s">
        <v>766</v>
      </c>
      <c r="C110" s="14" t="s">
        <v>743</v>
      </c>
      <c r="D110" s="14" t="s">
        <v>664</v>
      </c>
      <c r="E110" s="14">
        <v>10000.0</v>
      </c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4" t="s">
        <v>705</v>
      </c>
      <c r="B111" s="14" t="s">
        <v>778</v>
      </c>
      <c r="C111" s="14" t="s">
        <v>779</v>
      </c>
      <c r="D111" s="14" t="s">
        <v>30</v>
      </c>
      <c r="E111" s="14">
        <v>10000.0</v>
      </c>
      <c r="F111" s="19"/>
      <c r="G111" s="19"/>
      <c r="H111" s="19"/>
    </row>
    <row r="112">
      <c r="A112" s="14" t="s">
        <v>720</v>
      </c>
      <c r="B112" s="14" t="s">
        <v>766</v>
      </c>
      <c r="C112" s="14" t="s">
        <v>743</v>
      </c>
      <c r="D112" s="14" t="s">
        <v>664</v>
      </c>
      <c r="E112" s="14">
        <v>20000.0</v>
      </c>
      <c r="F112" s="19"/>
      <c r="G112" s="19"/>
      <c r="H112" s="19"/>
    </row>
    <row r="113">
      <c r="A113" s="14" t="s">
        <v>798</v>
      </c>
      <c r="B113" s="14" t="s">
        <v>779</v>
      </c>
      <c r="E113" s="14">
        <v>25000.0</v>
      </c>
      <c r="F113" s="19"/>
      <c r="G113" s="19"/>
      <c r="H113" s="19"/>
    </row>
    <row r="114">
      <c r="A114" s="14" t="s">
        <v>809</v>
      </c>
      <c r="B114" s="14" t="s">
        <v>811</v>
      </c>
      <c r="E114" s="14">
        <v>50000.0</v>
      </c>
      <c r="F114" s="19"/>
      <c r="G114" s="19"/>
      <c r="H114" s="19"/>
    </row>
    <row r="115">
      <c r="A115" s="14" t="s">
        <v>446</v>
      </c>
      <c r="B115" s="14" t="s">
        <v>743</v>
      </c>
      <c r="E115" s="14">
        <v>100000.0</v>
      </c>
      <c r="F115" s="19"/>
      <c r="G115" s="19"/>
      <c r="H115" s="19"/>
    </row>
    <row r="116">
      <c r="A116" s="19"/>
      <c r="B116" s="19"/>
      <c r="C116" s="19"/>
      <c r="D116" s="19"/>
      <c r="E116" s="19"/>
      <c r="F116" s="19"/>
      <c r="G116" s="19"/>
      <c r="H116" s="19"/>
    </row>
    <row r="117">
      <c r="A117" s="19"/>
      <c r="B117" s="19"/>
      <c r="C117" s="19"/>
      <c r="D117" s="19"/>
      <c r="E117" s="19"/>
      <c r="F117" s="19"/>
      <c r="G117" s="19"/>
      <c r="H117" s="19"/>
    </row>
    <row r="118">
      <c r="A118" s="19"/>
      <c r="B118" s="19"/>
      <c r="C118" s="19"/>
      <c r="D118" s="19"/>
      <c r="E118" s="19"/>
      <c r="F118" s="19"/>
      <c r="G118" s="19"/>
      <c r="H118" s="19"/>
    </row>
    <row r="119">
      <c r="A119" s="19"/>
      <c r="B119" s="19"/>
      <c r="C119" s="19"/>
      <c r="D119" s="19"/>
      <c r="E119" s="19"/>
      <c r="F119" s="19"/>
      <c r="G119" s="19"/>
      <c r="H119" s="19"/>
    </row>
    <row r="120">
      <c r="A120" s="19"/>
      <c r="B120" s="19"/>
      <c r="C120" s="19"/>
      <c r="D120" s="19"/>
      <c r="E120" s="19"/>
      <c r="F120" s="19"/>
      <c r="G120" s="19"/>
      <c r="H120" s="19"/>
    </row>
    <row r="121">
      <c r="A121" s="19"/>
      <c r="B121" s="19"/>
      <c r="C121" s="19"/>
      <c r="D121" s="19"/>
      <c r="E121" s="19"/>
      <c r="F121" s="19"/>
      <c r="G121" s="19"/>
      <c r="H121" s="19"/>
    </row>
    <row r="122">
      <c r="A122" s="19"/>
      <c r="B122" s="19"/>
      <c r="C122" s="19"/>
      <c r="D122" s="19"/>
      <c r="E122" s="19"/>
      <c r="F122" s="19"/>
      <c r="G122" s="19"/>
      <c r="H122" s="19"/>
    </row>
    <row r="123">
      <c r="A123" s="19"/>
      <c r="B123" s="19"/>
      <c r="C123" s="19"/>
      <c r="D123" s="19"/>
      <c r="E123" s="19"/>
      <c r="F123" s="19"/>
      <c r="G123" s="19"/>
      <c r="H123" s="19"/>
    </row>
    <row r="124">
      <c r="A124" s="19"/>
      <c r="B124" s="19"/>
      <c r="C124" s="19"/>
      <c r="D124" s="19"/>
      <c r="E124" s="19"/>
      <c r="F124" s="19"/>
      <c r="G124" s="19"/>
      <c r="H124" s="19"/>
    </row>
    <row r="125">
      <c r="A125" s="19"/>
      <c r="B125" s="19"/>
      <c r="C125" s="19"/>
      <c r="D125" s="19"/>
      <c r="E125" s="19"/>
      <c r="F125" s="19"/>
      <c r="G125" s="19"/>
      <c r="H125" s="19"/>
    </row>
    <row r="126">
      <c r="A126" s="19"/>
      <c r="B126" s="19"/>
      <c r="C126" s="19"/>
      <c r="D126" s="19"/>
      <c r="E126" s="19"/>
      <c r="F126" s="19"/>
      <c r="G126" s="19"/>
      <c r="H126" s="19"/>
    </row>
    <row r="127">
      <c r="A127" s="19"/>
      <c r="B127" s="19"/>
      <c r="C127" s="19"/>
      <c r="D127" s="19"/>
      <c r="E127" s="19"/>
      <c r="F127" s="19"/>
      <c r="G127" s="19"/>
      <c r="H127" s="19"/>
    </row>
    <row r="128">
      <c r="A128" s="19"/>
      <c r="B128" s="19"/>
      <c r="C128" s="19"/>
      <c r="D128" s="19"/>
      <c r="E128" s="19"/>
      <c r="F128" s="19"/>
      <c r="G128" s="19"/>
      <c r="H128" s="19"/>
    </row>
    <row r="129">
      <c r="A129" s="19"/>
      <c r="B129" s="19"/>
      <c r="C129" s="19"/>
      <c r="D129" s="19"/>
      <c r="E129" s="19"/>
      <c r="F129" s="19"/>
      <c r="G129" s="19"/>
      <c r="H129" s="19"/>
    </row>
    <row r="130">
      <c r="A130" s="19"/>
      <c r="B130" s="19"/>
      <c r="C130" s="19"/>
      <c r="D130" s="19"/>
      <c r="E130" s="19"/>
      <c r="F130" s="19"/>
      <c r="G130" s="19"/>
      <c r="H130" s="19"/>
    </row>
    <row r="131">
      <c r="A131" s="19"/>
      <c r="B131" s="19"/>
      <c r="C131" s="19"/>
      <c r="D131" s="19"/>
      <c r="E131" s="19"/>
      <c r="F131" s="19"/>
      <c r="G131" s="19"/>
      <c r="H131" s="19"/>
    </row>
    <row r="132">
      <c r="A132" s="19"/>
      <c r="B132" s="19"/>
      <c r="C132" s="19"/>
      <c r="D132" s="19"/>
      <c r="E132" s="19"/>
      <c r="F132" s="19"/>
      <c r="G132" s="19"/>
      <c r="H132" s="19"/>
    </row>
    <row r="133">
      <c r="A133" s="19"/>
      <c r="B133" s="19"/>
      <c r="C133" s="19"/>
      <c r="D133" s="19"/>
      <c r="E133" s="19"/>
      <c r="F133" s="19"/>
      <c r="G133" s="19"/>
      <c r="H133" s="19"/>
    </row>
    <row r="134">
      <c r="A134" s="19"/>
      <c r="B134" s="19"/>
      <c r="C134" s="19"/>
      <c r="D134" s="19"/>
      <c r="E134" s="19"/>
      <c r="F134" s="19"/>
      <c r="G134" s="19"/>
      <c r="H134" s="19"/>
    </row>
    <row r="135">
      <c r="A135" s="19"/>
      <c r="B135" s="19"/>
      <c r="C135" s="19"/>
      <c r="D135" s="19"/>
      <c r="E135" s="19"/>
      <c r="F135" s="19"/>
      <c r="G135" s="19"/>
      <c r="H135" s="19"/>
    </row>
    <row r="136">
      <c r="A136" s="19"/>
      <c r="B136" s="19"/>
      <c r="C136" s="19"/>
      <c r="D136" s="19"/>
      <c r="E136" s="19"/>
      <c r="F136" s="19"/>
      <c r="G136" s="19"/>
      <c r="H136" s="19"/>
    </row>
    <row r="137">
      <c r="A137" s="19"/>
      <c r="B137" s="19"/>
      <c r="C137" s="19"/>
      <c r="D137" s="19"/>
      <c r="E137" s="19"/>
      <c r="F137" s="19"/>
      <c r="G137" s="19"/>
      <c r="H137" s="19"/>
    </row>
    <row r="138">
      <c r="A138" s="19"/>
      <c r="B138" s="19"/>
      <c r="C138" s="19"/>
      <c r="D138" s="19"/>
      <c r="E138" s="19"/>
      <c r="F138" s="19"/>
      <c r="G138" s="19"/>
      <c r="H138" s="19"/>
    </row>
    <row r="139">
      <c r="A139" s="19"/>
      <c r="B139" s="19"/>
      <c r="C139" s="19"/>
      <c r="D139" s="19"/>
      <c r="E139" s="19"/>
      <c r="F139" s="19"/>
      <c r="G139" s="19"/>
      <c r="H139" s="19"/>
    </row>
    <row r="140">
      <c r="A140" s="19"/>
      <c r="B140" s="19"/>
      <c r="C140" s="19"/>
      <c r="D140" s="19"/>
      <c r="E140" s="19"/>
      <c r="F140" s="19"/>
      <c r="G140" s="19"/>
      <c r="H140" s="19"/>
    </row>
    <row r="141">
      <c r="A141" s="19"/>
      <c r="B141" s="19"/>
      <c r="C141" s="19"/>
      <c r="D141" s="19"/>
      <c r="E141" s="19"/>
      <c r="F141" s="19"/>
      <c r="G141" s="19"/>
      <c r="H141" s="19"/>
    </row>
    <row r="142">
      <c r="A142" s="19"/>
      <c r="B142" s="19"/>
      <c r="C142" s="19"/>
      <c r="D142" s="19"/>
      <c r="E142" s="19"/>
      <c r="F142" s="19"/>
      <c r="G142" s="19"/>
      <c r="H142" s="19"/>
    </row>
    <row r="143">
      <c r="A143" s="19"/>
      <c r="B143" s="19"/>
      <c r="C143" s="19"/>
      <c r="D143" s="19"/>
      <c r="E143" s="19"/>
      <c r="F143" s="19"/>
      <c r="G143" s="19"/>
      <c r="H143" s="19"/>
    </row>
    <row r="144">
      <c r="A144" s="19"/>
      <c r="B144" s="19"/>
      <c r="C144" s="19"/>
      <c r="D144" s="19"/>
      <c r="E144" s="19"/>
      <c r="F144" s="19"/>
      <c r="G144" s="19"/>
      <c r="H144" s="19"/>
    </row>
    <row r="145">
      <c r="A145" s="19"/>
      <c r="B145" s="19"/>
      <c r="C145" s="19"/>
      <c r="D145" s="19"/>
      <c r="E145" s="19"/>
      <c r="F145" s="19"/>
      <c r="G145" s="19"/>
      <c r="H145" s="19"/>
    </row>
    <row r="146">
      <c r="A146" s="19"/>
      <c r="B146" s="19"/>
      <c r="C146" s="19"/>
      <c r="D146" s="19"/>
      <c r="E146" s="19"/>
      <c r="F146" s="19"/>
      <c r="G146" s="19"/>
      <c r="H146" s="19"/>
    </row>
    <row r="147">
      <c r="A147" s="19"/>
      <c r="B147" s="19"/>
      <c r="C147" s="19"/>
      <c r="D147" s="19"/>
      <c r="E147" s="19"/>
      <c r="F147" s="19"/>
      <c r="G147" s="19"/>
      <c r="H147" s="19"/>
    </row>
    <row r="148">
      <c r="A148" s="19"/>
      <c r="B148" s="19"/>
      <c r="C148" s="19"/>
      <c r="D148" s="19"/>
      <c r="E148" s="19"/>
      <c r="F148" s="19"/>
      <c r="G148" s="19"/>
      <c r="H148" s="19"/>
    </row>
    <row r="149">
      <c r="A149" s="19"/>
      <c r="B149" s="19"/>
      <c r="C149" s="19"/>
      <c r="D149" s="19"/>
      <c r="E149" s="19"/>
      <c r="F149" s="19"/>
      <c r="G149" s="19"/>
      <c r="H149" s="19"/>
    </row>
    <row r="150">
      <c r="A150" s="19"/>
      <c r="B150" s="19"/>
      <c r="C150" s="19"/>
      <c r="D150" s="19"/>
      <c r="E150" s="19"/>
      <c r="F150" s="19"/>
      <c r="G150" s="19"/>
      <c r="H150" s="19"/>
    </row>
    <row r="151">
      <c r="A151" s="19"/>
      <c r="B151" s="19"/>
      <c r="C151" s="19"/>
      <c r="D151" s="19"/>
      <c r="E151" s="19"/>
      <c r="F151" s="19"/>
      <c r="G151" s="19"/>
      <c r="H151" s="19"/>
    </row>
    <row r="152">
      <c r="A152" s="19"/>
      <c r="B152" s="19"/>
      <c r="C152" s="19"/>
      <c r="D152" s="19"/>
      <c r="E152" s="19"/>
      <c r="F152" s="19"/>
      <c r="G152" s="19"/>
      <c r="H152" s="19"/>
    </row>
    <row r="153">
      <c r="A153" s="19"/>
      <c r="B153" s="19"/>
      <c r="C153" s="19"/>
      <c r="D153" s="19"/>
      <c r="E153" s="19"/>
      <c r="F153" s="19"/>
      <c r="G153" s="19"/>
      <c r="H153" s="19"/>
    </row>
    <row r="154">
      <c r="A154" s="19"/>
      <c r="B154" s="19"/>
      <c r="C154" s="19"/>
      <c r="D154" s="19"/>
      <c r="E154" s="19"/>
      <c r="F154" s="19"/>
      <c r="G154" s="19"/>
      <c r="H154" s="19"/>
    </row>
    <row r="155">
      <c r="A155" s="19"/>
      <c r="B155" s="19"/>
      <c r="C155" s="19"/>
      <c r="D155" s="19"/>
      <c r="E155" s="19"/>
      <c r="F155" s="19"/>
      <c r="G155" s="19"/>
      <c r="H155" s="19"/>
    </row>
    <row r="156">
      <c r="A156" s="19"/>
      <c r="B156" s="19"/>
      <c r="C156" s="19"/>
      <c r="D156" s="19"/>
      <c r="E156" s="19"/>
      <c r="F156" s="19"/>
      <c r="G156" s="19"/>
      <c r="H156" s="19"/>
    </row>
    <row r="157">
      <c r="A157" s="19"/>
      <c r="B157" s="19"/>
      <c r="C157" s="19"/>
      <c r="D157" s="19"/>
      <c r="E157" s="19"/>
      <c r="F157" s="19"/>
      <c r="G157" s="19"/>
      <c r="H157" s="19"/>
    </row>
    <row r="158">
      <c r="A158" s="19"/>
      <c r="B158" s="19"/>
      <c r="C158" s="19"/>
      <c r="D158" s="19"/>
      <c r="E158" s="19"/>
      <c r="F158" s="19"/>
      <c r="G158" s="19"/>
      <c r="H158" s="19"/>
    </row>
    <row r="159">
      <c r="A159" s="19"/>
      <c r="B159" s="19"/>
      <c r="C159" s="19"/>
      <c r="D159" s="19"/>
      <c r="E159" s="19"/>
      <c r="F159" s="19"/>
      <c r="G159" s="19"/>
      <c r="H159" s="19"/>
    </row>
    <row r="160">
      <c r="A160" s="19"/>
      <c r="B160" s="19"/>
      <c r="C160" s="19"/>
      <c r="D160" s="19"/>
      <c r="E160" s="19"/>
      <c r="F160" s="19"/>
      <c r="G160" s="19"/>
      <c r="H160" s="19"/>
    </row>
    <row r="161">
      <c r="A161" s="19"/>
      <c r="B161" s="19"/>
      <c r="C161" s="19"/>
      <c r="D161" s="19"/>
      <c r="E161" s="19"/>
      <c r="F161" s="19"/>
      <c r="G161" s="19"/>
      <c r="H161" s="19"/>
    </row>
    <row r="162">
      <c r="A162" s="19"/>
      <c r="B162" s="19"/>
      <c r="C162" s="19"/>
      <c r="D162" s="19"/>
      <c r="E162" s="19"/>
      <c r="F162" s="19"/>
      <c r="G162" s="19"/>
      <c r="H162" s="19"/>
    </row>
    <row r="163">
      <c r="A163" s="19"/>
      <c r="B163" s="19"/>
      <c r="C163" s="19"/>
      <c r="D163" s="19"/>
      <c r="E163" s="19"/>
      <c r="F163" s="19"/>
      <c r="G163" s="19"/>
      <c r="H163" s="19"/>
    </row>
    <row r="164">
      <c r="A164" s="19"/>
      <c r="B164" s="19"/>
      <c r="C164" s="19"/>
      <c r="D164" s="19"/>
      <c r="E164" s="19"/>
      <c r="F164" s="19"/>
      <c r="G164" s="19"/>
      <c r="H164" s="19"/>
    </row>
    <row r="165">
      <c r="A165" s="19"/>
      <c r="B165" s="19"/>
      <c r="C165" s="19"/>
      <c r="D165" s="19"/>
      <c r="E165" s="19"/>
      <c r="F165" s="19"/>
      <c r="G165" s="19"/>
      <c r="H165" s="19"/>
    </row>
    <row r="166">
      <c r="A166" s="19"/>
      <c r="B166" s="19"/>
      <c r="C166" s="19"/>
      <c r="D166" s="19"/>
      <c r="E166" s="19"/>
      <c r="F166" s="19"/>
      <c r="G166" s="19"/>
      <c r="H166" s="19"/>
    </row>
    <row r="167">
      <c r="A167" s="19"/>
      <c r="B167" s="19"/>
      <c r="C167" s="19"/>
      <c r="D167" s="19"/>
      <c r="E167" s="19"/>
      <c r="F167" s="19"/>
      <c r="G167" s="19"/>
      <c r="H167" s="19"/>
    </row>
    <row r="168">
      <c r="A168" s="19"/>
      <c r="B168" s="19"/>
      <c r="C168" s="19"/>
      <c r="D168" s="19"/>
      <c r="E168" s="19"/>
      <c r="F168" s="19"/>
      <c r="G168" s="19"/>
      <c r="H168" s="19"/>
    </row>
    <row r="169">
      <c r="A169" s="19"/>
      <c r="B169" s="19"/>
      <c r="C169" s="19"/>
      <c r="D169" s="19"/>
      <c r="E169" s="19"/>
      <c r="F169" s="19"/>
      <c r="G169" s="19"/>
      <c r="H169" s="19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6" t="s">
        <v>3976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11" t="s">
        <v>15</v>
      </c>
      <c r="B2" s="11" t="s">
        <v>18</v>
      </c>
      <c r="C2" s="11" t="s">
        <v>664</v>
      </c>
      <c r="D2" s="11" t="s">
        <v>27</v>
      </c>
      <c r="E2" s="11" t="s">
        <v>11</v>
      </c>
      <c r="F2" s="11" t="s">
        <v>12</v>
      </c>
      <c r="G2" s="11" t="s">
        <v>14</v>
      </c>
      <c r="H2" s="11" t="s">
        <v>20</v>
      </c>
      <c r="I2" s="11" t="s">
        <v>23</v>
      </c>
      <c r="J2" s="11" t="s">
        <v>30</v>
      </c>
      <c r="K2" s="11" t="s">
        <v>3983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2" t="s">
        <v>1477</v>
      </c>
      <c r="B3" s="58" t="s">
        <v>2062</v>
      </c>
      <c r="C3" s="58" t="s">
        <v>3988</v>
      </c>
      <c r="D3" s="58" t="s">
        <v>2634</v>
      </c>
      <c r="E3" s="58" t="s">
        <v>145</v>
      </c>
      <c r="F3" s="58" t="s">
        <v>1321</v>
      </c>
      <c r="G3" s="58" t="s">
        <v>3990</v>
      </c>
      <c r="H3" s="58" t="s">
        <v>1773</v>
      </c>
      <c r="I3" s="58" t="s">
        <v>2707</v>
      </c>
      <c r="J3" s="58" t="s">
        <v>3993</v>
      </c>
      <c r="K3" s="58" t="s">
        <v>3994</v>
      </c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>
      <c r="A4" s="12" t="s">
        <v>1583</v>
      </c>
      <c r="B4" s="58" t="s">
        <v>2074</v>
      </c>
      <c r="C4" s="58" t="s">
        <v>2351</v>
      </c>
      <c r="D4" s="58" t="s">
        <v>3470</v>
      </c>
      <c r="E4" s="58" t="s">
        <v>1097</v>
      </c>
      <c r="F4" s="58" t="s">
        <v>1565</v>
      </c>
      <c r="G4" s="58" t="s">
        <v>1361</v>
      </c>
      <c r="H4" s="58" t="s">
        <v>3997</v>
      </c>
      <c r="I4" s="58" t="s">
        <v>2810</v>
      </c>
      <c r="J4" s="58" t="s">
        <v>3999</v>
      </c>
      <c r="K4" s="58" t="s">
        <v>4000</v>
      </c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>
      <c r="A5" s="58" t="s">
        <v>1409</v>
      </c>
      <c r="B5" s="58" t="s">
        <v>2402</v>
      </c>
      <c r="C5" s="58" t="s">
        <v>4005</v>
      </c>
      <c r="D5" s="58" t="s">
        <v>4006</v>
      </c>
      <c r="E5" s="58" t="s">
        <v>414</v>
      </c>
      <c r="F5" s="58" t="s">
        <v>4008</v>
      </c>
      <c r="G5" s="58" t="s">
        <v>1368</v>
      </c>
      <c r="H5" s="58" t="s">
        <v>4010</v>
      </c>
      <c r="I5" s="58" t="s">
        <v>4011</v>
      </c>
      <c r="J5" s="58" t="s">
        <v>4012</v>
      </c>
      <c r="K5" s="58" t="s">
        <v>4013</v>
      </c>
      <c r="L5" s="113"/>
      <c r="M5" s="113">
        <f>8+15+12+15+17+14+7+15+12+13+10</f>
        <v>138</v>
      </c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>
      <c r="A6" s="58" t="s">
        <v>4020</v>
      </c>
      <c r="B6" s="58" t="s">
        <v>4022</v>
      </c>
      <c r="C6" s="12" t="s">
        <v>4023</v>
      </c>
      <c r="D6" s="58" t="s">
        <v>4024</v>
      </c>
      <c r="E6" s="58" t="s">
        <v>4025</v>
      </c>
      <c r="F6" s="58" t="s">
        <v>4026</v>
      </c>
      <c r="G6" s="58" t="s">
        <v>4027</v>
      </c>
      <c r="H6" s="12" t="s">
        <v>1899</v>
      </c>
      <c r="I6" s="58" t="s">
        <v>4029</v>
      </c>
      <c r="J6" s="58" t="s">
        <v>4030</v>
      </c>
      <c r="K6" s="58" t="s">
        <v>4032</v>
      </c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>
      <c r="A7" s="58" t="s">
        <v>4035</v>
      </c>
      <c r="B7" s="58" t="s">
        <v>4037</v>
      </c>
      <c r="C7" s="58" t="s">
        <v>4038</v>
      </c>
      <c r="D7" s="58" t="s">
        <v>4039</v>
      </c>
      <c r="E7" s="58" t="s">
        <v>4040</v>
      </c>
      <c r="F7" s="58" t="s">
        <v>4041</v>
      </c>
      <c r="G7" s="58" t="s">
        <v>1736</v>
      </c>
      <c r="H7" s="12" t="s">
        <v>4042</v>
      </c>
      <c r="I7" s="58" t="s">
        <v>4044</v>
      </c>
      <c r="J7" s="58" t="s">
        <v>3420</v>
      </c>
      <c r="K7" s="58" t="s">
        <v>4045</v>
      </c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>
      <c r="A8" s="58" t="s">
        <v>4049</v>
      </c>
      <c r="B8" s="58" t="s">
        <v>3530</v>
      </c>
      <c r="C8" s="58" t="s">
        <v>4050</v>
      </c>
      <c r="D8" s="58" t="s">
        <v>4051</v>
      </c>
      <c r="E8" s="58" t="s">
        <v>4052</v>
      </c>
      <c r="F8" s="58" t="s">
        <v>4053</v>
      </c>
      <c r="G8" s="58" t="s">
        <v>4055</v>
      </c>
      <c r="H8" s="12" t="s">
        <v>4056</v>
      </c>
      <c r="I8" s="58" t="s">
        <v>2818</v>
      </c>
      <c r="J8" s="58" t="s">
        <v>4057</v>
      </c>
      <c r="K8" s="58" t="s">
        <v>4058</v>
      </c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>
      <c r="A9" s="58" t="s">
        <v>4060</v>
      </c>
      <c r="B9" s="58" t="s">
        <v>3534</v>
      </c>
      <c r="C9" s="58" t="s">
        <v>4062</v>
      </c>
      <c r="D9" s="58" t="s">
        <v>4063</v>
      </c>
      <c r="E9" s="58" t="s">
        <v>4064</v>
      </c>
      <c r="F9" s="58" t="s">
        <v>410</v>
      </c>
      <c r="G9" s="58" t="s">
        <v>4065</v>
      </c>
      <c r="H9" s="12" t="s">
        <v>4066</v>
      </c>
      <c r="I9" s="58" t="s">
        <v>4067</v>
      </c>
      <c r="J9" s="58" t="s">
        <v>4068</v>
      </c>
      <c r="K9" s="58" t="s">
        <v>4069</v>
      </c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>
      <c r="A10" s="58" t="s">
        <v>4074</v>
      </c>
      <c r="B10" s="58" t="s">
        <v>4075</v>
      </c>
      <c r="C10" s="58" t="s">
        <v>4076</v>
      </c>
      <c r="D10" s="58" t="s">
        <v>4077</v>
      </c>
      <c r="E10" s="58" t="s">
        <v>4079</v>
      </c>
      <c r="F10" s="58" t="s">
        <v>4080</v>
      </c>
      <c r="G10" s="113"/>
      <c r="H10" s="12" t="s">
        <v>4081</v>
      </c>
      <c r="I10" s="58" t="s">
        <v>2483</v>
      </c>
      <c r="J10" s="58" t="s">
        <v>4082</v>
      </c>
      <c r="K10" s="58" t="s">
        <v>4083</v>
      </c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>
      <c r="A11" s="113"/>
      <c r="B11" s="58" t="s">
        <v>4088</v>
      </c>
      <c r="C11" s="58" t="s">
        <v>4089</v>
      </c>
      <c r="D11" s="58" t="s">
        <v>4091</v>
      </c>
      <c r="E11" s="58" t="s">
        <v>4092</v>
      </c>
      <c r="F11" s="58" t="s">
        <v>4094</v>
      </c>
      <c r="G11" s="113"/>
      <c r="H11" s="58" t="s">
        <v>4096</v>
      </c>
      <c r="I11" s="58" t="s">
        <v>4097</v>
      </c>
      <c r="J11" s="58" t="s">
        <v>4098</v>
      </c>
      <c r="K11" s="58" t="s">
        <v>4099</v>
      </c>
      <c r="L11" s="58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>
      <c r="B12" s="12" t="s">
        <v>4102</v>
      </c>
      <c r="C12" s="12" t="s">
        <v>4103</v>
      </c>
      <c r="D12" s="12" t="s">
        <v>3507</v>
      </c>
      <c r="E12" s="12" t="s">
        <v>4104</v>
      </c>
      <c r="F12" s="12" t="s">
        <v>4105</v>
      </c>
      <c r="H12" s="58" t="s">
        <v>4106</v>
      </c>
      <c r="I12" s="58" t="s">
        <v>4107</v>
      </c>
      <c r="J12" s="58" t="s">
        <v>4109</v>
      </c>
      <c r="K12" s="58" t="s">
        <v>4110</v>
      </c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B13" s="12" t="s">
        <v>4114</v>
      </c>
      <c r="C13" s="12" t="s">
        <v>4115</v>
      </c>
      <c r="D13" s="12" t="s">
        <v>3720</v>
      </c>
      <c r="E13" s="12" t="s">
        <v>4116</v>
      </c>
      <c r="F13" s="12" t="s">
        <v>4117</v>
      </c>
      <c r="H13" s="58" t="s">
        <v>4118</v>
      </c>
      <c r="I13" s="58" t="s">
        <v>4119</v>
      </c>
      <c r="J13" s="58" t="s">
        <v>4121</v>
      </c>
      <c r="K13" s="113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B14" s="12" t="s">
        <v>4124</v>
      </c>
      <c r="C14" s="12" t="s">
        <v>4125</v>
      </c>
      <c r="D14" s="12" t="s">
        <v>3725</v>
      </c>
      <c r="E14" s="12" t="s">
        <v>4126</v>
      </c>
      <c r="F14" s="12" t="s">
        <v>4128</v>
      </c>
      <c r="H14" s="58" t="s">
        <v>4129</v>
      </c>
      <c r="I14" s="58" t="s">
        <v>4131</v>
      </c>
      <c r="J14" s="58" t="s">
        <v>4132</v>
      </c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>
      <c r="B15" s="12" t="s">
        <v>4134</v>
      </c>
      <c r="D15" s="12" t="s">
        <v>4135</v>
      </c>
      <c r="E15" s="12" t="s">
        <v>4137</v>
      </c>
      <c r="F15" s="12" t="s">
        <v>4138</v>
      </c>
      <c r="H15" s="58" t="s">
        <v>4139</v>
      </c>
      <c r="I15" s="113"/>
      <c r="J15" s="58" t="s">
        <v>4140</v>
      </c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>
      <c r="B16" s="12" t="s">
        <v>4142</v>
      </c>
      <c r="D16" s="12" t="s">
        <v>4143</v>
      </c>
      <c r="E16" s="12" t="s">
        <v>4144</v>
      </c>
      <c r="F16" s="12" t="s">
        <v>4145</v>
      </c>
      <c r="H16" s="12" t="s">
        <v>4146</v>
      </c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>
      <c r="A17" s="113"/>
      <c r="B17" s="58" t="s">
        <v>4148</v>
      </c>
      <c r="C17" s="113"/>
      <c r="D17" s="58" t="s">
        <v>4150</v>
      </c>
      <c r="E17" s="58" t="s">
        <v>4151</v>
      </c>
      <c r="F17" s="113"/>
      <c r="G17" s="113"/>
      <c r="H17" s="12" t="s">
        <v>4152</v>
      </c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>
      <c r="A18" s="113"/>
      <c r="B18" s="113"/>
      <c r="C18" s="113"/>
      <c r="D18" s="113"/>
      <c r="E18" s="58" t="s">
        <v>4155</v>
      </c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>
      <c r="A19" s="113"/>
      <c r="B19" s="113"/>
      <c r="C19" s="113"/>
      <c r="D19" s="113"/>
      <c r="E19" s="58" t="s">
        <v>4160</v>
      </c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>
      <c r="A20" s="6" t="s">
        <v>4164</v>
      </c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>
      <c r="A21" s="85" t="s">
        <v>666</v>
      </c>
      <c r="B21" s="85" t="s">
        <v>668</v>
      </c>
      <c r="C21" s="85" t="s">
        <v>671</v>
      </c>
      <c r="D21" s="85" t="s">
        <v>674</v>
      </c>
      <c r="E21" s="85" t="s">
        <v>675</v>
      </c>
      <c r="F21" s="85" t="s">
        <v>676</v>
      </c>
      <c r="G21" s="85" t="s">
        <v>678</v>
      </c>
      <c r="H21" s="85" t="s">
        <v>680</v>
      </c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>
      <c r="A22" s="263" t="s">
        <v>4167</v>
      </c>
      <c r="B22" s="263" t="s">
        <v>4168</v>
      </c>
      <c r="C22" s="263" t="s">
        <v>4168</v>
      </c>
      <c r="D22" s="263" t="s">
        <v>4168</v>
      </c>
      <c r="E22" s="263" t="s">
        <v>4168</v>
      </c>
      <c r="F22" s="263" t="s">
        <v>4168</v>
      </c>
      <c r="G22" s="263" t="s">
        <v>4168</v>
      </c>
      <c r="H22" s="263" t="s">
        <v>4168</v>
      </c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>
      <c r="A23" s="12" t="s">
        <v>4169</v>
      </c>
      <c r="B23" s="12" t="s">
        <v>4170</v>
      </c>
      <c r="C23" s="12" t="s">
        <v>4171</v>
      </c>
      <c r="D23" s="12" t="s">
        <v>4172</v>
      </c>
      <c r="E23" s="12" t="s">
        <v>4173</v>
      </c>
      <c r="F23" s="12" t="s">
        <v>4174</v>
      </c>
      <c r="G23" s="58" t="s">
        <v>4175</v>
      </c>
      <c r="H23" s="58" t="s">
        <v>4176</v>
      </c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>
      <c r="A24" s="58" t="s">
        <v>4177</v>
      </c>
      <c r="B24" s="58" t="s">
        <v>4178</v>
      </c>
      <c r="C24" s="58" t="s">
        <v>4179</v>
      </c>
      <c r="D24" s="58" t="s">
        <v>4180</v>
      </c>
      <c r="E24" s="58" t="s">
        <v>4181</v>
      </c>
      <c r="F24" s="58" t="s">
        <v>4182</v>
      </c>
      <c r="G24" s="58" t="s">
        <v>4183</v>
      </c>
      <c r="H24" s="58" t="s">
        <v>4184</v>
      </c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>
      <c r="A25" s="58" t="s">
        <v>4185</v>
      </c>
      <c r="B25" s="58" t="s">
        <v>4186</v>
      </c>
      <c r="C25" s="58" t="s">
        <v>4187</v>
      </c>
      <c r="D25" s="58" t="s">
        <v>4188</v>
      </c>
      <c r="E25" s="58" t="s">
        <v>4189</v>
      </c>
      <c r="F25" s="58" t="s">
        <v>4190</v>
      </c>
      <c r="G25" s="58" t="s">
        <v>4191</v>
      </c>
      <c r="H25" s="58" t="s">
        <v>4192</v>
      </c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>
      <c r="A26" s="12" t="s">
        <v>4193</v>
      </c>
      <c r="B26" s="12" t="s">
        <v>4194</v>
      </c>
      <c r="C26" s="58" t="s">
        <v>4195</v>
      </c>
      <c r="D26" s="58" t="s">
        <v>4196</v>
      </c>
      <c r="E26" s="58" t="s">
        <v>4197</v>
      </c>
      <c r="F26" s="58" t="s">
        <v>4198</v>
      </c>
      <c r="G26" s="58" t="s">
        <v>4199</v>
      </c>
      <c r="H26" s="58" t="s">
        <v>4200</v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>
      <c r="A27" s="12" t="s">
        <v>4201</v>
      </c>
      <c r="B27" s="12" t="s">
        <v>4202</v>
      </c>
      <c r="C27" s="12" t="s">
        <v>4203</v>
      </c>
      <c r="D27" s="12" t="s">
        <v>4204</v>
      </c>
      <c r="E27" s="12" t="s">
        <v>4205</v>
      </c>
      <c r="F27" s="12" t="s">
        <v>4206</v>
      </c>
      <c r="G27" s="12" t="s">
        <v>4207</v>
      </c>
      <c r="H27" s="12" t="s">
        <v>4208</v>
      </c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>
      <c r="A28" s="12" t="s">
        <v>4209</v>
      </c>
      <c r="B28" s="12" t="s">
        <v>4210</v>
      </c>
      <c r="C28" s="12" t="s">
        <v>4211</v>
      </c>
      <c r="D28" s="12" t="s">
        <v>4212</v>
      </c>
      <c r="E28" s="12" t="s">
        <v>4213</v>
      </c>
      <c r="F28" s="12" t="s">
        <v>4214</v>
      </c>
      <c r="G28" s="12" t="s">
        <v>4215</v>
      </c>
      <c r="H28" s="12" t="s">
        <v>4216</v>
      </c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>
      <c r="A29" s="12" t="s">
        <v>4217</v>
      </c>
      <c r="B29" s="12" t="s">
        <v>4218</v>
      </c>
      <c r="C29" s="12" t="s">
        <v>4219</v>
      </c>
      <c r="D29" s="12" t="s">
        <v>4220</v>
      </c>
      <c r="E29" s="12" t="s">
        <v>4221</v>
      </c>
      <c r="F29" s="12" t="s">
        <v>4222</v>
      </c>
      <c r="G29" s="12" t="s">
        <v>4223</v>
      </c>
      <c r="H29" s="12" t="s">
        <v>4224</v>
      </c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>
      <c r="A30" s="12" t="s">
        <v>4225</v>
      </c>
      <c r="B30" s="12" t="s">
        <v>4226</v>
      </c>
      <c r="C30" s="58" t="s">
        <v>4227</v>
      </c>
      <c r="D30" s="58" t="s">
        <v>4228</v>
      </c>
      <c r="E30" s="58" t="s">
        <v>4229</v>
      </c>
      <c r="F30" s="58" t="s">
        <v>4230</v>
      </c>
      <c r="G30" s="58" t="s">
        <v>4231</v>
      </c>
      <c r="H30" s="58" t="s">
        <v>4232</v>
      </c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>
      <c r="A31" s="12" t="s">
        <v>4233</v>
      </c>
      <c r="B31" s="12" t="s">
        <v>4234</v>
      </c>
      <c r="C31" s="58" t="s">
        <v>4235</v>
      </c>
      <c r="D31" s="58" t="s">
        <v>4236</v>
      </c>
      <c r="E31" s="58" t="s">
        <v>4237</v>
      </c>
      <c r="F31" s="58" t="s">
        <v>4238</v>
      </c>
      <c r="G31" s="58" t="s">
        <v>4239</v>
      </c>
      <c r="H31" s="58" t="s">
        <v>4240</v>
      </c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>
      <c r="A32" s="12" t="s">
        <v>4241</v>
      </c>
      <c r="B32" s="12" t="s">
        <v>4242</v>
      </c>
      <c r="C32" s="12" t="s">
        <v>4243</v>
      </c>
      <c r="D32" s="58" t="s">
        <v>4244</v>
      </c>
      <c r="E32" s="12" t="s">
        <v>4245</v>
      </c>
      <c r="F32" s="58" t="s">
        <v>4246</v>
      </c>
      <c r="G32" s="58" t="s">
        <v>4247</v>
      </c>
      <c r="H32" s="58" t="s">
        <v>4248</v>
      </c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>
      <c r="A33" s="12" t="s">
        <v>4249</v>
      </c>
      <c r="B33" s="12" t="s">
        <v>4250</v>
      </c>
      <c r="C33" s="12" t="s">
        <v>4251</v>
      </c>
      <c r="D33" s="58" t="s">
        <v>4252</v>
      </c>
      <c r="E33" s="12" t="s">
        <v>4253</v>
      </c>
      <c r="F33" s="58" t="s">
        <v>4254</v>
      </c>
      <c r="G33" s="58" t="s">
        <v>4255</v>
      </c>
      <c r="H33" s="12" t="s">
        <v>4256</v>
      </c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>
      <c r="A34" s="12" t="s">
        <v>4257</v>
      </c>
      <c r="B34" s="12" t="s">
        <v>4258</v>
      </c>
      <c r="C34" s="12" t="s">
        <v>4259</v>
      </c>
      <c r="D34" s="58" t="s">
        <v>4260</v>
      </c>
      <c r="E34" s="12" t="s">
        <v>4261</v>
      </c>
      <c r="F34" s="12" t="s">
        <v>4262</v>
      </c>
      <c r="G34" s="58" t="s">
        <v>4263</v>
      </c>
      <c r="H34" s="58" t="s">
        <v>4264</v>
      </c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>
      <c r="A35" s="12" t="s">
        <v>4265</v>
      </c>
      <c r="B35" s="12" t="s">
        <v>4266</v>
      </c>
      <c r="C35" s="12" t="s">
        <v>4267</v>
      </c>
      <c r="D35" s="12" t="s">
        <v>4268</v>
      </c>
      <c r="E35" s="58" t="s">
        <v>4269</v>
      </c>
      <c r="F35" s="12" t="s">
        <v>4270</v>
      </c>
      <c r="G35" s="12" t="s">
        <v>4271</v>
      </c>
      <c r="H35" s="12" t="s">
        <v>4272</v>
      </c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12" t="s">
        <v>4273</v>
      </c>
      <c r="B36" s="12" t="s">
        <v>4274</v>
      </c>
      <c r="C36" s="12" t="s">
        <v>4275</v>
      </c>
      <c r="D36" s="12" t="s">
        <v>4276</v>
      </c>
      <c r="E36" s="12" t="s">
        <v>4277</v>
      </c>
      <c r="F36" s="58" t="s">
        <v>4278</v>
      </c>
      <c r="G36" s="12" t="s">
        <v>4279</v>
      </c>
      <c r="H36" s="12" t="s">
        <v>4280</v>
      </c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>
      <c r="A37" s="12" t="s">
        <v>4281</v>
      </c>
      <c r="B37" s="12" t="s">
        <v>4282</v>
      </c>
      <c r="C37" s="12" t="s">
        <v>4283</v>
      </c>
      <c r="D37" s="12" t="s">
        <v>4284</v>
      </c>
      <c r="E37" s="12" t="s">
        <v>4285</v>
      </c>
      <c r="F37" s="12" t="s">
        <v>4286</v>
      </c>
      <c r="G37" s="12" t="s">
        <v>4287</v>
      </c>
      <c r="H37" s="12" t="s">
        <v>4288</v>
      </c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>
      <c r="A38" s="12" t="s">
        <v>4289</v>
      </c>
      <c r="B38" s="12" t="s">
        <v>4290</v>
      </c>
      <c r="C38" s="12" t="s">
        <v>4291</v>
      </c>
      <c r="D38" s="12" t="s">
        <v>4292</v>
      </c>
      <c r="E38" s="12" t="s">
        <v>4293</v>
      </c>
      <c r="F38" s="12" t="s">
        <v>4294</v>
      </c>
      <c r="G38" s="12" t="s">
        <v>4295</v>
      </c>
      <c r="H38" s="12" t="s">
        <v>4296</v>
      </c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>
      <c r="A39" s="12" t="s">
        <v>4297</v>
      </c>
      <c r="C39" s="12" t="s">
        <v>4298</v>
      </c>
      <c r="D39" s="12" t="s">
        <v>4299</v>
      </c>
      <c r="F39" s="12" t="s">
        <v>4300</v>
      </c>
      <c r="G39" s="12" t="s">
        <v>4301</v>
      </c>
      <c r="H39" s="12" t="s">
        <v>4302</v>
      </c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>
      <c r="A40" s="12" t="s">
        <v>4303</v>
      </c>
      <c r="C40" s="12" t="s">
        <v>4304</v>
      </c>
      <c r="G40" s="12" t="s">
        <v>4305</v>
      </c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>
      <c r="E42" s="58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>
      <c r="A44" s="219" t="s">
        <v>3640</v>
      </c>
      <c r="I44" s="19"/>
      <c r="J44" s="19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>
      <c r="A45" s="270" t="s">
        <v>2998</v>
      </c>
      <c r="B45" s="270" t="s">
        <v>3066</v>
      </c>
      <c r="C45" s="186" t="s">
        <v>3067</v>
      </c>
      <c r="D45" s="270" t="s">
        <v>2999</v>
      </c>
      <c r="E45" s="270" t="s">
        <v>85</v>
      </c>
      <c r="F45" s="270" t="s">
        <v>3069</v>
      </c>
      <c r="G45" s="270" t="s">
        <v>705</v>
      </c>
      <c r="H45" s="270" t="s">
        <v>696</v>
      </c>
      <c r="I45" s="19"/>
      <c r="J45" s="19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>
      <c r="A46" s="14" t="s">
        <v>4306</v>
      </c>
      <c r="B46" s="14" t="s">
        <v>4307</v>
      </c>
      <c r="C46" s="14" t="s">
        <v>4308</v>
      </c>
      <c r="D46" s="14" t="s">
        <v>678</v>
      </c>
      <c r="E46" s="14" t="s">
        <v>4309</v>
      </c>
      <c r="F46" s="14" t="s">
        <v>4310</v>
      </c>
      <c r="G46" s="14" t="s">
        <v>4310</v>
      </c>
      <c r="H46" s="14" t="s">
        <v>4311</v>
      </c>
      <c r="I46" s="19"/>
      <c r="J46" s="19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>
      <c r="A47" s="14" t="s">
        <v>4312</v>
      </c>
      <c r="B47" s="14" t="s">
        <v>4307</v>
      </c>
      <c r="C47" s="14" t="s">
        <v>4313</v>
      </c>
      <c r="D47" s="14" t="s">
        <v>674</v>
      </c>
      <c r="E47" s="14" t="s">
        <v>4314</v>
      </c>
      <c r="F47" s="14" t="s">
        <v>4315</v>
      </c>
      <c r="G47" s="14" t="s">
        <v>4316</v>
      </c>
      <c r="H47" s="14" t="s">
        <v>4315</v>
      </c>
      <c r="I47" s="19"/>
      <c r="J47" s="19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>
      <c r="A48" s="14" t="s">
        <v>4317</v>
      </c>
      <c r="B48" s="14" t="s">
        <v>4318</v>
      </c>
      <c r="C48" s="14" t="s">
        <v>4319</v>
      </c>
      <c r="D48" s="14" t="s">
        <v>676</v>
      </c>
      <c r="E48" s="14" t="s">
        <v>4314</v>
      </c>
      <c r="F48" s="14" t="s">
        <v>4320</v>
      </c>
      <c r="G48" s="14" t="s">
        <v>4321</v>
      </c>
      <c r="H48" s="14" t="s">
        <v>4320</v>
      </c>
      <c r="I48" s="19"/>
      <c r="J48" s="19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>
      <c r="A49" s="14" t="s">
        <v>4322</v>
      </c>
      <c r="B49" s="14" t="s">
        <v>4318</v>
      </c>
      <c r="C49" s="14" t="s">
        <v>4323</v>
      </c>
      <c r="D49" s="14" t="s">
        <v>671</v>
      </c>
      <c r="E49" s="14" t="s">
        <v>4309</v>
      </c>
      <c r="F49" s="14" t="s">
        <v>4324</v>
      </c>
      <c r="G49" s="14" t="s">
        <v>4325</v>
      </c>
      <c r="H49" s="14" t="s">
        <v>4326</v>
      </c>
      <c r="I49" s="19"/>
      <c r="J49" s="19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>
      <c r="A50" s="14" t="s">
        <v>4327</v>
      </c>
      <c r="B50" s="14" t="s">
        <v>4328</v>
      </c>
      <c r="C50" s="14" t="s">
        <v>4329</v>
      </c>
      <c r="D50" s="14" t="s">
        <v>678</v>
      </c>
      <c r="E50" s="14" t="s">
        <v>4330</v>
      </c>
      <c r="F50" s="14" t="s">
        <v>4331</v>
      </c>
      <c r="G50" s="14" t="s">
        <v>4310</v>
      </c>
      <c r="H50" s="14" t="s">
        <v>4331</v>
      </c>
      <c r="I50" s="19"/>
      <c r="J50" s="19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>
      <c r="A51" s="14" t="s">
        <v>4332</v>
      </c>
      <c r="B51" s="14" t="s">
        <v>4328</v>
      </c>
      <c r="C51" s="14" t="s">
        <v>4323</v>
      </c>
      <c r="D51" s="14" t="s">
        <v>680</v>
      </c>
      <c r="E51" s="14" t="s">
        <v>4333</v>
      </c>
      <c r="F51" s="14" t="s">
        <v>4334</v>
      </c>
      <c r="G51" s="14" t="s">
        <v>4334</v>
      </c>
      <c r="H51" s="14" t="s">
        <v>4321</v>
      </c>
      <c r="I51" s="19"/>
      <c r="J51" s="19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>
      <c r="A52" s="14" t="s">
        <v>4335</v>
      </c>
      <c r="B52" s="14" t="s">
        <v>4336</v>
      </c>
      <c r="C52" s="14" t="s">
        <v>4337</v>
      </c>
      <c r="D52" s="14" t="s">
        <v>666</v>
      </c>
      <c r="E52" s="14" t="s">
        <v>4330</v>
      </c>
      <c r="F52" s="14" t="s">
        <v>4338</v>
      </c>
      <c r="G52" s="14" t="s">
        <v>4339</v>
      </c>
      <c r="H52" s="14" t="s">
        <v>4340</v>
      </c>
      <c r="I52" s="19"/>
      <c r="J52" s="19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>
      <c r="A53" s="14" t="s">
        <v>4341</v>
      </c>
      <c r="B53" s="14" t="s">
        <v>4336</v>
      </c>
      <c r="C53" s="14" t="s">
        <v>4342</v>
      </c>
      <c r="D53" s="14" t="s">
        <v>675</v>
      </c>
      <c r="E53" s="14" t="s">
        <v>4343</v>
      </c>
      <c r="F53" s="14" t="s">
        <v>4344</v>
      </c>
      <c r="G53" s="14" t="s">
        <v>4344</v>
      </c>
      <c r="H53" s="14" t="s">
        <v>4345</v>
      </c>
      <c r="I53" s="19"/>
      <c r="J53" s="19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>
      <c r="A54" s="14" t="s">
        <v>4346</v>
      </c>
      <c r="B54" s="14" t="s">
        <v>4347</v>
      </c>
      <c r="C54" s="14" t="s">
        <v>4308</v>
      </c>
      <c r="D54" s="14" t="s">
        <v>678</v>
      </c>
      <c r="E54" s="14" t="s">
        <v>4348</v>
      </c>
      <c r="F54" s="14" t="s">
        <v>4310</v>
      </c>
      <c r="G54" s="14" t="s">
        <v>4349</v>
      </c>
      <c r="H54" s="14" t="s">
        <v>4350</v>
      </c>
      <c r="I54" s="19"/>
      <c r="J54" s="19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>
      <c r="A55" s="14" t="s">
        <v>4351</v>
      </c>
      <c r="B55" s="14" t="s">
        <v>4347</v>
      </c>
      <c r="C55" s="14" t="s">
        <v>4319</v>
      </c>
      <c r="D55" s="14" t="s">
        <v>674</v>
      </c>
      <c r="E55" s="14" t="s">
        <v>4314</v>
      </c>
      <c r="F55" s="14" t="s">
        <v>4352</v>
      </c>
      <c r="G55" s="14" t="s">
        <v>4353</v>
      </c>
      <c r="H55" s="14" t="s">
        <v>4352</v>
      </c>
      <c r="I55" s="19"/>
      <c r="J55" s="19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>
      <c r="A56" s="14" t="s">
        <v>4354</v>
      </c>
      <c r="B56" s="14" t="s">
        <v>4355</v>
      </c>
      <c r="C56" s="14" t="s">
        <v>4313</v>
      </c>
      <c r="D56" s="14" t="s">
        <v>675</v>
      </c>
      <c r="E56" s="14" t="s">
        <v>4330</v>
      </c>
      <c r="F56" s="14" t="s">
        <v>4356</v>
      </c>
      <c r="G56" s="14" t="s">
        <v>4357</v>
      </c>
      <c r="H56" s="14" t="s">
        <v>4358</v>
      </c>
      <c r="I56" s="19"/>
      <c r="J56" s="19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>
      <c r="A57" s="14" t="s">
        <v>4359</v>
      </c>
      <c r="B57" s="14" t="s">
        <v>4355</v>
      </c>
      <c r="C57" s="14" t="s">
        <v>4337</v>
      </c>
      <c r="D57" s="14" t="s">
        <v>676</v>
      </c>
      <c r="E57" s="14" t="s">
        <v>4333</v>
      </c>
      <c r="F57" s="14" t="s">
        <v>4320</v>
      </c>
      <c r="G57" s="14" t="s">
        <v>4360</v>
      </c>
      <c r="H57" s="14" t="s">
        <v>4361</v>
      </c>
      <c r="I57" s="19"/>
      <c r="J57" s="19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>
      <c r="A58" s="14" t="s">
        <v>4362</v>
      </c>
      <c r="B58" s="14" t="s">
        <v>4363</v>
      </c>
      <c r="C58" s="14" t="s">
        <v>4364</v>
      </c>
      <c r="D58" s="14" t="s">
        <v>678</v>
      </c>
      <c r="E58" s="14" t="s">
        <v>4365</v>
      </c>
      <c r="F58" s="14" t="s">
        <v>4366</v>
      </c>
      <c r="G58" s="14" t="s">
        <v>4367</v>
      </c>
      <c r="H58" s="14" t="s">
        <v>4331</v>
      </c>
      <c r="I58" s="19"/>
      <c r="J58" s="19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>
      <c r="A59" s="14" t="s">
        <v>4368</v>
      </c>
      <c r="B59" s="14" t="s">
        <v>4363</v>
      </c>
      <c r="C59" s="14" t="s">
        <v>4329</v>
      </c>
      <c r="D59" s="14" t="s">
        <v>676</v>
      </c>
      <c r="E59" s="14" t="s">
        <v>4314</v>
      </c>
      <c r="F59" s="14" t="s">
        <v>4369</v>
      </c>
      <c r="G59" s="14" t="s">
        <v>4369</v>
      </c>
      <c r="H59" s="14" t="s">
        <v>4370</v>
      </c>
      <c r="I59" s="19"/>
      <c r="J59" s="19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>
      <c r="A60" s="14" t="s">
        <v>4371</v>
      </c>
      <c r="B60" s="14" t="s">
        <v>4372</v>
      </c>
      <c r="C60" s="14" t="s">
        <v>4323</v>
      </c>
      <c r="D60" s="14" t="s">
        <v>668</v>
      </c>
      <c r="E60" s="14" t="s">
        <v>4333</v>
      </c>
      <c r="F60" s="14" t="s">
        <v>4373</v>
      </c>
      <c r="G60" s="14" t="s">
        <v>4374</v>
      </c>
      <c r="H60" s="14" t="s">
        <v>4373</v>
      </c>
      <c r="I60" s="19"/>
      <c r="J60" s="19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>
      <c r="A61" s="14" t="s">
        <v>4375</v>
      </c>
      <c r="B61" s="14" t="s">
        <v>4372</v>
      </c>
      <c r="C61" s="14" t="s">
        <v>4342</v>
      </c>
      <c r="D61" s="14" t="s">
        <v>680</v>
      </c>
      <c r="E61" s="14" t="s">
        <v>4376</v>
      </c>
      <c r="F61" s="14" t="s">
        <v>4377</v>
      </c>
      <c r="G61" s="14" t="s">
        <v>4378</v>
      </c>
      <c r="H61" s="14" t="s">
        <v>4379</v>
      </c>
      <c r="I61" s="19"/>
      <c r="J61" s="19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>
      <c r="A62" s="14" t="s">
        <v>4380</v>
      </c>
      <c r="B62" s="14" t="s">
        <v>4381</v>
      </c>
      <c r="C62" s="14" t="s">
        <v>4337</v>
      </c>
      <c r="D62" s="14" t="s">
        <v>668</v>
      </c>
      <c r="E62" s="14" t="s">
        <v>4333</v>
      </c>
      <c r="F62" s="14" t="s">
        <v>4373</v>
      </c>
      <c r="G62" s="14" t="s">
        <v>4373</v>
      </c>
      <c r="H62" s="14" t="s">
        <v>4361</v>
      </c>
      <c r="I62" s="19"/>
      <c r="J62" s="19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>
      <c r="A63" s="14" t="s">
        <v>4382</v>
      </c>
      <c r="B63" s="14" t="s">
        <v>4381</v>
      </c>
      <c r="C63" s="14" t="s">
        <v>4329</v>
      </c>
      <c r="D63" s="14" t="s">
        <v>676</v>
      </c>
      <c r="E63" s="14" t="s">
        <v>4330</v>
      </c>
      <c r="F63" s="14" t="s">
        <v>4360</v>
      </c>
      <c r="G63" s="14" t="s">
        <v>4369</v>
      </c>
      <c r="H63" s="14" t="s">
        <v>4360</v>
      </c>
      <c r="I63" s="19"/>
      <c r="J63" s="19"/>
      <c r="K63" s="113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4" t="s">
        <v>4383</v>
      </c>
      <c r="B64" s="14" t="s">
        <v>4384</v>
      </c>
      <c r="C64" s="14" t="s">
        <v>4308</v>
      </c>
      <c r="D64" s="14" t="s">
        <v>675</v>
      </c>
      <c r="E64" s="14" t="s">
        <v>4385</v>
      </c>
      <c r="F64" s="14" t="s">
        <v>4386</v>
      </c>
      <c r="G64" s="14" t="s">
        <v>4387</v>
      </c>
      <c r="H64" s="14" t="s">
        <v>4326</v>
      </c>
      <c r="I64" s="19"/>
      <c r="J64" s="19"/>
      <c r="K64" s="113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4" t="s">
        <v>4388</v>
      </c>
      <c r="B65" s="14" t="s">
        <v>4384</v>
      </c>
      <c r="C65" s="14" t="s">
        <v>4319</v>
      </c>
      <c r="D65" s="14" t="s">
        <v>680</v>
      </c>
      <c r="E65" s="14" t="s">
        <v>4365</v>
      </c>
      <c r="F65" s="14" t="s">
        <v>4389</v>
      </c>
      <c r="G65" s="14" t="s">
        <v>4390</v>
      </c>
      <c r="H65" s="14" t="s">
        <v>4358</v>
      </c>
      <c r="I65" s="19"/>
      <c r="J65" s="19"/>
      <c r="K65" s="113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4" t="s">
        <v>4391</v>
      </c>
      <c r="B66" s="14" t="s">
        <v>4392</v>
      </c>
      <c r="C66" s="14" t="s">
        <v>4308</v>
      </c>
      <c r="D66" s="14" t="s">
        <v>678</v>
      </c>
      <c r="E66" s="14" t="s">
        <v>4393</v>
      </c>
      <c r="F66" s="14" t="s">
        <v>4394</v>
      </c>
      <c r="G66" s="14" t="s">
        <v>4394</v>
      </c>
      <c r="H66" s="14" t="s">
        <v>4395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4" t="s">
        <v>4396</v>
      </c>
      <c r="B67" s="14" t="s">
        <v>4392</v>
      </c>
      <c r="C67" s="14" t="s">
        <v>4313</v>
      </c>
      <c r="D67" s="14" t="s">
        <v>671</v>
      </c>
      <c r="E67" s="14" t="s">
        <v>4397</v>
      </c>
      <c r="F67" s="14" t="s">
        <v>4398</v>
      </c>
      <c r="G67" s="14" t="s">
        <v>4399</v>
      </c>
      <c r="H67" s="14" t="s">
        <v>4398</v>
      </c>
      <c r="I67" s="19"/>
      <c r="J67" s="19"/>
      <c r="K67" s="113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4" t="s">
        <v>4400</v>
      </c>
      <c r="B68" s="14" t="s">
        <v>4401</v>
      </c>
      <c r="C68" s="14" t="s">
        <v>4364</v>
      </c>
      <c r="D68" s="14" t="s">
        <v>674</v>
      </c>
      <c r="E68" s="14" t="s">
        <v>4393</v>
      </c>
      <c r="F68" s="14" t="s">
        <v>4402</v>
      </c>
      <c r="G68" s="14" t="s">
        <v>4403</v>
      </c>
      <c r="H68" s="14" t="s">
        <v>4402</v>
      </c>
      <c r="I68" s="19"/>
      <c r="J68" s="19"/>
      <c r="K68" s="113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4" t="s">
        <v>4404</v>
      </c>
      <c r="B69" s="14" t="s">
        <v>4401</v>
      </c>
      <c r="C69" s="14" t="s">
        <v>4342</v>
      </c>
      <c r="D69" s="14" t="s">
        <v>675</v>
      </c>
      <c r="E69" s="14" t="s">
        <v>4333</v>
      </c>
      <c r="F69" s="14" t="s">
        <v>4405</v>
      </c>
      <c r="G69" s="14" t="s">
        <v>4405</v>
      </c>
      <c r="H69" s="14" t="s">
        <v>4122</v>
      </c>
      <c r="I69" s="19"/>
      <c r="J69" s="19"/>
      <c r="K69" s="113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4" t="s">
        <v>4406</v>
      </c>
      <c r="B70" s="14" t="s">
        <v>4407</v>
      </c>
      <c r="C70" s="14" t="s">
        <v>4323</v>
      </c>
      <c r="D70" s="14" t="s">
        <v>671</v>
      </c>
      <c r="E70" s="14" t="s">
        <v>4408</v>
      </c>
      <c r="F70" s="14" t="s">
        <v>4398</v>
      </c>
      <c r="G70" s="14" t="s">
        <v>4409</v>
      </c>
      <c r="H70" s="14" t="s">
        <v>4410</v>
      </c>
      <c r="I70" s="19"/>
      <c r="J70" s="19"/>
      <c r="K70" s="113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4" t="s">
        <v>4411</v>
      </c>
      <c r="B71" s="14" t="s">
        <v>4407</v>
      </c>
      <c r="C71" s="14" t="s">
        <v>4313</v>
      </c>
      <c r="D71" s="14" t="s">
        <v>678</v>
      </c>
      <c r="E71" s="14" t="s">
        <v>4412</v>
      </c>
      <c r="F71" s="14" t="s">
        <v>4310</v>
      </c>
      <c r="G71" s="14" t="s">
        <v>4310</v>
      </c>
      <c r="H71" s="14" t="s">
        <v>4331</v>
      </c>
      <c r="I71" s="19"/>
      <c r="J71" s="19"/>
      <c r="K71" s="113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4" t="s">
        <v>4413</v>
      </c>
      <c r="B72" s="14" t="s">
        <v>4414</v>
      </c>
      <c r="C72" s="14" t="s">
        <v>4329</v>
      </c>
      <c r="D72" s="14" t="s">
        <v>675</v>
      </c>
      <c r="E72" s="14" t="s">
        <v>4343</v>
      </c>
      <c r="F72" s="14" t="s">
        <v>4386</v>
      </c>
      <c r="G72" s="14" t="s">
        <v>4415</v>
      </c>
      <c r="H72" s="14" t="s">
        <v>4386</v>
      </c>
      <c r="I72" s="19"/>
      <c r="J72" s="19"/>
      <c r="K72" s="113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4" t="s">
        <v>4416</v>
      </c>
      <c r="B73" s="14" t="s">
        <v>4414</v>
      </c>
      <c r="C73" s="14" t="s">
        <v>4337</v>
      </c>
      <c r="D73" s="14" t="s">
        <v>668</v>
      </c>
      <c r="E73" s="14" t="s">
        <v>4393</v>
      </c>
      <c r="F73" s="14" t="s">
        <v>4417</v>
      </c>
      <c r="G73" s="14" t="s">
        <v>4418</v>
      </c>
      <c r="H73" s="14" t="s">
        <v>4419</v>
      </c>
      <c r="I73" s="19"/>
      <c r="J73" s="19"/>
      <c r="K73" s="113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4" t="s">
        <v>4420</v>
      </c>
      <c r="B74" s="14" t="s">
        <v>4421</v>
      </c>
      <c r="C74" s="14" t="s">
        <v>4308</v>
      </c>
      <c r="D74" s="14" t="s">
        <v>678</v>
      </c>
      <c r="E74" s="14" t="s">
        <v>4422</v>
      </c>
      <c r="F74" s="14" t="s">
        <v>4423</v>
      </c>
      <c r="G74" s="14" t="s">
        <v>4423</v>
      </c>
      <c r="H74" s="14" t="s">
        <v>4331</v>
      </c>
      <c r="I74" s="19"/>
      <c r="J74" s="19"/>
      <c r="K74" s="113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4" t="s">
        <v>4424</v>
      </c>
      <c r="B75" s="14" t="s">
        <v>4421</v>
      </c>
      <c r="C75" s="14" t="s">
        <v>4329</v>
      </c>
      <c r="D75" s="14" t="s">
        <v>674</v>
      </c>
      <c r="E75" s="14" t="s">
        <v>4314</v>
      </c>
      <c r="F75" s="14" t="s">
        <v>4410</v>
      </c>
      <c r="G75" s="14" t="s">
        <v>4360</v>
      </c>
      <c r="H75" s="14" t="s">
        <v>4410</v>
      </c>
      <c r="I75" s="19"/>
      <c r="J75" s="19"/>
      <c r="K75" s="113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4" t="s">
        <v>4425</v>
      </c>
      <c r="B76" s="14" t="s">
        <v>4426</v>
      </c>
      <c r="C76" s="14" t="s">
        <v>4342</v>
      </c>
      <c r="D76" s="14" t="s">
        <v>675</v>
      </c>
      <c r="E76" s="14" t="s">
        <v>4333</v>
      </c>
      <c r="F76" s="14" t="s">
        <v>4386</v>
      </c>
      <c r="G76" s="14" t="s">
        <v>4386</v>
      </c>
      <c r="H76" s="14" t="s">
        <v>4326</v>
      </c>
      <c r="I76" s="19"/>
      <c r="J76" s="19"/>
      <c r="K76" s="113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4" t="s">
        <v>4427</v>
      </c>
      <c r="B77" s="14" t="s">
        <v>4428</v>
      </c>
      <c r="C77" s="14" t="s">
        <v>4308</v>
      </c>
      <c r="D77" s="14" t="s">
        <v>678</v>
      </c>
      <c r="E77" s="14" t="s">
        <v>4314</v>
      </c>
      <c r="F77" s="14" t="s">
        <v>4310</v>
      </c>
      <c r="G77" s="14" t="s">
        <v>4310</v>
      </c>
      <c r="H77" s="14" t="s">
        <v>4326</v>
      </c>
      <c r="I77" s="19"/>
      <c r="J77" s="19"/>
      <c r="K77" s="113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13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35" t="s">
        <v>4429</v>
      </c>
      <c r="F79" s="19"/>
      <c r="G79" s="19"/>
      <c r="H79" s="19"/>
      <c r="I79" s="19"/>
      <c r="J79" s="19"/>
      <c r="K79" s="113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63" t="s">
        <v>627</v>
      </c>
      <c r="B80" s="163" t="s">
        <v>629</v>
      </c>
      <c r="C80" s="163" t="s">
        <v>631</v>
      </c>
      <c r="D80" s="163" t="s">
        <v>633</v>
      </c>
      <c r="E80" s="163" t="s">
        <v>3169</v>
      </c>
      <c r="F80" s="19"/>
      <c r="G80" s="19"/>
      <c r="H80" s="19"/>
      <c r="I80" s="19"/>
      <c r="J80" s="19"/>
      <c r="K80" s="113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4" t="s">
        <v>822</v>
      </c>
      <c r="B81" s="14" t="s">
        <v>823</v>
      </c>
      <c r="C81" s="14" t="s">
        <v>678</v>
      </c>
      <c r="D81" s="14" t="s">
        <v>9</v>
      </c>
      <c r="E81" s="14">
        <v>10000.0</v>
      </c>
      <c r="F81" s="19"/>
      <c r="G81" s="19"/>
      <c r="H81" s="19"/>
      <c r="I81" s="19"/>
      <c r="J81" s="19"/>
      <c r="K81" s="113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4" t="s">
        <v>677</v>
      </c>
      <c r="B82" s="14" t="s">
        <v>827</v>
      </c>
      <c r="C82" s="14" t="s">
        <v>678</v>
      </c>
      <c r="D82" s="14" t="s">
        <v>829</v>
      </c>
      <c r="E82" s="14">
        <v>10000.0</v>
      </c>
      <c r="F82" s="19"/>
      <c r="G82" s="19"/>
      <c r="H82" s="19"/>
      <c r="I82" s="19"/>
      <c r="J82" s="19"/>
      <c r="K82" s="113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4" t="s">
        <v>832</v>
      </c>
      <c r="B83" s="14" t="s">
        <v>833</v>
      </c>
      <c r="C83" s="14" t="s">
        <v>675</v>
      </c>
      <c r="D83" s="14" t="s">
        <v>20</v>
      </c>
      <c r="E83" s="14">
        <v>20000.0</v>
      </c>
      <c r="F83" s="19"/>
      <c r="G83" s="19"/>
      <c r="H83" s="19"/>
      <c r="I83" s="19"/>
      <c r="J83" s="19"/>
      <c r="K83" s="113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4" t="s">
        <v>844</v>
      </c>
      <c r="B84" s="14" t="s">
        <v>845</v>
      </c>
      <c r="C84" s="14" t="s">
        <v>678</v>
      </c>
      <c r="D84" s="14" t="s">
        <v>9</v>
      </c>
      <c r="E84" s="14">
        <v>20000.0</v>
      </c>
      <c r="F84" s="19"/>
      <c r="G84" s="19"/>
      <c r="H84" s="19"/>
      <c r="I84" s="19"/>
      <c r="J84" s="19"/>
      <c r="K84" s="113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4" t="s">
        <v>720</v>
      </c>
      <c r="B85" s="14" t="s">
        <v>845</v>
      </c>
      <c r="C85" s="14" t="s">
        <v>678</v>
      </c>
      <c r="D85" s="14" t="s">
        <v>9</v>
      </c>
      <c r="E85" s="14">
        <v>40000.0</v>
      </c>
      <c r="F85" s="19"/>
      <c r="G85" s="19"/>
      <c r="H85" s="19"/>
      <c r="I85" s="19"/>
      <c r="J85" s="19"/>
      <c r="K85" s="113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4" t="s">
        <v>798</v>
      </c>
      <c r="B86" s="14" t="s">
        <v>668</v>
      </c>
      <c r="E86" s="14">
        <v>50000.0</v>
      </c>
      <c r="F86" s="19"/>
      <c r="G86" s="19"/>
      <c r="H86" s="19"/>
      <c r="I86" s="113"/>
      <c r="J86" s="113"/>
      <c r="K86" s="113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4" t="s">
        <v>809</v>
      </c>
      <c r="B87" s="14" t="s">
        <v>675</v>
      </c>
      <c r="E87" s="14">
        <v>100000.0</v>
      </c>
      <c r="F87" s="19"/>
      <c r="G87" s="19"/>
      <c r="H87" s="19"/>
      <c r="I87" s="113"/>
      <c r="J87" s="113"/>
      <c r="K87" s="113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4" t="s">
        <v>446</v>
      </c>
      <c r="B88" s="14" t="s">
        <v>678</v>
      </c>
      <c r="E88" s="14">
        <v>200000.0</v>
      </c>
      <c r="F88" s="19"/>
      <c r="G88" s="19"/>
      <c r="H88" s="19"/>
      <c r="I88" s="113"/>
      <c r="J88" s="113"/>
      <c r="K88" s="113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9"/>
      <c r="B89" s="19"/>
      <c r="C89" s="19"/>
      <c r="D89" s="19"/>
      <c r="E89" s="19"/>
      <c r="F89" s="19"/>
      <c r="G89" s="19"/>
      <c r="H89" s="19"/>
      <c r="I89" s="113"/>
      <c r="J89" s="113"/>
      <c r="K89" s="113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9"/>
      <c r="B90" s="19"/>
      <c r="C90" s="19"/>
      <c r="D90" s="19"/>
      <c r="E90" s="19"/>
      <c r="F90" s="19"/>
      <c r="G90" s="19"/>
      <c r="H90" s="19"/>
      <c r="I90" s="113"/>
      <c r="J90" s="113"/>
      <c r="K90" s="113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9"/>
      <c r="B91" s="19"/>
      <c r="C91" s="19"/>
      <c r="D91" s="19"/>
      <c r="E91" s="19"/>
      <c r="F91" s="19"/>
      <c r="G91" s="19"/>
      <c r="H91" s="19"/>
      <c r="I91" s="113"/>
      <c r="J91" s="113"/>
      <c r="K91" s="113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9"/>
      <c r="B92" s="19"/>
      <c r="C92" s="19"/>
      <c r="D92" s="19"/>
      <c r="E92" s="19"/>
      <c r="F92" s="19"/>
      <c r="G92" s="19"/>
      <c r="H92" s="19"/>
      <c r="I92" s="113"/>
      <c r="J92" s="113"/>
      <c r="K92" s="113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9"/>
      <c r="B93" s="19"/>
      <c r="C93" s="19"/>
      <c r="D93" s="19"/>
      <c r="E93" s="19"/>
      <c r="F93" s="19"/>
      <c r="G93" s="19"/>
      <c r="H93" s="19"/>
      <c r="I93" s="113"/>
      <c r="J93" s="113"/>
      <c r="K93" s="113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9"/>
      <c r="B94" s="19"/>
      <c r="C94" s="19"/>
      <c r="D94" s="19"/>
      <c r="E94" s="19"/>
      <c r="F94" s="19"/>
      <c r="G94" s="19"/>
      <c r="H94" s="19"/>
      <c r="I94" s="113"/>
      <c r="J94" s="113"/>
      <c r="K94" s="113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9"/>
      <c r="B95" s="19"/>
      <c r="C95" s="19"/>
      <c r="D95" s="19"/>
      <c r="E95" s="19"/>
      <c r="F95" s="19"/>
      <c r="G95" s="19"/>
      <c r="H95" s="19"/>
      <c r="I95" s="113"/>
      <c r="J95" s="113"/>
      <c r="K95" s="113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9"/>
      <c r="C96" s="19"/>
      <c r="D96" s="19"/>
      <c r="E96" s="19"/>
      <c r="F96" s="19"/>
      <c r="G96" s="19"/>
      <c r="H96" s="19"/>
      <c r="I96" s="113"/>
      <c r="J96" s="113"/>
      <c r="K96" s="113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9"/>
      <c r="B97" s="58"/>
      <c r="C97" s="19"/>
      <c r="D97" s="19"/>
      <c r="E97" s="19"/>
      <c r="F97" s="19"/>
      <c r="G97" s="19"/>
      <c r="H97" s="19"/>
      <c r="I97" s="113"/>
      <c r="J97" s="113"/>
      <c r="K97" s="113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9"/>
      <c r="B98" s="58"/>
      <c r="C98" s="19"/>
      <c r="D98" s="19"/>
      <c r="E98" s="19"/>
      <c r="F98" s="19"/>
      <c r="G98" s="19"/>
      <c r="H98" s="19"/>
      <c r="I98" s="113"/>
      <c r="J98" s="113"/>
      <c r="K98" s="113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9"/>
      <c r="B99" s="58"/>
      <c r="C99" s="19"/>
      <c r="D99" s="19"/>
      <c r="E99" s="19"/>
      <c r="F99" s="19"/>
      <c r="G99" s="19"/>
      <c r="H99" s="19"/>
      <c r="I99" s="113"/>
      <c r="J99" s="113"/>
      <c r="K99" s="113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9"/>
      <c r="B100" s="58"/>
      <c r="C100" s="19"/>
      <c r="D100" s="19"/>
      <c r="E100" s="19"/>
      <c r="F100" s="19"/>
      <c r="G100" s="19"/>
      <c r="H100" s="19"/>
      <c r="I100" s="113"/>
      <c r="J100" s="113"/>
      <c r="K100" s="113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9"/>
      <c r="C101" s="19"/>
      <c r="D101" s="19"/>
      <c r="E101" s="19"/>
      <c r="F101" s="19"/>
      <c r="G101" s="19"/>
      <c r="H101" s="19"/>
      <c r="I101" s="113"/>
      <c r="J101" s="113"/>
      <c r="K101" s="113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9"/>
      <c r="C102" s="19"/>
      <c r="D102" s="19"/>
      <c r="E102" s="19"/>
      <c r="F102" s="19"/>
      <c r="G102" s="19"/>
      <c r="H102" s="19"/>
      <c r="I102" s="113"/>
      <c r="J102" s="113"/>
      <c r="K102" s="113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9"/>
      <c r="C103" s="19"/>
      <c r="D103" s="19"/>
      <c r="E103" s="19"/>
      <c r="F103" s="19"/>
      <c r="G103" s="19"/>
      <c r="H103" s="19"/>
      <c r="I103" s="113"/>
      <c r="J103" s="113"/>
      <c r="K103" s="113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9"/>
      <c r="B104" s="58"/>
      <c r="C104" s="19"/>
      <c r="D104" s="19"/>
      <c r="E104" s="19"/>
      <c r="F104" s="19"/>
      <c r="G104" s="19"/>
      <c r="H104" s="19"/>
      <c r="I104" s="113"/>
      <c r="J104" s="113"/>
      <c r="K104" s="113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9"/>
      <c r="B105" s="58"/>
      <c r="C105" s="19"/>
      <c r="D105" s="19"/>
      <c r="E105" s="19"/>
      <c r="F105" s="19"/>
      <c r="G105" s="19"/>
      <c r="H105" s="19"/>
      <c r="I105" s="113"/>
      <c r="J105" s="113"/>
      <c r="K105" s="113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9"/>
      <c r="B106" s="58"/>
      <c r="C106" s="19"/>
      <c r="D106" s="19"/>
      <c r="E106" s="19"/>
      <c r="F106" s="19"/>
      <c r="G106" s="19"/>
      <c r="H106" s="19"/>
      <c r="I106" s="113"/>
      <c r="J106" s="113"/>
      <c r="K106" s="113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9"/>
      <c r="B107" s="58"/>
      <c r="C107" s="19"/>
      <c r="D107" s="19"/>
      <c r="E107" s="19"/>
      <c r="F107" s="19"/>
      <c r="G107" s="19"/>
      <c r="H107" s="19"/>
      <c r="I107" s="113"/>
      <c r="J107" s="113"/>
      <c r="K107" s="113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9"/>
      <c r="B108" s="58"/>
      <c r="C108" s="19"/>
      <c r="D108" s="19"/>
      <c r="E108" s="19"/>
      <c r="F108" s="19"/>
      <c r="G108" s="19"/>
      <c r="H108" s="19"/>
      <c r="I108" s="113"/>
      <c r="J108" s="113"/>
      <c r="K108" s="113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9"/>
      <c r="C109" s="19"/>
      <c r="D109" s="19"/>
      <c r="E109" s="19"/>
      <c r="F109" s="19"/>
      <c r="G109" s="19"/>
      <c r="H109" s="19"/>
      <c r="I109" s="113"/>
      <c r="J109" s="113"/>
      <c r="K109" s="113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9"/>
      <c r="C110" s="19"/>
      <c r="D110" s="19"/>
      <c r="E110" s="19"/>
      <c r="F110" s="19"/>
      <c r="G110" s="19"/>
      <c r="H110" s="19"/>
      <c r="I110" s="113"/>
      <c r="J110" s="113"/>
      <c r="K110" s="113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9"/>
      <c r="C111" s="19"/>
      <c r="D111" s="19"/>
      <c r="E111" s="19"/>
      <c r="F111" s="19"/>
      <c r="G111" s="19"/>
      <c r="H111" s="19"/>
      <c r="I111" s="113"/>
      <c r="J111" s="113"/>
      <c r="K111" s="113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9"/>
      <c r="C112" s="19"/>
      <c r="D112" s="19"/>
      <c r="E112" s="19"/>
      <c r="F112" s="19"/>
      <c r="G112" s="19"/>
      <c r="H112" s="19"/>
      <c r="I112" s="113"/>
      <c r="J112" s="113"/>
      <c r="K112" s="113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9"/>
      <c r="C113" s="19"/>
      <c r="D113" s="19"/>
      <c r="E113" s="19"/>
      <c r="F113" s="19"/>
      <c r="G113" s="19"/>
      <c r="H113" s="19"/>
      <c r="I113" s="113"/>
      <c r="J113" s="113"/>
      <c r="K113" s="113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9"/>
      <c r="C114" s="19"/>
      <c r="D114" s="19"/>
      <c r="E114" s="19"/>
      <c r="F114" s="19"/>
      <c r="G114" s="19"/>
      <c r="H114" s="19"/>
      <c r="I114" s="113"/>
      <c r="J114" s="113"/>
      <c r="K114" s="113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13"/>
      <c r="J115" s="113"/>
      <c r="K115" s="113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13"/>
      <c r="J116" s="113"/>
      <c r="K116" s="113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13"/>
      <c r="J117" s="113"/>
      <c r="K117" s="113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13"/>
      <c r="J118" s="113"/>
      <c r="K118" s="113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13"/>
      <c r="J119" s="113"/>
      <c r="K119" s="113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13"/>
      <c r="J120" s="113"/>
      <c r="K120" s="113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13"/>
      <c r="J121" s="113"/>
      <c r="K121" s="113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13"/>
      <c r="J122" s="113"/>
      <c r="K122" s="113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13"/>
      <c r="J123" s="113"/>
      <c r="K123" s="113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13"/>
      <c r="J124" s="113"/>
      <c r="K124" s="113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13"/>
      <c r="J125" s="113"/>
      <c r="K125" s="113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13"/>
      <c r="J126" s="113"/>
      <c r="K126" s="113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13"/>
      <c r="J127" s="113"/>
      <c r="K127" s="113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13"/>
      <c r="J128" s="113"/>
      <c r="K128" s="113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13"/>
      <c r="J129" s="113"/>
      <c r="K129" s="113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13"/>
      <c r="J130" s="113"/>
      <c r="K130" s="113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13"/>
      <c r="J131" s="113"/>
      <c r="K131" s="113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13"/>
      <c r="J132" s="113"/>
      <c r="K132" s="113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13"/>
      <c r="J133" s="113"/>
      <c r="K133" s="113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13"/>
      <c r="J134" s="113"/>
      <c r="K134" s="113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13"/>
      <c r="J135" s="113"/>
      <c r="K135" s="113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13"/>
      <c r="J136" s="113"/>
      <c r="K136" s="113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13"/>
      <c r="J137" s="113"/>
      <c r="K137" s="113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13"/>
      <c r="J138" s="113"/>
      <c r="K138" s="113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13"/>
      <c r="J139" s="113"/>
      <c r="K139" s="113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13"/>
      <c r="J140" s="113"/>
      <c r="K140" s="113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13"/>
      <c r="J141" s="113"/>
      <c r="K141" s="113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13"/>
      <c r="J142" s="113"/>
      <c r="K142" s="113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13"/>
      <c r="J143" s="113"/>
      <c r="K143" s="113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13"/>
      <c r="J144" s="113"/>
      <c r="K144" s="113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13"/>
      <c r="J145" s="113"/>
      <c r="K145" s="113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13"/>
      <c r="J146" s="113"/>
      <c r="K146" s="113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13"/>
      <c r="J147" s="113"/>
      <c r="K147" s="113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13"/>
      <c r="J148" s="113"/>
      <c r="K148" s="113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13"/>
      <c r="J149" s="113"/>
      <c r="K149" s="113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13"/>
      <c r="J150" s="113"/>
      <c r="K150" s="113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13"/>
      <c r="J151" s="113"/>
      <c r="K151" s="113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13"/>
      <c r="J152" s="113"/>
      <c r="K152" s="113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13"/>
      <c r="J153" s="113"/>
      <c r="K153" s="113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13"/>
      <c r="J154" s="113"/>
      <c r="K154" s="113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13"/>
      <c r="J155" s="113"/>
      <c r="K155" s="113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13"/>
      <c r="J156" s="113"/>
      <c r="K156" s="113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13"/>
      <c r="J157" s="113"/>
      <c r="K157" s="113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13"/>
      <c r="J158" s="113"/>
      <c r="K158" s="113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13"/>
      <c r="J159" s="113"/>
      <c r="K159" s="113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13"/>
      <c r="J160" s="113"/>
      <c r="K160" s="113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13"/>
      <c r="J161" s="113"/>
      <c r="K161" s="113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13"/>
      <c r="J162" s="113"/>
      <c r="K162" s="113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13"/>
      <c r="J163" s="113"/>
      <c r="K163" s="113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13"/>
      <c r="J164" s="113"/>
      <c r="K164" s="113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13"/>
      <c r="J165" s="113"/>
      <c r="K165" s="113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13"/>
      <c r="J166" s="113"/>
      <c r="K166" s="113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13"/>
      <c r="J167" s="113"/>
      <c r="K167" s="113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13"/>
      <c r="J168" s="113"/>
      <c r="K168" s="113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13"/>
      <c r="J169" s="113"/>
      <c r="K169" s="113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13"/>
      <c r="J170" s="113"/>
      <c r="K170" s="113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13"/>
      <c r="J171" s="113"/>
      <c r="K171" s="113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13"/>
      <c r="J172" s="113"/>
      <c r="K172" s="113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13"/>
      <c r="J173" s="113"/>
      <c r="K173" s="113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13"/>
      <c r="J174" s="113"/>
      <c r="K174" s="113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13"/>
      <c r="J175" s="113"/>
      <c r="K175" s="113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13"/>
      <c r="J176" s="113"/>
      <c r="K176" s="113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13"/>
      <c r="J177" s="113"/>
      <c r="K177" s="113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13"/>
      <c r="J178" s="113"/>
      <c r="K178" s="113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13"/>
      <c r="J179" s="113"/>
      <c r="K179" s="113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13"/>
      <c r="J180" s="113"/>
      <c r="K180" s="113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13"/>
      <c r="J181" s="113"/>
      <c r="K181" s="113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13"/>
      <c r="J182" s="113"/>
      <c r="K182" s="113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13"/>
      <c r="J183" s="113"/>
      <c r="K183" s="113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13"/>
      <c r="J184" s="113"/>
      <c r="K184" s="113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13"/>
      <c r="J185" s="113"/>
      <c r="K185" s="113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13"/>
      <c r="J186" s="113"/>
      <c r="K186" s="113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13"/>
      <c r="J187" s="113"/>
      <c r="K187" s="113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13"/>
      <c r="J188" s="113"/>
      <c r="K188" s="113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13"/>
      <c r="J189" s="113"/>
      <c r="K189" s="113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13"/>
      <c r="J190" s="113"/>
      <c r="K190" s="113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13"/>
      <c r="J191" s="113"/>
      <c r="K191" s="113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13"/>
      <c r="J192" s="113"/>
      <c r="K192" s="113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13"/>
      <c r="J193" s="113"/>
      <c r="K193" s="113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13"/>
      <c r="J194" s="113"/>
      <c r="K194" s="113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13"/>
      <c r="J195" s="113"/>
      <c r="K195" s="113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13"/>
      <c r="J196" s="113"/>
      <c r="K196" s="113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13"/>
      <c r="J197" s="113"/>
      <c r="K197" s="113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13"/>
      <c r="J198" s="113"/>
      <c r="K198" s="113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13"/>
      <c r="J199" s="113"/>
      <c r="K199" s="113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13"/>
      <c r="J200" s="113"/>
      <c r="K200" s="113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13"/>
      <c r="J201" s="113"/>
      <c r="K201" s="113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13"/>
      <c r="J202" s="113"/>
      <c r="K202" s="113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13"/>
      <c r="J203" s="113"/>
      <c r="K203" s="113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13"/>
      <c r="J204" s="113"/>
      <c r="K204" s="113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13"/>
      <c r="J205" s="113"/>
      <c r="K205" s="113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13"/>
      <c r="J206" s="113"/>
      <c r="K206" s="113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13"/>
      <c r="J207" s="113"/>
      <c r="K207" s="113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13"/>
      <c r="J208" s="113"/>
      <c r="K208" s="113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13"/>
      <c r="J209" s="113"/>
      <c r="K209" s="113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13"/>
      <c r="J210" s="113"/>
      <c r="K210" s="113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13"/>
      <c r="J211" s="113"/>
      <c r="K211" s="113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13"/>
      <c r="J212" s="113"/>
      <c r="K212" s="113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13"/>
      <c r="J213" s="113"/>
      <c r="K213" s="113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13"/>
      <c r="J214" s="113"/>
      <c r="K214" s="113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13"/>
      <c r="J215" s="113"/>
      <c r="K215" s="113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13"/>
      <c r="J216" s="113"/>
      <c r="K216" s="113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13"/>
      <c r="J217" s="113"/>
      <c r="K217" s="113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13"/>
      <c r="J218" s="113"/>
      <c r="K218" s="113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13"/>
      <c r="J219" s="113"/>
      <c r="K219" s="113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13"/>
      <c r="J220" s="113"/>
      <c r="K220" s="113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13"/>
      <c r="J221" s="113"/>
      <c r="K221" s="113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13"/>
      <c r="J222" s="113"/>
      <c r="K222" s="113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13"/>
      <c r="J223" s="113"/>
      <c r="K223" s="113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13"/>
      <c r="J224" s="113"/>
      <c r="K224" s="113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13"/>
      <c r="J225" s="113"/>
      <c r="K225" s="113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13"/>
      <c r="J226" s="113"/>
      <c r="K226" s="113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13"/>
      <c r="J227" s="113"/>
      <c r="K227" s="113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13"/>
      <c r="J228" s="113"/>
      <c r="K228" s="113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13"/>
      <c r="J229" s="113"/>
      <c r="K229" s="113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13"/>
      <c r="J230" s="113"/>
      <c r="K230" s="113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13"/>
      <c r="J231" s="113"/>
      <c r="K231" s="113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13"/>
      <c r="J232" s="113"/>
      <c r="K232" s="113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13"/>
      <c r="J233" s="113"/>
      <c r="K233" s="113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13"/>
      <c r="J234" s="113"/>
      <c r="K234" s="113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13"/>
      <c r="J235" s="113"/>
      <c r="K235" s="113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13"/>
      <c r="J236" s="113"/>
      <c r="K236" s="113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13"/>
      <c r="J237" s="113"/>
      <c r="K237" s="113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13"/>
      <c r="J238" s="113"/>
      <c r="K238" s="113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13"/>
      <c r="J239" s="113"/>
      <c r="K239" s="113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13"/>
      <c r="J240" s="113"/>
      <c r="K240" s="113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13"/>
      <c r="J241" s="113"/>
      <c r="K241" s="113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13"/>
      <c r="J242" s="113"/>
      <c r="K242" s="113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13"/>
      <c r="J243" s="113"/>
      <c r="K243" s="113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13"/>
      <c r="J244" s="113"/>
      <c r="K244" s="113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13"/>
      <c r="J245" s="113"/>
      <c r="K245" s="113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13"/>
      <c r="J246" s="113"/>
      <c r="K246" s="113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13"/>
      <c r="J247" s="113"/>
      <c r="K247" s="113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13"/>
      <c r="J248" s="113"/>
      <c r="K248" s="113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13"/>
      <c r="J249" s="113"/>
      <c r="K249" s="113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13"/>
      <c r="J250" s="113"/>
      <c r="K250" s="113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13"/>
      <c r="J251" s="113"/>
      <c r="K251" s="113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13"/>
      <c r="J252" s="113"/>
      <c r="K252" s="113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13"/>
      <c r="J253" s="113"/>
      <c r="K253" s="113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13"/>
      <c r="J254" s="113"/>
      <c r="K254" s="113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13"/>
      <c r="J255" s="113"/>
      <c r="K255" s="113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13"/>
      <c r="J256" s="113"/>
      <c r="K256" s="113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13"/>
      <c r="J257" s="113"/>
      <c r="K257" s="113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13"/>
      <c r="J258" s="113"/>
      <c r="K258" s="113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13"/>
      <c r="J259" s="113"/>
      <c r="K259" s="113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13"/>
      <c r="J260" s="113"/>
      <c r="K260" s="113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13"/>
      <c r="J261" s="113"/>
      <c r="K261" s="113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13"/>
      <c r="J262" s="113"/>
      <c r="K262" s="113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13"/>
      <c r="J263" s="113"/>
      <c r="K263" s="113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13"/>
      <c r="J264" s="113"/>
      <c r="K264" s="113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13"/>
      <c r="J265" s="113"/>
      <c r="K265" s="113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13"/>
      <c r="J266" s="113"/>
      <c r="K266" s="113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13"/>
      <c r="J267" s="113"/>
      <c r="K267" s="113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13"/>
      <c r="J268" s="113"/>
      <c r="K268" s="113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13"/>
      <c r="J269" s="113"/>
      <c r="K269" s="113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13"/>
      <c r="J270" s="113"/>
      <c r="K270" s="113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13"/>
      <c r="J271" s="113"/>
      <c r="K271" s="113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13"/>
      <c r="J272" s="113"/>
      <c r="K272" s="113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13"/>
      <c r="J273" s="113"/>
      <c r="K273" s="113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13"/>
      <c r="J274" s="113"/>
      <c r="K274" s="113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13"/>
      <c r="J275" s="113"/>
      <c r="K275" s="113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13"/>
      <c r="J276" s="113"/>
      <c r="K276" s="113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13"/>
      <c r="J277" s="113"/>
      <c r="K277" s="113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13"/>
      <c r="J278" s="113"/>
      <c r="K278" s="113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13"/>
      <c r="J279" s="113"/>
      <c r="K279" s="113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13"/>
      <c r="J280" s="113"/>
      <c r="K280" s="113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13"/>
      <c r="J281" s="113"/>
      <c r="K281" s="113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13"/>
      <c r="J282" s="113"/>
      <c r="K282" s="113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13"/>
      <c r="J283" s="113"/>
      <c r="K283" s="113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13"/>
      <c r="J284" s="113"/>
      <c r="K284" s="113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13"/>
      <c r="J285" s="113"/>
      <c r="K285" s="113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13"/>
      <c r="J286" s="113"/>
      <c r="K286" s="113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13"/>
      <c r="J287" s="113"/>
      <c r="K287" s="113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13"/>
      <c r="J288" s="113"/>
      <c r="K288" s="113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13"/>
      <c r="J289" s="113"/>
      <c r="K289" s="113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13"/>
      <c r="J290" s="113"/>
      <c r="K290" s="113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13"/>
      <c r="J291" s="113"/>
      <c r="K291" s="113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13"/>
      <c r="J292" s="113"/>
      <c r="K292" s="113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13"/>
      <c r="J293" s="113"/>
      <c r="K293" s="113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13"/>
      <c r="J294" s="113"/>
      <c r="K294" s="113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13"/>
      <c r="J295" s="113"/>
      <c r="K295" s="113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13"/>
      <c r="J296" s="113"/>
      <c r="K296" s="113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13"/>
      <c r="J297" s="113"/>
      <c r="K297" s="113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13"/>
      <c r="J298" s="113"/>
      <c r="K298" s="113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13"/>
      <c r="J299" s="113"/>
      <c r="K299" s="113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13"/>
      <c r="J300" s="113"/>
      <c r="K300" s="113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13"/>
      <c r="J301" s="113"/>
      <c r="K301" s="113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13"/>
      <c r="J302" s="113"/>
      <c r="K302" s="113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13"/>
      <c r="J303" s="113"/>
      <c r="K303" s="113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13"/>
      <c r="J304" s="113"/>
      <c r="K304" s="113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13"/>
      <c r="J305" s="113"/>
      <c r="K305" s="113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13"/>
      <c r="J306" s="113"/>
      <c r="K306" s="113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13"/>
      <c r="J307" s="113"/>
      <c r="K307" s="113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13"/>
      <c r="J308" s="113"/>
      <c r="K308" s="113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13"/>
      <c r="J309" s="113"/>
      <c r="K309" s="113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13"/>
      <c r="J310" s="113"/>
      <c r="K310" s="113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13"/>
      <c r="J311" s="113"/>
      <c r="K311" s="113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13"/>
      <c r="J312" s="113"/>
      <c r="K312" s="113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13"/>
      <c r="J313" s="113"/>
      <c r="K313" s="113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13"/>
      <c r="J314" s="113"/>
      <c r="K314" s="113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13"/>
      <c r="J315" s="113"/>
      <c r="K315" s="113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13"/>
      <c r="J316" s="113"/>
      <c r="K316" s="113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13"/>
      <c r="J317" s="113"/>
      <c r="K317" s="113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13"/>
      <c r="J318" s="113"/>
      <c r="K318" s="113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13"/>
      <c r="J319" s="113"/>
      <c r="K319" s="113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13"/>
      <c r="J320" s="113"/>
      <c r="K320" s="113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13"/>
      <c r="J321" s="113"/>
      <c r="K321" s="113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13"/>
      <c r="J322" s="113"/>
      <c r="K322" s="113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13"/>
      <c r="J323" s="113"/>
      <c r="K323" s="113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13"/>
      <c r="J324" s="113"/>
      <c r="K324" s="113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13"/>
      <c r="J325" s="113"/>
      <c r="K325" s="113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13"/>
      <c r="J326" s="113"/>
      <c r="K326" s="113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13"/>
      <c r="J327" s="113"/>
      <c r="K327" s="113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13"/>
      <c r="J328" s="113"/>
      <c r="K328" s="113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13"/>
      <c r="J329" s="113"/>
      <c r="K329" s="113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13"/>
      <c r="J330" s="113"/>
      <c r="K330" s="113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13"/>
      <c r="J331" s="113"/>
      <c r="K331" s="113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13"/>
      <c r="J332" s="113"/>
      <c r="K332" s="113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13"/>
      <c r="J333" s="113"/>
      <c r="K333" s="113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13"/>
      <c r="J334" s="113"/>
      <c r="K334" s="113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13"/>
      <c r="J335" s="113"/>
      <c r="K335" s="113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13"/>
      <c r="J336" s="113"/>
      <c r="K336" s="113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13"/>
      <c r="J337" s="113"/>
      <c r="K337" s="113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13"/>
      <c r="J338" s="113"/>
      <c r="K338" s="113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13"/>
      <c r="J339" s="113"/>
      <c r="K339" s="113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13"/>
      <c r="J340" s="113"/>
      <c r="K340" s="113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13"/>
      <c r="J341" s="113"/>
      <c r="K341" s="113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13"/>
      <c r="J342" s="113"/>
      <c r="K342" s="113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13"/>
      <c r="J343" s="113"/>
      <c r="K343" s="113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13"/>
      <c r="J344" s="113"/>
      <c r="K344" s="113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13"/>
      <c r="J345" s="113"/>
      <c r="K345" s="113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13"/>
      <c r="J346" s="113"/>
      <c r="K346" s="113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13"/>
      <c r="J347" s="113"/>
      <c r="K347" s="113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13"/>
      <c r="J348" s="113"/>
      <c r="K348" s="113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13"/>
      <c r="J349" s="113"/>
      <c r="K349" s="113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13"/>
      <c r="J350" s="113"/>
      <c r="K350" s="113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13"/>
      <c r="J351" s="113"/>
      <c r="K351" s="113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13"/>
      <c r="J352" s="113"/>
      <c r="K352" s="113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13"/>
      <c r="J353" s="113"/>
      <c r="K353" s="113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13"/>
      <c r="J354" s="113"/>
      <c r="K354" s="113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13"/>
      <c r="J355" s="113"/>
      <c r="K355" s="113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13"/>
      <c r="J356" s="113"/>
      <c r="K356" s="113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13"/>
      <c r="J357" s="113"/>
      <c r="K357" s="113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13"/>
      <c r="J358" s="113"/>
      <c r="K358" s="113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13"/>
      <c r="J359" s="113"/>
      <c r="K359" s="113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13"/>
      <c r="J360" s="113"/>
      <c r="K360" s="113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13"/>
      <c r="J361" s="113"/>
      <c r="K361" s="113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13"/>
      <c r="J362" s="113"/>
      <c r="K362" s="113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13"/>
      <c r="J363" s="113"/>
      <c r="K363" s="113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13"/>
      <c r="J364" s="113"/>
      <c r="K364" s="113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13"/>
      <c r="J365" s="113"/>
      <c r="K365" s="113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13"/>
      <c r="J366" s="113"/>
      <c r="K366" s="113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13"/>
      <c r="J367" s="113"/>
      <c r="K367" s="113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13"/>
      <c r="J368" s="113"/>
      <c r="K368" s="113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13"/>
      <c r="J369" s="113"/>
      <c r="K369" s="113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13"/>
      <c r="J370" s="113"/>
      <c r="K370" s="113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13"/>
      <c r="J371" s="113"/>
      <c r="K371" s="113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13"/>
      <c r="J372" s="113"/>
      <c r="K372" s="113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13"/>
      <c r="J373" s="113"/>
      <c r="K373" s="113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13"/>
      <c r="J374" s="113"/>
      <c r="K374" s="113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13"/>
      <c r="J375" s="113"/>
      <c r="K375" s="113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13"/>
      <c r="J376" s="113"/>
      <c r="K376" s="113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13"/>
      <c r="J377" s="113"/>
      <c r="K377" s="113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13"/>
      <c r="J378" s="113"/>
      <c r="K378" s="113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13"/>
      <c r="J379" s="113"/>
      <c r="K379" s="113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13"/>
      <c r="J380" s="113"/>
      <c r="K380" s="113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13"/>
      <c r="J381" s="113"/>
      <c r="K381" s="113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13"/>
      <c r="J382" s="113"/>
      <c r="K382" s="113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13"/>
      <c r="J383" s="113"/>
      <c r="K383" s="113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13"/>
      <c r="J384" s="113"/>
      <c r="K384" s="113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13"/>
      <c r="J385" s="113"/>
      <c r="K385" s="113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13"/>
      <c r="J386" s="113"/>
      <c r="K386" s="113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13"/>
      <c r="J387" s="113"/>
      <c r="K387" s="113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13"/>
      <c r="J388" s="113"/>
      <c r="K388" s="113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13"/>
      <c r="J389" s="113"/>
      <c r="K389" s="113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13"/>
      <c r="J390" s="113"/>
      <c r="K390" s="113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13"/>
      <c r="J391" s="113"/>
      <c r="K391" s="113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13"/>
      <c r="J392" s="113"/>
      <c r="K392" s="113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13"/>
      <c r="J393" s="113"/>
      <c r="K393" s="113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13"/>
      <c r="J394" s="113"/>
      <c r="K394" s="113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13"/>
      <c r="J395" s="113"/>
      <c r="K395" s="113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13"/>
      <c r="J396" s="113"/>
      <c r="K396" s="113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13"/>
      <c r="J397" s="113"/>
      <c r="K397" s="113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13"/>
      <c r="J398" s="113"/>
      <c r="K398" s="113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13"/>
      <c r="J399" s="113"/>
      <c r="K399" s="113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13"/>
      <c r="J400" s="113"/>
      <c r="K400" s="113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13"/>
      <c r="J401" s="113"/>
      <c r="K401" s="113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13"/>
      <c r="J402" s="113"/>
      <c r="K402" s="113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13"/>
      <c r="J403" s="113"/>
      <c r="K403" s="113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13"/>
      <c r="J404" s="113"/>
      <c r="K404" s="113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13"/>
      <c r="J405" s="113"/>
      <c r="K405" s="113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13"/>
      <c r="J406" s="113"/>
      <c r="K406" s="113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13"/>
      <c r="J407" s="113"/>
      <c r="K407" s="113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13"/>
      <c r="J408" s="113"/>
      <c r="K408" s="113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13"/>
      <c r="J409" s="113"/>
      <c r="K409" s="113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13"/>
      <c r="J410" s="113"/>
      <c r="K410" s="113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13"/>
      <c r="J411" s="113"/>
      <c r="K411" s="113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13"/>
      <c r="J412" s="113"/>
      <c r="K412" s="113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13"/>
      <c r="J413" s="113"/>
      <c r="K413" s="113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13"/>
      <c r="J414" s="113"/>
      <c r="K414" s="113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13"/>
      <c r="J415" s="113"/>
      <c r="K415" s="113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13"/>
      <c r="J416" s="113"/>
      <c r="K416" s="113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13"/>
      <c r="J417" s="113"/>
      <c r="K417" s="113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13"/>
      <c r="J418" s="113"/>
      <c r="K418" s="113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13"/>
      <c r="J419" s="113"/>
      <c r="K419" s="113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13"/>
      <c r="J420" s="113"/>
      <c r="K420" s="113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13"/>
      <c r="J421" s="113"/>
      <c r="K421" s="113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13"/>
      <c r="J422" s="113"/>
      <c r="K422" s="113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13"/>
      <c r="J423" s="113"/>
      <c r="K423" s="113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13"/>
      <c r="J424" s="113"/>
      <c r="K424" s="113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13"/>
      <c r="J425" s="113"/>
      <c r="K425" s="113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13"/>
      <c r="J426" s="113"/>
      <c r="K426" s="113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13"/>
      <c r="J427" s="113"/>
      <c r="K427" s="113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13"/>
      <c r="J428" s="113"/>
      <c r="K428" s="113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13"/>
      <c r="J429" s="113"/>
      <c r="K429" s="113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13"/>
      <c r="J430" s="113"/>
      <c r="K430" s="113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13"/>
      <c r="J431" s="113"/>
      <c r="K431" s="113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13"/>
      <c r="J432" s="113"/>
      <c r="K432" s="113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13"/>
      <c r="J433" s="113"/>
      <c r="K433" s="113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13"/>
      <c r="J434" s="113"/>
      <c r="K434" s="113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13"/>
      <c r="J435" s="113"/>
      <c r="K435" s="113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13"/>
      <c r="J436" s="113"/>
      <c r="K436" s="113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13"/>
      <c r="J437" s="113"/>
      <c r="K437" s="113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13"/>
      <c r="J438" s="113"/>
      <c r="K438" s="113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13"/>
      <c r="J439" s="113"/>
      <c r="K439" s="113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13"/>
      <c r="J440" s="113"/>
      <c r="K440" s="113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13"/>
      <c r="J441" s="113"/>
      <c r="K441" s="113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13"/>
      <c r="J442" s="113"/>
      <c r="K442" s="113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13"/>
      <c r="J443" s="113"/>
      <c r="K443" s="113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13"/>
      <c r="J444" s="113"/>
      <c r="K444" s="113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13"/>
      <c r="J445" s="113"/>
      <c r="K445" s="113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13"/>
      <c r="J446" s="113"/>
      <c r="K446" s="113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13"/>
      <c r="J447" s="113"/>
      <c r="K447" s="113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13"/>
      <c r="J448" s="113"/>
      <c r="K448" s="113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13"/>
      <c r="J449" s="113"/>
      <c r="K449" s="113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13"/>
      <c r="J450" s="113"/>
      <c r="K450" s="113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13"/>
      <c r="J451" s="113"/>
      <c r="K451" s="113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13"/>
      <c r="J452" s="113"/>
      <c r="K452" s="113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13"/>
      <c r="J453" s="113"/>
      <c r="K453" s="113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13"/>
      <c r="J454" s="113"/>
      <c r="K454" s="113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13"/>
      <c r="J455" s="113"/>
      <c r="K455" s="113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13"/>
      <c r="J456" s="113"/>
      <c r="K456" s="113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13"/>
      <c r="J457" s="113"/>
      <c r="K457" s="113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13"/>
      <c r="J458" s="113"/>
      <c r="K458" s="113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13"/>
      <c r="J459" s="113"/>
      <c r="K459" s="113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13"/>
      <c r="J460" s="113"/>
      <c r="K460" s="113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13"/>
      <c r="J461" s="113"/>
      <c r="K461" s="113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13"/>
      <c r="J462" s="113"/>
      <c r="K462" s="113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13"/>
      <c r="J463" s="113"/>
      <c r="K463" s="113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13"/>
      <c r="J464" s="113"/>
      <c r="K464" s="113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13"/>
      <c r="J465" s="113"/>
      <c r="K465" s="113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13"/>
      <c r="J466" s="113"/>
      <c r="K466" s="113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13"/>
      <c r="J467" s="113"/>
      <c r="K467" s="113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13"/>
      <c r="J468" s="113"/>
      <c r="K468" s="113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13"/>
      <c r="J469" s="113"/>
      <c r="K469" s="113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13"/>
      <c r="J470" s="113"/>
      <c r="K470" s="113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13"/>
      <c r="J471" s="113"/>
      <c r="K471" s="113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13"/>
      <c r="J472" s="113"/>
      <c r="K472" s="113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13"/>
      <c r="J473" s="113"/>
      <c r="K473" s="113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13"/>
      <c r="J474" s="113"/>
      <c r="K474" s="113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13"/>
      <c r="J475" s="113"/>
      <c r="K475" s="113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13"/>
      <c r="J476" s="113"/>
      <c r="K476" s="113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13"/>
      <c r="J477" s="113"/>
      <c r="K477" s="113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13"/>
      <c r="J478" s="113"/>
      <c r="K478" s="113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13"/>
      <c r="J479" s="113"/>
      <c r="K479" s="113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13"/>
      <c r="J480" s="113"/>
      <c r="K480" s="113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13"/>
      <c r="J481" s="113"/>
      <c r="K481" s="113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13"/>
      <c r="J482" s="113"/>
      <c r="K482" s="113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13"/>
      <c r="J483" s="113"/>
      <c r="K483" s="113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13"/>
      <c r="J484" s="113"/>
      <c r="K484" s="113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13"/>
      <c r="J485" s="113"/>
      <c r="K485" s="113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13"/>
      <c r="J486" s="113"/>
      <c r="K486" s="113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13"/>
      <c r="J487" s="113"/>
      <c r="K487" s="113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13"/>
      <c r="J488" s="113"/>
      <c r="K488" s="113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13"/>
      <c r="J489" s="113"/>
      <c r="K489" s="113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13"/>
      <c r="J490" s="113"/>
      <c r="K490" s="113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13"/>
      <c r="J491" s="113"/>
      <c r="K491" s="113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13"/>
      <c r="J492" s="113"/>
      <c r="K492" s="113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13"/>
      <c r="J493" s="113"/>
      <c r="K493" s="113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13"/>
      <c r="J494" s="113"/>
      <c r="K494" s="113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13"/>
      <c r="J495" s="113"/>
      <c r="K495" s="113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13"/>
      <c r="J496" s="113"/>
      <c r="K496" s="113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13"/>
      <c r="J497" s="113"/>
      <c r="K497" s="113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13"/>
      <c r="J498" s="113"/>
      <c r="K498" s="113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13"/>
      <c r="J499" s="113"/>
      <c r="K499" s="113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13"/>
      <c r="J500" s="113"/>
      <c r="K500" s="113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13"/>
      <c r="J501" s="113"/>
      <c r="K501" s="113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13"/>
      <c r="J502" s="113"/>
      <c r="K502" s="113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13"/>
      <c r="J503" s="113"/>
      <c r="K503" s="113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13"/>
      <c r="J504" s="113"/>
      <c r="K504" s="113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13"/>
      <c r="J505" s="113"/>
      <c r="K505" s="113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13"/>
      <c r="J506" s="113"/>
      <c r="K506" s="113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13"/>
      <c r="J507" s="113"/>
      <c r="K507" s="113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13"/>
      <c r="J508" s="113"/>
      <c r="K508" s="113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13"/>
      <c r="J509" s="113"/>
      <c r="K509" s="113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13"/>
      <c r="J510" s="113"/>
      <c r="K510" s="113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13"/>
      <c r="J511" s="113"/>
      <c r="K511" s="113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13"/>
      <c r="J512" s="113"/>
      <c r="K512" s="113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13"/>
      <c r="J513" s="113"/>
      <c r="K513" s="113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13"/>
      <c r="J514" s="113"/>
      <c r="K514" s="113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13"/>
      <c r="J515" s="113"/>
      <c r="K515" s="113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13"/>
      <c r="J516" s="113"/>
      <c r="K516" s="113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13"/>
      <c r="J517" s="113"/>
      <c r="K517" s="113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13"/>
      <c r="J518" s="113"/>
      <c r="K518" s="113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13"/>
      <c r="J519" s="113"/>
      <c r="K519" s="113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13"/>
      <c r="J520" s="113"/>
      <c r="K520" s="113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13"/>
      <c r="J521" s="113"/>
      <c r="K521" s="113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13"/>
      <c r="J522" s="113"/>
      <c r="K522" s="113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13"/>
      <c r="J523" s="113"/>
      <c r="K523" s="113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13"/>
      <c r="J524" s="113"/>
      <c r="K524" s="113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13"/>
      <c r="J525" s="113"/>
      <c r="K525" s="113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13"/>
      <c r="J526" s="113"/>
      <c r="K526" s="113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13"/>
      <c r="J527" s="113"/>
      <c r="K527" s="113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13"/>
      <c r="J528" s="113"/>
      <c r="K528" s="113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13"/>
      <c r="J529" s="113"/>
      <c r="K529" s="113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13"/>
      <c r="J530" s="113"/>
      <c r="K530" s="113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13"/>
      <c r="J531" s="113"/>
      <c r="K531" s="113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13"/>
      <c r="J532" s="113"/>
      <c r="K532" s="113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13"/>
      <c r="J533" s="113"/>
      <c r="K533" s="113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13"/>
      <c r="J534" s="113"/>
      <c r="K534" s="113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13"/>
      <c r="J535" s="113"/>
      <c r="K535" s="113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13"/>
      <c r="J536" s="113"/>
      <c r="K536" s="113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13"/>
      <c r="J537" s="113"/>
      <c r="K537" s="113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13"/>
      <c r="J538" s="113"/>
      <c r="K538" s="113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13"/>
      <c r="J539" s="113"/>
      <c r="K539" s="113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13"/>
      <c r="J540" s="113"/>
      <c r="K540" s="113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13"/>
      <c r="J541" s="113"/>
      <c r="K541" s="113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13"/>
      <c r="J542" s="113"/>
      <c r="K542" s="113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13"/>
      <c r="J543" s="113"/>
      <c r="K543" s="113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13"/>
      <c r="J544" s="113"/>
      <c r="K544" s="113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13"/>
      <c r="J545" s="113"/>
      <c r="K545" s="113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13"/>
      <c r="J546" s="113"/>
      <c r="K546" s="113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13"/>
      <c r="J547" s="113"/>
      <c r="K547" s="113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13"/>
      <c r="J548" s="113"/>
      <c r="K548" s="113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13"/>
      <c r="J549" s="113"/>
      <c r="K549" s="113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13"/>
      <c r="J550" s="113"/>
      <c r="K550" s="113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13"/>
      <c r="J551" s="113"/>
      <c r="K551" s="113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13"/>
      <c r="J552" s="113"/>
      <c r="K552" s="113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13"/>
      <c r="J553" s="113"/>
      <c r="K553" s="113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13"/>
      <c r="J554" s="113"/>
      <c r="K554" s="113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13"/>
      <c r="J555" s="113"/>
      <c r="K555" s="113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13"/>
      <c r="J556" s="113"/>
      <c r="K556" s="113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13"/>
      <c r="J557" s="113"/>
      <c r="K557" s="113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13"/>
      <c r="J558" s="113"/>
      <c r="K558" s="113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13"/>
      <c r="J559" s="113"/>
      <c r="K559" s="113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13"/>
      <c r="J560" s="113"/>
      <c r="K560" s="113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13"/>
      <c r="J561" s="113"/>
      <c r="K561" s="113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13"/>
      <c r="J562" s="113"/>
      <c r="K562" s="113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13"/>
      <c r="J563" s="113"/>
      <c r="K563" s="113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13"/>
      <c r="J564" s="113"/>
      <c r="K564" s="113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13"/>
      <c r="J565" s="113"/>
      <c r="K565" s="113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13"/>
      <c r="J566" s="113"/>
      <c r="K566" s="113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13"/>
      <c r="J567" s="113"/>
      <c r="K567" s="113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13"/>
      <c r="J568" s="113"/>
      <c r="K568" s="113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13"/>
      <c r="J569" s="113"/>
      <c r="K569" s="113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13"/>
      <c r="J570" s="113"/>
      <c r="K570" s="113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13"/>
      <c r="J571" s="113"/>
      <c r="K571" s="113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13"/>
      <c r="J572" s="113"/>
      <c r="K572" s="113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13"/>
      <c r="J573" s="113"/>
      <c r="K573" s="113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13"/>
      <c r="J574" s="113"/>
      <c r="K574" s="113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13"/>
      <c r="J575" s="113"/>
      <c r="K575" s="113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13"/>
      <c r="J576" s="113"/>
      <c r="K576" s="113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13"/>
      <c r="J577" s="113"/>
      <c r="K577" s="113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13"/>
      <c r="J578" s="113"/>
      <c r="K578" s="113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13"/>
      <c r="J579" s="113"/>
      <c r="K579" s="113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13"/>
      <c r="J580" s="113"/>
      <c r="K580" s="113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13"/>
      <c r="J581" s="113"/>
      <c r="K581" s="113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13"/>
      <c r="J582" s="113"/>
      <c r="K582" s="113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13"/>
      <c r="J583" s="113"/>
      <c r="K583" s="113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13"/>
      <c r="J584" s="113"/>
      <c r="K584" s="113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13"/>
      <c r="J585" s="113"/>
      <c r="K585" s="113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13"/>
      <c r="J586" s="113"/>
      <c r="K586" s="113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13"/>
      <c r="J587" s="113"/>
      <c r="K587" s="113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13"/>
      <c r="J588" s="113"/>
      <c r="K588" s="113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13"/>
      <c r="J589" s="113"/>
      <c r="K589" s="113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13"/>
      <c r="J590" s="113"/>
      <c r="K590" s="113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13"/>
      <c r="J591" s="113"/>
      <c r="K591" s="113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13"/>
      <c r="J592" s="113"/>
      <c r="K592" s="113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13"/>
      <c r="J593" s="113"/>
      <c r="K593" s="113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13"/>
      <c r="J594" s="113"/>
      <c r="K594" s="113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13"/>
      <c r="J595" s="113"/>
      <c r="K595" s="113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13"/>
      <c r="J596" s="113"/>
      <c r="K596" s="113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13"/>
      <c r="J597" s="113"/>
      <c r="K597" s="113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13"/>
      <c r="J598" s="113"/>
      <c r="K598" s="113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13"/>
      <c r="J599" s="113"/>
      <c r="K599" s="113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13"/>
      <c r="J600" s="113"/>
      <c r="K600" s="113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13"/>
      <c r="J601" s="113"/>
      <c r="K601" s="113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13"/>
      <c r="J602" s="113"/>
      <c r="K602" s="113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13"/>
      <c r="J603" s="113"/>
      <c r="K603" s="113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13"/>
      <c r="J604" s="113"/>
      <c r="K604" s="113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13"/>
      <c r="J605" s="113"/>
      <c r="K605" s="113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13"/>
      <c r="J606" s="113"/>
      <c r="K606" s="113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13"/>
      <c r="J607" s="113"/>
      <c r="K607" s="113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13"/>
      <c r="J608" s="113"/>
      <c r="K608" s="113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13"/>
      <c r="J609" s="113"/>
      <c r="K609" s="113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13"/>
      <c r="J610" s="113"/>
      <c r="K610" s="113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13"/>
      <c r="J611" s="113"/>
      <c r="K611" s="113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13"/>
      <c r="J612" s="113"/>
      <c r="K612" s="113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13"/>
      <c r="J613" s="113"/>
      <c r="K613" s="113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13"/>
      <c r="J614" s="113"/>
      <c r="K614" s="113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13"/>
      <c r="J615" s="113"/>
      <c r="K615" s="113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13"/>
      <c r="J616" s="113"/>
      <c r="K616" s="113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13"/>
      <c r="J617" s="113"/>
      <c r="K617" s="113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13"/>
      <c r="J618" s="113"/>
      <c r="K618" s="113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13"/>
      <c r="J619" s="113"/>
      <c r="K619" s="113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13"/>
      <c r="J620" s="113"/>
      <c r="K620" s="113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13"/>
      <c r="J621" s="113"/>
      <c r="K621" s="113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13"/>
      <c r="J622" s="113"/>
      <c r="K622" s="113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13"/>
      <c r="J623" s="113"/>
      <c r="K623" s="113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13"/>
      <c r="J624" s="113"/>
      <c r="K624" s="113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13"/>
      <c r="J625" s="113"/>
      <c r="K625" s="113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13"/>
      <c r="J626" s="113"/>
      <c r="K626" s="113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13"/>
      <c r="J627" s="113"/>
      <c r="K627" s="113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13"/>
      <c r="J628" s="113"/>
      <c r="K628" s="113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13"/>
      <c r="J629" s="113"/>
      <c r="K629" s="113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13"/>
      <c r="J630" s="113"/>
      <c r="K630" s="113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13"/>
      <c r="J631" s="113"/>
      <c r="K631" s="113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13"/>
      <c r="J632" s="113"/>
      <c r="K632" s="113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13"/>
      <c r="J633" s="113"/>
      <c r="K633" s="113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13"/>
      <c r="J634" s="113"/>
      <c r="K634" s="113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13"/>
      <c r="J635" s="113"/>
      <c r="K635" s="113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13"/>
      <c r="J636" s="113"/>
      <c r="K636" s="113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13"/>
      <c r="J637" s="113"/>
      <c r="K637" s="113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13"/>
      <c r="J638" s="113"/>
      <c r="K638" s="113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13"/>
      <c r="J639" s="113"/>
      <c r="K639" s="113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13"/>
      <c r="J640" s="113"/>
      <c r="K640" s="113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13"/>
      <c r="J641" s="113"/>
      <c r="K641" s="113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13"/>
      <c r="J642" s="113"/>
      <c r="K642" s="113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13"/>
      <c r="J643" s="113"/>
      <c r="K643" s="113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13"/>
      <c r="J644" s="113"/>
      <c r="K644" s="113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13"/>
      <c r="J645" s="113"/>
      <c r="K645" s="113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13"/>
      <c r="J646" s="113"/>
      <c r="K646" s="113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13"/>
      <c r="J647" s="113"/>
      <c r="K647" s="113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13"/>
      <c r="J648" s="113"/>
      <c r="K648" s="113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13"/>
      <c r="J649" s="113"/>
      <c r="K649" s="113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13"/>
      <c r="J650" s="113"/>
      <c r="K650" s="113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13"/>
      <c r="J651" s="113"/>
      <c r="K651" s="113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13"/>
      <c r="J652" s="113"/>
      <c r="K652" s="113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13"/>
      <c r="J653" s="113"/>
      <c r="K653" s="113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13"/>
      <c r="J654" s="113"/>
      <c r="K654" s="113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13"/>
      <c r="J655" s="113"/>
      <c r="K655" s="113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13"/>
      <c r="J656" s="113"/>
      <c r="K656" s="113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13"/>
      <c r="J657" s="113"/>
      <c r="K657" s="113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13"/>
      <c r="J658" s="113"/>
      <c r="K658" s="113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13"/>
      <c r="J659" s="113"/>
      <c r="K659" s="113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13"/>
      <c r="J660" s="113"/>
      <c r="K660" s="113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13"/>
      <c r="J661" s="113"/>
      <c r="K661" s="113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13"/>
      <c r="J662" s="113"/>
      <c r="K662" s="113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13"/>
      <c r="J663" s="113"/>
      <c r="K663" s="113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13"/>
      <c r="J664" s="113"/>
      <c r="K664" s="113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13"/>
      <c r="J665" s="113"/>
      <c r="K665" s="113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13"/>
      <c r="J666" s="113"/>
      <c r="K666" s="113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13"/>
      <c r="J667" s="113"/>
      <c r="K667" s="113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13"/>
      <c r="J668" s="113"/>
      <c r="K668" s="113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13"/>
      <c r="J669" s="113"/>
      <c r="K669" s="113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13"/>
      <c r="J670" s="113"/>
      <c r="K670" s="113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13"/>
      <c r="J671" s="113"/>
      <c r="K671" s="113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13"/>
      <c r="J672" s="113"/>
      <c r="K672" s="113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13"/>
      <c r="J673" s="113"/>
      <c r="K673" s="113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13"/>
      <c r="J674" s="113"/>
      <c r="K674" s="113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13"/>
      <c r="J675" s="113"/>
      <c r="K675" s="113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13"/>
      <c r="J676" s="113"/>
      <c r="K676" s="113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13"/>
      <c r="J677" s="113"/>
      <c r="K677" s="113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13"/>
      <c r="J678" s="113"/>
      <c r="K678" s="113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13"/>
      <c r="J679" s="113"/>
      <c r="K679" s="113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13"/>
      <c r="J680" s="113"/>
      <c r="K680" s="113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13"/>
      <c r="J681" s="113"/>
      <c r="K681" s="113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13"/>
      <c r="J682" s="113"/>
      <c r="K682" s="113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13"/>
      <c r="J683" s="113"/>
      <c r="K683" s="113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13"/>
      <c r="J684" s="113"/>
      <c r="K684" s="113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13"/>
      <c r="J685" s="113"/>
      <c r="K685" s="113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13"/>
      <c r="J686" s="113"/>
      <c r="K686" s="113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13"/>
      <c r="J687" s="113"/>
      <c r="K687" s="113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13"/>
      <c r="J688" s="113"/>
      <c r="K688" s="113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13"/>
      <c r="J689" s="113"/>
      <c r="K689" s="113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13"/>
      <c r="J690" s="113"/>
      <c r="K690" s="113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13"/>
      <c r="J691" s="113"/>
      <c r="K691" s="113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13"/>
      <c r="J692" s="113"/>
      <c r="K692" s="113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13"/>
      <c r="J693" s="113"/>
      <c r="K693" s="113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13"/>
      <c r="J694" s="113"/>
      <c r="K694" s="113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13"/>
      <c r="J695" s="113"/>
      <c r="K695" s="113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13"/>
      <c r="J696" s="113"/>
      <c r="K696" s="113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13"/>
      <c r="J697" s="113"/>
      <c r="K697" s="113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13"/>
      <c r="J698" s="113"/>
      <c r="K698" s="113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13"/>
      <c r="J699" s="113"/>
      <c r="K699" s="113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13"/>
      <c r="J700" s="113"/>
      <c r="K700" s="113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13"/>
      <c r="J701" s="113"/>
      <c r="K701" s="113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13"/>
      <c r="J702" s="113"/>
      <c r="K702" s="113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13"/>
      <c r="J703" s="113"/>
      <c r="K703" s="113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13"/>
      <c r="J704" s="113"/>
      <c r="K704" s="113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13"/>
      <c r="J705" s="113"/>
      <c r="K705" s="113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13"/>
      <c r="J706" s="113"/>
      <c r="K706" s="113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13"/>
      <c r="J707" s="113"/>
      <c r="K707" s="113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13"/>
      <c r="J708" s="113"/>
      <c r="K708" s="113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13"/>
      <c r="J709" s="113"/>
      <c r="K709" s="113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13"/>
      <c r="J710" s="113"/>
      <c r="K710" s="113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13"/>
      <c r="J711" s="113"/>
      <c r="K711" s="113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13"/>
      <c r="J712" s="113"/>
      <c r="K712" s="113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13"/>
      <c r="J713" s="113"/>
      <c r="K713" s="113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13"/>
      <c r="J714" s="113"/>
      <c r="K714" s="113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13"/>
      <c r="J715" s="113"/>
      <c r="K715" s="113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13"/>
      <c r="J716" s="113"/>
      <c r="K716" s="113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13"/>
      <c r="J717" s="113"/>
      <c r="K717" s="113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13"/>
      <c r="J718" s="113"/>
      <c r="K718" s="113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13"/>
      <c r="J719" s="113"/>
      <c r="K719" s="113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13"/>
      <c r="J720" s="113"/>
      <c r="K720" s="113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13"/>
      <c r="J721" s="113"/>
      <c r="K721" s="113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13"/>
      <c r="J722" s="113"/>
      <c r="K722" s="113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13"/>
      <c r="J723" s="113"/>
      <c r="K723" s="113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13"/>
      <c r="J724" s="113"/>
      <c r="K724" s="113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13"/>
      <c r="J725" s="113"/>
      <c r="K725" s="113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13"/>
      <c r="J726" s="113"/>
      <c r="K726" s="113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13"/>
      <c r="J727" s="113"/>
      <c r="K727" s="113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13"/>
      <c r="J728" s="113"/>
      <c r="K728" s="113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13"/>
      <c r="J729" s="113"/>
      <c r="K729" s="113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13"/>
      <c r="J730" s="113"/>
      <c r="K730" s="113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13"/>
      <c r="J731" s="113"/>
      <c r="K731" s="113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13"/>
      <c r="J732" s="113"/>
      <c r="K732" s="113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13"/>
      <c r="J733" s="113"/>
      <c r="K733" s="113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13"/>
      <c r="J734" s="113"/>
      <c r="K734" s="113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13"/>
      <c r="J735" s="113"/>
      <c r="K735" s="113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13"/>
      <c r="J736" s="113"/>
      <c r="K736" s="113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13"/>
      <c r="J737" s="113"/>
      <c r="K737" s="113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13"/>
      <c r="J738" s="113"/>
      <c r="K738" s="113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13"/>
      <c r="J739" s="113"/>
      <c r="K739" s="113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13"/>
      <c r="J740" s="113"/>
      <c r="K740" s="113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13"/>
      <c r="J741" s="113"/>
      <c r="K741" s="113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13"/>
      <c r="J742" s="113"/>
      <c r="K742" s="113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13"/>
      <c r="J743" s="113"/>
      <c r="K743" s="113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13"/>
      <c r="J744" s="113"/>
      <c r="K744" s="113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13"/>
      <c r="J745" s="113"/>
      <c r="K745" s="113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13"/>
      <c r="J746" s="113"/>
      <c r="K746" s="113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13"/>
      <c r="J747" s="113"/>
      <c r="K747" s="113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13"/>
      <c r="J748" s="113"/>
      <c r="K748" s="113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13"/>
      <c r="J749" s="113"/>
      <c r="K749" s="113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13"/>
      <c r="J750" s="113"/>
      <c r="K750" s="113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13"/>
      <c r="J751" s="113"/>
      <c r="K751" s="113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13"/>
      <c r="J752" s="113"/>
      <c r="K752" s="113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13"/>
      <c r="J753" s="113"/>
      <c r="K753" s="113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13"/>
      <c r="J754" s="113"/>
      <c r="K754" s="113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13"/>
      <c r="J755" s="113"/>
      <c r="K755" s="113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13"/>
      <c r="J756" s="113"/>
      <c r="K756" s="113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13"/>
      <c r="J757" s="113"/>
      <c r="K757" s="113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13"/>
      <c r="J758" s="113"/>
      <c r="K758" s="113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13"/>
      <c r="J759" s="113"/>
      <c r="K759" s="113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13"/>
      <c r="J760" s="113"/>
      <c r="K760" s="113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13"/>
      <c r="J761" s="113"/>
      <c r="K761" s="113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13"/>
      <c r="J762" s="113"/>
      <c r="K762" s="113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13"/>
      <c r="J763" s="113"/>
      <c r="K763" s="113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13"/>
      <c r="J764" s="113"/>
      <c r="K764" s="113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13"/>
      <c r="J765" s="113"/>
      <c r="K765" s="113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13"/>
      <c r="J766" s="113"/>
      <c r="K766" s="113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13"/>
      <c r="J767" s="113"/>
      <c r="K767" s="113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13"/>
      <c r="J768" s="113"/>
      <c r="K768" s="113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13"/>
      <c r="J769" s="113"/>
      <c r="K769" s="113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13"/>
      <c r="J770" s="113"/>
      <c r="K770" s="113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13"/>
      <c r="J771" s="113"/>
      <c r="K771" s="113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13"/>
      <c r="J772" s="113"/>
      <c r="K772" s="113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13"/>
      <c r="J773" s="113"/>
      <c r="K773" s="113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13"/>
      <c r="J774" s="113"/>
      <c r="K774" s="113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13"/>
      <c r="J775" s="113"/>
      <c r="K775" s="113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13"/>
      <c r="J776" s="113"/>
      <c r="K776" s="113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13"/>
      <c r="J777" s="113"/>
      <c r="K777" s="113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13"/>
      <c r="J778" s="113"/>
      <c r="K778" s="113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13"/>
      <c r="J779" s="113"/>
      <c r="K779" s="113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13"/>
      <c r="J780" s="113"/>
      <c r="K780" s="113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13"/>
      <c r="J781" s="113"/>
      <c r="K781" s="113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13"/>
      <c r="J782" s="113"/>
      <c r="K782" s="113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13"/>
      <c r="J783" s="113"/>
      <c r="K783" s="113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13"/>
      <c r="J784" s="113"/>
      <c r="K784" s="113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13"/>
      <c r="J785" s="113"/>
      <c r="K785" s="113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13"/>
      <c r="J786" s="113"/>
      <c r="K786" s="113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13"/>
      <c r="J787" s="113"/>
      <c r="K787" s="113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13"/>
      <c r="J788" s="113"/>
      <c r="K788" s="113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13"/>
      <c r="J789" s="113"/>
      <c r="K789" s="113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13"/>
      <c r="J790" s="113"/>
      <c r="K790" s="113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13"/>
      <c r="J791" s="113"/>
      <c r="K791" s="113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13"/>
      <c r="J792" s="113"/>
      <c r="K792" s="113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13"/>
      <c r="J793" s="113"/>
      <c r="K793" s="113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13"/>
      <c r="J794" s="113"/>
      <c r="K794" s="113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13"/>
      <c r="J795" s="113"/>
      <c r="K795" s="113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13"/>
      <c r="J796" s="113"/>
      <c r="K796" s="113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13"/>
      <c r="J797" s="113"/>
      <c r="K797" s="113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13"/>
      <c r="J798" s="113"/>
      <c r="K798" s="113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13"/>
      <c r="J799" s="113"/>
      <c r="K799" s="113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13"/>
      <c r="J800" s="113"/>
      <c r="K800" s="113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13"/>
      <c r="J801" s="113"/>
      <c r="K801" s="113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13"/>
      <c r="J802" s="113"/>
      <c r="K802" s="113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13"/>
      <c r="J803" s="113"/>
      <c r="K803" s="113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13"/>
      <c r="J804" s="113"/>
      <c r="K804" s="113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13"/>
      <c r="J805" s="113"/>
      <c r="K805" s="113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13"/>
      <c r="J806" s="113"/>
      <c r="K806" s="113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13"/>
      <c r="J807" s="113"/>
      <c r="K807" s="113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13"/>
      <c r="J808" s="113"/>
      <c r="K808" s="113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13"/>
      <c r="J809" s="113"/>
      <c r="K809" s="113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13"/>
      <c r="J810" s="113"/>
      <c r="K810" s="113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13"/>
      <c r="J811" s="113"/>
      <c r="K811" s="113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13"/>
      <c r="J812" s="113"/>
      <c r="K812" s="113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13"/>
      <c r="J813" s="113"/>
      <c r="K813" s="113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13"/>
      <c r="J814" s="113"/>
      <c r="K814" s="113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13"/>
      <c r="J815" s="113"/>
      <c r="K815" s="113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13"/>
      <c r="J816" s="113"/>
      <c r="K816" s="113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13"/>
      <c r="J817" s="113"/>
      <c r="K817" s="113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13"/>
      <c r="J818" s="113"/>
      <c r="K818" s="113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13"/>
      <c r="J819" s="113"/>
      <c r="K819" s="113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13"/>
      <c r="J820" s="113"/>
      <c r="K820" s="113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13"/>
      <c r="J821" s="113"/>
      <c r="K821" s="113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13"/>
      <c r="J822" s="113"/>
      <c r="K822" s="113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13"/>
      <c r="J823" s="113"/>
      <c r="K823" s="113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13"/>
      <c r="J824" s="113"/>
      <c r="K824" s="113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13"/>
      <c r="J825" s="113"/>
      <c r="K825" s="113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13"/>
      <c r="J826" s="113"/>
      <c r="K826" s="113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13"/>
      <c r="J827" s="113"/>
      <c r="K827" s="113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13"/>
      <c r="J828" s="113"/>
      <c r="K828" s="113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13"/>
      <c r="J829" s="113"/>
      <c r="K829" s="113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13"/>
      <c r="J830" s="113"/>
      <c r="K830" s="113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13"/>
      <c r="J831" s="113"/>
      <c r="K831" s="113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13"/>
      <c r="J832" s="113"/>
      <c r="K832" s="113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13"/>
      <c r="J833" s="113"/>
      <c r="K833" s="113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13"/>
      <c r="J834" s="113"/>
      <c r="K834" s="113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13"/>
      <c r="J835" s="113"/>
      <c r="K835" s="113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13"/>
      <c r="J836" s="113"/>
      <c r="K836" s="113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13"/>
      <c r="J837" s="113"/>
      <c r="K837" s="113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13"/>
      <c r="J838" s="113"/>
      <c r="K838" s="113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13"/>
      <c r="J839" s="113"/>
      <c r="K839" s="113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13"/>
      <c r="J840" s="113"/>
      <c r="K840" s="113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13"/>
      <c r="J841" s="113"/>
      <c r="K841" s="113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13"/>
      <c r="J842" s="113"/>
      <c r="K842" s="113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13"/>
      <c r="J843" s="113"/>
      <c r="K843" s="113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13"/>
      <c r="J844" s="113"/>
      <c r="K844" s="113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13"/>
      <c r="J845" s="113"/>
      <c r="K845" s="113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13"/>
      <c r="J846" s="113"/>
      <c r="K846" s="113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13"/>
      <c r="J847" s="113"/>
      <c r="K847" s="113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13"/>
      <c r="J848" s="113"/>
      <c r="K848" s="113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13"/>
      <c r="J849" s="113"/>
      <c r="K849" s="113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13"/>
      <c r="J850" s="113"/>
      <c r="K850" s="113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13"/>
      <c r="J851" s="113"/>
      <c r="K851" s="113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13"/>
      <c r="J852" s="113"/>
      <c r="K852" s="113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13"/>
      <c r="J853" s="113"/>
      <c r="K853" s="113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13"/>
      <c r="J854" s="113"/>
      <c r="K854" s="113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13"/>
      <c r="J855" s="113"/>
      <c r="K855" s="113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13"/>
      <c r="J856" s="113"/>
      <c r="K856" s="113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13"/>
      <c r="J857" s="113"/>
      <c r="K857" s="113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13"/>
      <c r="J858" s="113"/>
      <c r="K858" s="113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13"/>
      <c r="J859" s="113"/>
      <c r="K859" s="113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13"/>
      <c r="J860" s="113"/>
      <c r="K860" s="113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13"/>
      <c r="J861" s="113"/>
      <c r="K861" s="113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13"/>
      <c r="J862" s="113"/>
      <c r="K862" s="113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13"/>
      <c r="J863" s="113"/>
      <c r="K863" s="113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13"/>
      <c r="J864" s="113"/>
      <c r="K864" s="113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13"/>
      <c r="J865" s="113"/>
      <c r="K865" s="113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13"/>
      <c r="J866" s="113"/>
      <c r="K866" s="113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13"/>
      <c r="J867" s="113"/>
      <c r="K867" s="113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13"/>
      <c r="J868" s="113"/>
      <c r="K868" s="113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13"/>
      <c r="J869" s="113"/>
      <c r="K869" s="113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13"/>
      <c r="J870" s="113"/>
      <c r="K870" s="113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13"/>
      <c r="J871" s="113"/>
      <c r="K871" s="113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13"/>
      <c r="J872" s="113"/>
      <c r="K872" s="113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13"/>
      <c r="J873" s="113"/>
      <c r="K873" s="113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13"/>
      <c r="J874" s="113"/>
      <c r="K874" s="113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13"/>
      <c r="J875" s="113"/>
      <c r="K875" s="113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13"/>
      <c r="J876" s="113"/>
      <c r="K876" s="113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13"/>
      <c r="J877" s="113"/>
      <c r="K877" s="113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13"/>
      <c r="J878" s="113"/>
      <c r="K878" s="113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13"/>
      <c r="J879" s="113"/>
      <c r="K879" s="113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13"/>
      <c r="J880" s="113"/>
      <c r="K880" s="113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13"/>
      <c r="J881" s="113"/>
      <c r="K881" s="113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13"/>
      <c r="J882" s="113"/>
      <c r="K882" s="113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13"/>
      <c r="J883" s="113"/>
      <c r="K883" s="113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13"/>
      <c r="J884" s="113"/>
      <c r="K884" s="113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13"/>
      <c r="J885" s="113"/>
      <c r="K885" s="113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13"/>
      <c r="J886" s="113"/>
      <c r="K886" s="113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13"/>
      <c r="J887" s="113"/>
      <c r="K887" s="113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13"/>
      <c r="J888" s="113"/>
      <c r="K888" s="113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13"/>
      <c r="J889" s="113"/>
      <c r="K889" s="113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13"/>
      <c r="J890" s="113"/>
      <c r="K890" s="113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13"/>
      <c r="J891" s="113"/>
      <c r="K891" s="113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13"/>
      <c r="J892" s="113"/>
      <c r="K892" s="113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13"/>
      <c r="J893" s="113"/>
      <c r="K893" s="113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13"/>
      <c r="J894" s="113"/>
      <c r="K894" s="113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13"/>
      <c r="J895" s="113"/>
      <c r="K895" s="113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13"/>
      <c r="J896" s="113"/>
      <c r="K896" s="113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13"/>
      <c r="J897" s="113"/>
      <c r="K897" s="113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13"/>
      <c r="J898" s="113"/>
      <c r="K898" s="113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13"/>
      <c r="J899" s="113"/>
      <c r="K899" s="113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13"/>
      <c r="J900" s="113"/>
      <c r="K900" s="113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13"/>
      <c r="J901" s="113"/>
      <c r="K901" s="113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13"/>
      <c r="J902" s="113"/>
      <c r="K902" s="113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13"/>
      <c r="J903" s="113"/>
      <c r="K903" s="113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13"/>
      <c r="J904" s="113"/>
      <c r="K904" s="113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13"/>
      <c r="J905" s="113"/>
      <c r="K905" s="113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13"/>
      <c r="J906" s="113"/>
      <c r="K906" s="113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13"/>
      <c r="J907" s="113"/>
      <c r="K907" s="113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13"/>
      <c r="J908" s="113"/>
      <c r="K908" s="113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13"/>
      <c r="J909" s="113"/>
      <c r="K909" s="113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13"/>
      <c r="J910" s="113"/>
      <c r="K910" s="113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13"/>
      <c r="J911" s="113"/>
      <c r="K911" s="113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13"/>
      <c r="J912" s="113"/>
      <c r="K912" s="113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13"/>
      <c r="J913" s="113"/>
      <c r="K913" s="113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13"/>
      <c r="J914" s="113"/>
      <c r="K914" s="113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13"/>
      <c r="J915" s="113"/>
      <c r="K915" s="113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13"/>
      <c r="J916" s="113"/>
      <c r="K916" s="113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13"/>
      <c r="J917" s="113"/>
      <c r="K917" s="113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13"/>
      <c r="J918" s="113"/>
      <c r="K918" s="113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13"/>
      <c r="J919" s="113"/>
      <c r="K919" s="113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13"/>
      <c r="J920" s="113"/>
      <c r="K920" s="113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13"/>
      <c r="J921" s="113"/>
      <c r="K921" s="113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13"/>
      <c r="J922" s="113"/>
      <c r="K922" s="113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13"/>
      <c r="J923" s="113"/>
      <c r="K923" s="113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13"/>
      <c r="J924" s="113"/>
      <c r="K924" s="113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13"/>
      <c r="J925" s="113"/>
      <c r="K925" s="113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13"/>
      <c r="J926" s="113"/>
      <c r="K926" s="113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13"/>
      <c r="J927" s="113"/>
      <c r="K927" s="113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13"/>
      <c r="J928" s="113"/>
      <c r="K928" s="113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13"/>
      <c r="J929" s="113"/>
      <c r="K929" s="113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13"/>
      <c r="J930" s="113"/>
      <c r="K930" s="113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13"/>
      <c r="J931" s="113"/>
      <c r="K931" s="113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13"/>
      <c r="J932" s="113"/>
      <c r="K932" s="113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13"/>
      <c r="J933" s="113"/>
      <c r="K933" s="113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13"/>
      <c r="J934" s="113"/>
      <c r="K934" s="113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13"/>
      <c r="J935" s="113"/>
      <c r="K935" s="113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13"/>
      <c r="J936" s="113"/>
      <c r="K936" s="113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13"/>
      <c r="J937" s="113"/>
      <c r="K937" s="113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13"/>
      <c r="J938" s="113"/>
      <c r="K938" s="113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13"/>
      <c r="J939" s="113"/>
      <c r="K939" s="113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13"/>
      <c r="J940" s="113"/>
      <c r="K940" s="113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13"/>
      <c r="J941" s="113"/>
      <c r="K941" s="113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13"/>
      <c r="J942" s="113"/>
      <c r="K942" s="113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13"/>
      <c r="J943" s="113"/>
      <c r="K943" s="113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13"/>
      <c r="J944" s="113"/>
      <c r="K944" s="113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13"/>
      <c r="J945" s="113"/>
      <c r="K945" s="113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13"/>
      <c r="J946" s="113"/>
      <c r="K946" s="113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13"/>
      <c r="J947" s="113"/>
      <c r="K947" s="113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13"/>
      <c r="J948" s="113"/>
      <c r="K948" s="113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13"/>
      <c r="J949" s="113"/>
      <c r="K949" s="113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13"/>
      <c r="J950" s="113"/>
      <c r="K950" s="113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13"/>
      <c r="J951" s="113"/>
      <c r="K951" s="113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13"/>
      <c r="J952" s="113"/>
      <c r="K952" s="113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13"/>
      <c r="J953" s="113"/>
      <c r="K953" s="113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13"/>
      <c r="J954" s="113"/>
      <c r="K954" s="113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13"/>
      <c r="J955" s="113"/>
      <c r="K955" s="113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13"/>
      <c r="J956" s="113"/>
      <c r="K956" s="113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13"/>
      <c r="J957" s="113"/>
      <c r="K957" s="113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13"/>
      <c r="J958" s="113"/>
      <c r="K958" s="113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13"/>
      <c r="J959" s="113"/>
      <c r="K959" s="113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13"/>
      <c r="J960" s="113"/>
      <c r="K960" s="113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13"/>
      <c r="J961" s="113"/>
      <c r="K961" s="113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13"/>
      <c r="J962" s="113"/>
      <c r="K962" s="113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13"/>
      <c r="J963" s="113"/>
      <c r="K963" s="113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13"/>
      <c r="J964" s="113"/>
      <c r="K964" s="113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13"/>
      <c r="J965" s="113"/>
      <c r="K965" s="113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13"/>
      <c r="J966" s="113"/>
      <c r="K966" s="113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13"/>
      <c r="J967" s="113"/>
      <c r="K967" s="113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13"/>
      <c r="J968" s="113"/>
      <c r="K968" s="113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13"/>
      <c r="J969" s="113"/>
      <c r="K969" s="113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13"/>
      <c r="J970" s="113"/>
      <c r="K970" s="113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13"/>
      <c r="J971" s="113"/>
      <c r="K971" s="113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13"/>
      <c r="J972" s="113"/>
      <c r="K972" s="113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13"/>
      <c r="J973" s="113"/>
      <c r="K973" s="113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13"/>
      <c r="J974" s="113"/>
      <c r="K974" s="113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13"/>
      <c r="J975" s="113"/>
      <c r="K975" s="113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13"/>
      <c r="J976" s="113"/>
      <c r="K976" s="113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13"/>
      <c r="J977" s="113"/>
      <c r="K977" s="113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13"/>
      <c r="J978" s="113"/>
      <c r="K978" s="113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13"/>
      <c r="J979" s="113"/>
      <c r="K979" s="113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13"/>
      <c r="J980" s="113"/>
      <c r="K980" s="113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13"/>
      <c r="J981" s="113"/>
      <c r="K981" s="113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13"/>
      <c r="J982" s="113"/>
      <c r="K982" s="113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13"/>
      <c r="J983" s="113"/>
      <c r="K983" s="113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13"/>
      <c r="J984" s="113"/>
      <c r="K984" s="113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13"/>
      <c r="J985" s="113"/>
      <c r="K985" s="113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13"/>
      <c r="J986" s="113"/>
      <c r="K986" s="113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13"/>
      <c r="J987" s="113"/>
      <c r="K987" s="113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13"/>
      <c r="J988" s="113"/>
      <c r="K988" s="113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13"/>
      <c r="J989" s="113"/>
      <c r="K989" s="113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13"/>
      <c r="J990" s="113"/>
      <c r="K990" s="113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13"/>
      <c r="J991" s="113"/>
      <c r="K991" s="113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13"/>
      <c r="J992" s="113"/>
      <c r="K992" s="113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13"/>
      <c r="J993" s="113"/>
      <c r="K993" s="113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13"/>
      <c r="J994" s="113"/>
      <c r="K994" s="113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13"/>
      <c r="J995" s="113"/>
      <c r="K995" s="113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13"/>
      <c r="J996" s="113"/>
      <c r="K996" s="113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13"/>
      <c r="J997" s="113"/>
      <c r="K997" s="113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13"/>
      <c r="J998" s="113"/>
      <c r="K998" s="113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13"/>
      <c r="J999" s="113"/>
      <c r="K999" s="113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13"/>
      <c r="J1000" s="113"/>
      <c r="K1000" s="113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13"/>
      <c r="J1001" s="113"/>
      <c r="K1001" s="113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63" t="s">
        <v>4430</v>
      </c>
    </row>
    <row r="2">
      <c r="A2" s="11" t="s">
        <v>15</v>
      </c>
      <c r="B2" s="11" t="s">
        <v>664</v>
      </c>
      <c r="C2" s="11" t="s">
        <v>11</v>
      </c>
      <c r="D2" s="11" t="s">
        <v>20</v>
      </c>
      <c r="E2" s="11" t="s">
        <v>27</v>
      </c>
      <c r="F2" s="11" t="s">
        <v>16</v>
      </c>
      <c r="G2" s="11" t="s">
        <v>14</v>
      </c>
      <c r="H2" s="11" t="s">
        <v>12</v>
      </c>
      <c r="I2" s="11" t="s">
        <v>4431</v>
      </c>
      <c r="J2" s="11" t="s">
        <v>9</v>
      </c>
      <c r="K2" s="11" t="s">
        <v>23</v>
      </c>
      <c r="L2" s="11" t="s">
        <v>30</v>
      </c>
    </row>
    <row r="3">
      <c r="A3" s="12" t="s">
        <v>1477</v>
      </c>
      <c r="B3" s="12" t="s">
        <v>2156</v>
      </c>
      <c r="C3" s="12" t="s">
        <v>4432</v>
      </c>
      <c r="D3" s="272" t="s">
        <v>4433</v>
      </c>
      <c r="E3" s="272" t="s">
        <v>4434</v>
      </c>
      <c r="F3" s="272" t="s">
        <v>4435</v>
      </c>
      <c r="G3" s="272" t="s">
        <v>4436</v>
      </c>
      <c r="H3" s="12" t="s">
        <v>242</v>
      </c>
      <c r="I3" s="12" t="s">
        <v>4437</v>
      </c>
      <c r="J3" s="12" t="s">
        <v>760</v>
      </c>
      <c r="K3" s="12" t="s">
        <v>2649</v>
      </c>
      <c r="L3" s="12" t="s">
        <v>4438</v>
      </c>
    </row>
    <row r="4">
      <c r="A4" s="12" t="s">
        <v>1583</v>
      </c>
      <c r="B4" s="12" t="s">
        <v>2056</v>
      </c>
      <c r="C4" s="12" t="s">
        <v>711</v>
      </c>
      <c r="D4" s="12" t="s">
        <v>4439</v>
      </c>
      <c r="E4" s="12" t="s">
        <v>4440</v>
      </c>
      <c r="F4" s="12" t="s">
        <v>4441</v>
      </c>
      <c r="G4" s="12" t="s">
        <v>4442</v>
      </c>
      <c r="H4" s="12" t="s">
        <v>1178</v>
      </c>
      <c r="I4" s="12" t="s">
        <v>4443</v>
      </c>
      <c r="J4" s="12" t="s">
        <v>3639</v>
      </c>
      <c r="K4" s="12" t="s">
        <v>4444</v>
      </c>
      <c r="L4" s="12" t="s">
        <v>4445</v>
      </c>
    </row>
    <row r="5">
      <c r="A5" s="12" t="s">
        <v>4446</v>
      </c>
      <c r="B5" s="12" t="s">
        <v>4447</v>
      </c>
      <c r="C5" s="12" t="s">
        <v>813</v>
      </c>
      <c r="D5" s="12" t="s">
        <v>2266</v>
      </c>
      <c r="E5" s="12" t="s">
        <v>4448</v>
      </c>
      <c r="F5" s="12" t="s">
        <v>4449</v>
      </c>
      <c r="G5" s="12" t="s">
        <v>4450</v>
      </c>
      <c r="H5" s="12" t="s">
        <v>291</v>
      </c>
      <c r="I5" s="12" t="s">
        <v>2261</v>
      </c>
      <c r="J5" s="12" t="s">
        <v>4451</v>
      </c>
      <c r="K5" s="12" t="s">
        <v>4452</v>
      </c>
      <c r="L5" s="12" t="s">
        <v>4453</v>
      </c>
    </row>
    <row r="6">
      <c r="A6" s="12" t="s">
        <v>4454</v>
      </c>
      <c r="B6" s="12" t="s">
        <v>4455</v>
      </c>
      <c r="C6" s="12" t="s">
        <v>4456</v>
      </c>
      <c r="D6" s="12" t="s">
        <v>4457</v>
      </c>
      <c r="E6" s="12" t="s">
        <v>4458</v>
      </c>
      <c r="F6" s="12" t="s">
        <v>4459</v>
      </c>
      <c r="G6" s="12" t="s">
        <v>4460</v>
      </c>
      <c r="H6" s="12" t="s">
        <v>1649</v>
      </c>
      <c r="I6" s="12" t="s">
        <v>2263</v>
      </c>
      <c r="J6" s="12" t="s">
        <v>4461</v>
      </c>
      <c r="K6" s="12" t="s">
        <v>3656</v>
      </c>
      <c r="L6" s="12" t="s">
        <v>4462</v>
      </c>
    </row>
    <row r="7">
      <c r="A7" s="12" t="s">
        <v>4464</v>
      </c>
      <c r="B7" s="12" t="s">
        <v>4465</v>
      </c>
      <c r="C7" s="12" t="s">
        <v>4466</v>
      </c>
      <c r="D7" s="12" t="s">
        <v>4467</v>
      </c>
      <c r="E7" s="12" t="s">
        <v>4468</v>
      </c>
      <c r="F7" s="12" t="s">
        <v>4469</v>
      </c>
      <c r="G7" s="12" t="s">
        <v>4470</v>
      </c>
      <c r="H7" s="12" t="s">
        <v>909</v>
      </c>
      <c r="I7" s="12" t="s">
        <v>4471</v>
      </c>
      <c r="J7" s="12" t="s">
        <v>4472</v>
      </c>
      <c r="K7" s="12" t="s">
        <v>2457</v>
      </c>
      <c r="L7" s="12" t="s">
        <v>4473</v>
      </c>
    </row>
    <row r="8">
      <c r="A8" s="12" t="s">
        <v>4474</v>
      </c>
      <c r="B8" s="12" t="s">
        <v>4475</v>
      </c>
      <c r="C8" s="12" t="s">
        <v>553</v>
      </c>
      <c r="D8" s="12" t="s">
        <v>4476</v>
      </c>
      <c r="E8" s="12" t="s">
        <v>4477</v>
      </c>
      <c r="F8" s="12" t="s">
        <v>4478</v>
      </c>
      <c r="G8" s="12" t="s">
        <v>4480</v>
      </c>
      <c r="I8" s="12" t="s">
        <v>4481</v>
      </c>
      <c r="J8" s="12" t="s">
        <v>4482</v>
      </c>
      <c r="K8" s="12" t="s">
        <v>2818</v>
      </c>
      <c r="L8" s="12" t="s">
        <v>4057</v>
      </c>
    </row>
    <row r="9">
      <c r="A9" s="12" t="s">
        <v>4484</v>
      </c>
      <c r="B9" s="12" t="s">
        <v>4485</v>
      </c>
      <c r="C9" s="12" t="s">
        <v>4486</v>
      </c>
      <c r="D9" s="12" t="s">
        <v>4487</v>
      </c>
      <c r="E9" s="12" t="s">
        <v>4488</v>
      </c>
      <c r="F9" s="12" t="s">
        <v>4489</v>
      </c>
      <c r="I9" s="12" t="s">
        <v>4490</v>
      </c>
      <c r="J9" s="12" t="s">
        <v>4492</v>
      </c>
      <c r="K9" s="12" t="s">
        <v>4494</v>
      </c>
      <c r="L9" s="12" t="s">
        <v>4068</v>
      </c>
    </row>
    <row r="10">
      <c r="A10" s="12" t="s">
        <v>4498</v>
      </c>
      <c r="B10" s="12" t="s">
        <v>4500</v>
      </c>
      <c r="C10" s="12" t="s">
        <v>4502</v>
      </c>
      <c r="D10" s="12" t="s">
        <v>4503</v>
      </c>
      <c r="E10" s="12" t="s">
        <v>4504</v>
      </c>
      <c r="F10" s="12" t="s">
        <v>4505</v>
      </c>
      <c r="H10" s="279"/>
      <c r="I10" s="12" t="s">
        <v>4507</v>
      </c>
      <c r="J10" s="12" t="s">
        <v>4508</v>
      </c>
      <c r="K10" s="12" t="s">
        <v>4509</v>
      </c>
      <c r="L10" s="12" t="s">
        <v>4511</v>
      </c>
    </row>
    <row r="11">
      <c r="A11" s="12" t="s">
        <v>4514</v>
      </c>
      <c r="B11" s="12" t="s">
        <v>4515</v>
      </c>
      <c r="D11" s="12" t="s">
        <v>4516</v>
      </c>
      <c r="E11" s="12" t="s">
        <v>4518</v>
      </c>
      <c r="F11" s="12" t="s">
        <v>4519</v>
      </c>
      <c r="I11" s="12" t="s">
        <v>4521</v>
      </c>
      <c r="J11" s="12" t="s">
        <v>4522</v>
      </c>
      <c r="K11" s="12" t="s">
        <v>4523</v>
      </c>
      <c r="L11" s="12" t="s">
        <v>4524</v>
      </c>
    </row>
    <row r="12">
      <c r="A12" s="12" t="s">
        <v>4525</v>
      </c>
      <c r="B12" s="12" t="s">
        <v>4526</v>
      </c>
      <c r="D12" s="12" t="s">
        <v>4527</v>
      </c>
      <c r="E12" s="12" t="s">
        <v>3716</v>
      </c>
      <c r="F12" s="12" t="s">
        <v>4530</v>
      </c>
      <c r="I12" s="12" t="s">
        <v>4532</v>
      </c>
      <c r="J12" s="12" t="s">
        <v>4535</v>
      </c>
      <c r="K12" s="12" t="s">
        <v>4536</v>
      </c>
      <c r="L12" s="12" t="s">
        <v>4537</v>
      </c>
    </row>
    <row r="13">
      <c r="A13" s="12" t="s">
        <v>2796</v>
      </c>
      <c r="B13" s="12" t="s">
        <v>4538</v>
      </c>
      <c r="D13" s="12" t="s">
        <v>4540</v>
      </c>
      <c r="E13" s="12" t="s">
        <v>4541</v>
      </c>
      <c r="F13" s="12" t="s">
        <v>4542</v>
      </c>
      <c r="I13" s="12" t="s">
        <v>4543</v>
      </c>
      <c r="J13" s="12" t="s">
        <v>4545</v>
      </c>
      <c r="L13" s="12" t="s">
        <v>4548</v>
      </c>
    </row>
    <row r="14">
      <c r="A14" s="12" t="s">
        <v>4552</v>
      </c>
      <c r="B14" s="12" t="s">
        <v>4554</v>
      </c>
      <c r="D14" s="12" t="s">
        <v>4556</v>
      </c>
      <c r="E14" s="12" t="s">
        <v>4558</v>
      </c>
      <c r="F14" s="12" t="s">
        <v>4559</v>
      </c>
      <c r="I14" s="12" t="s">
        <v>4560</v>
      </c>
      <c r="J14" s="12" t="s">
        <v>4561</v>
      </c>
      <c r="L14" s="12" t="s">
        <v>4562</v>
      </c>
    </row>
    <row r="15">
      <c r="A15" s="12" t="s">
        <v>4566</v>
      </c>
      <c r="B15" s="12" t="s">
        <v>4568</v>
      </c>
      <c r="D15" s="12" t="s">
        <v>4570</v>
      </c>
      <c r="E15" s="12" t="s">
        <v>4571</v>
      </c>
      <c r="F15" s="12" t="s">
        <v>4573</v>
      </c>
      <c r="I15" s="12" t="s">
        <v>4576</v>
      </c>
      <c r="J15" s="12" t="s">
        <v>4578</v>
      </c>
      <c r="L15" s="12" t="s">
        <v>4579</v>
      </c>
    </row>
    <row r="16">
      <c r="A16" s="12" t="s">
        <v>4580</v>
      </c>
      <c r="B16" s="12" t="s">
        <v>4582</v>
      </c>
      <c r="E16" s="12" t="s">
        <v>4585</v>
      </c>
      <c r="I16" s="12" t="s">
        <v>4588</v>
      </c>
      <c r="J16" s="12" t="s">
        <v>4591</v>
      </c>
      <c r="L16" s="12" t="s">
        <v>4593</v>
      </c>
    </row>
    <row r="17">
      <c r="A17" s="12" t="s">
        <v>4595</v>
      </c>
      <c r="B17" s="12" t="s">
        <v>4596</v>
      </c>
      <c r="E17" s="12" t="s">
        <v>4597</v>
      </c>
      <c r="J17" s="12" t="s">
        <v>4599</v>
      </c>
      <c r="L17" s="12" t="s">
        <v>4602</v>
      </c>
    </row>
    <row r="18">
      <c r="B18" s="12" t="s">
        <v>4604</v>
      </c>
      <c r="E18" s="12" t="s">
        <v>4607</v>
      </c>
      <c r="J18" s="12" t="s">
        <v>4608</v>
      </c>
    </row>
    <row r="19">
      <c r="B19" s="12" t="s">
        <v>4609</v>
      </c>
      <c r="J19" s="12" t="s">
        <v>4613</v>
      </c>
    </row>
    <row r="20">
      <c r="B20" s="12" t="s">
        <v>4618</v>
      </c>
      <c r="J20" s="12" t="s">
        <v>4621</v>
      </c>
      <c r="K20" s="12"/>
    </row>
    <row r="21">
      <c r="B21" s="12" t="s">
        <v>4622</v>
      </c>
    </row>
    <row r="22">
      <c r="B22" s="12" t="s">
        <v>4627</v>
      </c>
    </row>
    <row r="23">
      <c r="B23" s="12" t="s">
        <v>4631</v>
      </c>
    </row>
    <row r="24">
      <c r="B24" s="12" t="s">
        <v>4632</v>
      </c>
    </row>
    <row r="25">
      <c r="B25" s="12" t="s">
        <v>4635</v>
      </c>
      <c r="K25" s="12"/>
    </row>
    <row r="26">
      <c r="B26" s="12" t="s">
        <v>4643</v>
      </c>
      <c r="K26" s="12"/>
    </row>
    <row r="27">
      <c r="B27" s="12" t="s">
        <v>4645</v>
      </c>
    </row>
    <row r="28">
      <c r="B28" s="12" t="s">
        <v>4650</v>
      </c>
    </row>
    <row r="29">
      <c r="B29" s="12" t="s">
        <v>4654</v>
      </c>
    </row>
    <row r="30">
      <c r="B30" s="12" t="s">
        <v>4655</v>
      </c>
    </row>
    <row r="32">
      <c r="A32" s="163" t="s">
        <v>4661</v>
      </c>
    </row>
    <row r="33">
      <c r="A33" s="85" t="s">
        <v>762</v>
      </c>
      <c r="B33" s="85" t="s">
        <v>764</v>
      </c>
      <c r="C33" s="85" t="s">
        <v>765</v>
      </c>
      <c r="D33" s="85" t="s">
        <v>767</v>
      </c>
      <c r="E33" s="85" t="s">
        <v>768</v>
      </c>
      <c r="F33" s="85" t="s">
        <v>771</v>
      </c>
      <c r="G33" s="85" t="s">
        <v>772</v>
      </c>
      <c r="H33" s="85" t="s">
        <v>773</v>
      </c>
    </row>
    <row r="34">
      <c r="A34" s="12" t="s">
        <v>4667</v>
      </c>
      <c r="B34" s="12" t="s">
        <v>4668</v>
      </c>
      <c r="C34" s="12" t="s">
        <v>4669</v>
      </c>
      <c r="D34" s="12" t="s">
        <v>4670</v>
      </c>
      <c r="E34" s="12" t="s">
        <v>4672</v>
      </c>
      <c r="F34" s="12" t="s">
        <v>4674</v>
      </c>
      <c r="G34" s="12" t="s">
        <v>4675</v>
      </c>
      <c r="H34" s="12" t="s">
        <v>4676</v>
      </c>
    </row>
    <row r="35">
      <c r="A35" s="12" t="s">
        <v>4677</v>
      </c>
      <c r="B35" s="12" t="s">
        <v>4679</v>
      </c>
      <c r="C35" s="12" t="s">
        <v>4682</v>
      </c>
      <c r="D35" s="12" t="s">
        <v>4683</v>
      </c>
      <c r="E35" s="12" t="s">
        <v>4685</v>
      </c>
      <c r="F35" s="12" t="s">
        <v>4686</v>
      </c>
      <c r="G35" s="12" t="s">
        <v>4687</v>
      </c>
      <c r="H35" s="12" t="s">
        <v>4688</v>
      </c>
    </row>
    <row r="36">
      <c r="A36" s="12" t="s">
        <v>4689</v>
      </c>
      <c r="B36" s="12" t="s">
        <v>4690</v>
      </c>
      <c r="C36" s="12" t="s">
        <v>4691</v>
      </c>
      <c r="D36" s="12" t="s">
        <v>4693</v>
      </c>
      <c r="E36" s="12" t="s">
        <v>4696</v>
      </c>
      <c r="F36" s="12" t="s">
        <v>4697</v>
      </c>
      <c r="G36" s="12" t="s">
        <v>4699</v>
      </c>
      <c r="H36" s="12" t="s">
        <v>4700</v>
      </c>
    </row>
    <row r="37">
      <c r="A37" s="12" t="s">
        <v>4702</v>
      </c>
      <c r="B37" s="12" t="s">
        <v>4703</v>
      </c>
      <c r="C37" s="12" t="s">
        <v>4704</v>
      </c>
      <c r="D37" s="12" t="s">
        <v>4705</v>
      </c>
      <c r="E37" s="12" t="s">
        <v>4706</v>
      </c>
      <c r="F37" s="12" t="s">
        <v>4708</v>
      </c>
      <c r="G37" s="12" t="s">
        <v>4710</v>
      </c>
      <c r="H37" s="12" t="s">
        <v>4712</v>
      </c>
    </row>
    <row r="38">
      <c r="A38" s="12" t="s">
        <v>4714</v>
      </c>
      <c r="B38" s="12" t="s">
        <v>4715</v>
      </c>
      <c r="C38" s="12" t="s">
        <v>4716</v>
      </c>
      <c r="D38" s="12" t="s">
        <v>4717</v>
      </c>
      <c r="E38" s="12" t="s">
        <v>4718</v>
      </c>
      <c r="F38" s="12" t="s">
        <v>4719</v>
      </c>
      <c r="G38" s="12" t="s">
        <v>4720</v>
      </c>
      <c r="H38" s="12" t="s">
        <v>4722</v>
      </c>
    </row>
    <row r="39">
      <c r="A39" s="12" t="s">
        <v>4725</v>
      </c>
      <c r="B39" s="12" t="s">
        <v>4727</v>
      </c>
      <c r="C39" s="12" t="s">
        <v>4728</v>
      </c>
      <c r="D39" s="12" t="s">
        <v>4729</v>
      </c>
      <c r="E39" s="12" t="s">
        <v>4730</v>
      </c>
      <c r="F39" s="12" t="s">
        <v>4731</v>
      </c>
      <c r="G39" s="12" t="s">
        <v>4732</v>
      </c>
      <c r="H39" s="12" t="s">
        <v>4733</v>
      </c>
    </row>
    <row r="40">
      <c r="A40" s="12" t="s">
        <v>4735</v>
      </c>
      <c r="B40" s="12" t="s">
        <v>4737</v>
      </c>
      <c r="C40" s="12" t="s">
        <v>4739</v>
      </c>
      <c r="D40" s="12" t="s">
        <v>4740</v>
      </c>
      <c r="E40" s="12" t="s">
        <v>4741</v>
      </c>
      <c r="F40" s="12" t="s">
        <v>4742</v>
      </c>
      <c r="G40" s="12" t="s">
        <v>4743</v>
      </c>
      <c r="H40" s="12" t="s">
        <v>4744</v>
      </c>
    </row>
    <row r="41">
      <c r="A41" s="12" t="s">
        <v>4745</v>
      </c>
      <c r="B41" s="12" t="s">
        <v>4746</v>
      </c>
      <c r="C41" s="12" t="s">
        <v>4747</v>
      </c>
      <c r="D41" s="12" t="s">
        <v>4749</v>
      </c>
      <c r="E41" s="12" t="s">
        <v>4751</v>
      </c>
      <c r="F41" s="12" t="s">
        <v>4752</v>
      </c>
      <c r="G41" s="12" t="s">
        <v>4753</v>
      </c>
      <c r="H41" s="12" t="s">
        <v>4754</v>
      </c>
    </row>
    <row r="42">
      <c r="A42" s="12" t="s">
        <v>4755</v>
      </c>
      <c r="B42" s="12" t="s">
        <v>4756</v>
      </c>
      <c r="C42" s="12" t="s">
        <v>4757</v>
      </c>
      <c r="D42" s="12" t="s">
        <v>4758</v>
      </c>
      <c r="E42" s="12" t="s">
        <v>4759</v>
      </c>
      <c r="F42" s="12" t="s">
        <v>4761</v>
      </c>
      <c r="G42" s="12" t="s">
        <v>4762</v>
      </c>
      <c r="H42" s="12" t="s">
        <v>4764</v>
      </c>
    </row>
    <row r="43">
      <c r="A43" s="12" t="s">
        <v>4765</v>
      </c>
      <c r="B43" s="12" t="s">
        <v>4766</v>
      </c>
      <c r="C43" s="12" t="s">
        <v>4767</v>
      </c>
      <c r="D43" s="12" t="s">
        <v>4768</v>
      </c>
      <c r="E43" s="12" t="s">
        <v>4769</v>
      </c>
      <c r="F43" s="12" t="s">
        <v>4770</v>
      </c>
      <c r="G43" s="12" t="s">
        <v>4771</v>
      </c>
      <c r="H43" s="12" t="s">
        <v>4773</v>
      </c>
    </row>
    <row r="44">
      <c r="A44" s="12" t="s">
        <v>4775</v>
      </c>
      <c r="B44" s="12" t="s">
        <v>4776</v>
      </c>
      <c r="C44" s="12" t="s">
        <v>4777</v>
      </c>
      <c r="D44" s="12" t="s">
        <v>4778</v>
      </c>
      <c r="E44" s="12" t="s">
        <v>4779</v>
      </c>
      <c r="F44" s="12" t="s">
        <v>4780</v>
      </c>
      <c r="G44" s="12" t="s">
        <v>4781</v>
      </c>
      <c r="H44" s="12" t="s">
        <v>4782</v>
      </c>
    </row>
    <row r="45">
      <c r="A45" s="12" t="s">
        <v>4783</v>
      </c>
      <c r="B45" s="12" t="s">
        <v>4785</v>
      </c>
      <c r="C45" s="12" t="s">
        <v>4787</v>
      </c>
      <c r="D45" s="12" t="s">
        <v>4788</v>
      </c>
      <c r="E45" s="12" t="s">
        <v>4789</v>
      </c>
      <c r="F45" s="12" t="s">
        <v>4790</v>
      </c>
      <c r="G45" s="12" t="s">
        <v>4791</v>
      </c>
      <c r="H45" s="12" t="s">
        <v>4792</v>
      </c>
    </row>
    <row r="46">
      <c r="A46" s="12" t="s">
        <v>4793</v>
      </c>
      <c r="B46" s="12" t="s">
        <v>4794</v>
      </c>
      <c r="C46" s="12" t="s">
        <v>4795</v>
      </c>
      <c r="D46" s="12" t="s">
        <v>4796</v>
      </c>
      <c r="E46" s="12" t="s">
        <v>4797</v>
      </c>
      <c r="F46" s="12" t="s">
        <v>4799</v>
      </c>
      <c r="G46" s="12" t="s">
        <v>4800</v>
      </c>
      <c r="H46" s="12" t="s">
        <v>4801</v>
      </c>
    </row>
    <row r="47">
      <c r="A47" s="12" t="s">
        <v>4802</v>
      </c>
      <c r="B47" s="12" t="s">
        <v>4803</v>
      </c>
      <c r="C47" s="12" t="s">
        <v>4804</v>
      </c>
      <c r="D47" s="12" t="s">
        <v>4805</v>
      </c>
      <c r="E47" s="12" t="s">
        <v>4806</v>
      </c>
      <c r="F47" s="12" t="s">
        <v>4807</v>
      </c>
      <c r="G47" s="12" t="s">
        <v>4808</v>
      </c>
      <c r="H47" s="12" t="s">
        <v>4809</v>
      </c>
    </row>
    <row r="48">
      <c r="A48" s="12" t="s">
        <v>4811</v>
      </c>
      <c r="B48" s="12" t="s">
        <v>4812</v>
      </c>
      <c r="C48" s="12" t="s">
        <v>4813</v>
      </c>
      <c r="D48" s="12" t="s">
        <v>4814</v>
      </c>
      <c r="E48" s="12" t="s">
        <v>4815</v>
      </c>
      <c r="F48" s="12" t="s">
        <v>4816</v>
      </c>
      <c r="G48" s="12" t="s">
        <v>4817</v>
      </c>
      <c r="H48" s="12" t="s">
        <v>4818</v>
      </c>
    </row>
    <row r="49">
      <c r="A49" s="12" t="s">
        <v>4819</v>
      </c>
      <c r="B49" s="12" t="s">
        <v>4821</v>
      </c>
      <c r="C49" s="12" t="s">
        <v>4822</v>
      </c>
      <c r="D49" s="12" t="s">
        <v>4823</v>
      </c>
      <c r="E49" s="12" t="s">
        <v>4824</v>
      </c>
      <c r="F49" s="12" t="s">
        <v>4825</v>
      </c>
      <c r="G49" s="12" t="s">
        <v>4826</v>
      </c>
      <c r="H49" s="12" t="s">
        <v>4827</v>
      </c>
    </row>
    <row r="50">
      <c r="A50" s="12" t="s">
        <v>4828</v>
      </c>
      <c r="B50" s="12" t="s">
        <v>4829</v>
      </c>
      <c r="C50" s="12" t="s">
        <v>4830</v>
      </c>
      <c r="D50" s="12" t="s">
        <v>4832</v>
      </c>
      <c r="G50" s="12" t="s">
        <v>4833</v>
      </c>
    </row>
    <row r="51">
      <c r="B51" s="12" t="s">
        <v>4834</v>
      </c>
      <c r="C51" s="12" t="s">
        <v>4835</v>
      </c>
      <c r="D51" s="12" t="s">
        <v>4836</v>
      </c>
      <c r="G51" s="12" t="s">
        <v>4837</v>
      </c>
    </row>
    <row r="54">
      <c r="A54" s="219" t="s">
        <v>3640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270" t="s">
        <v>2998</v>
      </c>
      <c r="B55" s="270" t="s">
        <v>3066</v>
      </c>
      <c r="C55" s="186" t="s">
        <v>3067</v>
      </c>
      <c r="D55" s="270" t="s">
        <v>2999</v>
      </c>
      <c r="E55" s="270" t="s">
        <v>85</v>
      </c>
      <c r="F55" s="270" t="s">
        <v>3069</v>
      </c>
      <c r="G55" s="270" t="s">
        <v>705</v>
      </c>
      <c r="H55" s="270" t="s">
        <v>696</v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4" t="s">
        <v>4838</v>
      </c>
      <c r="B56" s="14" t="s">
        <v>4839</v>
      </c>
      <c r="C56" s="14" t="s">
        <v>4841</v>
      </c>
      <c r="D56" s="14" t="s">
        <v>768</v>
      </c>
      <c r="E56" s="14" t="s">
        <v>4842</v>
      </c>
      <c r="F56" s="14" t="s">
        <v>4843</v>
      </c>
      <c r="G56" s="14" t="s">
        <v>4843</v>
      </c>
      <c r="H56" s="14" t="s">
        <v>4843</v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4" t="s">
        <v>4844</v>
      </c>
      <c r="B57" s="14" t="s">
        <v>4839</v>
      </c>
      <c r="C57" s="14" t="s">
        <v>4845</v>
      </c>
      <c r="D57" s="14" t="s">
        <v>765</v>
      </c>
      <c r="E57" s="14" t="s">
        <v>4847</v>
      </c>
      <c r="F57" s="14" t="s">
        <v>4849</v>
      </c>
      <c r="G57" s="14" t="s">
        <v>4849</v>
      </c>
      <c r="H57" s="14" t="s">
        <v>4851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4" t="s">
        <v>4854</v>
      </c>
      <c r="B58" s="14" t="s">
        <v>4856</v>
      </c>
      <c r="C58" s="14" t="s">
        <v>4858</v>
      </c>
      <c r="D58" s="14" t="s">
        <v>771</v>
      </c>
      <c r="E58" s="14" t="s">
        <v>4842</v>
      </c>
      <c r="F58" s="14" t="s">
        <v>4863</v>
      </c>
      <c r="G58" s="14" t="s">
        <v>4866</v>
      </c>
      <c r="H58" s="14" t="s">
        <v>4868</v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4" t="s">
        <v>4878</v>
      </c>
      <c r="B59" s="14" t="s">
        <v>4856</v>
      </c>
      <c r="C59" s="14" t="s">
        <v>4880</v>
      </c>
      <c r="D59" s="14" t="s">
        <v>890</v>
      </c>
      <c r="E59" s="14" t="s">
        <v>4881</v>
      </c>
      <c r="F59" s="14" t="s">
        <v>4882</v>
      </c>
      <c r="G59" s="14" t="s">
        <v>4883</v>
      </c>
      <c r="H59" s="14" t="s">
        <v>4884</v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4" t="s">
        <v>4894</v>
      </c>
      <c r="B60" s="14" t="s">
        <v>4895</v>
      </c>
      <c r="C60" s="14" t="s">
        <v>4898</v>
      </c>
      <c r="D60" s="14" t="s">
        <v>768</v>
      </c>
      <c r="E60" s="14" t="s">
        <v>4902</v>
      </c>
      <c r="F60" s="14" t="s">
        <v>4905</v>
      </c>
      <c r="G60" s="14" t="s">
        <v>4905</v>
      </c>
      <c r="H60" s="14" t="s">
        <v>4909</v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4" t="s">
        <v>4919</v>
      </c>
      <c r="B61" s="14" t="s">
        <v>4895</v>
      </c>
      <c r="C61" s="14" t="s">
        <v>4921</v>
      </c>
      <c r="D61" s="14" t="s">
        <v>772</v>
      </c>
      <c r="E61" s="14" t="s">
        <v>4842</v>
      </c>
      <c r="F61" s="14" t="s">
        <v>4922</v>
      </c>
      <c r="G61" s="14" t="s">
        <v>4923</v>
      </c>
      <c r="H61" s="14" t="s">
        <v>4924</v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4" t="s">
        <v>4935</v>
      </c>
      <c r="B62" s="14" t="s">
        <v>4936</v>
      </c>
      <c r="C62" s="14" t="s">
        <v>4939</v>
      </c>
      <c r="D62" s="14" t="s">
        <v>773</v>
      </c>
      <c r="E62" s="14" t="s">
        <v>4943</v>
      </c>
      <c r="F62" s="14" t="s">
        <v>4945</v>
      </c>
      <c r="G62" s="14" t="s">
        <v>4945</v>
      </c>
      <c r="H62" s="14" t="s">
        <v>4949</v>
      </c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4" t="s">
        <v>4959</v>
      </c>
      <c r="B63" s="14" t="s">
        <v>4936</v>
      </c>
      <c r="C63" s="14" t="s">
        <v>4880</v>
      </c>
      <c r="D63" s="14" t="s">
        <v>771</v>
      </c>
      <c r="E63" s="14" t="s">
        <v>4902</v>
      </c>
      <c r="F63" s="14" t="s">
        <v>4962</v>
      </c>
      <c r="G63" s="14" t="s">
        <v>4962</v>
      </c>
      <c r="H63" s="14" t="s">
        <v>4963</v>
      </c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4" t="s">
        <v>4974</v>
      </c>
      <c r="B64" s="14" t="s">
        <v>4975</v>
      </c>
      <c r="C64" s="14" t="s">
        <v>4898</v>
      </c>
      <c r="D64" s="14" t="s">
        <v>772</v>
      </c>
      <c r="E64" s="14" t="s">
        <v>4979</v>
      </c>
      <c r="F64" s="14" t="s">
        <v>4982</v>
      </c>
      <c r="G64" s="14" t="s">
        <v>4984</v>
      </c>
      <c r="H64" s="14" t="s">
        <v>4982</v>
      </c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4" t="s">
        <v>4996</v>
      </c>
      <c r="B65" s="14" t="s">
        <v>4975</v>
      </c>
      <c r="C65" s="14" t="s">
        <v>4858</v>
      </c>
      <c r="D65" s="14" t="s">
        <v>890</v>
      </c>
      <c r="E65" s="14" t="s">
        <v>4902</v>
      </c>
      <c r="F65" s="14" t="s">
        <v>5000</v>
      </c>
      <c r="G65" s="14" t="s">
        <v>5001</v>
      </c>
      <c r="H65" s="14" t="s">
        <v>5002</v>
      </c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4" t="s">
        <v>5013</v>
      </c>
      <c r="B66" s="14" t="s">
        <v>5014</v>
      </c>
      <c r="C66" s="14" t="s">
        <v>4845</v>
      </c>
      <c r="D66" s="14" t="s">
        <v>765</v>
      </c>
      <c r="E66" s="14" t="s">
        <v>5020</v>
      </c>
      <c r="F66" s="14" t="s">
        <v>5023</v>
      </c>
      <c r="G66" s="14" t="s">
        <v>5023</v>
      </c>
      <c r="H66" s="14" t="s">
        <v>5027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4" t="s">
        <v>5037</v>
      </c>
      <c r="B67" s="14" t="s">
        <v>5014</v>
      </c>
      <c r="C67" s="14" t="s">
        <v>5039</v>
      </c>
      <c r="D67" s="14" t="s">
        <v>767</v>
      </c>
      <c r="E67" s="14" t="s">
        <v>5040</v>
      </c>
      <c r="F67" s="14" t="s">
        <v>5041</v>
      </c>
      <c r="G67" s="14" t="s">
        <v>5042</v>
      </c>
      <c r="H67" s="14" t="s">
        <v>5041</v>
      </c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4" t="s">
        <v>5053</v>
      </c>
      <c r="B68" s="14" t="s">
        <v>5054</v>
      </c>
      <c r="C68" s="14" t="s">
        <v>4898</v>
      </c>
      <c r="D68" s="14" t="s">
        <v>765</v>
      </c>
      <c r="E68" s="14" t="s">
        <v>5060</v>
      </c>
      <c r="F68" s="14" t="s">
        <v>5063</v>
      </c>
      <c r="G68" s="14" t="s">
        <v>5066</v>
      </c>
      <c r="H68" s="14" t="s">
        <v>5068</v>
      </c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4" t="s">
        <v>5079</v>
      </c>
      <c r="B69" s="14" t="s">
        <v>5054</v>
      </c>
      <c r="C69" s="14" t="s">
        <v>4921</v>
      </c>
      <c r="D69" s="14" t="s">
        <v>768</v>
      </c>
      <c r="E69" s="14" t="s">
        <v>4842</v>
      </c>
      <c r="F69" s="14" t="s">
        <v>5080</v>
      </c>
      <c r="G69" s="14" t="s">
        <v>5080</v>
      </c>
      <c r="H69" s="14" t="s">
        <v>4982</v>
      </c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4" t="s">
        <v>4894</v>
      </c>
      <c r="B70" s="14" t="s">
        <v>5093</v>
      </c>
      <c r="C70" s="14" t="s">
        <v>4841</v>
      </c>
      <c r="D70" s="14" t="s">
        <v>768</v>
      </c>
      <c r="E70" s="14" t="s">
        <v>5098</v>
      </c>
      <c r="F70" s="14" t="s">
        <v>5100</v>
      </c>
      <c r="G70" s="14" t="s">
        <v>5100</v>
      </c>
      <c r="H70" s="14" t="s">
        <v>5102</v>
      </c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4" t="s">
        <v>5110</v>
      </c>
      <c r="B71" s="14" t="s">
        <v>5093</v>
      </c>
      <c r="C71" s="14" t="s">
        <v>5039</v>
      </c>
      <c r="D71" s="14" t="s">
        <v>773</v>
      </c>
      <c r="E71" s="14" t="s">
        <v>4979</v>
      </c>
      <c r="F71" s="14" t="s">
        <v>5111</v>
      </c>
      <c r="G71" s="14" t="s">
        <v>5111</v>
      </c>
      <c r="H71" s="14" t="s">
        <v>4868</v>
      </c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4" t="s">
        <v>5112</v>
      </c>
      <c r="B72" s="14" t="s">
        <v>5113</v>
      </c>
      <c r="C72" s="14" t="s">
        <v>4845</v>
      </c>
      <c r="D72" s="14" t="s">
        <v>765</v>
      </c>
      <c r="E72" s="14" t="s">
        <v>5114</v>
      </c>
      <c r="F72" s="14" t="s">
        <v>5068</v>
      </c>
      <c r="G72" s="14" t="s">
        <v>4922</v>
      </c>
      <c r="H72" s="14" t="s">
        <v>5115</v>
      </c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4" t="s">
        <v>5116</v>
      </c>
      <c r="B73" s="14" t="s">
        <v>5113</v>
      </c>
      <c r="C73" s="14" t="s">
        <v>4939</v>
      </c>
      <c r="D73" s="14" t="s">
        <v>890</v>
      </c>
      <c r="E73" s="14" t="s">
        <v>4979</v>
      </c>
      <c r="F73" s="14" t="s">
        <v>5117</v>
      </c>
      <c r="G73" s="14" t="s">
        <v>5118</v>
      </c>
      <c r="H73" s="14" t="s">
        <v>4884</v>
      </c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4" t="s">
        <v>5119</v>
      </c>
      <c r="B74" s="14" t="s">
        <v>5120</v>
      </c>
      <c r="C74" s="14" t="s">
        <v>5039</v>
      </c>
      <c r="D74" s="14" t="s">
        <v>773</v>
      </c>
      <c r="E74" s="14" t="s">
        <v>5121</v>
      </c>
      <c r="F74" s="14" t="s">
        <v>5122</v>
      </c>
      <c r="G74" s="14" t="s">
        <v>5123</v>
      </c>
      <c r="H74" s="14" t="s">
        <v>5122</v>
      </c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4" t="s">
        <v>5130</v>
      </c>
      <c r="B75" s="14" t="s">
        <v>5120</v>
      </c>
      <c r="C75" s="14" t="s">
        <v>4858</v>
      </c>
      <c r="D75" s="14" t="s">
        <v>767</v>
      </c>
      <c r="E75" s="14" t="s">
        <v>5131</v>
      </c>
      <c r="F75" s="14" t="s">
        <v>5132</v>
      </c>
      <c r="G75" s="14" t="s">
        <v>5134</v>
      </c>
      <c r="H75" s="14" t="s">
        <v>5136</v>
      </c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4" t="s">
        <v>5144</v>
      </c>
      <c r="B76" s="14" t="s">
        <v>5146</v>
      </c>
      <c r="C76" s="14" t="s">
        <v>4921</v>
      </c>
      <c r="D76" s="14" t="s">
        <v>5149</v>
      </c>
      <c r="E76" s="14" t="s">
        <v>5020</v>
      </c>
      <c r="F76" s="14" t="s">
        <v>5102</v>
      </c>
      <c r="G76" s="14" t="s">
        <v>5150</v>
      </c>
      <c r="H76" s="14" t="s">
        <v>5102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4" t="s">
        <v>5156</v>
      </c>
      <c r="B77" s="14" t="s">
        <v>5146</v>
      </c>
      <c r="C77" s="14" t="s">
        <v>4939</v>
      </c>
      <c r="D77" s="14" t="s">
        <v>771</v>
      </c>
      <c r="E77" s="14" t="s">
        <v>4842</v>
      </c>
      <c r="F77" s="14" t="s">
        <v>4863</v>
      </c>
      <c r="G77" s="14" t="s">
        <v>5159</v>
      </c>
      <c r="H77" s="14" t="s">
        <v>4863</v>
      </c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4" t="s">
        <v>5163</v>
      </c>
      <c r="B78" s="14" t="s">
        <v>5164</v>
      </c>
      <c r="C78" s="14" t="s">
        <v>4880</v>
      </c>
      <c r="D78" s="14" t="s">
        <v>767</v>
      </c>
      <c r="E78" s="14" t="s">
        <v>5131</v>
      </c>
      <c r="F78" s="14" t="s">
        <v>5134</v>
      </c>
      <c r="G78" s="14" t="s">
        <v>5165</v>
      </c>
      <c r="H78" s="14" t="s">
        <v>5134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4" t="s">
        <v>5013</v>
      </c>
      <c r="B79" s="14" t="s">
        <v>5164</v>
      </c>
      <c r="C79" s="14" t="s">
        <v>4841</v>
      </c>
      <c r="D79" s="14" t="s">
        <v>768</v>
      </c>
      <c r="E79" s="14" t="s">
        <v>5168</v>
      </c>
      <c r="F79" s="14" t="s">
        <v>4905</v>
      </c>
      <c r="G79" s="14" t="s">
        <v>5169</v>
      </c>
      <c r="H79" s="14" t="s">
        <v>4905</v>
      </c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4" t="s">
        <v>5176</v>
      </c>
      <c r="B80" s="14" t="s">
        <v>5177</v>
      </c>
      <c r="C80" s="14" t="s">
        <v>4845</v>
      </c>
      <c r="D80" s="14" t="s">
        <v>890</v>
      </c>
      <c r="E80" s="14" t="s">
        <v>4842</v>
      </c>
      <c r="F80" s="14" t="s">
        <v>5123</v>
      </c>
      <c r="G80" s="14" t="s">
        <v>5178</v>
      </c>
      <c r="H80" s="14" t="s">
        <v>5123</v>
      </c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4" t="s">
        <v>5186</v>
      </c>
      <c r="B81" s="14" t="s">
        <v>5187</v>
      </c>
      <c r="C81" s="14" t="s">
        <v>4898</v>
      </c>
      <c r="D81" s="14" t="s">
        <v>773</v>
      </c>
      <c r="E81" s="14" t="s">
        <v>4842</v>
      </c>
      <c r="F81" s="14" t="s">
        <v>5122</v>
      </c>
      <c r="G81" s="14" t="s">
        <v>5122</v>
      </c>
      <c r="H81" s="14" t="s">
        <v>5122</v>
      </c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4" t="s">
        <v>5192</v>
      </c>
      <c r="B82" s="14" t="s">
        <v>5193</v>
      </c>
      <c r="C82" s="14" t="s">
        <v>4939</v>
      </c>
      <c r="D82" s="14" t="s">
        <v>768</v>
      </c>
      <c r="E82" s="14" t="s">
        <v>4842</v>
      </c>
      <c r="F82" s="14" t="s">
        <v>5080</v>
      </c>
      <c r="G82" s="14" t="s">
        <v>5100</v>
      </c>
      <c r="H82" s="14" t="s">
        <v>5080</v>
      </c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4" t="s">
        <v>5197</v>
      </c>
      <c r="B83" s="14" t="s">
        <v>5198</v>
      </c>
      <c r="C83" s="14" t="s">
        <v>4880</v>
      </c>
      <c r="D83" s="14" t="s">
        <v>768</v>
      </c>
      <c r="E83" s="14" t="s">
        <v>5199</v>
      </c>
      <c r="F83" s="14" t="s">
        <v>4909</v>
      </c>
      <c r="G83" s="14" t="s">
        <v>4909</v>
      </c>
      <c r="H83" s="14" t="s">
        <v>4945</v>
      </c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35" t="s">
        <v>3164</v>
      </c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63" t="s">
        <v>627</v>
      </c>
      <c r="B87" s="163" t="s">
        <v>629</v>
      </c>
      <c r="C87" s="163" t="s">
        <v>631</v>
      </c>
      <c r="D87" s="163" t="s">
        <v>633</v>
      </c>
      <c r="E87" s="163" t="s">
        <v>3169</v>
      </c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4" t="s">
        <v>885</v>
      </c>
      <c r="B88" s="14" t="s">
        <v>887</v>
      </c>
      <c r="C88" s="14" t="s">
        <v>890</v>
      </c>
      <c r="D88" s="14" t="s">
        <v>18</v>
      </c>
      <c r="E88" s="14">
        <v>20000.0</v>
      </c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4" t="s">
        <v>899</v>
      </c>
      <c r="B89" s="14" t="s">
        <v>900</v>
      </c>
      <c r="C89" s="14" t="s">
        <v>768</v>
      </c>
      <c r="D89" s="14" t="s">
        <v>15</v>
      </c>
      <c r="E89" s="14">
        <v>20000.0</v>
      </c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4" t="s">
        <v>913</v>
      </c>
      <c r="B90" s="14" t="s">
        <v>916</v>
      </c>
      <c r="C90" s="14" t="s">
        <v>773</v>
      </c>
      <c r="D90" s="14" t="s">
        <v>9</v>
      </c>
      <c r="E90" s="14">
        <v>40000.0</v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4" t="s">
        <v>928</v>
      </c>
      <c r="B91" s="14" t="s">
        <v>900</v>
      </c>
      <c r="C91" s="14" t="s">
        <v>768</v>
      </c>
      <c r="D91" s="14" t="s">
        <v>15</v>
      </c>
      <c r="E91" s="14">
        <v>40000.0</v>
      </c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4" t="s">
        <v>937</v>
      </c>
      <c r="B92" s="14" t="s">
        <v>766</v>
      </c>
      <c r="C92" s="14" t="s">
        <v>768</v>
      </c>
      <c r="D92" s="14" t="s">
        <v>664</v>
      </c>
      <c r="E92" s="14">
        <v>80000.0</v>
      </c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4" t="s">
        <v>941</v>
      </c>
      <c r="B93" s="14" t="s">
        <v>765</v>
      </c>
      <c r="E93" s="14">
        <v>100000.0</v>
      </c>
    </row>
    <row r="94">
      <c r="A94" s="14" t="s">
        <v>809</v>
      </c>
      <c r="B94" s="14" t="s">
        <v>773</v>
      </c>
      <c r="E94" s="14">
        <v>160000.0</v>
      </c>
    </row>
    <row r="95">
      <c r="A95" s="14" t="s">
        <v>446</v>
      </c>
      <c r="B95" s="14" t="s">
        <v>768</v>
      </c>
      <c r="E95" s="14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73" t="s">
        <v>4463</v>
      </c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</row>
    <row r="2">
      <c r="A2" s="275" t="s">
        <v>9</v>
      </c>
      <c r="B2" s="275" t="s">
        <v>664</v>
      </c>
      <c r="C2" s="275" t="s">
        <v>14</v>
      </c>
      <c r="D2" s="275" t="s">
        <v>16</v>
      </c>
      <c r="E2" s="275" t="s">
        <v>18</v>
      </c>
      <c r="F2" s="275" t="s">
        <v>23</v>
      </c>
      <c r="G2" s="34" t="s">
        <v>4479</v>
      </c>
      <c r="H2" s="23" t="s">
        <v>27</v>
      </c>
      <c r="I2" s="23" t="s">
        <v>12</v>
      </c>
      <c r="J2" s="23" t="s">
        <v>15</v>
      </c>
      <c r="K2" s="23" t="s">
        <v>25</v>
      </c>
      <c r="L2" s="23" t="s">
        <v>4483</v>
      </c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Z2" s="274"/>
    </row>
    <row r="3" ht="21.0" customHeight="1">
      <c r="A3" s="196" t="s">
        <v>760</v>
      </c>
      <c r="B3" s="276" t="s">
        <v>4491</v>
      </c>
      <c r="C3" s="276" t="s">
        <v>4493</v>
      </c>
      <c r="D3" s="196" t="s">
        <v>4495</v>
      </c>
      <c r="E3" s="277" t="s">
        <v>4496</v>
      </c>
      <c r="F3" s="272" t="s">
        <v>4497</v>
      </c>
      <c r="G3" s="278" t="s">
        <v>4499</v>
      </c>
      <c r="H3" s="272" t="s">
        <v>4501</v>
      </c>
      <c r="I3" s="196" t="s">
        <v>1413</v>
      </c>
      <c r="J3" s="196" t="s">
        <v>1564</v>
      </c>
      <c r="K3" s="12" t="s">
        <v>2650</v>
      </c>
      <c r="L3" s="12" t="s">
        <v>4506</v>
      </c>
      <c r="M3" s="274"/>
      <c r="O3" s="274"/>
      <c r="P3" s="274"/>
      <c r="Q3" s="274"/>
      <c r="R3" s="274"/>
      <c r="S3" s="274"/>
      <c r="T3" s="274"/>
      <c r="U3" s="274"/>
      <c r="V3" s="274"/>
      <c r="W3" s="274"/>
      <c r="X3" s="274"/>
      <c r="Y3" s="274"/>
      <c r="Z3" s="274"/>
    </row>
    <row r="4">
      <c r="A4" s="196" t="s">
        <v>4510</v>
      </c>
      <c r="B4" s="196" t="s">
        <v>4512</v>
      </c>
      <c r="C4" s="196" t="s">
        <v>4513</v>
      </c>
      <c r="D4" s="196" t="s">
        <v>1502</v>
      </c>
      <c r="E4" s="196" t="s">
        <v>3637</v>
      </c>
      <c r="F4" s="196" t="s">
        <v>2714</v>
      </c>
      <c r="G4" s="278" t="s">
        <v>4517</v>
      </c>
      <c r="H4" s="196" t="s">
        <v>4440</v>
      </c>
      <c r="I4" s="196" t="s">
        <v>4520</v>
      </c>
      <c r="J4" s="196" t="s">
        <v>1583</v>
      </c>
      <c r="K4" s="12" t="s">
        <v>2629</v>
      </c>
      <c r="L4" s="12" t="s">
        <v>3774</v>
      </c>
      <c r="M4" s="274"/>
      <c r="N4" s="12"/>
      <c r="O4" s="274"/>
      <c r="P4" s="274"/>
      <c r="Q4" s="274"/>
      <c r="R4" s="274"/>
      <c r="S4" s="274"/>
      <c r="T4" s="274"/>
      <c r="U4" s="274"/>
      <c r="V4" s="274"/>
      <c r="W4" s="274"/>
      <c r="X4" s="274"/>
      <c r="Y4" s="274"/>
      <c r="Z4" s="274"/>
    </row>
    <row r="5" ht="18.75" customHeight="1">
      <c r="A5" s="196" t="s">
        <v>4528</v>
      </c>
      <c r="B5" s="196" t="s">
        <v>4529</v>
      </c>
      <c r="C5" s="196" t="s">
        <v>4531</v>
      </c>
      <c r="D5" s="196" t="s">
        <v>4533</v>
      </c>
      <c r="E5" s="196" t="s">
        <v>4534</v>
      </c>
      <c r="F5" s="196" t="s">
        <v>2616</v>
      </c>
      <c r="G5" s="278" t="s">
        <v>1969</v>
      </c>
      <c r="H5" s="196" t="s">
        <v>4448</v>
      </c>
      <c r="I5" s="196" t="s">
        <v>291</v>
      </c>
      <c r="J5" s="196" t="s">
        <v>4446</v>
      </c>
      <c r="K5" s="12" t="s">
        <v>2657</v>
      </c>
      <c r="L5" s="12" t="s">
        <v>4539</v>
      </c>
      <c r="M5" s="274"/>
      <c r="O5" s="274"/>
      <c r="P5" s="274"/>
      <c r="Q5" s="274"/>
      <c r="R5" s="274"/>
      <c r="S5" s="274"/>
      <c r="T5" s="274"/>
      <c r="U5" s="274"/>
      <c r="V5" s="274"/>
      <c r="W5" s="274"/>
      <c r="X5" s="274"/>
      <c r="Y5" s="274"/>
      <c r="Z5" s="274"/>
    </row>
    <row r="6">
      <c r="A6" s="196" t="s">
        <v>4544</v>
      </c>
      <c r="B6" s="196" t="s">
        <v>4546</v>
      </c>
      <c r="C6" s="196" t="s">
        <v>4547</v>
      </c>
      <c r="D6" s="196" t="s">
        <v>4549</v>
      </c>
      <c r="E6" s="196" t="s">
        <v>4550</v>
      </c>
      <c r="F6" s="196" t="s">
        <v>4551</v>
      </c>
      <c r="G6" s="278" t="s">
        <v>2040</v>
      </c>
      <c r="H6" s="196" t="s">
        <v>4458</v>
      </c>
      <c r="I6" s="196" t="s">
        <v>4553</v>
      </c>
      <c r="J6" s="196" t="s">
        <v>1187</v>
      </c>
      <c r="K6" s="12" t="s">
        <v>4555</v>
      </c>
      <c r="L6" s="12" t="s">
        <v>4557</v>
      </c>
      <c r="M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4"/>
      <c r="Z6" s="274"/>
    </row>
    <row r="7">
      <c r="A7" s="196" t="s">
        <v>4563</v>
      </c>
      <c r="B7" s="196" t="s">
        <v>4564</v>
      </c>
      <c r="C7" s="196" t="s">
        <v>4565</v>
      </c>
      <c r="D7" s="196" t="s">
        <v>4567</v>
      </c>
      <c r="E7" s="196" t="s">
        <v>2038</v>
      </c>
      <c r="F7" s="196" t="s">
        <v>4569</v>
      </c>
      <c r="G7" s="278" t="s">
        <v>4572</v>
      </c>
      <c r="H7" s="196" t="s">
        <v>4468</v>
      </c>
      <c r="I7" s="196" t="s">
        <v>4574</v>
      </c>
      <c r="J7" s="196" t="s">
        <v>4575</v>
      </c>
      <c r="K7" s="12" t="s">
        <v>2665</v>
      </c>
      <c r="L7" s="12" t="s">
        <v>4577</v>
      </c>
      <c r="M7" s="274"/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</row>
    <row r="8">
      <c r="A8" s="196" t="s">
        <v>4581</v>
      </c>
      <c r="B8" s="196" t="s">
        <v>4583</v>
      </c>
      <c r="C8" s="196" t="s">
        <v>4584</v>
      </c>
      <c r="D8" s="196" t="s">
        <v>4586</v>
      </c>
      <c r="E8" s="196" t="s">
        <v>4587</v>
      </c>
      <c r="F8" s="196" t="s">
        <v>4589</v>
      </c>
      <c r="G8" s="278" t="s">
        <v>4590</v>
      </c>
      <c r="H8" s="196" t="s">
        <v>4477</v>
      </c>
      <c r="I8" s="196" t="s">
        <v>4592</v>
      </c>
      <c r="J8" s="196" t="s">
        <v>4049</v>
      </c>
      <c r="K8" s="12" t="s">
        <v>2668</v>
      </c>
      <c r="L8" s="12" t="s">
        <v>4594</v>
      </c>
      <c r="M8" s="274"/>
      <c r="O8" s="274"/>
      <c r="P8" s="274"/>
      <c r="Q8" s="274"/>
      <c r="R8" s="274"/>
      <c r="S8" s="274"/>
      <c r="T8" s="274"/>
      <c r="U8" s="274"/>
      <c r="V8" s="274"/>
      <c r="W8" s="274"/>
      <c r="X8" s="274"/>
      <c r="Y8" s="274"/>
      <c r="Z8" s="274"/>
    </row>
    <row r="9">
      <c r="A9" s="196" t="s">
        <v>413</v>
      </c>
      <c r="B9" s="196" t="s">
        <v>4598</v>
      </c>
      <c r="C9" s="196" t="s">
        <v>4600</v>
      </c>
      <c r="D9" s="276" t="s">
        <v>4601</v>
      </c>
      <c r="E9" s="196" t="s">
        <v>3534</v>
      </c>
      <c r="F9" s="196" t="s">
        <v>4603</v>
      </c>
      <c r="G9" s="278" t="s">
        <v>3798</v>
      </c>
      <c r="H9" s="196" t="s">
        <v>4488</v>
      </c>
      <c r="I9" s="274"/>
      <c r="J9" s="196" t="s">
        <v>4605</v>
      </c>
      <c r="K9" s="12" t="s">
        <v>4606</v>
      </c>
      <c r="L9" s="274"/>
      <c r="M9" s="274"/>
      <c r="O9" s="274"/>
      <c r="P9" s="274"/>
      <c r="Q9" s="274"/>
      <c r="R9" s="274"/>
      <c r="S9" s="274"/>
      <c r="T9" s="274"/>
      <c r="U9" s="274"/>
      <c r="V9" s="274"/>
      <c r="W9" s="274"/>
      <c r="X9" s="274"/>
      <c r="Y9" s="274"/>
      <c r="Z9" s="274"/>
    </row>
    <row r="10">
      <c r="A10" s="196" t="s">
        <v>4610</v>
      </c>
      <c r="B10" s="196" t="s">
        <v>4611</v>
      </c>
      <c r="C10" s="196" t="s">
        <v>4612</v>
      </c>
      <c r="D10" s="196" t="s">
        <v>4614</v>
      </c>
      <c r="E10" s="196" t="s">
        <v>4615</v>
      </c>
      <c r="F10" s="196" t="s">
        <v>4616</v>
      </c>
      <c r="G10" s="278" t="s">
        <v>4617</v>
      </c>
      <c r="H10" s="196" t="s">
        <v>4504</v>
      </c>
      <c r="I10" s="274"/>
      <c r="J10" s="196" t="s">
        <v>4619</v>
      </c>
      <c r="K10" s="12" t="s">
        <v>4620</v>
      </c>
      <c r="L10" s="274"/>
      <c r="M10" s="274"/>
      <c r="O10" s="274"/>
      <c r="P10" s="274"/>
      <c r="Q10" s="274"/>
      <c r="R10" s="274"/>
      <c r="S10" s="274"/>
      <c r="T10" s="274"/>
      <c r="U10" s="274"/>
      <c r="V10" s="274"/>
      <c r="W10" s="274"/>
      <c r="X10" s="274"/>
      <c r="Y10" s="274"/>
      <c r="Z10" s="274"/>
    </row>
    <row r="11">
      <c r="A11" s="196" t="s">
        <v>4522</v>
      </c>
      <c r="B11" s="196" t="s">
        <v>4623</v>
      </c>
      <c r="C11" s="196" t="s">
        <v>4624</v>
      </c>
      <c r="D11" s="196" t="s">
        <v>4625</v>
      </c>
      <c r="E11" s="196" t="s">
        <v>4626</v>
      </c>
      <c r="F11" s="196" t="s">
        <v>2494</v>
      </c>
      <c r="G11" s="278" t="s">
        <v>4628</v>
      </c>
      <c r="H11" s="196" t="s">
        <v>4518</v>
      </c>
      <c r="I11" s="274"/>
      <c r="J11" s="196" t="s">
        <v>4629</v>
      </c>
      <c r="K11" s="12" t="s">
        <v>4630</v>
      </c>
      <c r="L11" s="274"/>
      <c r="M11" s="274"/>
      <c r="O11" s="274"/>
      <c r="P11" s="274"/>
      <c r="Q11" s="274"/>
      <c r="R11" s="274"/>
      <c r="S11" s="274"/>
      <c r="T11" s="274"/>
      <c r="U11" s="274"/>
      <c r="V11" s="274"/>
      <c r="W11" s="274"/>
      <c r="X11" s="274"/>
      <c r="Y11" s="274"/>
      <c r="Z11" s="274"/>
    </row>
    <row r="12">
      <c r="A12" s="196" t="s">
        <v>4633</v>
      </c>
      <c r="B12" s="196" t="s">
        <v>4634</v>
      </c>
      <c r="C12" s="196" t="s">
        <v>4636</v>
      </c>
      <c r="D12" s="196" t="s">
        <v>4637</v>
      </c>
      <c r="E12" s="196" t="s">
        <v>4638</v>
      </c>
      <c r="F12" s="196" t="s">
        <v>4639</v>
      </c>
      <c r="G12" s="278" t="s">
        <v>4640</v>
      </c>
      <c r="H12" s="196" t="s">
        <v>4641</v>
      </c>
      <c r="I12" s="274"/>
      <c r="J12" s="196" t="s">
        <v>4642</v>
      </c>
      <c r="K12" s="12" t="s">
        <v>4644</v>
      </c>
      <c r="L12" s="274"/>
      <c r="M12" s="274"/>
      <c r="O12" s="274"/>
      <c r="P12" s="274"/>
      <c r="Q12" s="274"/>
      <c r="R12" s="274"/>
      <c r="S12" s="274"/>
      <c r="T12" s="274"/>
      <c r="U12" s="274"/>
      <c r="V12" s="274"/>
      <c r="W12" s="274"/>
      <c r="X12" s="274"/>
      <c r="Y12" s="274"/>
      <c r="Z12" s="274"/>
    </row>
    <row r="13">
      <c r="A13" s="196" t="s">
        <v>4646</v>
      </c>
      <c r="B13" s="196" t="s">
        <v>4647</v>
      </c>
      <c r="D13" s="196" t="s">
        <v>4648</v>
      </c>
      <c r="E13" s="196" t="s">
        <v>4649</v>
      </c>
      <c r="F13" s="196" t="s">
        <v>4651</v>
      </c>
      <c r="G13" s="278" t="s">
        <v>4652</v>
      </c>
      <c r="H13" s="196" t="s">
        <v>4541</v>
      </c>
      <c r="I13" s="274"/>
      <c r="J13" s="196" t="s">
        <v>4653</v>
      </c>
      <c r="L13" s="274"/>
      <c r="M13" s="274"/>
      <c r="O13" s="274"/>
      <c r="P13" s="274"/>
      <c r="Q13" s="274"/>
      <c r="R13" s="274"/>
      <c r="S13" s="274"/>
      <c r="T13" s="274"/>
      <c r="U13" s="274"/>
      <c r="V13" s="274"/>
      <c r="W13" s="274"/>
      <c r="X13" s="274"/>
      <c r="Y13" s="274"/>
      <c r="Z13" s="274"/>
    </row>
    <row r="14">
      <c r="B14" s="196" t="s">
        <v>4656</v>
      </c>
      <c r="C14" s="274"/>
      <c r="D14" s="196" t="s">
        <v>4657</v>
      </c>
      <c r="E14" s="196" t="s">
        <v>4658</v>
      </c>
      <c r="F14" s="196" t="s">
        <v>4659</v>
      </c>
      <c r="G14" s="278" t="s">
        <v>4660</v>
      </c>
      <c r="H14" s="196" t="s">
        <v>4558</v>
      </c>
      <c r="I14" s="274"/>
      <c r="J14" s="196" t="s">
        <v>4662</v>
      </c>
      <c r="L14" s="274"/>
      <c r="M14" s="274"/>
      <c r="O14" s="274"/>
      <c r="P14" s="274"/>
      <c r="Q14" s="274"/>
      <c r="R14" s="274"/>
      <c r="S14" s="274"/>
      <c r="T14" s="274"/>
      <c r="U14" s="274"/>
      <c r="V14" s="274"/>
      <c r="W14" s="274"/>
      <c r="X14" s="274"/>
      <c r="Y14" s="274"/>
      <c r="Z14" s="274"/>
    </row>
    <row r="15">
      <c r="B15" s="196" t="s">
        <v>4663</v>
      </c>
      <c r="C15" s="274"/>
      <c r="D15" s="196" t="s">
        <v>4664</v>
      </c>
      <c r="E15" s="196" t="s">
        <v>1944</v>
      </c>
      <c r="F15" s="196" t="s">
        <v>4665</v>
      </c>
      <c r="G15" s="278" t="s">
        <v>4570</v>
      </c>
      <c r="H15" s="196" t="s">
        <v>4571</v>
      </c>
      <c r="I15" s="274"/>
      <c r="J15" s="196" t="s">
        <v>4666</v>
      </c>
      <c r="L15" s="274"/>
      <c r="M15" s="274"/>
      <c r="O15" s="274"/>
      <c r="P15" s="274"/>
      <c r="Q15" s="274"/>
      <c r="R15" s="274"/>
      <c r="S15" s="274"/>
      <c r="T15" s="274"/>
      <c r="U15" s="274"/>
      <c r="V15" s="274"/>
      <c r="W15" s="274"/>
      <c r="X15" s="274"/>
      <c r="Y15" s="274"/>
      <c r="Z15" s="274"/>
    </row>
    <row r="16">
      <c r="B16" s="196" t="s">
        <v>4671</v>
      </c>
      <c r="C16" s="274"/>
      <c r="D16" s="196" t="s">
        <v>4673</v>
      </c>
      <c r="E16" s="196" t="s">
        <v>4678</v>
      </c>
      <c r="F16" s="196" t="s">
        <v>4680</v>
      </c>
      <c r="G16" s="278" t="s">
        <v>4681</v>
      </c>
      <c r="H16" s="196" t="s">
        <v>4585</v>
      </c>
      <c r="I16" s="274"/>
      <c r="J16" s="196" t="s">
        <v>4684</v>
      </c>
      <c r="L16" s="274"/>
      <c r="M16" s="274"/>
      <c r="O16" s="274"/>
      <c r="P16" s="274"/>
      <c r="Q16" s="274"/>
      <c r="R16" s="274"/>
      <c r="S16" s="274"/>
      <c r="T16" s="274"/>
      <c r="U16" s="274"/>
      <c r="V16" s="274"/>
      <c r="W16" s="274"/>
      <c r="X16" s="274"/>
      <c r="Y16" s="274"/>
      <c r="Z16" s="274"/>
    </row>
    <row r="17">
      <c r="B17" s="196" t="s">
        <v>4692</v>
      </c>
      <c r="C17" s="274"/>
      <c r="D17" s="196" t="s">
        <v>4694</v>
      </c>
      <c r="E17" s="196" t="s">
        <v>4695</v>
      </c>
      <c r="F17" s="274"/>
      <c r="G17" s="278" t="s">
        <v>4698</v>
      </c>
      <c r="H17" s="196" t="s">
        <v>4597</v>
      </c>
      <c r="I17" s="274"/>
      <c r="J17" s="196" t="s">
        <v>4701</v>
      </c>
      <c r="L17" s="274"/>
      <c r="M17" s="274"/>
      <c r="O17" s="274"/>
      <c r="P17" s="274"/>
      <c r="Q17" s="274"/>
      <c r="R17" s="274"/>
      <c r="S17" s="274"/>
      <c r="T17" s="274"/>
      <c r="U17" s="274"/>
      <c r="V17" s="274"/>
      <c r="W17" s="274"/>
      <c r="X17" s="274"/>
      <c r="Y17" s="274"/>
      <c r="Z17" s="274"/>
    </row>
    <row r="18">
      <c r="A18" s="274"/>
      <c r="B18" s="196" t="s">
        <v>4707</v>
      </c>
      <c r="C18" s="274"/>
      <c r="D18" s="196" t="s">
        <v>4709</v>
      </c>
      <c r="E18" s="196" t="s">
        <v>4711</v>
      </c>
      <c r="F18" s="274"/>
      <c r="G18" s="278" t="s">
        <v>4713</v>
      </c>
      <c r="H18" s="196" t="s">
        <v>4607</v>
      </c>
      <c r="I18" s="274"/>
      <c r="J18" s="274"/>
      <c r="L18" s="274"/>
      <c r="M18" s="274"/>
      <c r="O18" s="274"/>
      <c r="P18" s="274"/>
      <c r="Q18" s="274"/>
      <c r="R18" s="274"/>
      <c r="S18" s="274"/>
      <c r="T18" s="274"/>
      <c r="U18" s="274"/>
      <c r="V18" s="274"/>
      <c r="W18" s="274"/>
      <c r="X18" s="274"/>
      <c r="Y18" s="274"/>
      <c r="Z18" s="274"/>
    </row>
    <row r="19">
      <c r="A19" s="274"/>
      <c r="B19" s="196" t="s">
        <v>4721</v>
      </c>
      <c r="C19" s="274"/>
      <c r="D19" s="196" t="s">
        <v>4723</v>
      </c>
      <c r="E19" s="196" t="s">
        <v>4724</v>
      </c>
      <c r="F19" s="274"/>
      <c r="H19" s="196" t="s">
        <v>4726</v>
      </c>
      <c r="I19" s="274"/>
      <c r="J19" s="274"/>
      <c r="L19" s="274"/>
      <c r="M19" s="274"/>
      <c r="O19" s="274"/>
      <c r="P19" s="274"/>
      <c r="Q19" s="274"/>
      <c r="R19" s="274"/>
      <c r="S19" s="274"/>
      <c r="T19" s="274"/>
      <c r="U19" s="274"/>
      <c r="V19" s="274"/>
      <c r="W19" s="274"/>
      <c r="X19" s="274"/>
      <c r="Y19" s="274"/>
      <c r="Z19" s="274"/>
    </row>
    <row r="20">
      <c r="A20" s="274"/>
      <c r="B20" s="196" t="s">
        <v>4734</v>
      </c>
      <c r="C20" s="274"/>
      <c r="D20" s="196" t="s">
        <v>4736</v>
      </c>
      <c r="E20" s="196" t="s">
        <v>4738</v>
      </c>
      <c r="F20" s="274"/>
      <c r="G20" s="274"/>
      <c r="H20" s="274"/>
      <c r="I20" s="274"/>
      <c r="J20" s="274"/>
      <c r="K20" s="274"/>
      <c r="L20" s="274"/>
      <c r="M20" s="274"/>
      <c r="O20" s="274"/>
      <c r="P20" s="274"/>
      <c r="Q20" s="274"/>
      <c r="R20" s="274"/>
      <c r="S20" s="274"/>
      <c r="T20" s="274"/>
      <c r="U20" s="274"/>
      <c r="V20" s="274"/>
      <c r="W20" s="274"/>
      <c r="X20" s="274"/>
      <c r="Y20" s="274"/>
      <c r="Z20" s="274"/>
    </row>
    <row r="21">
      <c r="A21" s="274"/>
      <c r="B21" s="196" t="s">
        <v>4748</v>
      </c>
      <c r="C21" s="274"/>
      <c r="D21" s="274"/>
      <c r="E21" s="196" t="s">
        <v>4750</v>
      </c>
      <c r="F21" s="274"/>
      <c r="G21" s="274"/>
      <c r="H21" s="274"/>
      <c r="I21" s="274"/>
      <c r="J21" s="274"/>
      <c r="K21" s="274"/>
      <c r="L21" s="274"/>
      <c r="M21" s="274"/>
      <c r="O21" s="274"/>
      <c r="P21" s="274"/>
      <c r="Q21" s="274"/>
      <c r="R21" s="274"/>
      <c r="S21" s="274"/>
      <c r="T21" s="274"/>
      <c r="U21" s="274"/>
      <c r="V21" s="274"/>
      <c r="W21" s="274"/>
      <c r="X21" s="274"/>
      <c r="Y21" s="274"/>
      <c r="Z21" s="274"/>
    </row>
    <row r="22">
      <c r="A22" s="274"/>
      <c r="B22" s="196" t="s">
        <v>4760</v>
      </c>
      <c r="C22" s="274"/>
      <c r="D22" s="274"/>
      <c r="E22" s="196" t="s">
        <v>4763</v>
      </c>
      <c r="F22" s="274"/>
      <c r="G22" s="274"/>
      <c r="H22" s="274"/>
      <c r="I22" s="274"/>
      <c r="J22" s="274"/>
      <c r="K22" s="274"/>
      <c r="L22" s="274"/>
      <c r="M22" s="274"/>
      <c r="O22" s="274"/>
      <c r="P22" s="274"/>
      <c r="Q22" s="274"/>
      <c r="R22" s="274"/>
      <c r="S22" s="274"/>
      <c r="T22" s="274"/>
      <c r="U22" s="274"/>
      <c r="V22" s="274"/>
      <c r="W22" s="274"/>
      <c r="X22" s="274"/>
      <c r="Y22" s="274"/>
      <c r="Z22" s="274"/>
    </row>
    <row r="23">
      <c r="A23" s="274"/>
      <c r="B23" s="196" t="s">
        <v>4772</v>
      </c>
      <c r="C23" s="274"/>
      <c r="D23" s="274"/>
      <c r="E23" s="196" t="s">
        <v>4774</v>
      </c>
      <c r="F23" s="274"/>
      <c r="G23" s="274"/>
      <c r="H23" s="274"/>
      <c r="I23" s="274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</row>
    <row r="24">
      <c r="A24" s="274"/>
      <c r="B24" s="196" t="s">
        <v>4784</v>
      </c>
      <c r="C24" s="274"/>
      <c r="D24" s="274"/>
      <c r="E24" s="196" t="s">
        <v>4786</v>
      </c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4"/>
      <c r="U24" s="274"/>
      <c r="V24" s="274"/>
      <c r="W24" s="274"/>
      <c r="X24" s="274"/>
      <c r="Y24" s="274"/>
      <c r="Z24" s="274"/>
    </row>
    <row r="25">
      <c r="A25" s="274"/>
      <c r="C25" s="274"/>
      <c r="D25" s="274"/>
      <c r="E25" s="196" t="s">
        <v>4798</v>
      </c>
      <c r="F25" s="274"/>
      <c r="G25" s="274"/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4"/>
      <c r="S25" s="274"/>
      <c r="T25" s="274"/>
      <c r="U25" s="274"/>
      <c r="V25" s="274"/>
      <c r="W25" s="274"/>
      <c r="X25" s="274"/>
      <c r="Y25" s="274"/>
      <c r="Z25" s="274"/>
    </row>
    <row r="26">
      <c r="A26" s="274"/>
      <c r="C26" s="274"/>
      <c r="D26" s="274"/>
      <c r="E26" s="196" t="s">
        <v>4810</v>
      </c>
      <c r="F26" s="274"/>
      <c r="G26" s="274"/>
      <c r="H26" s="274"/>
      <c r="I26" s="274"/>
      <c r="J26" s="274"/>
      <c r="K26" s="274"/>
      <c r="L26" s="274"/>
      <c r="M26" s="274"/>
      <c r="N26" s="274"/>
      <c r="O26" s="274"/>
      <c r="P26" s="274"/>
      <c r="Q26" s="274"/>
      <c r="R26" s="274"/>
      <c r="S26" s="274"/>
      <c r="T26" s="274"/>
      <c r="U26" s="274"/>
      <c r="V26" s="274"/>
      <c r="W26" s="274"/>
      <c r="X26" s="274"/>
      <c r="Y26" s="274"/>
      <c r="Z26" s="274"/>
    </row>
    <row r="27">
      <c r="A27" s="274"/>
      <c r="B27" s="274"/>
      <c r="C27" s="274"/>
      <c r="D27" s="274"/>
      <c r="E27" s="196" t="s">
        <v>4820</v>
      </c>
      <c r="F27" s="274"/>
      <c r="G27" s="274"/>
      <c r="H27" s="274"/>
      <c r="I27" s="274"/>
      <c r="J27" s="274"/>
      <c r="K27" s="274"/>
      <c r="L27" s="274"/>
      <c r="M27" s="274"/>
      <c r="N27" s="274"/>
      <c r="O27" s="274"/>
      <c r="P27" s="274"/>
      <c r="Q27" s="274"/>
      <c r="R27" s="274"/>
      <c r="S27" s="274"/>
      <c r="T27" s="274"/>
      <c r="U27" s="274"/>
      <c r="V27" s="274"/>
      <c r="W27" s="274"/>
      <c r="X27" s="274"/>
      <c r="Y27" s="274"/>
      <c r="Z27" s="274"/>
    </row>
    <row r="28">
      <c r="A28" s="274"/>
      <c r="B28" s="274"/>
      <c r="C28" s="274"/>
      <c r="D28" s="274"/>
      <c r="E28" s="196" t="s">
        <v>4831</v>
      </c>
      <c r="F28" s="274"/>
      <c r="G28" s="274"/>
      <c r="H28" s="274"/>
      <c r="I28" s="274"/>
      <c r="J28" s="274"/>
      <c r="K28" s="274"/>
      <c r="L28" s="274"/>
      <c r="M28" s="274"/>
      <c r="N28" s="274"/>
      <c r="O28" s="274"/>
      <c r="P28" s="274"/>
      <c r="Q28" s="274"/>
      <c r="R28" s="274"/>
      <c r="S28" s="274"/>
      <c r="T28" s="274"/>
      <c r="U28" s="274"/>
      <c r="V28" s="274"/>
      <c r="W28" s="274"/>
      <c r="X28" s="274"/>
      <c r="Y28" s="274"/>
      <c r="Z28" s="274"/>
    </row>
    <row r="29">
      <c r="A29" s="274"/>
      <c r="B29" s="274"/>
      <c r="C29" s="274"/>
      <c r="D29" s="274"/>
      <c r="E29" s="274"/>
      <c r="F29" s="274"/>
      <c r="G29" s="274"/>
      <c r="H29" s="274"/>
      <c r="I29" s="274"/>
      <c r="J29" s="274"/>
      <c r="K29" s="274"/>
      <c r="L29" s="274"/>
      <c r="M29" s="274"/>
      <c r="N29" s="274"/>
      <c r="O29" s="274"/>
      <c r="P29" s="274"/>
      <c r="Q29" s="274"/>
      <c r="R29" s="274"/>
      <c r="S29" s="274"/>
      <c r="T29" s="274"/>
      <c r="U29" s="274"/>
      <c r="V29" s="274"/>
      <c r="W29" s="274"/>
      <c r="X29" s="274"/>
      <c r="Y29" s="274"/>
      <c r="Z29" s="274"/>
    </row>
    <row r="30">
      <c r="A30" s="274"/>
      <c r="B30" s="274"/>
      <c r="C30" s="274"/>
      <c r="D30" s="274"/>
      <c r="E30" s="274"/>
      <c r="F30" s="274"/>
      <c r="G30" s="274"/>
      <c r="H30" s="274"/>
      <c r="I30" s="274"/>
      <c r="J30" s="274"/>
      <c r="K30" s="274"/>
      <c r="L30" s="274"/>
      <c r="M30" s="274"/>
      <c r="N30" s="274"/>
      <c r="O30" s="274"/>
      <c r="P30" s="274"/>
      <c r="Q30" s="274"/>
      <c r="R30" s="274"/>
      <c r="S30" s="274"/>
      <c r="T30" s="274"/>
      <c r="U30" s="274"/>
      <c r="V30" s="274"/>
      <c r="W30" s="274"/>
      <c r="X30" s="274"/>
      <c r="Y30" s="274"/>
      <c r="Z30" s="274"/>
    </row>
    <row r="31">
      <c r="A31" s="274"/>
      <c r="B31" s="274"/>
      <c r="C31" s="274"/>
      <c r="D31" s="274"/>
      <c r="E31" s="274"/>
      <c r="F31" s="274"/>
      <c r="G31" s="274"/>
      <c r="H31" s="274"/>
      <c r="I31" s="274"/>
      <c r="J31" s="274"/>
      <c r="K31" s="274"/>
      <c r="L31" s="274"/>
      <c r="M31" s="274"/>
      <c r="N31" s="274"/>
      <c r="O31" s="274"/>
      <c r="P31" s="274"/>
      <c r="Q31" s="274"/>
      <c r="R31" s="274"/>
      <c r="S31" s="274"/>
      <c r="T31" s="274"/>
      <c r="U31" s="274"/>
      <c r="V31" s="274"/>
      <c r="W31" s="274"/>
      <c r="X31" s="274"/>
      <c r="Y31" s="274"/>
      <c r="Z31" s="274"/>
    </row>
    <row r="32">
      <c r="A32" s="274"/>
      <c r="B32" s="274"/>
      <c r="C32" s="274"/>
      <c r="D32" s="274"/>
      <c r="E32" s="274"/>
      <c r="F32" s="274"/>
      <c r="G32" s="274"/>
      <c r="H32" s="274"/>
      <c r="I32" s="274"/>
      <c r="J32" s="274"/>
      <c r="K32" s="274"/>
      <c r="L32" s="274"/>
      <c r="M32" s="274"/>
      <c r="N32" s="274"/>
      <c r="O32" s="274"/>
      <c r="P32" s="274"/>
      <c r="Q32" s="274"/>
      <c r="R32" s="274"/>
      <c r="S32" s="274"/>
      <c r="T32" s="274"/>
      <c r="U32" s="274"/>
      <c r="V32" s="274"/>
      <c r="W32" s="274"/>
      <c r="X32" s="274"/>
      <c r="Y32" s="274"/>
      <c r="Z32" s="274"/>
    </row>
    <row r="33">
      <c r="A33" s="273" t="s">
        <v>4840</v>
      </c>
      <c r="K33" s="274"/>
      <c r="L33" s="274"/>
      <c r="M33" s="274"/>
      <c r="N33" s="274"/>
      <c r="O33" s="274"/>
      <c r="P33" s="274"/>
      <c r="Q33" s="274"/>
      <c r="R33" s="274"/>
      <c r="S33" s="274"/>
      <c r="T33" s="274"/>
      <c r="U33" s="274"/>
      <c r="V33" s="274"/>
      <c r="W33" s="274"/>
      <c r="X33" s="274"/>
      <c r="Y33" s="274"/>
      <c r="Z33" s="274"/>
    </row>
    <row r="34">
      <c r="A34" s="104" t="s">
        <v>834</v>
      </c>
      <c r="B34" s="104" t="s">
        <v>835</v>
      </c>
      <c r="C34" s="104" t="s">
        <v>836</v>
      </c>
      <c r="D34" s="104" t="s">
        <v>837</v>
      </c>
      <c r="E34" s="104" t="s">
        <v>838</v>
      </c>
      <c r="F34" s="104" t="s">
        <v>839</v>
      </c>
      <c r="G34" s="104" t="s">
        <v>841</v>
      </c>
      <c r="H34" s="104" t="s">
        <v>843</v>
      </c>
      <c r="I34" s="104" t="s">
        <v>846</v>
      </c>
      <c r="J34" s="104" t="s">
        <v>847</v>
      </c>
      <c r="K34" s="274"/>
      <c r="L34" s="274"/>
      <c r="M34" s="274"/>
      <c r="N34" s="274"/>
      <c r="O34" s="274"/>
      <c r="P34" s="274"/>
      <c r="Q34" s="274"/>
      <c r="R34" s="274"/>
      <c r="S34" s="274"/>
      <c r="T34" s="274"/>
      <c r="U34" s="274"/>
      <c r="V34" s="274"/>
      <c r="W34" s="274"/>
      <c r="X34" s="274"/>
      <c r="Y34" s="274"/>
      <c r="Z34" s="274"/>
    </row>
    <row r="35">
      <c r="A35" s="12" t="s">
        <v>4846</v>
      </c>
      <c r="B35" s="12" t="s">
        <v>4848</v>
      </c>
      <c r="C35" s="12" t="s">
        <v>4848</v>
      </c>
      <c r="D35" s="12" t="s">
        <v>4848</v>
      </c>
      <c r="E35" s="12" t="s">
        <v>4850</v>
      </c>
      <c r="F35" s="12" t="s">
        <v>4846</v>
      </c>
      <c r="G35" s="12" t="s">
        <v>4852</v>
      </c>
      <c r="H35" s="12" t="s">
        <v>4848</v>
      </c>
      <c r="I35" s="12" t="s">
        <v>4848</v>
      </c>
      <c r="J35" s="12" t="s">
        <v>4848</v>
      </c>
      <c r="K35" s="274"/>
      <c r="L35" s="274"/>
      <c r="M35" s="274"/>
      <c r="N35" s="274"/>
      <c r="O35" s="274"/>
      <c r="P35" s="274"/>
      <c r="Q35" s="274"/>
      <c r="R35" s="274"/>
      <c r="S35" s="274"/>
      <c r="T35" s="274"/>
      <c r="U35" s="274"/>
      <c r="V35" s="274"/>
      <c r="W35" s="274"/>
      <c r="X35" s="274"/>
      <c r="Y35" s="274"/>
      <c r="Z35" s="274"/>
    </row>
    <row r="36">
      <c r="A36" s="196" t="s">
        <v>4853</v>
      </c>
      <c r="B36" s="196" t="s">
        <v>4855</v>
      </c>
      <c r="C36" s="196" t="s">
        <v>4857</v>
      </c>
      <c r="D36" s="196" t="s">
        <v>4859</v>
      </c>
      <c r="E36" s="196" t="s">
        <v>4860</v>
      </c>
      <c r="F36" s="196" t="s">
        <v>4861</v>
      </c>
      <c r="G36" s="196" t="s">
        <v>4862</v>
      </c>
      <c r="H36" s="196" t="s">
        <v>4864</v>
      </c>
      <c r="I36" s="196" t="s">
        <v>4865</v>
      </c>
      <c r="J36" s="196" t="s">
        <v>4867</v>
      </c>
      <c r="K36" s="274"/>
      <c r="L36" s="274"/>
      <c r="M36" s="274"/>
      <c r="N36" s="274"/>
      <c r="O36" s="274"/>
      <c r="P36" s="274"/>
      <c r="Q36" s="274"/>
      <c r="R36" s="274"/>
      <c r="S36" s="274"/>
      <c r="T36" s="274"/>
      <c r="U36" s="274"/>
      <c r="V36" s="274"/>
      <c r="W36" s="274"/>
      <c r="X36" s="274"/>
      <c r="Y36" s="274"/>
      <c r="Z36" s="274"/>
    </row>
    <row r="37">
      <c r="A37" s="196" t="s">
        <v>4869</v>
      </c>
      <c r="B37" s="196" t="s">
        <v>4870</v>
      </c>
      <c r="C37" s="196" t="s">
        <v>4871</v>
      </c>
      <c r="D37" s="196" t="s">
        <v>4872</v>
      </c>
      <c r="E37" s="196" t="s">
        <v>4873</v>
      </c>
      <c r="F37" s="196" t="s">
        <v>4874</v>
      </c>
      <c r="G37" s="196" t="s">
        <v>4875</v>
      </c>
      <c r="H37" s="196" t="s">
        <v>4876</v>
      </c>
      <c r="I37" s="196" t="s">
        <v>4877</v>
      </c>
      <c r="J37" s="196" t="s">
        <v>4879</v>
      </c>
      <c r="K37" s="274"/>
      <c r="L37" s="274"/>
      <c r="M37" s="274"/>
      <c r="N37" s="274"/>
      <c r="O37" s="274"/>
      <c r="P37" s="274"/>
      <c r="Q37" s="274"/>
      <c r="R37" s="274"/>
      <c r="S37" s="274"/>
      <c r="T37" s="274"/>
      <c r="U37" s="274"/>
      <c r="V37" s="274"/>
      <c r="W37" s="274"/>
      <c r="X37" s="274"/>
      <c r="Y37" s="274"/>
      <c r="Z37" s="274"/>
    </row>
    <row r="38">
      <c r="A38" s="196" t="s">
        <v>4885</v>
      </c>
      <c r="B38" s="196" t="s">
        <v>4886</v>
      </c>
      <c r="C38" s="196" t="s">
        <v>4887</v>
      </c>
      <c r="D38" s="196" t="s">
        <v>4888</v>
      </c>
      <c r="E38" s="196" t="s">
        <v>4889</v>
      </c>
      <c r="F38" s="196" t="s">
        <v>4689</v>
      </c>
      <c r="G38" s="196" t="s">
        <v>4890</v>
      </c>
      <c r="H38" s="196" t="s">
        <v>4891</v>
      </c>
      <c r="I38" s="196" t="s">
        <v>4892</v>
      </c>
      <c r="J38" s="196" t="s">
        <v>4893</v>
      </c>
      <c r="K38" s="274"/>
      <c r="L38" s="274"/>
      <c r="M38" s="274"/>
      <c r="N38" s="274"/>
      <c r="O38" s="274"/>
      <c r="P38" s="274"/>
      <c r="Q38" s="274"/>
      <c r="R38" s="274"/>
      <c r="S38" s="274"/>
      <c r="T38" s="274"/>
      <c r="U38" s="274"/>
      <c r="V38" s="274"/>
      <c r="W38" s="274"/>
      <c r="X38" s="274"/>
      <c r="Y38" s="274"/>
      <c r="Z38" s="274"/>
    </row>
    <row r="39">
      <c r="A39" s="196" t="s">
        <v>4896</v>
      </c>
      <c r="B39" s="196" t="s">
        <v>4897</v>
      </c>
      <c r="C39" s="196" t="s">
        <v>4899</v>
      </c>
      <c r="D39" s="196" t="s">
        <v>4900</v>
      </c>
      <c r="E39" s="196" t="s">
        <v>4901</v>
      </c>
      <c r="F39" s="196" t="s">
        <v>4903</v>
      </c>
      <c r="G39" s="196" t="s">
        <v>4904</v>
      </c>
      <c r="H39" s="196" t="s">
        <v>4906</v>
      </c>
      <c r="I39" s="196" t="s">
        <v>4907</v>
      </c>
      <c r="J39" s="196" t="s">
        <v>4908</v>
      </c>
      <c r="K39" s="274"/>
      <c r="L39" s="274"/>
      <c r="M39" s="274"/>
      <c r="N39" s="274"/>
      <c r="O39" s="274"/>
      <c r="P39" s="274"/>
      <c r="Q39" s="274"/>
      <c r="R39" s="274"/>
      <c r="S39" s="274"/>
      <c r="T39" s="274"/>
      <c r="U39" s="274"/>
      <c r="V39" s="274"/>
      <c r="W39" s="274"/>
      <c r="X39" s="274"/>
      <c r="Y39" s="274"/>
      <c r="Z39" s="274"/>
    </row>
    <row r="40">
      <c r="A40" s="196" t="s">
        <v>4910</v>
      </c>
      <c r="B40" s="196" t="s">
        <v>4911</v>
      </c>
      <c r="C40" s="196" t="s">
        <v>4912</v>
      </c>
      <c r="D40" s="196" t="s">
        <v>4913</v>
      </c>
      <c r="E40" s="196" t="s">
        <v>4914</v>
      </c>
      <c r="F40" s="196" t="s">
        <v>4915</v>
      </c>
      <c r="G40" s="196" t="s">
        <v>4916</v>
      </c>
      <c r="H40" s="196" t="s">
        <v>4917</v>
      </c>
      <c r="I40" s="196" t="s">
        <v>4918</v>
      </c>
      <c r="J40" s="196" t="s">
        <v>4920</v>
      </c>
      <c r="K40" s="274"/>
      <c r="L40" s="274"/>
      <c r="M40" s="274"/>
      <c r="N40" s="274"/>
      <c r="O40" s="274"/>
      <c r="P40" s="274"/>
      <c r="Q40" s="274"/>
      <c r="R40" s="274"/>
      <c r="S40" s="274"/>
      <c r="T40" s="274"/>
      <c r="U40" s="274"/>
      <c r="V40" s="274"/>
      <c r="W40" s="274"/>
      <c r="X40" s="274"/>
      <c r="Y40" s="274"/>
      <c r="Z40" s="274"/>
    </row>
    <row r="41">
      <c r="A41" s="12" t="s">
        <v>4925</v>
      </c>
      <c r="B41" s="196" t="s">
        <v>4926</v>
      </c>
      <c r="C41" s="196" t="s">
        <v>4927</v>
      </c>
      <c r="D41" s="196" t="s">
        <v>4928</v>
      </c>
      <c r="E41" s="196" t="s">
        <v>4929</v>
      </c>
      <c r="F41" s="196" t="s">
        <v>4930</v>
      </c>
      <c r="G41" s="196" t="s">
        <v>4931</v>
      </c>
      <c r="H41" s="196" t="s">
        <v>4932</v>
      </c>
      <c r="I41" s="196" t="s">
        <v>4933</v>
      </c>
      <c r="J41" s="196" t="s">
        <v>4934</v>
      </c>
      <c r="K41" s="274"/>
      <c r="L41" s="274"/>
      <c r="M41" s="274"/>
      <c r="N41" s="274"/>
      <c r="O41" s="274"/>
      <c r="P41" s="274"/>
      <c r="Q41" s="274"/>
      <c r="R41" s="274"/>
      <c r="S41" s="274"/>
      <c r="T41" s="274"/>
      <c r="U41" s="274"/>
      <c r="V41" s="274"/>
      <c r="W41" s="274"/>
      <c r="X41" s="274"/>
      <c r="Y41" s="274"/>
      <c r="Z41" s="274"/>
    </row>
    <row r="42">
      <c r="A42" s="196" t="s">
        <v>4937</v>
      </c>
      <c r="B42" s="196" t="s">
        <v>4938</v>
      </c>
      <c r="C42" s="196" t="s">
        <v>4940</v>
      </c>
      <c r="D42" s="196" t="s">
        <v>4941</v>
      </c>
      <c r="E42" s="196" t="s">
        <v>4942</v>
      </c>
      <c r="F42" s="196" t="s">
        <v>4944</v>
      </c>
      <c r="G42" s="196" t="s">
        <v>4946</v>
      </c>
      <c r="H42" s="196" t="s">
        <v>4947</v>
      </c>
      <c r="I42" s="196" t="s">
        <v>4948</v>
      </c>
      <c r="J42" s="196" t="s">
        <v>4950</v>
      </c>
      <c r="K42" s="274"/>
      <c r="L42" s="274"/>
      <c r="M42" s="274"/>
      <c r="N42" s="274"/>
      <c r="O42" s="274"/>
      <c r="P42" s="274"/>
      <c r="Q42" s="274"/>
      <c r="R42" s="274"/>
      <c r="S42" s="274"/>
      <c r="T42" s="274"/>
      <c r="U42" s="274"/>
      <c r="V42" s="274"/>
      <c r="W42" s="274"/>
      <c r="X42" s="274"/>
      <c r="Y42" s="274"/>
      <c r="Z42" s="274"/>
    </row>
    <row r="43">
      <c r="A43" s="196" t="s">
        <v>4951</v>
      </c>
      <c r="B43" s="196" t="s">
        <v>4952</v>
      </c>
      <c r="C43" s="196" t="s">
        <v>4953</v>
      </c>
      <c r="D43" s="196" t="s">
        <v>4954</v>
      </c>
      <c r="E43" s="12" t="s">
        <v>4955</v>
      </c>
      <c r="F43" s="196" t="s">
        <v>4956</v>
      </c>
      <c r="G43" s="196" t="s">
        <v>4957</v>
      </c>
      <c r="H43" s="196" t="s">
        <v>4958</v>
      </c>
      <c r="I43" s="196" t="s">
        <v>4960</v>
      </c>
      <c r="J43" s="196" t="s">
        <v>4961</v>
      </c>
      <c r="K43" s="274"/>
      <c r="L43" s="274"/>
      <c r="M43" s="274"/>
      <c r="N43" s="274"/>
      <c r="O43" s="274"/>
      <c r="P43" s="274"/>
      <c r="Q43" s="274"/>
      <c r="R43" s="274"/>
      <c r="S43" s="274"/>
      <c r="T43" s="274"/>
      <c r="U43" s="274"/>
      <c r="V43" s="274"/>
      <c r="W43" s="274"/>
      <c r="X43" s="274"/>
      <c r="Y43" s="274"/>
      <c r="Z43" s="274"/>
    </row>
    <row r="44">
      <c r="A44" s="196" t="s">
        <v>4964</v>
      </c>
      <c r="B44" s="12" t="s">
        <v>4965</v>
      </c>
      <c r="C44" s="12" t="s">
        <v>4966</v>
      </c>
      <c r="D44" s="196" t="s">
        <v>4967</v>
      </c>
      <c r="E44" s="12" t="s">
        <v>4968</v>
      </c>
      <c r="F44" s="196" t="s">
        <v>4969</v>
      </c>
      <c r="G44" s="196" t="s">
        <v>4970</v>
      </c>
      <c r="H44" s="196" t="s">
        <v>4971</v>
      </c>
      <c r="I44" s="196" t="s">
        <v>4972</v>
      </c>
      <c r="J44" s="196" t="s">
        <v>4973</v>
      </c>
      <c r="K44" s="274"/>
      <c r="L44" s="274"/>
      <c r="M44" s="274"/>
      <c r="N44" s="274"/>
      <c r="O44" s="274"/>
      <c r="P44" s="274"/>
      <c r="Q44" s="274"/>
      <c r="R44" s="274"/>
      <c r="S44" s="274"/>
      <c r="T44" s="274"/>
      <c r="U44" s="274"/>
      <c r="V44" s="274"/>
      <c r="W44" s="274"/>
      <c r="X44" s="274"/>
      <c r="Y44" s="274"/>
      <c r="Z44" s="274"/>
    </row>
    <row r="45">
      <c r="A45" s="196" t="s">
        <v>4976</v>
      </c>
      <c r="B45" s="12" t="s">
        <v>4977</v>
      </c>
      <c r="C45" s="12" t="s">
        <v>4978</v>
      </c>
      <c r="D45" s="12" t="s">
        <v>4980</v>
      </c>
      <c r="E45" s="196" t="s">
        <v>4981</v>
      </c>
      <c r="F45" s="12" t="s">
        <v>4983</v>
      </c>
      <c r="G45" s="196" t="s">
        <v>4985</v>
      </c>
      <c r="H45" s="12" t="s">
        <v>4986</v>
      </c>
      <c r="I45" s="12" t="s">
        <v>4987</v>
      </c>
      <c r="J45" s="196" t="s">
        <v>4988</v>
      </c>
      <c r="K45" s="274"/>
      <c r="L45" s="274"/>
      <c r="M45" s="274"/>
      <c r="N45" s="274"/>
      <c r="O45" s="274"/>
      <c r="P45" s="274"/>
      <c r="Q45" s="274"/>
      <c r="R45" s="274"/>
      <c r="S45" s="274"/>
      <c r="T45" s="274"/>
      <c r="U45" s="274"/>
      <c r="V45" s="274"/>
      <c r="W45" s="274"/>
      <c r="X45" s="274"/>
      <c r="Y45" s="274"/>
      <c r="Z45" s="274"/>
    </row>
    <row r="46">
      <c r="A46" s="12" t="s">
        <v>4989</v>
      </c>
      <c r="B46" s="12" t="s">
        <v>4990</v>
      </c>
      <c r="C46" s="12" t="s">
        <v>4991</v>
      </c>
      <c r="D46" s="12" t="s">
        <v>4992</v>
      </c>
      <c r="E46" s="12" t="s">
        <v>4993</v>
      </c>
      <c r="F46" s="12" t="s">
        <v>4994</v>
      </c>
      <c r="G46" s="196" t="s">
        <v>4995</v>
      </c>
      <c r="H46" s="196" t="s">
        <v>4997</v>
      </c>
      <c r="I46" s="12" t="s">
        <v>4998</v>
      </c>
      <c r="J46" s="196" t="s">
        <v>4999</v>
      </c>
      <c r="K46" s="274"/>
      <c r="L46" s="274"/>
      <c r="M46" s="274"/>
      <c r="N46" s="274"/>
      <c r="O46" s="274"/>
      <c r="P46" s="274"/>
      <c r="Q46" s="274"/>
      <c r="R46" s="274"/>
      <c r="S46" s="274"/>
      <c r="T46" s="274"/>
      <c r="U46" s="274"/>
      <c r="V46" s="274"/>
      <c r="W46" s="274"/>
      <c r="X46" s="274"/>
      <c r="Y46" s="274"/>
      <c r="Z46" s="274"/>
    </row>
    <row r="47">
      <c r="A47" s="12" t="s">
        <v>5003</v>
      </c>
      <c r="B47" s="12" t="s">
        <v>5004</v>
      </c>
      <c r="C47" s="12" t="s">
        <v>5005</v>
      </c>
      <c r="D47" s="196" t="s">
        <v>5006</v>
      </c>
      <c r="E47" s="12" t="s">
        <v>5007</v>
      </c>
      <c r="F47" s="196" t="s">
        <v>5008</v>
      </c>
      <c r="G47" s="12" t="s">
        <v>5009</v>
      </c>
      <c r="H47" s="12" t="s">
        <v>5010</v>
      </c>
      <c r="I47" s="12" t="s">
        <v>5011</v>
      </c>
      <c r="J47" s="196" t="s">
        <v>5012</v>
      </c>
      <c r="K47" s="274"/>
      <c r="L47" s="274"/>
      <c r="M47" s="274"/>
      <c r="N47" s="274"/>
      <c r="O47" s="274"/>
      <c r="P47" s="274"/>
      <c r="Q47" s="274"/>
      <c r="R47" s="274"/>
      <c r="S47" s="274"/>
      <c r="T47" s="274"/>
      <c r="U47" s="274"/>
      <c r="V47" s="274"/>
      <c r="W47" s="274"/>
      <c r="X47" s="274"/>
      <c r="Y47" s="274"/>
      <c r="Z47" s="274"/>
    </row>
    <row r="48">
      <c r="A48" s="12" t="s">
        <v>5015</v>
      </c>
      <c r="B48" s="12" t="s">
        <v>5016</v>
      </c>
      <c r="C48" s="12" t="s">
        <v>5017</v>
      </c>
      <c r="D48" s="12" t="s">
        <v>5018</v>
      </c>
      <c r="E48" s="12" t="s">
        <v>5019</v>
      </c>
      <c r="F48" s="196" t="s">
        <v>5021</v>
      </c>
      <c r="G48" s="12" t="s">
        <v>5022</v>
      </c>
      <c r="H48" s="12" t="s">
        <v>5024</v>
      </c>
      <c r="I48" s="12" t="s">
        <v>5025</v>
      </c>
      <c r="J48" s="196" t="s">
        <v>5026</v>
      </c>
      <c r="K48" s="274"/>
      <c r="L48" s="274"/>
      <c r="M48" s="274"/>
      <c r="N48" s="274"/>
      <c r="O48" s="274"/>
      <c r="P48" s="274"/>
      <c r="Q48" s="274"/>
      <c r="R48" s="274"/>
      <c r="S48" s="274"/>
      <c r="T48" s="274"/>
      <c r="U48" s="274"/>
      <c r="V48" s="274"/>
      <c r="W48" s="274"/>
      <c r="X48" s="274"/>
      <c r="Y48" s="274"/>
      <c r="Z48" s="274"/>
    </row>
    <row r="49">
      <c r="A49" s="12" t="s">
        <v>5028</v>
      </c>
      <c r="B49" s="12" t="s">
        <v>5029</v>
      </c>
      <c r="C49" s="12" t="s">
        <v>5030</v>
      </c>
      <c r="D49" s="12" t="s">
        <v>5031</v>
      </c>
      <c r="E49" s="12" t="s">
        <v>5032</v>
      </c>
      <c r="F49" s="12" t="s">
        <v>5033</v>
      </c>
      <c r="G49" s="12" t="s">
        <v>5034</v>
      </c>
      <c r="H49" s="12" t="s">
        <v>5035</v>
      </c>
      <c r="I49" s="12" t="s">
        <v>5036</v>
      </c>
      <c r="J49" s="196" t="s">
        <v>5038</v>
      </c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4"/>
      <c r="V49" s="274"/>
      <c r="W49" s="274"/>
      <c r="X49" s="274"/>
      <c r="Y49" s="274"/>
      <c r="Z49" s="274"/>
    </row>
    <row r="50">
      <c r="A50" s="196" t="s">
        <v>5043</v>
      </c>
      <c r="B50" s="12" t="s">
        <v>5044</v>
      </c>
      <c r="C50" s="196" t="s">
        <v>5045</v>
      </c>
      <c r="D50" s="12" t="s">
        <v>5046</v>
      </c>
      <c r="E50" s="12" t="s">
        <v>5047</v>
      </c>
      <c r="F50" s="12" t="s">
        <v>5048</v>
      </c>
      <c r="G50" s="12" t="s">
        <v>5049</v>
      </c>
      <c r="H50" s="12" t="s">
        <v>5050</v>
      </c>
      <c r="I50" s="12" t="s">
        <v>5051</v>
      </c>
      <c r="J50" s="196" t="s">
        <v>5052</v>
      </c>
      <c r="K50" s="274"/>
      <c r="L50" s="274"/>
      <c r="M50" s="274"/>
      <c r="N50" s="274"/>
      <c r="O50" s="274"/>
      <c r="P50" s="274"/>
      <c r="Q50" s="274"/>
      <c r="R50" s="274"/>
      <c r="S50" s="274"/>
      <c r="T50" s="274"/>
      <c r="U50" s="274"/>
      <c r="V50" s="274"/>
      <c r="W50" s="274"/>
      <c r="X50" s="274"/>
      <c r="Y50" s="274"/>
      <c r="Z50" s="274"/>
    </row>
    <row r="51">
      <c r="A51" s="196" t="s">
        <v>5055</v>
      </c>
      <c r="B51" s="12" t="s">
        <v>5056</v>
      </c>
      <c r="C51" s="12" t="s">
        <v>5057</v>
      </c>
      <c r="D51" s="12" t="s">
        <v>5058</v>
      </c>
      <c r="E51" s="196" t="s">
        <v>5059</v>
      </c>
      <c r="F51" s="12" t="s">
        <v>5061</v>
      </c>
      <c r="G51" s="12" t="s">
        <v>5062</v>
      </c>
      <c r="H51" s="12" t="s">
        <v>5064</v>
      </c>
      <c r="I51" s="12" t="s">
        <v>5065</v>
      </c>
      <c r="J51" s="196" t="s">
        <v>5067</v>
      </c>
      <c r="K51" s="274"/>
      <c r="L51" s="274"/>
      <c r="M51" s="274"/>
      <c r="N51" s="274"/>
      <c r="O51" s="274"/>
      <c r="P51" s="274"/>
      <c r="Q51" s="274"/>
      <c r="R51" s="274"/>
      <c r="S51" s="274"/>
      <c r="T51" s="274"/>
      <c r="U51" s="274"/>
      <c r="V51" s="274"/>
      <c r="W51" s="274"/>
      <c r="X51" s="274"/>
      <c r="Y51" s="274"/>
      <c r="Z51" s="274"/>
    </row>
    <row r="52">
      <c r="A52" s="196" t="s">
        <v>5069</v>
      </c>
      <c r="B52" s="12" t="s">
        <v>5070</v>
      </c>
      <c r="C52" s="196" t="s">
        <v>5071</v>
      </c>
      <c r="D52" s="196" t="s">
        <v>5072</v>
      </c>
      <c r="E52" s="12" t="s">
        <v>5073</v>
      </c>
      <c r="F52" s="12" t="s">
        <v>5074</v>
      </c>
      <c r="G52" s="12" t="s">
        <v>5075</v>
      </c>
      <c r="H52" s="12" t="s">
        <v>5076</v>
      </c>
      <c r="I52" s="12" t="s">
        <v>5077</v>
      </c>
      <c r="J52" s="196" t="s">
        <v>5078</v>
      </c>
      <c r="K52" s="274"/>
      <c r="L52" s="274"/>
      <c r="M52" s="274"/>
      <c r="N52" s="274"/>
      <c r="O52" s="274"/>
      <c r="P52" s="274"/>
      <c r="Q52" s="274"/>
      <c r="R52" s="274"/>
      <c r="S52" s="274"/>
      <c r="T52" s="274"/>
      <c r="U52" s="274"/>
      <c r="V52" s="274"/>
      <c r="W52" s="274"/>
      <c r="X52" s="274"/>
      <c r="Y52" s="274"/>
      <c r="Z52" s="274"/>
    </row>
    <row r="53">
      <c r="A53" s="196" t="s">
        <v>5081</v>
      </c>
      <c r="B53" s="196" t="s">
        <v>5082</v>
      </c>
      <c r="C53" s="196" t="s">
        <v>5083</v>
      </c>
      <c r="D53" s="12" t="s">
        <v>5084</v>
      </c>
      <c r="E53" s="196" t="s">
        <v>5085</v>
      </c>
      <c r="F53" s="196" t="s">
        <v>5086</v>
      </c>
      <c r="G53" s="196" t="s">
        <v>5087</v>
      </c>
      <c r="H53" s="12" t="s">
        <v>5088</v>
      </c>
      <c r="I53" s="12" t="s">
        <v>5089</v>
      </c>
      <c r="J53" s="196" t="s">
        <v>5090</v>
      </c>
      <c r="K53" s="274"/>
      <c r="L53" s="274"/>
      <c r="M53" s="274"/>
      <c r="N53" s="274"/>
      <c r="O53" s="274"/>
      <c r="P53" s="274"/>
      <c r="Q53" s="274"/>
      <c r="R53" s="274"/>
      <c r="S53" s="274"/>
      <c r="T53" s="274"/>
      <c r="U53" s="274"/>
      <c r="V53" s="274"/>
      <c r="W53" s="274"/>
      <c r="X53" s="274"/>
      <c r="Y53" s="274"/>
      <c r="Z53" s="274"/>
    </row>
    <row r="54">
      <c r="A54" s="196" t="s">
        <v>5091</v>
      </c>
      <c r="B54" s="196" t="s">
        <v>5092</v>
      </c>
      <c r="C54" s="196" t="s">
        <v>5094</v>
      </c>
      <c r="D54" s="12" t="s">
        <v>5095</v>
      </c>
      <c r="E54" s="196" t="s">
        <v>5096</v>
      </c>
      <c r="F54" s="196"/>
      <c r="G54" s="12" t="s">
        <v>5097</v>
      </c>
      <c r="H54" s="196"/>
      <c r="I54" s="12" t="s">
        <v>5099</v>
      </c>
      <c r="J54" s="196" t="s">
        <v>5101</v>
      </c>
      <c r="K54" s="274"/>
      <c r="L54" s="274"/>
      <c r="M54" s="274"/>
      <c r="N54" s="274"/>
      <c r="O54" s="274"/>
      <c r="P54" s="274"/>
      <c r="Q54" s="274"/>
      <c r="R54" s="274"/>
      <c r="S54" s="274"/>
      <c r="T54" s="274"/>
      <c r="U54" s="274"/>
      <c r="V54" s="274"/>
      <c r="W54" s="274"/>
      <c r="X54" s="274"/>
      <c r="Y54" s="274"/>
      <c r="Z54" s="274"/>
    </row>
    <row r="55">
      <c r="A55" s="196" t="s">
        <v>5103</v>
      </c>
      <c r="B55" s="196" t="s">
        <v>5104</v>
      </c>
      <c r="C55" s="196" t="s">
        <v>5105</v>
      </c>
      <c r="D55" s="12" t="s">
        <v>5106</v>
      </c>
      <c r="E55" s="196" t="s">
        <v>5107</v>
      </c>
      <c r="F55" s="196"/>
      <c r="G55" s="12" t="s">
        <v>5108</v>
      </c>
      <c r="H55" s="196"/>
      <c r="I55" s="196" t="s">
        <v>5109</v>
      </c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</row>
    <row r="56">
      <c r="A56" s="196"/>
      <c r="B56" s="196"/>
      <c r="C56" s="196"/>
      <c r="D56" s="196"/>
      <c r="E56" s="196"/>
      <c r="F56" s="196"/>
      <c r="H56" s="196"/>
      <c r="I56" s="196"/>
      <c r="J56" s="196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</row>
    <row r="57">
      <c r="B57" s="196"/>
      <c r="C57" s="196"/>
      <c r="D57" s="196"/>
      <c r="E57" s="196"/>
      <c r="F57" s="196"/>
      <c r="H57" s="196"/>
      <c r="I57" s="196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</row>
    <row r="58">
      <c r="A58" s="196"/>
      <c r="B58" s="196"/>
      <c r="C58" s="196"/>
      <c r="D58" s="196"/>
      <c r="E58" s="196"/>
      <c r="F58" s="196"/>
      <c r="H58" s="196"/>
      <c r="I58" s="196"/>
      <c r="J58" s="196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</row>
    <row r="59">
      <c r="A59" s="219" t="s">
        <v>3640</v>
      </c>
      <c r="I59" s="280"/>
      <c r="J59" s="280"/>
      <c r="K59" s="281"/>
      <c r="L59" s="281"/>
      <c r="M59" s="281"/>
      <c r="N59" s="281"/>
      <c r="O59" s="281"/>
      <c r="P59" s="281"/>
      <c r="Q59" s="281"/>
      <c r="R59" s="281"/>
      <c r="S59" s="281"/>
      <c r="T59" s="281"/>
      <c r="U59" s="281"/>
      <c r="V59" s="281"/>
      <c r="W59" s="281"/>
      <c r="X59" s="281"/>
      <c r="Y59" s="281"/>
      <c r="Z59" s="281"/>
    </row>
    <row r="60">
      <c r="A60" s="270" t="s">
        <v>2998</v>
      </c>
      <c r="B60" s="270" t="s">
        <v>3066</v>
      </c>
      <c r="C60" s="186" t="s">
        <v>3067</v>
      </c>
      <c r="D60" s="270" t="s">
        <v>2999</v>
      </c>
      <c r="E60" s="270" t="s">
        <v>85</v>
      </c>
      <c r="F60" s="270" t="s">
        <v>3069</v>
      </c>
      <c r="G60" s="270" t="s">
        <v>705</v>
      </c>
      <c r="H60" s="270" t="s">
        <v>696</v>
      </c>
      <c r="I60" s="280"/>
      <c r="J60" s="280"/>
      <c r="K60" s="281"/>
      <c r="L60" s="281"/>
      <c r="M60" s="281"/>
      <c r="N60" s="281"/>
      <c r="O60" s="281"/>
      <c r="P60" s="281"/>
      <c r="Q60" s="281"/>
      <c r="R60" s="281"/>
      <c r="S60" s="281"/>
      <c r="T60" s="281"/>
      <c r="U60" s="281"/>
      <c r="V60" s="281"/>
      <c r="W60" s="281"/>
      <c r="X60" s="281"/>
      <c r="Y60" s="281"/>
      <c r="Z60" s="281"/>
    </row>
    <row r="61">
      <c r="A61" s="280" t="s">
        <v>5124</v>
      </c>
      <c r="B61" s="280" t="s">
        <v>5125</v>
      </c>
      <c r="C61" s="280" t="s">
        <v>5126</v>
      </c>
      <c r="D61" s="280" t="s">
        <v>5127</v>
      </c>
      <c r="E61" s="14" t="s">
        <v>750</v>
      </c>
      <c r="F61" s="14" t="s">
        <v>5128</v>
      </c>
      <c r="G61" s="280" t="s">
        <v>5129</v>
      </c>
      <c r="H61" s="14" t="s">
        <v>5128</v>
      </c>
      <c r="I61" s="280"/>
      <c r="J61" s="280"/>
      <c r="K61" s="281"/>
      <c r="L61" s="281"/>
      <c r="M61" s="281"/>
      <c r="N61" s="281"/>
      <c r="O61" s="281"/>
      <c r="P61" s="281"/>
      <c r="Q61" s="281"/>
      <c r="R61" s="281"/>
      <c r="S61" s="281"/>
      <c r="T61" s="281"/>
      <c r="U61" s="281"/>
      <c r="V61" s="281"/>
      <c r="W61" s="281"/>
      <c r="X61" s="281"/>
      <c r="Y61" s="281"/>
      <c r="Z61" s="281"/>
    </row>
    <row r="62">
      <c r="A62" s="14" t="s">
        <v>5133</v>
      </c>
      <c r="B62" s="14" t="s">
        <v>5125</v>
      </c>
      <c r="C62" s="280" t="s">
        <v>5135</v>
      </c>
      <c r="D62" s="14" t="s">
        <v>5137</v>
      </c>
      <c r="E62" s="280" t="s">
        <v>5138</v>
      </c>
      <c r="F62" s="14" t="s">
        <v>5139</v>
      </c>
      <c r="G62" s="14" t="s">
        <v>5139</v>
      </c>
      <c r="H62" s="280" t="s">
        <v>5140</v>
      </c>
      <c r="I62" s="280"/>
      <c r="J62" s="280"/>
      <c r="K62" s="281"/>
      <c r="L62" s="281"/>
      <c r="M62" s="281"/>
      <c r="N62" s="281"/>
      <c r="O62" s="281"/>
      <c r="P62" s="281"/>
      <c r="Q62" s="281"/>
      <c r="R62" s="281"/>
      <c r="S62" s="281"/>
      <c r="T62" s="281"/>
      <c r="U62" s="281"/>
      <c r="V62" s="281"/>
      <c r="W62" s="281"/>
      <c r="X62" s="281"/>
      <c r="Y62" s="281"/>
      <c r="Z62" s="281"/>
    </row>
    <row r="63">
      <c r="A63" s="14" t="s">
        <v>5141</v>
      </c>
      <c r="B63" s="14" t="s">
        <v>5142</v>
      </c>
      <c r="C63" s="14" t="s">
        <v>5143</v>
      </c>
      <c r="D63" s="14" t="s">
        <v>5145</v>
      </c>
      <c r="E63" s="280" t="s">
        <v>759</v>
      </c>
      <c r="F63" s="14" t="s">
        <v>5147</v>
      </c>
      <c r="G63" s="14" t="s">
        <v>5148</v>
      </c>
      <c r="H63" s="14" t="s">
        <v>5147</v>
      </c>
      <c r="I63" s="280"/>
      <c r="J63" s="19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</row>
    <row r="64">
      <c r="A64" s="14" t="s">
        <v>5151</v>
      </c>
      <c r="B64" s="14" t="s">
        <v>5142</v>
      </c>
      <c r="C64" s="14" t="s">
        <v>5135</v>
      </c>
      <c r="D64" s="14" t="s">
        <v>5152</v>
      </c>
      <c r="E64" s="14" t="s">
        <v>750</v>
      </c>
      <c r="F64" s="14" t="s">
        <v>5153</v>
      </c>
      <c r="G64" s="14" t="s">
        <v>5154</v>
      </c>
      <c r="H64" s="14" t="s">
        <v>5155</v>
      </c>
      <c r="I64" s="19"/>
      <c r="J64" s="281"/>
      <c r="K64" s="281"/>
      <c r="L64" s="281"/>
      <c r="M64" s="281"/>
      <c r="N64" s="281"/>
      <c r="O64" s="281"/>
      <c r="P64" s="281"/>
      <c r="Q64" s="281"/>
      <c r="R64" s="281"/>
      <c r="S64" s="281"/>
      <c r="T64" s="281"/>
      <c r="U64" s="281"/>
      <c r="V64" s="281"/>
      <c r="W64" s="281"/>
      <c r="X64" s="281"/>
      <c r="Y64" s="281"/>
      <c r="Z64" s="281"/>
    </row>
    <row r="65">
      <c r="A65" s="14" t="s">
        <v>5157</v>
      </c>
      <c r="B65" s="14" t="s">
        <v>5158</v>
      </c>
      <c r="C65" s="14" t="s">
        <v>5126</v>
      </c>
      <c r="D65" s="14" t="s">
        <v>5160</v>
      </c>
      <c r="E65" s="14" t="s">
        <v>479</v>
      </c>
      <c r="F65" s="14" t="s">
        <v>5161</v>
      </c>
      <c r="G65" s="14" t="s">
        <v>5162</v>
      </c>
      <c r="H65" s="14" t="s">
        <v>5161</v>
      </c>
      <c r="I65" s="19"/>
      <c r="J65" s="19"/>
      <c r="K65" s="281"/>
      <c r="L65" s="281"/>
      <c r="M65" s="281"/>
      <c r="N65" s="281"/>
      <c r="O65" s="281"/>
      <c r="P65" s="281"/>
      <c r="Q65" s="281"/>
      <c r="R65" s="281"/>
      <c r="S65" s="281"/>
      <c r="T65" s="281"/>
      <c r="U65" s="281"/>
      <c r="V65" s="281"/>
      <c r="W65" s="281"/>
      <c r="X65" s="281"/>
      <c r="Y65" s="281"/>
      <c r="Z65" s="281"/>
    </row>
    <row r="66">
      <c r="A66" s="14" t="s">
        <v>5166</v>
      </c>
      <c r="B66" s="14" t="s">
        <v>5158</v>
      </c>
      <c r="C66" s="14" t="s">
        <v>5135</v>
      </c>
      <c r="D66" s="14" t="s">
        <v>5127</v>
      </c>
      <c r="E66" s="14" t="s">
        <v>5138</v>
      </c>
      <c r="F66" s="14" t="s">
        <v>5167</v>
      </c>
      <c r="G66" s="14" t="s">
        <v>5139</v>
      </c>
      <c r="H66" s="14" t="s">
        <v>5167</v>
      </c>
      <c r="I66" s="19"/>
      <c r="J66" s="19"/>
      <c r="K66" s="281"/>
      <c r="L66" s="281"/>
      <c r="M66" s="281"/>
      <c r="N66" s="281"/>
      <c r="O66" s="281"/>
      <c r="P66" s="281"/>
      <c r="Q66" s="281"/>
      <c r="R66" s="281"/>
      <c r="S66" s="281"/>
      <c r="T66" s="281"/>
      <c r="U66" s="281"/>
      <c r="V66" s="281"/>
      <c r="W66" s="281"/>
      <c r="X66" s="281"/>
      <c r="Y66" s="281"/>
      <c r="Z66" s="281"/>
    </row>
    <row r="67">
      <c r="A67" s="14" t="s">
        <v>5170</v>
      </c>
      <c r="B67" s="14" t="s">
        <v>5158</v>
      </c>
      <c r="C67" s="14" t="s">
        <v>5171</v>
      </c>
      <c r="D67" s="14" t="s">
        <v>5172</v>
      </c>
      <c r="E67" s="14" t="s">
        <v>5173</v>
      </c>
      <c r="F67" s="14" t="s">
        <v>5174</v>
      </c>
      <c r="G67" s="14" t="s">
        <v>5174</v>
      </c>
      <c r="H67" s="14" t="s">
        <v>5175</v>
      </c>
      <c r="I67" s="19"/>
      <c r="J67" s="19"/>
      <c r="K67" s="281"/>
      <c r="L67" s="281"/>
      <c r="M67" s="281"/>
      <c r="N67" s="281"/>
      <c r="O67" s="281"/>
      <c r="P67" s="281"/>
      <c r="Q67" s="281"/>
      <c r="R67" s="281"/>
      <c r="S67" s="281"/>
      <c r="T67" s="281"/>
      <c r="U67" s="281"/>
      <c r="V67" s="281"/>
      <c r="W67" s="281"/>
      <c r="X67" s="281"/>
      <c r="Y67" s="281"/>
      <c r="Z67" s="281"/>
    </row>
    <row r="68">
      <c r="A68" s="14" t="s">
        <v>5179</v>
      </c>
      <c r="B68" s="14" t="s">
        <v>5180</v>
      </c>
      <c r="C68" s="14" t="s">
        <v>5181</v>
      </c>
      <c r="D68" s="14" t="s">
        <v>5182</v>
      </c>
      <c r="E68" s="14" t="s">
        <v>5183</v>
      </c>
      <c r="F68" s="14" t="s">
        <v>5184</v>
      </c>
      <c r="G68" s="14" t="s">
        <v>5185</v>
      </c>
      <c r="H68" s="14" t="s">
        <v>5184</v>
      </c>
      <c r="I68" s="280"/>
      <c r="J68" s="19"/>
      <c r="K68" s="281"/>
      <c r="L68" s="281"/>
      <c r="M68" s="281"/>
      <c r="N68" s="281"/>
      <c r="O68" s="281"/>
      <c r="P68" s="281"/>
      <c r="Q68" s="281"/>
      <c r="R68" s="281"/>
      <c r="S68" s="281"/>
      <c r="T68" s="281"/>
      <c r="U68" s="281"/>
      <c r="V68" s="281"/>
      <c r="W68" s="281"/>
      <c r="X68" s="281"/>
      <c r="Y68" s="281"/>
      <c r="Z68" s="281"/>
    </row>
    <row r="69">
      <c r="A69" s="14" t="s">
        <v>5188</v>
      </c>
      <c r="B69" s="14" t="s">
        <v>5180</v>
      </c>
      <c r="C69" s="14" t="s">
        <v>5135</v>
      </c>
      <c r="D69" s="14" t="s">
        <v>5189</v>
      </c>
      <c r="E69" s="14" t="s">
        <v>1059</v>
      </c>
      <c r="F69" s="14" t="s">
        <v>5190</v>
      </c>
      <c r="G69" s="14" t="s">
        <v>5191</v>
      </c>
      <c r="H69" s="14" t="s">
        <v>5190</v>
      </c>
      <c r="I69" s="19"/>
      <c r="J69" s="19"/>
      <c r="K69" s="281"/>
      <c r="L69" s="281"/>
      <c r="M69" s="281"/>
      <c r="N69" s="281"/>
      <c r="O69" s="281"/>
      <c r="P69" s="281"/>
      <c r="Q69" s="281"/>
      <c r="R69" s="281"/>
      <c r="S69" s="281"/>
      <c r="T69" s="281"/>
      <c r="U69" s="281"/>
      <c r="V69" s="281"/>
      <c r="W69" s="281"/>
      <c r="X69" s="281"/>
      <c r="Y69" s="281"/>
      <c r="Z69" s="281"/>
    </row>
    <row r="70">
      <c r="A70" s="14" t="s">
        <v>5194</v>
      </c>
      <c r="B70" s="14" t="s">
        <v>5180</v>
      </c>
      <c r="C70" s="14" t="s">
        <v>5126</v>
      </c>
      <c r="D70" s="14" t="s">
        <v>5152</v>
      </c>
      <c r="E70" s="14" t="s">
        <v>5173</v>
      </c>
      <c r="F70" s="14" t="s">
        <v>5195</v>
      </c>
      <c r="G70" s="14" t="s">
        <v>5196</v>
      </c>
      <c r="H70" s="14" t="s">
        <v>5195</v>
      </c>
      <c r="I70" s="19"/>
      <c r="J70" s="19"/>
      <c r="K70" s="281"/>
      <c r="L70" s="281"/>
      <c r="M70" s="281"/>
      <c r="N70" s="281"/>
      <c r="O70" s="281"/>
      <c r="P70" s="281"/>
      <c r="Q70" s="281"/>
      <c r="R70" s="281"/>
      <c r="S70" s="281"/>
      <c r="T70" s="281"/>
      <c r="U70" s="281"/>
      <c r="V70" s="281"/>
      <c r="W70" s="281"/>
      <c r="X70" s="281"/>
      <c r="Y70" s="281"/>
      <c r="Z70" s="281"/>
    </row>
    <row r="71">
      <c r="A71" s="14" t="s">
        <v>5200</v>
      </c>
      <c r="B71" s="14" t="s">
        <v>3083</v>
      </c>
      <c r="C71" s="14" t="s">
        <v>5135</v>
      </c>
      <c r="D71" s="14" t="s">
        <v>5189</v>
      </c>
      <c r="E71" s="14" t="s">
        <v>5201</v>
      </c>
      <c r="F71" s="14" t="s">
        <v>5191</v>
      </c>
      <c r="G71" s="14" t="s">
        <v>5191</v>
      </c>
      <c r="H71" s="14" t="s">
        <v>5202</v>
      </c>
      <c r="I71" s="19"/>
      <c r="J71" s="19"/>
      <c r="K71" s="281"/>
      <c r="L71" s="281"/>
      <c r="M71" s="281"/>
      <c r="N71" s="281"/>
      <c r="O71" s="281"/>
      <c r="P71" s="281"/>
      <c r="Q71" s="281"/>
      <c r="R71" s="281"/>
      <c r="S71" s="281"/>
      <c r="T71" s="281"/>
      <c r="U71" s="281"/>
      <c r="V71" s="281"/>
      <c r="W71" s="281"/>
      <c r="X71" s="281"/>
      <c r="Y71" s="281"/>
      <c r="Z71" s="281"/>
    </row>
    <row r="72">
      <c r="A72" s="14" t="s">
        <v>5203</v>
      </c>
      <c r="B72" s="280" t="s">
        <v>3083</v>
      </c>
      <c r="C72" s="14" t="s">
        <v>5126</v>
      </c>
      <c r="D72" s="14" t="s">
        <v>5204</v>
      </c>
      <c r="E72" s="14" t="s">
        <v>5205</v>
      </c>
      <c r="F72" s="14" t="s">
        <v>5206</v>
      </c>
      <c r="G72" s="14" t="s">
        <v>5207</v>
      </c>
      <c r="H72" s="14" t="s">
        <v>5206</v>
      </c>
      <c r="I72" s="19"/>
      <c r="J72" s="19"/>
      <c r="K72" s="281"/>
      <c r="L72" s="281"/>
      <c r="M72" s="281"/>
      <c r="N72" s="281"/>
      <c r="O72" s="281"/>
      <c r="P72" s="281"/>
      <c r="Q72" s="281"/>
      <c r="R72" s="281"/>
      <c r="S72" s="281"/>
      <c r="T72" s="281"/>
      <c r="U72" s="281"/>
      <c r="V72" s="281"/>
      <c r="W72" s="281"/>
      <c r="X72" s="281"/>
      <c r="Y72" s="281"/>
      <c r="Z72" s="281"/>
    </row>
    <row r="73">
      <c r="A73" s="282" t="s">
        <v>5208</v>
      </c>
      <c r="B73" s="280" t="s">
        <v>3083</v>
      </c>
      <c r="C73" s="14" t="s">
        <v>5143</v>
      </c>
      <c r="D73" s="14" t="s">
        <v>5182</v>
      </c>
      <c r="E73" s="14" t="s">
        <v>5173</v>
      </c>
      <c r="F73" s="14" t="s">
        <v>5184</v>
      </c>
      <c r="G73" s="14" t="s">
        <v>5209</v>
      </c>
      <c r="H73" s="14" t="s">
        <v>5184</v>
      </c>
      <c r="I73" s="19"/>
      <c r="J73" s="19"/>
      <c r="K73" s="281"/>
      <c r="L73" s="281"/>
      <c r="M73" s="281"/>
      <c r="N73" s="281"/>
      <c r="O73" s="281"/>
      <c r="P73" s="281"/>
      <c r="Q73" s="281"/>
      <c r="R73" s="281"/>
      <c r="S73" s="281"/>
      <c r="T73" s="281"/>
      <c r="U73" s="281"/>
      <c r="V73" s="281"/>
      <c r="W73" s="281"/>
      <c r="X73" s="281"/>
      <c r="Y73" s="281"/>
      <c r="Z73" s="281"/>
    </row>
    <row r="74">
      <c r="A74" s="283" t="s">
        <v>5210</v>
      </c>
      <c r="B74" s="284" t="s">
        <v>3102</v>
      </c>
      <c r="C74" s="285" t="s">
        <v>5181</v>
      </c>
      <c r="D74" s="285" t="s">
        <v>5189</v>
      </c>
      <c r="E74" s="285" t="s">
        <v>5138</v>
      </c>
      <c r="F74" s="285" t="s">
        <v>5211</v>
      </c>
      <c r="G74" s="286" t="s">
        <v>5212</v>
      </c>
      <c r="H74" s="14" t="s">
        <v>5213</v>
      </c>
      <c r="I74" s="19"/>
      <c r="J74" s="19"/>
      <c r="K74" s="281"/>
      <c r="L74" s="281"/>
      <c r="M74" s="281"/>
      <c r="N74" s="281"/>
      <c r="O74" s="281"/>
      <c r="P74" s="281"/>
      <c r="Q74" s="281"/>
      <c r="R74" s="281"/>
      <c r="S74" s="281"/>
      <c r="T74" s="281"/>
      <c r="U74" s="281"/>
      <c r="V74" s="281"/>
      <c r="W74" s="281"/>
      <c r="X74" s="281"/>
      <c r="Y74" s="281"/>
      <c r="Z74" s="281"/>
    </row>
    <row r="75">
      <c r="A75" s="283" t="s">
        <v>5214</v>
      </c>
      <c r="B75" s="284" t="s">
        <v>3102</v>
      </c>
      <c r="C75" s="285" t="s">
        <v>5143</v>
      </c>
      <c r="D75" s="285" t="s">
        <v>5182</v>
      </c>
      <c r="E75" s="285" t="s">
        <v>759</v>
      </c>
      <c r="F75" s="285" t="s">
        <v>5184</v>
      </c>
      <c r="G75" s="286" t="s">
        <v>5215</v>
      </c>
      <c r="H75" s="14" t="s">
        <v>5184</v>
      </c>
      <c r="I75" s="19"/>
      <c r="J75" s="19"/>
      <c r="K75" s="281"/>
      <c r="L75" s="281"/>
      <c r="M75" s="281"/>
      <c r="N75" s="281"/>
      <c r="O75" s="281"/>
      <c r="P75" s="281"/>
      <c r="Q75" s="281"/>
      <c r="R75" s="281"/>
      <c r="S75" s="281"/>
      <c r="T75" s="281"/>
      <c r="U75" s="281"/>
      <c r="V75" s="281"/>
      <c r="W75" s="281"/>
      <c r="X75" s="281"/>
      <c r="Y75" s="281"/>
      <c r="Z75" s="281"/>
    </row>
    <row r="76">
      <c r="A76" s="283" t="s">
        <v>5216</v>
      </c>
      <c r="B76" s="284" t="s">
        <v>3102</v>
      </c>
      <c r="C76" s="285" t="s">
        <v>5171</v>
      </c>
      <c r="D76" s="285" t="s">
        <v>5172</v>
      </c>
      <c r="E76" s="285" t="s">
        <v>1059</v>
      </c>
      <c r="F76" s="285" t="s">
        <v>5217</v>
      </c>
      <c r="G76" s="286" t="s">
        <v>5218</v>
      </c>
      <c r="H76" s="285" t="s">
        <v>5217</v>
      </c>
      <c r="I76" s="19"/>
      <c r="J76" s="19"/>
      <c r="K76" s="281"/>
      <c r="L76" s="281"/>
      <c r="M76" s="281"/>
      <c r="N76" s="281"/>
      <c r="O76" s="281"/>
      <c r="P76" s="281"/>
      <c r="Q76" s="281"/>
      <c r="R76" s="281"/>
      <c r="S76" s="281"/>
      <c r="T76" s="281"/>
      <c r="U76" s="281"/>
      <c r="V76" s="281"/>
      <c r="W76" s="281"/>
      <c r="X76" s="281"/>
      <c r="Y76" s="281"/>
      <c r="Z76" s="281"/>
    </row>
    <row r="77">
      <c r="A77" s="283" t="s">
        <v>5219</v>
      </c>
      <c r="B77" s="284" t="s">
        <v>3113</v>
      </c>
      <c r="C77" s="285" t="s">
        <v>5126</v>
      </c>
      <c r="D77" s="285" t="s">
        <v>5152</v>
      </c>
      <c r="E77" s="285" t="s">
        <v>5220</v>
      </c>
      <c r="F77" s="285" t="s">
        <v>5221</v>
      </c>
      <c r="G77" s="285" t="s">
        <v>5221</v>
      </c>
      <c r="H77" s="285" t="s">
        <v>5221</v>
      </c>
      <c r="I77" s="19"/>
      <c r="J77" s="19"/>
      <c r="K77" s="281"/>
      <c r="L77" s="281"/>
      <c r="M77" s="281"/>
      <c r="N77" s="281"/>
      <c r="O77" s="281"/>
      <c r="P77" s="281"/>
      <c r="Q77" s="281"/>
      <c r="R77" s="281"/>
      <c r="S77" s="281"/>
      <c r="T77" s="281"/>
      <c r="U77" s="281"/>
      <c r="V77" s="281"/>
      <c r="W77" s="281"/>
      <c r="X77" s="281"/>
      <c r="Y77" s="281"/>
      <c r="Z77" s="281"/>
    </row>
    <row r="78">
      <c r="A78" s="283" t="s">
        <v>5222</v>
      </c>
      <c r="B78" s="284" t="s">
        <v>3113</v>
      </c>
      <c r="C78" s="285" t="s">
        <v>5181</v>
      </c>
      <c r="D78" s="285" t="s">
        <v>5145</v>
      </c>
      <c r="E78" s="285" t="s">
        <v>5223</v>
      </c>
      <c r="F78" s="285" t="s">
        <v>5224</v>
      </c>
      <c r="G78" s="285" t="s">
        <v>5224</v>
      </c>
      <c r="H78" s="14" t="s">
        <v>5225</v>
      </c>
      <c r="I78" s="19"/>
      <c r="J78" s="19"/>
      <c r="K78" s="281"/>
      <c r="L78" s="281"/>
      <c r="M78" s="281"/>
      <c r="N78" s="281"/>
      <c r="O78" s="281"/>
      <c r="P78" s="281"/>
      <c r="Q78" s="281"/>
      <c r="R78" s="281"/>
      <c r="S78" s="281"/>
      <c r="T78" s="281"/>
      <c r="U78" s="281"/>
      <c r="V78" s="281"/>
      <c r="W78" s="281"/>
      <c r="X78" s="281"/>
      <c r="Y78" s="281"/>
      <c r="Z78" s="281"/>
    </row>
    <row r="79">
      <c r="A79" s="283" t="s">
        <v>5226</v>
      </c>
      <c r="B79" s="284" t="s">
        <v>3113</v>
      </c>
      <c r="C79" s="285" t="s">
        <v>5171</v>
      </c>
      <c r="D79" s="285" t="s">
        <v>5160</v>
      </c>
      <c r="E79" s="285" t="s">
        <v>5205</v>
      </c>
      <c r="F79" s="284" t="s">
        <v>5227</v>
      </c>
      <c r="G79" s="286" t="s">
        <v>5228</v>
      </c>
      <c r="H79" s="280" t="s">
        <v>5229</v>
      </c>
      <c r="I79" s="19"/>
      <c r="J79" s="19"/>
      <c r="K79" s="281"/>
      <c r="L79" s="281"/>
      <c r="M79" s="281"/>
      <c r="N79" s="281"/>
      <c r="O79" s="281"/>
      <c r="P79" s="281"/>
      <c r="Q79" s="281"/>
      <c r="R79" s="281"/>
      <c r="S79" s="281"/>
      <c r="T79" s="281"/>
      <c r="U79" s="281"/>
      <c r="V79" s="281"/>
      <c r="W79" s="281"/>
      <c r="X79" s="281"/>
      <c r="Y79" s="281"/>
      <c r="Z79" s="281"/>
    </row>
    <row r="80">
      <c r="A80" s="108" t="s">
        <v>938</v>
      </c>
      <c r="I80" s="19"/>
      <c r="J80" s="19"/>
      <c r="K80" s="281"/>
      <c r="L80" s="281"/>
      <c r="M80" s="281"/>
      <c r="N80" s="281"/>
      <c r="O80" s="281"/>
      <c r="P80" s="281"/>
      <c r="Q80" s="281"/>
      <c r="R80" s="281"/>
      <c r="S80" s="281"/>
      <c r="T80" s="281"/>
      <c r="U80" s="281"/>
      <c r="V80" s="281"/>
      <c r="W80" s="281"/>
      <c r="X80" s="281"/>
      <c r="Y80" s="281"/>
      <c r="Z80" s="281"/>
    </row>
    <row r="81">
      <c r="A81" s="287"/>
      <c r="B81" s="288"/>
      <c r="C81" s="288"/>
      <c r="D81" s="288"/>
      <c r="E81" s="288"/>
      <c r="F81" s="288"/>
      <c r="G81" s="289"/>
      <c r="H81" s="281"/>
      <c r="I81" s="281"/>
      <c r="J81" s="281"/>
      <c r="K81" s="281"/>
      <c r="L81" s="281"/>
      <c r="M81" s="281"/>
      <c r="N81" s="281"/>
      <c r="O81" s="281"/>
      <c r="P81" s="281"/>
      <c r="Q81" s="281"/>
      <c r="R81" s="281"/>
      <c r="S81" s="281"/>
      <c r="T81" s="281"/>
      <c r="U81" s="281"/>
      <c r="V81" s="281"/>
      <c r="W81" s="281"/>
      <c r="X81" s="281"/>
      <c r="Y81" s="281"/>
      <c r="Z81" s="281"/>
    </row>
    <row r="82">
      <c r="A82" s="283"/>
      <c r="B82" s="288"/>
      <c r="C82" s="288"/>
      <c r="D82" s="288"/>
      <c r="E82" s="288"/>
      <c r="F82" s="288"/>
      <c r="G82" s="289"/>
      <c r="H82" s="281"/>
      <c r="I82" s="281"/>
      <c r="J82" s="281"/>
      <c r="K82" s="281"/>
      <c r="L82" s="281"/>
      <c r="M82" s="281"/>
      <c r="N82" s="281"/>
      <c r="O82" s="281"/>
      <c r="P82" s="281"/>
      <c r="Q82" s="281"/>
      <c r="R82" s="281"/>
      <c r="S82" s="281"/>
      <c r="T82" s="281"/>
      <c r="U82" s="281"/>
      <c r="V82" s="281"/>
      <c r="W82" s="281"/>
      <c r="X82" s="281"/>
      <c r="Y82" s="281"/>
      <c r="Z82" s="281"/>
    </row>
    <row r="83">
      <c r="A83" s="283"/>
      <c r="B83" s="288"/>
      <c r="C83" s="288"/>
      <c r="D83" s="288"/>
      <c r="E83" s="288"/>
      <c r="F83" s="288"/>
      <c r="G83" s="288"/>
      <c r="H83" s="281"/>
      <c r="I83" s="281"/>
      <c r="J83" s="281"/>
      <c r="K83" s="281"/>
      <c r="L83" s="281"/>
      <c r="M83" s="281"/>
      <c r="N83" s="281"/>
      <c r="O83" s="281"/>
      <c r="P83" s="281"/>
      <c r="Q83" s="281"/>
      <c r="R83" s="281"/>
      <c r="S83" s="281"/>
      <c r="T83" s="281"/>
      <c r="U83" s="281"/>
      <c r="V83" s="281"/>
      <c r="W83" s="281"/>
      <c r="X83" s="281"/>
      <c r="Y83" s="281"/>
      <c r="Z83" s="281"/>
    </row>
    <row r="84">
      <c r="A84" s="283"/>
      <c r="B84" s="288"/>
      <c r="C84" s="288"/>
      <c r="D84" s="288"/>
      <c r="E84" s="288"/>
      <c r="F84" s="288"/>
      <c r="G84" s="288"/>
      <c r="H84" s="281"/>
      <c r="I84" s="281"/>
      <c r="J84" s="281"/>
      <c r="K84" s="281"/>
      <c r="L84" s="281"/>
      <c r="M84" s="281"/>
      <c r="N84" s="281"/>
      <c r="O84" s="281"/>
      <c r="P84" s="281"/>
      <c r="Q84" s="281"/>
      <c r="R84" s="281"/>
      <c r="S84" s="281"/>
      <c r="T84" s="281"/>
      <c r="U84" s="281"/>
      <c r="V84" s="281"/>
      <c r="W84" s="281"/>
      <c r="X84" s="281"/>
      <c r="Y84" s="281"/>
      <c r="Z84" s="281"/>
    </row>
    <row r="85">
      <c r="A85" s="290"/>
      <c r="B85" s="288"/>
      <c r="C85" s="288"/>
      <c r="D85" s="288"/>
      <c r="E85" s="288"/>
      <c r="F85" s="288"/>
      <c r="G85" s="288"/>
      <c r="H85" s="281"/>
      <c r="I85" s="281"/>
      <c r="J85" s="281"/>
      <c r="K85" s="281"/>
      <c r="L85" s="281"/>
      <c r="M85" s="281"/>
      <c r="N85" s="281"/>
      <c r="O85" s="281"/>
      <c r="P85" s="281"/>
      <c r="Q85" s="281"/>
      <c r="R85" s="281"/>
      <c r="S85" s="281"/>
      <c r="T85" s="281"/>
      <c r="U85" s="281"/>
      <c r="V85" s="281"/>
      <c r="W85" s="281"/>
      <c r="X85" s="281"/>
      <c r="Y85" s="281"/>
      <c r="Z85" s="281"/>
    </row>
    <row r="86">
      <c r="A86" s="283"/>
      <c r="B86" s="288"/>
      <c r="C86" s="288"/>
      <c r="D86" s="288"/>
      <c r="E86" s="288"/>
      <c r="F86" s="288"/>
      <c r="G86" s="288"/>
      <c r="H86" s="281"/>
      <c r="I86" s="281"/>
      <c r="J86" s="281"/>
      <c r="K86" s="281"/>
      <c r="L86" s="281"/>
      <c r="M86" s="281"/>
      <c r="N86" s="281"/>
      <c r="O86" s="281"/>
      <c r="P86" s="281"/>
      <c r="Q86" s="281"/>
      <c r="R86" s="281"/>
      <c r="S86" s="281"/>
      <c r="T86" s="281"/>
      <c r="U86" s="281"/>
      <c r="V86" s="281"/>
      <c r="W86" s="281"/>
      <c r="X86" s="281"/>
      <c r="Y86" s="281"/>
      <c r="Z86" s="281"/>
    </row>
    <row r="87">
      <c r="A87" s="283"/>
      <c r="B87" s="288"/>
      <c r="C87" s="288"/>
      <c r="D87" s="288"/>
      <c r="E87" s="288"/>
      <c r="F87" s="288"/>
      <c r="G87" s="288"/>
      <c r="H87" s="281"/>
      <c r="I87" s="281"/>
      <c r="J87" s="281"/>
      <c r="K87" s="281"/>
      <c r="L87" s="281"/>
      <c r="M87" s="281"/>
      <c r="N87" s="281"/>
      <c r="O87" s="281"/>
      <c r="P87" s="281"/>
      <c r="Q87" s="281"/>
      <c r="R87" s="281"/>
      <c r="S87" s="281"/>
      <c r="T87" s="281"/>
      <c r="U87" s="281"/>
      <c r="V87" s="281"/>
      <c r="W87" s="281"/>
      <c r="X87" s="281"/>
      <c r="Y87" s="281"/>
      <c r="Z87" s="281"/>
    </row>
    <row r="88">
      <c r="A88" s="283"/>
      <c r="B88" s="288"/>
      <c r="C88" s="288"/>
      <c r="D88" s="288"/>
      <c r="E88" s="288"/>
      <c r="F88" s="288"/>
      <c r="G88" s="288"/>
      <c r="H88" s="281"/>
      <c r="I88" s="281"/>
      <c r="J88" s="281"/>
      <c r="K88" s="281"/>
      <c r="L88" s="281"/>
      <c r="M88" s="281"/>
      <c r="N88" s="281"/>
      <c r="O88" s="281"/>
      <c r="P88" s="281"/>
      <c r="Q88" s="281"/>
      <c r="R88" s="281"/>
      <c r="S88" s="281"/>
      <c r="T88" s="281"/>
      <c r="U88" s="281"/>
      <c r="V88" s="281"/>
      <c r="W88" s="281"/>
      <c r="X88" s="281"/>
      <c r="Y88" s="281"/>
      <c r="Z88" s="281"/>
    </row>
    <row r="89">
      <c r="A89" s="283"/>
      <c r="B89" s="288"/>
      <c r="C89" s="288"/>
      <c r="D89" s="288"/>
      <c r="E89" s="288"/>
      <c r="F89" s="288"/>
      <c r="G89" s="288"/>
      <c r="H89" s="281"/>
      <c r="I89" s="281"/>
      <c r="J89" s="281"/>
      <c r="K89" s="281"/>
      <c r="L89" s="281"/>
      <c r="M89" s="281"/>
      <c r="N89" s="281"/>
      <c r="O89" s="281"/>
      <c r="P89" s="281"/>
      <c r="Q89" s="281"/>
      <c r="R89" s="281"/>
      <c r="S89" s="281"/>
      <c r="T89" s="281"/>
      <c r="U89" s="281"/>
      <c r="V89" s="281"/>
      <c r="W89" s="281"/>
      <c r="X89" s="281"/>
      <c r="Y89" s="281"/>
      <c r="Z89" s="281"/>
    </row>
    <row r="90">
      <c r="A90" s="290"/>
      <c r="B90" s="288"/>
      <c r="C90" s="288"/>
      <c r="D90" s="288"/>
      <c r="E90" s="288"/>
      <c r="F90" s="288"/>
      <c r="G90" s="288"/>
      <c r="H90" s="281"/>
      <c r="I90" s="281"/>
      <c r="J90" s="281"/>
      <c r="K90" s="281"/>
      <c r="L90" s="281"/>
      <c r="M90" s="281"/>
      <c r="N90" s="281"/>
      <c r="O90" s="281"/>
      <c r="P90" s="281"/>
      <c r="Q90" s="281"/>
      <c r="R90" s="281"/>
      <c r="S90" s="281"/>
      <c r="T90" s="281"/>
      <c r="U90" s="281"/>
      <c r="V90" s="281"/>
      <c r="W90" s="281"/>
      <c r="X90" s="281"/>
      <c r="Y90" s="281"/>
      <c r="Z90" s="281"/>
    </row>
    <row r="91">
      <c r="A91" s="283"/>
      <c r="B91" s="281"/>
      <c r="C91" s="281"/>
      <c r="D91" s="281"/>
      <c r="E91" s="281"/>
      <c r="F91" s="281"/>
      <c r="G91" s="281"/>
      <c r="H91" s="281"/>
      <c r="I91" s="281"/>
      <c r="J91" s="281"/>
      <c r="K91" s="281"/>
      <c r="L91" s="281"/>
      <c r="M91" s="281"/>
      <c r="N91" s="281"/>
      <c r="O91" s="281"/>
      <c r="P91" s="281"/>
      <c r="Q91" s="281"/>
      <c r="R91" s="281"/>
      <c r="S91" s="281"/>
      <c r="T91" s="281"/>
      <c r="U91" s="281"/>
      <c r="V91" s="281"/>
      <c r="W91" s="281"/>
      <c r="X91" s="281"/>
      <c r="Y91" s="281"/>
      <c r="Z91" s="281"/>
    </row>
    <row r="92">
      <c r="A92" s="291"/>
      <c r="B92" s="281"/>
      <c r="C92" s="281"/>
      <c r="D92" s="281"/>
      <c r="E92" s="281"/>
      <c r="F92" s="281"/>
      <c r="G92" s="281"/>
      <c r="H92" s="281"/>
      <c r="I92" s="281"/>
      <c r="J92" s="281"/>
      <c r="K92" s="281"/>
      <c r="L92" s="281"/>
      <c r="M92" s="281"/>
      <c r="N92" s="281"/>
      <c r="O92" s="281"/>
      <c r="P92" s="281"/>
      <c r="Q92" s="281"/>
      <c r="R92" s="281"/>
      <c r="S92" s="281"/>
      <c r="T92" s="281"/>
      <c r="U92" s="281"/>
      <c r="V92" s="281"/>
      <c r="W92" s="281"/>
      <c r="X92" s="281"/>
      <c r="Y92" s="281"/>
      <c r="Z92" s="281"/>
    </row>
    <row r="93">
      <c r="A93" s="291"/>
      <c r="B93" s="281"/>
      <c r="C93" s="281"/>
      <c r="D93" s="281"/>
      <c r="E93" s="281"/>
      <c r="F93" s="281"/>
      <c r="G93" s="281"/>
      <c r="H93" s="281"/>
      <c r="I93" s="281"/>
      <c r="J93" s="281"/>
      <c r="K93" s="281"/>
      <c r="L93" s="281"/>
      <c r="M93" s="281"/>
      <c r="N93" s="281"/>
      <c r="O93" s="281"/>
      <c r="P93" s="281"/>
      <c r="Q93" s="281"/>
      <c r="R93" s="281"/>
      <c r="S93" s="281"/>
      <c r="T93" s="281"/>
      <c r="U93" s="281"/>
      <c r="V93" s="281"/>
      <c r="W93" s="281"/>
      <c r="X93" s="281"/>
      <c r="Y93" s="281"/>
      <c r="Z93" s="281"/>
    </row>
    <row r="94">
      <c r="A94" s="292"/>
      <c r="B94" s="281"/>
      <c r="C94" s="281"/>
      <c r="D94" s="281"/>
      <c r="E94" s="281"/>
      <c r="F94" s="281"/>
      <c r="G94" s="281"/>
      <c r="H94" s="281"/>
      <c r="I94" s="281"/>
      <c r="J94" s="281"/>
      <c r="K94" s="281"/>
      <c r="L94" s="281"/>
      <c r="M94" s="281"/>
      <c r="N94" s="281"/>
      <c r="O94" s="281"/>
      <c r="P94" s="281"/>
      <c r="Q94" s="281"/>
      <c r="R94" s="281"/>
      <c r="S94" s="281"/>
      <c r="T94" s="281"/>
      <c r="U94" s="281"/>
      <c r="V94" s="281"/>
      <c r="W94" s="281"/>
      <c r="X94" s="281"/>
      <c r="Y94" s="281"/>
      <c r="Z94" s="281"/>
    </row>
    <row r="95">
      <c r="A95" s="291"/>
      <c r="B95" s="281"/>
      <c r="C95" s="281"/>
      <c r="D95" s="281"/>
      <c r="E95" s="281"/>
      <c r="F95" s="281"/>
      <c r="G95" s="281"/>
      <c r="H95" s="281"/>
      <c r="I95" s="281"/>
      <c r="J95" s="281"/>
      <c r="K95" s="281"/>
      <c r="L95" s="281"/>
      <c r="M95" s="281"/>
      <c r="N95" s="281"/>
      <c r="O95" s="281"/>
      <c r="P95" s="281"/>
      <c r="Q95" s="281"/>
      <c r="R95" s="281"/>
      <c r="S95" s="281"/>
      <c r="T95" s="281"/>
      <c r="U95" s="281"/>
      <c r="V95" s="281"/>
      <c r="W95" s="281"/>
      <c r="X95" s="281"/>
      <c r="Y95" s="281"/>
      <c r="Z95" s="281"/>
    </row>
    <row r="96">
      <c r="A96" s="291"/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  <c r="O96" s="281"/>
      <c r="P96" s="281"/>
      <c r="Q96" s="281"/>
      <c r="R96" s="281"/>
      <c r="S96" s="281"/>
      <c r="T96" s="281"/>
      <c r="U96" s="281"/>
      <c r="V96" s="281"/>
      <c r="W96" s="281"/>
      <c r="X96" s="281"/>
      <c r="Y96" s="281"/>
      <c r="Z96" s="281"/>
    </row>
    <row r="97">
      <c r="A97" s="291"/>
      <c r="B97" s="281"/>
      <c r="C97" s="281"/>
      <c r="D97" s="281"/>
      <c r="E97" s="281"/>
      <c r="F97" s="281"/>
      <c r="G97" s="281"/>
      <c r="H97" s="281"/>
      <c r="I97" s="281"/>
      <c r="J97" s="281"/>
      <c r="K97" s="281"/>
      <c r="L97" s="281"/>
      <c r="M97" s="281"/>
      <c r="N97" s="281"/>
      <c r="O97" s="281"/>
      <c r="P97" s="281"/>
      <c r="Q97" s="281"/>
      <c r="R97" s="281"/>
      <c r="S97" s="281"/>
      <c r="T97" s="281"/>
      <c r="U97" s="281"/>
      <c r="V97" s="281"/>
      <c r="W97" s="281"/>
      <c r="X97" s="281"/>
      <c r="Y97" s="281"/>
      <c r="Z97" s="281"/>
    </row>
    <row r="98">
      <c r="A98" s="292"/>
      <c r="B98" s="281"/>
      <c r="C98" s="281"/>
      <c r="D98" s="281"/>
      <c r="E98" s="281"/>
      <c r="F98" s="281"/>
      <c r="G98" s="281"/>
      <c r="H98" s="281"/>
      <c r="I98" s="281"/>
      <c r="J98" s="281"/>
      <c r="K98" s="281"/>
      <c r="L98" s="281"/>
      <c r="M98" s="281"/>
      <c r="N98" s="281"/>
      <c r="O98" s="281"/>
      <c r="P98" s="281"/>
      <c r="Q98" s="281"/>
      <c r="R98" s="281"/>
      <c r="S98" s="281"/>
      <c r="T98" s="281"/>
      <c r="U98" s="281"/>
      <c r="V98" s="281"/>
      <c r="W98" s="281"/>
      <c r="X98" s="281"/>
      <c r="Y98" s="281"/>
      <c r="Z98" s="281"/>
    </row>
    <row r="99">
      <c r="A99" s="291"/>
      <c r="B99" s="281"/>
      <c r="C99" s="281"/>
      <c r="D99" s="281"/>
      <c r="E99" s="281"/>
      <c r="F99" s="281"/>
      <c r="G99" s="281"/>
      <c r="H99" s="281"/>
      <c r="I99" s="281"/>
      <c r="J99" s="281"/>
      <c r="K99" s="281"/>
      <c r="L99" s="281"/>
      <c r="M99" s="281"/>
      <c r="N99" s="281"/>
      <c r="O99" s="281"/>
      <c r="P99" s="281"/>
      <c r="Q99" s="281"/>
      <c r="R99" s="281"/>
      <c r="S99" s="281"/>
      <c r="T99" s="281"/>
      <c r="U99" s="281"/>
      <c r="V99" s="281"/>
      <c r="W99" s="281"/>
      <c r="X99" s="281"/>
      <c r="Y99" s="281"/>
      <c r="Z99" s="281"/>
    </row>
    <row r="100">
      <c r="A100" s="291"/>
      <c r="B100" s="281"/>
      <c r="C100" s="281"/>
      <c r="D100" s="281"/>
      <c r="E100" s="281"/>
      <c r="F100" s="281"/>
      <c r="G100" s="281"/>
      <c r="H100" s="281"/>
      <c r="I100" s="281"/>
      <c r="J100" s="281"/>
      <c r="K100" s="281"/>
      <c r="L100" s="281"/>
      <c r="M100" s="281"/>
      <c r="N100" s="281"/>
      <c r="O100" s="281"/>
      <c r="P100" s="281"/>
      <c r="Q100" s="281"/>
      <c r="R100" s="281"/>
      <c r="S100" s="281"/>
      <c r="T100" s="281"/>
      <c r="U100" s="281"/>
      <c r="V100" s="281"/>
      <c r="W100" s="281"/>
      <c r="X100" s="281"/>
      <c r="Y100" s="281"/>
      <c r="Z100" s="281"/>
    </row>
    <row r="101">
      <c r="A101" s="292"/>
      <c r="B101" s="281"/>
      <c r="C101" s="281"/>
      <c r="D101" s="281"/>
      <c r="E101" s="281"/>
      <c r="F101" s="281"/>
      <c r="G101" s="281"/>
      <c r="H101" s="281"/>
      <c r="I101" s="281"/>
      <c r="J101" s="281"/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  <c r="U101" s="281"/>
      <c r="V101" s="281"/>
      <c r="W101" s="281"/>
      <c r="X101" s="281"/>
      <c r="Y101" s="281"/>
      <c r="Z101" s="281"/>
    </row>
    <row r="102">
      <c r="A102" s="19"/>
      <c r="B102" s="281"/>
      <c r="C102" s="281"/>
      <c r="D102" s="281"/>
      <c r="E102" s="281"/>
      <c r="F102" s="281"/>
      <c r="G102" s="281"/>
      <c r="H102" s="281"/>
      <c r="I102" s="281"/>
      <c r="J102" s="281"/>
      <c r="K102" s="281"/>
      <c r="L102" s="281"/>
      <c r="M102" s="281"/>
      <c r="N102" s="281"/>
      <c r="O102" s="281"/>
      <c r="P102" s="281"/>
      <c r="Q102" s="281"/>
      <c r="R102" s="281"/>
      <c r="S102" s="281"/>
      <c r="T102" s="281"/>
      <c r="U102" s="281"/>
      <c r="V102" s="281"/>
      <c r="W102" s="281"/>
      <c r="X102" s="281"/>
      <c r="Y102" s="281"/>
      <c r="Z102" s="281"/>
    </row>
    <row r="103">
      <c r="A103" s="19"/>
      <c r="B103" s="281"/>
      <c r="C103" s="281"/>
      <c r="D103" s="281"/>
      <c r="E103" s="281"/>
      <c r="F103" s="281"/>
      <c r="G103" s="281"/>
      <c r="H103" s="281"/>
      <c r="I103" s="281"/>
      <c r="J103" s="281"/>
      <c r="K103" s="281"/>
      <c r="L103" s="281"/>
      <c r="M103" s="281"/>
      <c r="N103" s="281"/>
      <c r="O103" s="281"/>
      <c r="P103" s="281"/>
      <c r="Q103" s="281"/>
      <c r="R103" s="281"/>
      <c r="S103" s="281"/>
      <c r="T103" s="281"/>
      <c r="U103" s="281"/>
      <c r="V103" s="281"/>
      <c r="W103" s="281"/>
      <c r="X103" s="281"/>
      <c r="Y103" s="281"/>
      <c r="Z103" s="281"/>
    </row>
    <row r="104">
      <c r="A104" s="19"/>
      <c r="B104" s="281"/>
      <c r="C104" s="281"/>
      <c r="D104" s="281"/>
      <c r="E104" s="281"/>
      <c r="F104" s="281"/>
      <c r="G104" s="281"/>
      <c r="H104" s="281"/>
      <c r="I104" s="281"/>
      <c r="J104" s="281"/>
      <c r="K104" s="281"/>
      <c r="L104" s="281"/>
      <c r="M104" s="281"/>
      <c r="N104" s="281"/>
      <c r="O104" s="281"/>
      <c r="P104" s="281"/>
      <c r="Q104" s="281"/>
      <c r="R104" s="281"/>
      <c r="S104" s="281"/>
      <c r="T104" s="281"/>
      <c r="U104" s="281"/>
      <c r="V104" s="281"/>
      <c r="W104" s="281"/>
      <c r="X104" s="281"/>
      <c r="Y104" s="281"/>
      <c r="Z104" s="281"/>
    </row>
    <row r="105">
      <c r="A105" s="19"/>
      <c r="B105" s="281"/>
      <c r="C105" s="281"/>
      <c r="D105" s="281"/>
      <c r="E105" s="281"/>
      <c r="F105" s="281"/>
      <c r="G105" s="281"/>
      <c r="H105" s="281"/>
      <c r="I105" s="281"/>
      <c r="J105" s="281"/>
      <c r="K105" s="281"/>
      <c r="L105" s="281"/>
      <c r="M105" s="281"/>
      <c r="N105" s="281"/>
      <c r="O105" s="281"/>
      <c r="P105" s="281"/>
      <c r="Q105" s="281"/>
      <c r="R105" s="281"/>
      <c r="S105" s="281"/>
      <c r="T105" s="281"/>
      <c r="U105" s="281"/>
      <c r="V105" s="281"/>
      <c r="W105" s="281"/>
      <c r="X105" s="281"/>
      <c r="Y105" s="281"/>
      <c r="Z105" s="281"/>
    </row>
    <row r="106">
      <c r="A106" s="19"/>
      <c r="B106" s="281"/>
      <c r="C106" s="281"/>
      <c r="D106" s="281"/>
      <c r="E106" s="281"/>
      <c r="F106" s="281"/>
      <c r="G106" s="281"/>
      <c r="H106" s="281"/>
      <c r="I106" s="281"/>
      <c r="J106" s="281"/>
      <c r="K106" s="281"/>
      <c r="L106" s="281"/>
      <c r="M106" s="281"/>
      <c r="N106" s="281"/>
      <c r="O106" s="281"/>
      <c r="P106" s="281"/>
      <c r="Q106" s="281"/>
      <c r="R106" s="281"/>
      <c r="S106" s="281"/>
      <c r="T106" s="281"/>
      <c r="U106" s="281"/>
      <c r="V106" s="281"/>
      <c r="W106" s="281"/>
      <c r="X106" s="281"/>
      <c r="Y106" s="281"/>
      <c r="Z106" s="281"/>
    </row>
    <row r="107">
      <c r="A107" s="19"/>
      <c r="B107" s="281"/>
      <c r="C107" s="281"/>
      <c r="D107" s="281"/>
      <c r="E107" s="281"/>
      <c r="F107" s="281"/>
      <c r="G107" s="281"/>
      <c r="H107" s="281"/>
      <c r="I107" s="281"/>
      <c r="J107" s="281"/>
      <c r="K107" s="281"/>
      <c r="L107" s="281"/>
      <c r="M107" s="281"/>
      <c r="N107" s="281"/>
      <c r="O107" s="281"/>
      <c r="P107" s="281"/>
      <c r="Q107" s="281"/>
      <c r="R107" s="281"/>
      <c r="S107" s="281"/>
      <c r="T107" s="281"/>
      <c r="U107" s="281"/>
      <c r="V107" s="281"/>
      <c r="W107" s="281"/>
      <c r="X107" s="281"/>
      <c r="Y107" s="281"/>
      <c r="Z107" s="281"/>
    </row>
    <row r="108">
      <c r="A108" s="19"/>
      <c r="B108" s="281"/>
      <c r="C108" s="281"/>
      <c r="D108" s="281"/>
      <c r="E108" s="281"/>
      <c r="F108" s="281"/>
      <c r="G108" s="281"/>
      <c r="H108" s="281"/>
      <c r="I108" s="281"/>
      <c r="J108" s="281"/>
      <c r="K108" s="281"/>
      <c r="L108" s="281"/>
      <c r="M108" s="281"/>
      <c r="N108" s="281"/>
      <c r="O108" s="281"/>
      <c r="P108" s="281"/>
      <c r="Q108" s="281"/>
      <c r="R108" s="281"/>
      <c r="S108" s="281"/>
      <c r="T108" s="281"/>
      <c r="U108" s="281"/>
      <c r="V108" s="281"/>
      <c r="W108" s="281"/>
      <c r="X108" s="281"/>
      <c r="Y108" s="281"/>
      <c r="Z108" s="281"/>
    </row>
    <row r="109">
      <c r="A109" s="19"/>
      <c r="B109" s="281"/>
      <c r="C109" s="281"/>
      <c r="D109" s="281"/>
      <c r="E109" s="281"/>
      <c r="F109" s="281"/>
      <c r="G109" s="281"/>
      <c r="H109" s="281"/>
      <c r="I109" s="281"/>
      <c r="J109" s="281"/>
      <c r="K109" s="281"/>
      <c r="L109" s="281"/>
      <c r="M109" s="281"/>
      <c r="N109" s="281"/>
      <c r="O109" s="281"/>
      <c r="P109" s="281"/>
      <c r="Q109" s="281"/>
      <c r="R109" s="281"/>
      <c r="S109" s="281"/>
      <c r="T109" s="281"/>
      <c r="U109" s="281"/>
      <c r="V109" s="281"/>
      <c r="W109" s="281"/>
      <c r="X109" s="281"/>
      <c r="Y109" s="281"/>
      <c r="Z109" s="281"/>
    </row>
    <row r="110">
      <c r="A110" s="19"/>
      <c r="B110" s="281"/>
      <c r="C110" s="281"/>
      <c r="D110" s="281"/>
      <c r="E110" s="281"/>
      <c r="F110" s="281"/>
      <c r="G110" s="281"/>
      <c r="H110" s="281"/>
      <c r="I110" s="281"/>
      <c r="J110" s="281"/>
      <c r="K110" s="281"/>
      <c r="L110" s="281"/>
      <c r="M110" s="281"/>
      <c r="N110" s="281"/>
      <c r="O110" s="281"/>
      <c r="P110" s="281"/>
      <c r="Q110" s="281"/>
      <c r="R110" s="281"/>
      <c r="S110" s="281"/>
      <c r="T110" s="281"/>
      <c r="U110" s="281"/>
      <c r="V110" s="281"/>
      <c r="W110" s="281"/>
      <c r="X110" s="281"/>
      <c r="Y110" s="281"/>
      <c r="Z110" s="281"/>
    </row>
    <row r="111">
      <c r="A111" s="19"/>
      <c r="B111" s="281"/>
      <c r="C111" s="281"/>
      <c r="D111" s="281"/>
      <c r="E111" s="281"/>
      <c r="F111" s="281"/>
      <c r="G111" s="281"/>
      <c r="H111" s="281"/>
      <c r="I111" s="281"/>
      <c r="J111" s="281"/>
      <c r="K111" s="281"/>
      <c r="L111" s="281"/>
      <c r="M111" s="281"/>
      <c r="N111" s="281"/>
      <c r="O111" s="281"/>
      <c r="P111" s="281"/>
      <c r="Q111" s="281"/>
      <c r="R111" s="281"/>
      <c r="S111" s="281"/>
      <c r="T111" s="281"/>
      <c r="U111" s="281"/>
      <c r="V111" s="281"/>
      <c r="W111" s="281"/>
      <c r="X111" s="281"/>
      <c r="Y111" s="281"/>
      <c r="Z111" s="281"/>
    </row>
    <row r="112">
      <c r="A112" s="19"/>
      <c r="B112" s="281"/>
      <c r="C112" s="281"/>
      <c r="D112" s="281"/>
      <c r="E112" s="281"/>
      <c r="F112" s="281"/>
      <c r="G112" s="281"/>
      <c r="H112" s="281"/>
      <c r="I112" s="281"/>
      <c r="J112" s="281"/>
      <c r="K112" s="281"/>
      <c r="L112" s="281"/>
      <c r="M112" s="281"/>
      <c r="N112" s="281"/>
      <c r="O112" s="281"/>
      <c r="P112" s="281"/>
      <c r="Q112" s="281"/>
      <c r="R112" s="281"/>
      <c r="S112" s="281"/>
      <c r="T112" s="281"/>
      <c r="U112" s="281"/>
      <c r="V112" s="281"/>
      <c r="W112" s="281"/>
      <c r="X112" s="281"/>
      <c r="Y112" s="281"/>
      <c r="Z112" s="281"/>
    </row>
    <row r="113">
      <c r="A113" s="19"/>
      <c r="B113" s="281"/>
      <c r="C113" s="281"/>
      <c r="D113" s="281"/>
      <c r="E113" s="281"/>
      <c r="F113" s="281"/>
      <c r="G113" s="281"/>
      <c r="H113" s="281"/>
      <c r="I113" s="281"/>
      <c r="J113" s="281"/>
      <c r="K113" s="281"/>
      <c r="L113" s="281"/>
      <c r="M113" s="281"/>
      <c r="N113" s="281"/>
      <c r="O113" s="281"/>
      <c r="P113" s="281"/>
      <c r="Q113" s="281"/>
      <c r="R113" s="281"/>
      <c r="S113" s="281"/>
      <c r="T113" s="281"/>
      <c r="U113" s="281"/>
      <c r="V113" s="281"/>
      <c r="W113" s="281"/>
      <c r="X113" s="281"/>
      <c r="Y113" s="281"/>
      <c r="Z113" s="281"/>
    </row>
    <row r="114">
      <c r="A114" s="19"/>
      <c r="B114" s="281"/>
      <c r="C114" s="281"/>
      <c r="D114" s="281"/>
      <c r="E114" s="281"/>
      <c r="F114" s="281"/>
      <c r="G114" s="281"/>
      <c r="H114" s="281"/>
      <c r="I114" s="281"/>
      <c r="J114" s="281"/>
      <c r="K114" s="281"/>
      <c r="L114" s="281"/>
      <c r="M114" s="281"/>
      <c r="N114" s="281"/>
      <c r="O114" s="281"/>
      <c r="P114" s="281"/>
      <c r="Q114" s="281"/>
      <c r="R114" s="281"/>
      <c r="S114" s="281"/>
      <c r="T114" s="281"/>
      <c r="U114" s="281"/>
      <c r="V114" s="281"/>
      <c r="W114" s="281"/>
      <c r="X114" s="281"/>
      <c r="Y114" s="281"/>
      <c r="Z114" s="281"/>
    </row>
    <row r="115">
      <c r="A115" s="19"/>
      <c r="B115" s="281"/>
      <c r="C115" s="281"/>
      <c r="D115" s="281"/>
      <c r="E115" s="281"/>
      <c r="F115" s="281"/>
      <c r="G115" s="281"/>
      <c r="H115" s="281"/>
      <c r="I115" s="281"/>
      <c r="J115" s="281"/>
      <c r="K115" s="281"/>
      <c r="L115" s="281"/>
      <c r="M115" s="281"/>
      <c r="N115" s="281"/>
      <c r="O115" s="281"/>
      <c r="P115" s="281"/>
      <c r="Q115" s="281"/>
      <c r="R115" s="281"/>
      <c r="S115" s="281"/>
      <c r="T115" s="281"/>
      <c r="U115" s="281"/>
      <c r="V115" s="281"/>
      <c r="W115" s="281"/>
      <c r="X115" s="281"/>
      <c r="Y115" s="281"/>
      <c r="Z115" s="281"/>
    </row>
    <row r="116">
      <c r="A116" s="19"/>
      <c r="B116" s="281"/>
      <c r="C116" s="281"/>
      <c r="D116" s="281"/>
      <c r="E116" s="281"/>
      <c r="F116" s="281"/>
      <c r="G116" s="281"/>
      <c r="H116" s="281"/>
      <c r="I116" s="281"/>
      <c r="J116" s="281"/>
      <c r="K116" s="281"/>
      <c r="L116" s="281"/>
      <c r="M116" s="281"/>
      <c r="N116" s="281"/>
      <c r="O116" s="281"/>
      <c r="P116" s="281"/>
      <c r="Q116" s="281"/>
      <c r="R116" s="281"/>
      <c r="S116" s="281"/>
      <c r="T116" s="281"/>
      <c r="U116" s="281"/>
      <c r="V116" s="281"/>
      <c r="W116" s="281"/>
      <c r="X116" s="281"/>
      <c r="Y116" s="281"/>
      <c r="Z116" s="281"/>
    </row>
    <row r="117">
      <c r="A117" s="19"/>
      <c r="B117" s="281"/>
      <c r="C117" s="281"/>
      <c r="D117" s="281"/>
      <c r="E117" s="281"/>
      <c r="F117" s="281"/>
      <c r="G117" s="281"/>
      <c r="H117" s="281"/>
      <c r="I117" s="281"/>
      <c r="J117" s="281"/>
      <c r="K117" s="281"/>
      <c r="L117" s="281"/>
      <c r="M117" s="281"/>
      <c r="N117" s="281"/>
      <c r="O117" s="281"/>
      <c r="P117" s="281"/>
      <c r="Q117" s="281"/>
      <c r="R117" s="281"/>
      <c r="S117" s="281"/>
      <c r="T117" s="281"/>
      <c r="U117" s="281"/>
      <c r="V117" s="281"/>
      <c r="W117" s="281"/>
      <c r="X117" s="281"/>
      <c r="Y117" s="281"/>
      <c r="Z117" s="281"/>
    </row>
    <row r="118">
      <c r="A118" s="19"/>
      <c r="B118" s="281"/>
      <c r="C118" s="281"/>
      <c r="D118" s="281"/>
      <c r="E118" s="281"/>
      <c r="F118" s="281"/>
      <c r="G118" s="281"/>
      <c r="H118" s="281"/>
      <c r="I118" s="281"/>
      <c r="J118" s="281"/>
      <c r="K118" s="281"/>
      <c r="L118" s="281"/>
      <c r="M118" s="281"/>
      <c r="N118" s="281"/>
      <c r="O118" s="281"/>
      <c r="P118" s="281"/>
      <c r="Q118" s="281"/>
      <c r="R118" s="281"/>
      <c r="S118" s="281"/>
      <c r="T118" s="281"/>
      <c r="U118" s="281"/>
      <c r="V118" s="281"/>
      <c r="W118" s="281"/>
      <c r="X118" s="281"/>
      <c r="Y118" s="281"/>
      <c r="Z118" s="281"/>
    </row>
    <row r="119">
      <c r="A119" s="19"/>
      <c r="B119" s="281"/>
      <c r="C119" s="281"/>
      <c r="D119" s="281"/>
      <c r="E119" s="281"/>
      <c r="F119" s="281"/>
      <c r="G119" s="281"/>
      <c r="H119" s="281"/>
      <c r="I119" s="281"/>
      <c r="J119" s="281"/>
      <c r="K119" s="281"/>
      <c r="L119" s="281"/>
      <c r="M119" s="281"/>
      <c r="N119" s="281"/>
      <c r="O119" s="281"/>
      <c r="P119" s="281"/>
      <c r="Q119" s="281"/>
      <c r="R119" s="281"/>
      <c r="S119" s="281"/>
      <c r="T119" s="281"/>
      <c r="U119" s="281"/>
      <c r="V119" s="281"/>
      <c r="W119" s="281"/>
      <c r="X119" s="281"/>
      <c r="Y119" s="281"/>
      <c r="Z119" s="281"/>
    </row>
    <row r="120">
      <c r="A120" s="19"/>
      <c r="B120" s="281"/>
      <c r="C120" s="281"/>
      <c r="D120" s="281"/>
      <c r="E120" s="281"/>
      <c r="F120" s="281"/>
      <c r="G120" s="281"/>
      <c r="H120" s="281"/>
      <c r="I120" s="281"/>
      <c r="J120" s="281"/>
      <c r="K120" s="281"/>
      <c r="L120" s="281"/>
      <c r="M120" s="281"/>
      <c r="N120" s="281"/>
      <c r="O120" s="281"/>
      <c r="P120" s="281"/>
      <c r="Q120" s="281"/>
      <c r="R120" s="281"/>
      <c r="S120" s="281"/>
      <c r="T120" s="281"/>
      <c r="U120" s="281"/>
      <c r="V120" s="281"/>
      <c r="W120" s="281"/>
      <c r="X120" s="281"/>
      <c r="Y120" s="281"/>
      <c r="Z120" s="281"/>
    </row>
    <row r="121"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</row>
    <row r="122"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</row>
    <row r="123"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</row>
    <row r="124"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</row>
    <row r="125"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</row>
    <row r="126"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</row>
    <row r="128"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</row>
    <row r="129"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</row>
    <row r="130"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</row>
    <row r="131"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</row>
    <row r="132"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</row>
    <row r="133"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</row>
    <row r="134"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</row>
    <row r="135"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</row>
    <row r="136"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</row>
    <row r="137"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</row>
    <row r="138"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</row>
    <row r="139"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</row>
    <row r="140"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</row>
    <row r="141"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</row>
    <row r="142"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</row>
    <row r="143"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</row>
    <row r="144"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</row>
    <row r="145"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</row>
    <row r="146"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</row>
    <row r="147"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</row>
    <row r="148"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</row>
    <row r="150"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</row>
    <row r="151"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</row>
    <row r="152"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</row>
    <row r="153"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</row>
    <row r="154"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</row>
    <row r="155"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</row>
    <row r="156"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</row>
    <row r="157"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</row>
    <row r="158"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</row>
    <row r="159"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</row>
    <row r="160"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</row>
    <row r="161"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</row>
    <row r="162"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</row>
    <row r="163"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</row>
    <row r="164"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</row>
    <row r="165"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</row>
    <row r="166"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</row>
    <row r="167"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</row>
    <row r="168"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</row>
    <row r="169"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</row>
    <row r="170"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</row>
    <row r="171"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</row>
    <row r="172"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</row>
    <row r="174"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</row>
    <row r="175"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</row>
    <row r="176"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</row>
    <row r="177"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</row>
    <row r="178"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</row>
    <row r="179"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</row>
    <row r="180"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</row>
    <row r="181"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</row>
    <row r="182"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</row>
    <row r="183"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</row>
    <row r="184"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</row>
    <row r="185"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</row>
    <row r="186"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</row>
    <row r="187"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</row>
    <row r="188"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</row>
    <row r="189"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</row>
    <row r="190"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</row>
    <row r="191"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</row>
    <row r="192"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</row>
    <row r="193"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</row>
    <row r="194"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</row>
    <row r="195"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</row>
    <row r="196"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</row>
    <row r="197"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</row>
    <row r="199"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</row>
    <row r="200"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</row>
    <row r="201"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</row>
    <row r="202"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</row>
    <row r="203"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</row>
    <row r="204"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</row>
    <row r="205"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</row>
    <row r="206"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</row>
    <row r="207"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</row>
    <row r="208"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</row>
    <row r="209"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</row>
    <row r="210"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</row>
    <row r="211"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</row>
    <row r="212"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</row>
    <row r="213"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</row>
    <row r="214"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</row>
    <row r="215"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</row>
    <row r="216"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</row>
    <row r="217"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</row>
    <row r="218"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</row>
    <row r="219"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</row>
    <row r="220"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</row>
    <row r="221"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</row>
    <row r="222"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</row>
    <row r="224"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</row>
    <row r="225"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</row>
    <row r="226"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</row>
    <row r="227"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</row>
    <row r="228"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</row>
    <row r="229"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</row>
    <row r="230"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</row>
    <row r="231"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</row>
    <row r="232"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</row>
    <row r="233"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</row>
    <row r="234"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</row>
    <row r="235"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</row>
    <row r="236"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</row>
    <row r="237"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</row>
    <row r="238"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</row>
    <row r="239"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</row>
    <row r="240"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</row>
    <row r="241"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</row>
    <row r="242"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</row>
    <row r="243"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</row>
    <row r="244"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</row>
    <row r="245"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</row>
    <row r="246"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</row>
    <row r="248"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</row>
    <row r="249"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</row>
    <row r="250"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</row>
    <row r="251"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</row>
    <row r="252"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</row>
    <row r="253"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</row>
    <row r="254"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</row>
    <row r="255"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</row>
    <row r="256"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</row>
    <row r="257"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</row>
    <row r="258"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</row>
    <row r="259"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</row>
    <row r="260"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</row>
    <row r="261"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</row>
    <row r="262"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</row>
    <row r="263"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</row>
    <row r="264"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</row>
    <row r="265"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</row>
    <row r="266"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</row>
    <row r="267"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</row>
    <row r="268"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</row>
    <row r="269"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</row>
    <row r="271"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</row>
    <row r="272"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</row>
    <row r="273"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</row>
    <row r="274"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</row>
    <row r="275"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</row>
    <row r="276"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</row>
    <row r="277"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</row>
    <row r="278"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</row>
    <row r="279"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</row>
    <row r="280"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</row>
    <row r="281"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</row>
    <row r="282"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</row>
    <row r="283"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</row>
    <row r="284"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</row>
    <row r="285"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</row>
    <row r="286"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</row>
    <row r="287"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</row>
    <row r="288"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</row>
    <row r="289"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</row>
    <row r="290"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</row>
    <row r="291"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</row>
    <row r="292"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</row>
  </sheetData>
  <mergeCells count="4">
    <mergeCell ref="A1:L1"/>
    <mergeCell ref="A33:J33"/>
    <mergeCell ref="A59:H59"/>
    <mergeCell ref="A80:H80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93" t="s">
        <v>5230</v>
      </c>
    </row>
    <row r="2">
      <c r="A2" s="275" t="s">
        <v>16</v>
      </c>
      <c r="B2" s="275" t="s">
        <v>11</v>
      </c>
      <c r="C2" s="275" t="s">
        <v>15</v>
      </c>
      <c r="D2" s="275" t="s">
        <v>18</v>
      </c>
      <c r="E2" s="275" t="s">
        <v>21</v>
      </c>
      <c r="F2" s="275" t="s">
        <v>23</v>
      </c>
      <c r="G2" s="275" t="s">
        <v>9</v>
      </c>
      <c r="H2" s="275" t="s">
        <v>12</v>
      </c>
      <c r="I2" s="275" t="s">
        <v>20</v>
      </c>
      <c r="J2" s="275" t="s">
        <v>25</v>
      </c>
      <c r="K2" s="275" t="s">
        <v>27</v>
      </c>
      <c r="L2" s="275" t="s">
        <v>29</v>
      </c>
      <c r="M2" s="275" t="s">
        <v>30</v>
      </c>
      <c r="N2" s="275" t="s">
        <v>5231</v>
      </c>
    </row>
    <row r="3">
      <c r="A3" s="294" t="s">
        <v>4495</v>
      </c>
      <c r="B3" s="12" t="s">
        <v>2155</v>
      </c>
      <c r="C3" s="12" t="s">
        <v>1365</v>
      </c>
      <c r="D3" s="294" t="s">
        <v>2807</v>
      </c>
      <c r="E3" s="294" t="s">
        <v>2087</v>
      </c>
      <c r="F3" s="294" t="s">
        <v>5232</v>
      </c>
      <c r="G3" s="12" t="s">
        <v>5233</v>
      </c>
      <c r="H3" s="12" t="s">
        <v>5234</v>
      </c>
      <c r="I3" s="12" t="s">
        <v>1773</v>
      </c>
      <c r="J3" s="12" t="s">
        <v>689</v>
      </c>
      <c r="K3" s="12" t="s">
        <v>4501</v>
      </c>
      <c r="M3" s="12" t="s">
        <v>5235</v>
      </c>
      <c r="N3" s="12" t="s">
        <v>1220</v>
      </c>
    </row>
    <row r="4">
      <c r="A4" s="295" t="s">
        <v>5236</v>
      </c>
      <c r="B4" s="12" t="s">
        <v>71</v>
      </c>
      <c r="C4" s="12" t="s">
        <v>5237</v>
      </c>
      <c r="D4" s="12" t="s">
        <v>5238</v>
      </c>
      <c r="E4" s="12" t="s">
        <v>5239</v>
      </c>
      <c r="F4" s="12" t="s">
        <v>5240</v>
      </c>
      <c r="G4" s="12" t="s">
        <v>1049</v>
      </c>
      <c r="H4" s="12" t="s">
        <v>1177</v>
      </c>
      <c r="I4" s="12" t="s">
        <v>5241</v>
      </c>
      <c r="J4" s="12" t="s">
        <v>805</v>
      </c>
      <c r="K4" s="12" t="s">
        <v>3641</v>
      </c>
      <c r="M4" s="12" t="s">
        <v>3471</v>
      </c>
      <c r="N4" s="12" t="s">
        <v>1226</v>
      </c>
    </row>
    <row r="5">
      <c r="A5" s="295" t="s">
        <v>3519</v>
      </c>
      <c r="B5" s="12" t="s">
        <v>3473</v>
      </c>
      <c r="C5" s="12" t="s">
        <v>5242</v>
      </c>
      <c r="D5" s="12" t="s">
        <v>5243</v>
      </c>
      <c r="E5" s="12" t="s">
        <v>5244</v>
      </c>
      <c r="F5" s="12" t="s">
        <v>5245</v>
      </c>
      <c r="G5" s="12" t="s">
        <v>1148</v>
      </c>
      <c r="H5" s="12" t="s">
        <v>5246</v>
      </c>
      <c r="I5" s="12" t="s">
        <v>2270</v>
      </c>
      <c r="J5" s="12" t="s">
        <v>5247</v>
      </c>
      <c r="K5" s="12" t="s">
        <v>2640</v>
      </c>
      <c r="M5" s="12" t="s">
        <v>3326</v>
      </c>
      <c r="N5" s="12" t="s">
        <v>5248</v>
      </c>
    </row>
    <row r="6">
      <c r="A6" s="295" t="s">
        <v>5249</v>
      </c>
      <c r="B6" s="12" t="s">
        <v>5250</v>
      </c>
      <c r="C6" s="12" t="s">
        <v>1383</v>
      </c>
      <c r="D6" s="12" t="s">
        <v>5251</v>
      </c>
      <c r="E6" s="12" t="s">
        <v>5252</v>
      </c>
      <c r="F6" s="12" t="s">
        <v>5253</v>
      </c>
      <c r="G6" s="12" t="s">
        <v>4544</v>
      </c>
      <c r="H6" s="12" t="s">
        <v>5254</v>
      </c>
      <c r="I6" s="12" t="s">
        <v>5255</v>
      </c>
      <c r="J6" s="12" t="s">
        <v>5256</v>
      </c>
      <c r="K6" s="12" t="s">
        <v>2675</v>
      </c>
      <c r="M6" s="12" t="s">
        <v>5257</v>
      </c>
      <c r="N6" s="12" t="s">
        <v>1330</v>
      </c>
    </row>
    <row r="7">
      <c r="A7" s="295" t="s">
        <v>5258</v>
      </c>
      <c r="B7" s="12" t="s">
        <v>128</v>
      </c>
      <c r="C7" s="12" t="s">
        <v>1389</v>
      </c>
      <c r="D7" s="12" t="s">
        <v>5259</v>
      </c>
      <c r="E7" s="12" t="s">
        <v>3659</v>
      </c>
      <c r="F7" s="12" t="s">
        <v>5260</v>
      </c>
      <c r="G7" s="12" t="s">
        <v>5261</v>
      </c>
      <c r="H7" s="12" t="s">
        <v>806</v>
      </c>
      <c r="I7" s="12" t="s">
        <v>4572</v>
      </c>
      <c r="J7" s="12" t="s">
        <v>5262</v>
      </c>
      <c r="K7" s="12" t="s">
        <v>3664</v>
      </c>
      <c r="M7" s="12" t="s">
        <v>5263</v>
      </c>
      <c r="N7" s="12" t="s">
        <v>5264</v>
      </c>
    </row>
    <row r="8">
      <c r="A8" s="295" t="s">
        <v>5265</v>
      </c>
      <c r="B8" s="12" t="s">
        <v>5266</v>
      </c>
      <c r="C8" s="12" t="s">
        <v>1395</v>
      </c>
      <c r="D8" s="12" t="s">
        <v>5267</v>
      </c>
      <c r="E8" s="12" t="s">
        <v>5268</v>
      </c>
      <c r="F8" s="12" t="s">
        <v>5269</v>
      </c>
      <c r="G8" s="12" t="s">
        <v>4581</v>
      </c>
      <c r="H8" s="12" t="s">
        <v>5270</v>
      </c>
      <c r="I8" s="12" t="s">
        <v>5271</v>
      </c>
      <c r="J8" s="12" t="s">
        <v>5272</v>
      </c>
      <c r="K8" s="12" t="s">
        <v>3486</v>
      </c>
      <c r="M8" s="12" t="s">
        <v>5273</v>
      </c>
      <c r="N8" s="12" t="s">
        <v>5274</v>
      </c>
    </row>
    <row r="9">
      <c r="A9" s="295" t="s">
        <v>5275</v>
      </c>
      <c r="B9" s="12" t="s">
        <v>5276</v>
      </c>
      <c r="C9" s="12" t="s">
        <v>1399</v>
      </c>
      <c r="D9" s="12" t="s">
        <v>5277</v>
      </c>
      <c r="E9" s="12" t="s">
        <v>5278</v>
      </c>
      <c r="F9" s="12" t="s">
        <v>5279</v>
      </c>
      <c r="G9" s="12" t="s">
        <v>413</v>
      </c>
      <c r="H9" s="12" t="s">
        <v>5280</v>
      </c>
      <c r="I9" s="12" t="s">
        <v>1811</v>
      </c>
      <c r="J9" s="12" t="s">
        <v>5281</v>
      </c>
      <c r="K9" s="12" t="s">
        <v>3686</v>
      </c>
      <c r="M9" s="12" t="s">
        <v>5282</v>
      </c>
      <c r="N9" s="12" t="s">
        <v>5283</v>
      </c>
    </row>
    <row r="10">
      <c r="A10" s="295" t="s">
        <v>5284</v>
      </c>
      <c r="B10" s="12" t="s">
        <v>182</v>
      </c>
      <c r="C10" s="12" t="s">
        <v>1402</v>
      </c>
      <c r="D10" s="12" t="s">
        <v>5285</v>
      </c>
      <c r="E10" s="12" t="s">
        <v>5286</v>
      </c>
      <c r="F10" s="12" t="s">
        <v>5287</v>
      </c>
      <c r="G10" s="12" t="s">
        <v>5288</v>
      </c>
      <c r="H10" s="12" t="s">
        <v>3501</v>
      </c>
      <c r="I10" s="12" t="s">
        <v>5289</v>
      </c>
      <c r="J10" s="12" t="s">
        <v>5290</v>
      </c>
      <c r="K10" s="12" t="s">
        <v>5291</v>
      </c>
      <c r="M10" s="12" t="s">
        <v>5292</v>
      </c>
      <c r="N10" s="12" t="s">
        <v>5293</v>
      </c>
    </row>
    <row r="11">
      <c r="A11" s="295" t="s">
        <v>5294</v>
      </c>
      <c r="B11" s="12" t="s">
        <v>213</v>
      </c>
      <c r="C11" s="12" t="s">
        <v>5295</v>
      </c>
      <c r="D11" s="12" t="s">
        <v>5296</v>
      </c>
      <c r="E11" s="12" t="s">
        <v>5297</v>
      </c>
      <c r="F11" s="12" t="s">
        <v>5298</v>
      </c>
      <c r="G11" s="12" t="s">
        <v>5299</v>
      </c>
      <c r="H11" s="12" t="s">
        <v>5300</v>
      </c>
      <c r="I11" s="12" t="s">
        <v>5301</v>
      </c>
      <c r="J11" s="12" t="s">
        <v>5302</v>
      </c>
      <c r="K11" s="12" t="s">
        <v>5303</v>
      </c>
      <c r="M11" s="12" t="s">
        <v>5304</v>
      </c>
      <c r="N11" s="12" t="s">
        <v>5305</v>
      </c>
    </row>
    <row r="12">
      <c r="A12" s="295" t="s">
        <v>5306</v>
      </c>
      <c r="B12" s="12" t="s">
        <v>233</v>
      </c>
      <c r="C12" s="12" t="s">
        <v>1407</v>
      </c>
      <c r="D12" s="12" t="s">
        <v>5307</v>
      </c>
      <c r="E12" s="12" t="s">
        <v>5308</v>
      </c>
      <c r="F12" s="12" t="s">
        <v>5309</v>
      </c>
      <c r="G12" s="12" t="s">
        <v>5310</v>
      </c>
      <c r="H12" s="12" t="s">
        <v>5311</v>
      </c>
      <c r="I12" s="12" t="s">
        <v>5312</v>
      </c>
      <c r="J12" s="12" t="s">
        <v>5313</v>
      </c>
      <c r="K12" s="12" t="s">
        <v>3716</v>
      </c>
      <c r="M12" s="12" t="s">
        <v>5314</v>
      </c>
      <c r="N12" s="12" t="s">
        <v>5315</v>
      </c>
    </row>
    <row r="13">
      <c r="A13" s="295" t="s">
        <v>5316</v>
      </c>
      <c r="B13" s="12" t="s">
        <v>5317</v>
      </c>
      <c r="C13" s="12" t="s">
        <v>1411</v>
      </c>
      <c r="D13" s="12" t="s">
        <v>5318</v>
      </c>
      <c r="E13" s="12"/>
      <c r="F13" s="12" t="s">
        <v>5319</v>
      </c>
      <c r="G13" s="12" t="s">
        <v>4646</v>
      </c>
      <c r="H13" s="12" t="s">
        <v>5320</v>
      </c>
      <c r="I13" s="12" t="s">
        <v>5321</v>
      </c>
      <c r="J13" s="12" t="s">
        <v>5322</v>
      </c>
      <c r="K13" s="12" t="s">
        <v>5323</v>
      </c>
      <c r="M13" s="12" t="s">
        <v>5324</v>
      </c>
      <c r="N13" s="12" t="s">
        <v>5325</v>
      </c>
    </row>
    <row r="14">
      <c r="A14" s="295" t="s">
        <v>5326</v>
      </c>
      <c r="B14" s="12" t="s">
        <v>260</v>
      </c>
      <c r="C14" s="12" t="s">
        <v>5327</v>
      </c>
      <c r="D14" s="12" t="s">
        <v>5328</v>
      </c>
      <c r="F14" s="12" t="s">
        <v>5329</v>
      </c>
      <c r="G14" s="12" t="s">
        <v>5330</v>
      </c>
      <c r="H14" s="12" t="s">
        <v>5331</v>
      </c>
      <c r="I14" s="12" t="s">
        <v>5332</v>
      </c>
      <c r="J14" s="12" t="s">
        <v>4126</v>
      </c>
      <c r="K14" s="12" t="s">
        <v>5333</v>
      </c>
      <c r="M14" s="12" t="s">
        <v>5334</v>
      </c>
      <c r="N14" s="12" t="s">
        <v>5335</v>
      </c>
    </row>
    <row r="15">
      <c r="A15" s="295" t="s">
        <v>5336</v>
      </c>
      <c r="B15" s="12" t="s">
        <v>5337</v>
      </c>
      <c r="C15" s="12" t="s">
        <v>1416</v>
      </c>
      <c r="D15" s="12" t="s">
        <v>5338</v>
      </c>
      <c r="F15" s="12" t="s">
        <v>5339</v>
      </c>
      <c r="G15" s="12" t="s">
        <v>5340</v>
      </c>
      <c r="H15" s="12" t="s">
        <v>5341</v>
      </c>
      <c r="I15" s="12" t="s">
        <v>5342</v>
      </c>
      <c r="J15" s="12" t="s">
        <v>5343</v>
      </c>
      <c r="K15" s="12" t="s">
        <v>5344</v>
      </c>
      <c r="M15" s="12" t="s">
        <v>5345</v>
      </c>
    </row>
    <row r="16">
      <c r="A16" s="295" t="s">
        <v>5346</v>
      </c>
      <c r="B16" s="12" t="s">
        <v>296</v>
      </c>
      <c r="C16" s="12" t="s">
        <v>1419</v>
      </c>
      <c r="D16" s="12" t="s">
        <v>5347</v>
      </c>
      <c r="G16" s="12" t="s">
        <v>5348</v>
      </c>
      <c r="I16" s="12" t="s">
        <v>5349</v>
      </c>
      <c r="J16" s="12" t="s">
        <v>5350</v>
      </c>
      <c r="K16" s="12" t="s">
        <v>3751</v>
      </c>
      <c r="M16" s="12" t="s">
        <v>5351</v>
      </c>
    </row>
    <row r="17">
      <c r="A17" s="12" t="s">
        <v>5352</v>
      </c>
      <c r="B17" s="12" t="s">
        <v>317</v>
      </c>
      <c r="C17" s="12" t="s">
        <v>1421</v>
      </c>
      <c r="F17" s="11" t="s">
        <v>5353</v>
      </c>
      <c r="G17" s="12" t="s">
        <v>5354</v>
      </c>
      <c r="H17" s="11" t="s">
        <v>5355</v>
      </c>
      <c r="I17" s="12" t="s">
        <v>5356</v>
      </c>
      <c r="J17" s="12" t="s">
        <v>5357</v>
      </c>
      <c r="K17" s="12" t="s">
        <v>5358</v>
      </c>
      <c r="M17" s="12" t="s">
        <v>5359</v>
      </c>
    </row>
    <row r="18">
      <c r="B18" s="12" t="s">
        <v>5360</v>
      </c>
      <c r="C18" s="12" t="s">
        <v>5361</v>
      </c>
      <c r="D18" s="12" t="s">
        <v>5362</v>
      </c>
      <c r="F18" s="12" t="s">
        <v>2807</v>
      </c>
      <c r="G18" s="12" t="s">
        <v>4608</v>
      </c>
      <c r="H18" s="12" t="s">
        <v>5363</v>
      </c>
      <c r="I18" s="12" t="s">
        <v>5364</v>
      </c>
      <c r="J18" s="12" t="s">
        <v>5365</v>
      </c>
      <c r="K18" s="12" t="s">
        <v>5366</v>
      </c>
    </row>
    <row r="19">
      <c r="B19" s="12" t="s">
        <v>5367</v>
      </c>
      <c r="C19" s="12" t="s">
        <v>1423</v>
      </c>
      <c r="D19" s="11" t="s">
        <v>5368</v>
      </c>
      <c r="F19" s="12" t="s">
        <v>5369</v>
      </c>
      <c r="G19" s="12" t="s">
        <v>5370</v>
      </c>
      <c r="H19" s="12" t="s">
        <v>5371</v>
      </c>
      <c r="I19" s="12" t="s">
        <v>5372</v>
      </c>
      <c r="K19" s="12" t="s">
        <v>4726</v>
      </c>
      <c r="M19" s="11" t="s">
        <v>5373</v>
      </c>
    </row>
    <row r="20">
      <c r="B20" s="12" t="s">
        <v>383</v>
      </c>
      <c r="C20" s="12" t="s">
        <v>1426</v>
      </c>
      <c r="D20" s="12" t="s">
        <v>2430</v>
      </c>
      <c r="F20" s="12" t="s">
        <v>5374</v>
      </c>
      <c r="G20" s="12" t="s">
        <v>5375</v>
      </c>
      <c r="H20" s="12" t="s">
        <v>5376</v>
      </c>
      <c r="I20" s="12" t="s">
        <v>5377</v>
      </c>
      <c r="M20" s="33" t="s">
        <v>3433</v>
      </c>
    </row>
    <row r="21">
      <c r="B21" s="12" t="s">
        <v>409</v>
      </c>
      <c r="D21" s="12" t="s">
        <v>5378</v>
      </c>
      <c r="F21" s="12" t="s">
        <v>5379</v>
      </c>
      <c r="G21" s="12" t="s">
        <v>5380</v>
      </c>
      <c r="H21" s="12" t="s">
        <v>5381</v>
      </c>
      <c r="I21" s="12" t="s">
        <v>5382</v>
      </c>
      <c r="J21" s="11" t="s">
        <v>5383</v>
      </c>
      <c r="M21" s="33" t="s">
        <v>3370</v>
      </c>
    </row>
    <row r="22">
      <c r="B22" s="12" t="s">
        <v>5384</v>
      </c>
      <c r="D22" s="12" t="s">
        <v>3096</v>
      </c>
      <c r="F22" s="12" t="s">
        <v>5385</v>
      </c>
      <c r="G22" s="12" t="s">
        <v>459</v>
      </c>
      <c r="I22" s="12" t="s">
        <v>5386</v>
      </c>
      <c r="J22" s="12" t="s">
        <v>2739</v>
      </c>
      <c r="M22" s="33" t="s">
        <v>5387</v>
      </c>
    </row>
    <row r="23">
      <c r="B23" s="12" t="s">
        <v>453</v>
      </c>
      <c r="F23" s="12" t="s">
        <v>5388</v>
      </c>
      <c r="J23" s="12" t="s">
        <v>5389</v>
      </c>
      <c r="M23" s="33" t="s">
        <v>5390</v>
      </c>
    </row>
    <row r="24">
      <c r="B24" s="12" t="s">
        <v>5391</v>
      </c>
      <c r="F24" s="12" t="s">
        <v>5392</v>
      </c>
      <c r="M24" s="33"/>
    </row>
    <row r="25">
      <c r="B25" s="12" t="s">
        <v>5393</v>
      </c>
      <c r="M25" s="33"/>
    </row>
    <row r="26">
      <c r="M26" s="33"/>
    </row>
    <row r="27">
      <c r="M27" s="33"/>
    </row>
    <row r="28">
      <c r="M28" s="33"/>
    </row>
    <row r="31">
      <c r="A31" s="293" t="s">
        <v>5394</v>
      </c>
    </row>
    <row r="32">
      <c r="A32" s="85" t="s">
        <v>959</v>
      </c>
      <c r="B32" s="85" t="s">
        <v>960</v>
      </c>
      <c r="C32" s="85" t="s">
        <v>963</v>
      </c>
      <c r="D32" s="85" t="s">
        <v>964</v>
      </c>
      <c r="E32" s="85" t="s">
        <v>966</v>
      </c>
      <c r="F32" s="85" t="s">
        <v>967</v>
      </c>
      <c r="G32" s="111" t="s">
        <v>969</v>
      </c>
      <c r="H32" s="107" t="s">
        <v>972</v>
      </c>
      <c r="I32" s="107" t="s">
        <v>975</v>
      </c>
      <c r="J32" s="107" t="s">
        <v>976</v>
      </c>
    </row>
    <row r="33">
      <c r="A33" s="58" t="s">
        <v>5395</v>
      </c>
      <c r="B33" s="58" t="s">
        <v>5396</v>
      </c>
      <c r="C33" s="58" t="s">
        <v>5397</v>
      </c>
      <c r="D33" s="58" t="s">
        <v>5398</v>
      </c>
      <c r="E33" s="58" t="s">
        <v>5399</v>
      </c>
      <c r="F33" s="58" t="s">
        <v>5400</v>
      </c>
      <c r="G33" s="58" t="s">
        <v>5401</v>
      </c>
      <c r="H33" s="58" t="s">
        <v>5402</v>
      </c>
      <c r="I33" s="58" t="s">
        <v>5403</v>
      </c>
      <c r="J33" s="58" t="s">
        <v>5404</v>
      </c>
      <c r="K33" s="113"/>
    </row>
    <row r="34">
      <c r="A34" s="58" t="s">
        <v>5405</v>
      </c>
      <c r="B34" s="58" t="s">
        <v>5406</v>
      </c>
      <c r="C34" s="58" t="s">
        <v>5407</v>
      </c>
      <c r="D34" s="58" t="s">
        <v>5408</v>
      </c>
      <c r="E34" s="58" t="s">
        <v>5409</v>
      </c>
      <c r="F34" s="58" t="s">
        <v>5410</v>
      </c>
      <c r="G34" s="58" t="s">
        <v>5411</v>
      </c>
      <c r="H34" s="58" t="s">
        <v>5412</v>
      </c>
      <c r="I34" s="58" t="s">
        <v>5413</v>
      </c>
      <c r="J34" s="58" t="s">
        <v>5414</v>
      </c>
      <c r="K34" s="113"/>
    </row>
    <row r="35">
      <c r="A35" s="58" t="s">
        <v>5415</v>
      </c>
      <c r="B35" s="58" t="s">
        <v>5416</v>
      </c>
      <c r="C35" s="58" t="s">
        <v>5417</v>
      </c>
      <c r="D35" s="58" t="s">
        <v>5418</v>
      </c>
      <c r="E35" s="58" t="s">
        <v>5419</v>
      </c>
      <c r="F35" s="58" t="s">
        <v>5420</v>
      </c>
      <c r="G35" s="58" t="s">
        <v>5421</v>
      </c>
      <c r="H35" s="58" t="s">
        <v>5422</v>
      </c>
      <c r="I35" s="58" t="s">
        <v>5423</v>
      </c>
      <c r="J35" s="58" t="s">
        <v>5424</v>
      </c>
      <c r="K35" s="113"/>
    </row>
    <row r="36">
      <c r="A36" s="58" t="s">
        <v>5425</v>
      </c>
      <c r="B36" s="58" t="s">
        <v>5426</v>
      </c>
      <c r="C36" s="58" t="s">
        <v>5427</v>
      </c>
      <c r="D36" s="58" t="s">
        <v>5428</v>
      </c>
      <c r="E36" s="58" t="s">
        <v>5429</v>
      </c>
      <c r="F36" s="58" t="s">
        <v>5430</v>
      </c>
      <c r="G36" s="58" t="s">
        <v>5431</v>
      </c>
      <c r="H36" s="58" t="s">
        <v>5432</v>
      </c>
      <c r="I36" s="58" t="s">
        <v>5433</v>
      </c>
      <c r="J36" s="58" t="s">
        <v>5434</v>
      </c>
      <c r="K36" s="113"/>
    </row>
    <row r="37">
      <c r="A37" s="58" t="s">
        <v>5435</v>
      </c>
      <c r="B37" s="58" t="s">
        <v>5436</v>
      </c>
      <c r="C37" s="58" t="s">
        <v>5437</v>
      </c>
      <c r="D37" s="58" t="s">
        <v>5438</v>
      </c>
      <c r="E37" s="58" t="s">
        <v>5439</v>
      </c>
      <c r="F37" s="58" t="s">
        <v>5440</v>
      </c>
      <c r="G37" s="58" t="s">
        <v>5441</v>
      </c>
      <c r="H37" s="58" t="s">
        <v>5442</v>
      </c>
      <c r="I37" s="58" t="s">
        <v>5443</v>
      </c>
      <c r="J37" s="58" t="s">
        <v>5444</v>
      </c>
      <c r="K37" s="113"/>
    </row>
    <row r="38">
      <c r="A38" s="58" t="s">
        <v>5445</v>
      </c>
      <c r="B38" s="58" t="s">
        <v>5446</v>
      </c>
      <c r="C38" s="58" t="s">
        <v>5447</v>
      </c>
      <c r="D38" s="58" t="s">
        <v>5448</v>
      </c>
      <c r="E38" s="58" t="s">
        <v>5449</v>
      </c>
      <c r="F38" s="58" t="s">
        <v>5450</v>
      </c>
      <c r="G38" s="58" t="s">
        <v>5451</v>
      </c>
      <c r="H38" s="58" t="s">
        <v>5452</v>
      </c>
      <c r="I38" s="58" t="s">
        <v>5453</v>
      </c>
      <c r="J38" s="58" t="s">
        <v>5454</v>
      </c>
      <c r="K38" s="113"/>
    </row>
    <row r="39">
      <c r="A39" s="58" t="s">
        <v>5455</v>
      </c>
      <c r="B39" s="58" t="s">
        <v>5456</v>
      </c>
      <c r="C39" s="58" t="s">
        <v>5457</v>
      </c>
      <c r="D39" s="58" t="s">
        <v>5458</v>
      </c>
      <c r="E39" s="58" t="s">
        <v>5459</v>
      </c>
      <c r="F39" s="58" t="s">
        <v>5460</v>
      </c>
      <c r="G39" s="58" t="s">
        <v>5461</v>
      </c>
      <c r="H39" s="58" t="s">
        <v>5462</v>
      </c>
      <c r="I39" s="58" t="s">
        <v>5463</v>
      </c>
      <c r="J39" s="58" t="s">
        <v>5464</v>
      </c>
      <c r="K39" s="113"/>
    </row>
    <row r="40">
      <c r="A40" s="58" t="s">
        <v>5465</v>
      </c>
      <c r="B40" s="58" t="s">
        <v>5466</v>
      </c>
      <c r="C40" s="58" t="s">
        <v>5467</v>
      </c>
      <c r="D40" s="58" t="s">
        <v>5468</v>
      </c>
      <c r="E40" s="58" t="s">
        <v>5469</v>
      </c>
      <c r="F40" s="58" t="s">
        <v>5470</v>
      </c>
      <c r="G40" s="58" t="s">
        <v>5471</v>
      </c>
      <c r="H40" s="58" t="s">
        <v>5472</v>
      </c>
      <c r="I40" s="58" t="s">
        <v>5473</v>
      </c>
      <c r="J40" s="58" t="s">
        <v>5474</v>
      </c>
      <c r="K40" s="113"/>
    </row>
    <row r="41">
      <c r="A41" s="58" t="s">
        <v>5475</v>
      </c>
      <c r="B41" s="58" t="s">
        <v>5476</v>
      </c>
      <c r="C41" s="58" t="s">
        <v>5477</v>
      </c>
      <c r="D41" s="58" t="s">
        <v>5478</v>
      </c>
      <c r="E41" s="58" t="s">
        <v>5479</v>
      </c>
      <c r="F41" s="58" t="s">
        <v>5480</v>
      </c>
      <c r="G41" s="58" t="s">
        <v>5481</v>
      </c>
      <c r="H41" s="58" t="s">
        <v>5482</v>
      </c>
      <c r="I41" s="58" t="s">
        <v>5483</v>
      </c>
      <c r="J41" s="58" t="s">
        <v>5484</v>
      </c>
      <c r="K41" s="113"/>
    </row>
    <row r="42">
      <c r="A42" s="58" t="s">
        <v>5485</v>
      </c>
      <c r="B42" s="58" t="s">
        <v>5486</v>
      </c>
      <c r="C42" s="58" t="s">
        <v>5487</v>
      </c>
      <c r="D42" s="58" t="s">
        <v>5488</v>
      </c>
      <c r="E42" s="58" t="s">
        <v>5489</v>
      </c>
      <c r="F42" s="58" t="s">
        <v>5490</v>
      </c>
      <c r="G42" s="58" t="s">
        <v>5491</v>
      </c>
      <c r="H42" s="58" t="s">
        <v>5492</v>
      </c>
      <c r="I42" s="58" t="s">
        <v>5493</v>
      </c>
      <c r="J42" s="58" t="s">
        <v>5494</v>
      </c>
      <c r="K42" s="113"/>
    </row>
    <row r="43">
      <c r="A43" s="58" t="s">
        <v>5495</v>
      </c>
      <c r="B43" s="58" t="s">
        <v>5496</v>
      </c>
      <c r="C43" s="58" t="s">
        <v>5497</v>
      </c>
      <c r="D43" s="58" t="s">
        <v>5498</v>
      </c>
      <c r="E43" s="58" t="s">
        <v>5499</v>
      </c>
      <c r="F43" s="58" t="s">
        <v>5500</v>
      </c>
      <c r="G43" s="58" t="s">
        <v>5501</v>
      </c>
      <c r="H43" s="58" t="s">
        <v>5502</v>
      </c>
      <c r="I43" s="58" t="s">
        <v>5503</v>
      </c>
      <c r="J43" s="58" t="s">
        <v>5504</v>
      </c>
      <c r="K43" s="113"/>
    </row>
    <row r="44">
      <c r="A44" s="58" t="s">
        <v>5505</v>
      </c>
      <c r="B44" s="58" t="s">
        <v>5506</v>
      </c>
      <c r="C44" s="58" t="s">
        <v>5507</v>
      </c>
      <c r="D44" s="58" t="s">
        <v>5508</v>
      </c>
      <c r="E44" s="58" t="s">
        <v>5509</v>
      </c>
      <c r="F44" s="58" t="s">
        <v>5510</v>
      </c>
      <c r="G44" s="58" t="s">
        <v>5511</v>
      </c>
      <c r="H44" s="58" t="s">
        <v>5512</v>
      </c>
      <c r="I44" s="58" t="s">
        <v>5513</v>
      </c>
      <c r="J44" s="58" t="s">
        <v>5514</v>
      </c>
      <c r="K44" s="113"/>
    </row>
    <row r="45">
      <c r="A45" s="58" t="s">
        <v>5515</v>
      </c>
      <c r="B45" s="58" t="s">
        <v>5516</v>
      </c>
      <c r="C45" s="58" t="s">
        <v>5517</v>
      </c>
      <c r="D45" s="58" t="s">
        <v>5518</v>
      </c>
      <c r="E45" s="58" t="s">
        <v>5519</v>
      </c>
      <c r="F45" s="58" t="s">
        <v>5520</v>
      </c>
      <c r="G45" s="58" t="s">
        <v>5521</v>
      </c>
      <c r="H45" s="58" t="s">
        <v>5522</v>
      </c>
      <c r="I45" s="58" t="s">
        <v>5523</v>
      </c>
      <c r="J45" s="58" t="s">
        <v>5524</v>
      </c>
      <c r="K45" s="113"/>
    </row>
    <row r="46">
      <c r="A46" s="58" t="s">
        <v>5525</v>
      </c>
      <c r="B46" s="58" t="s">
        <v>5526</v>
      </c>
      <c r="C46" s="58" t="s">
        <v>5527</v>
      </c>
      <c r="D46" s="58" t="s">
        <v>5528</v>
      </c>
      <c r="E46" s="58" t="s">
        <v>5529</v>
      </c>
      <c r="F46" s="58" t="s">
        <v>5530</v>
      </c>
      <c r="G46" s="58" t="s">
        <v>5531</v>
      </c>
      <c r="H46" s="58" t="s">
        <v>5532</v>
      </c>
      <c r="I46" s="58" t="s">
        <v>5533</v>
      </c>
      <c r="J46" s="58" t="s">
        <v>5534</v>
      </c>
      <c r="K46" s="113"/>
    </row>
    <row r="47">
      <c r="A47" s="58" t="s">
        <v>5535</v>
      </c>
      <c r="B47" s="58" t="s">
        <v>5536</v>
      </c>
      <c r="C47" s="58" t="s">
        <v>5537</v>
      </c>
      <c r="D47" s="58" t="s">
        <v>5538</v>
      </c>
      <c r="E47" s="58" t="s">
        <v>5539</v>
      </c>
      <c r="F47" s="58" t="s">
        <v>5540</v>
      </c>
      <c r="G47" s="58" t="s">
        <v>5541</v>
      </c>
      <c r="H47" s="58" t="s">
        <v>5542</v>
      </c>
      <c r="I47" s="58" t="s">
        <v>5543</v>
      </c>
      <c r="J47" s="58" t="s">
        <v>5544</v>
      </c>
      <c r="K47" s="113"/>
    </row>
    <row r="48">
      <c r="A48" s="58" t="s">
        <v>5545</v>
      </c>
      <c r="B48" s="58" t="s">
        <v>5546</v>
      </c>
      <c r="C48" s="58" t="s">
        <v>5547</v>
      </c>
      <c r="D48" s="58" t="s">
        <v>5548</v>
      </c>
      <c r="E48" s="58" t="s">
        <v>5549</v>
      </c>
      <c r="F48" s="58" t="s">
        <v>5550</v>
      </c>
      <c r="G48" s="58" t="s">
        <v>5551</v>
      </c>
      <c r="H48" s="58" t="s">
        <v>5552</v>
      </c>
      <c r="I48" s="58" t="s">
        <v>5553</v>
      </c>
      <c r="J48" s="58" t="s">
        <v>5554</v>
      </c>
      <c r="K48" s="113"/>
    </row>
    <row r="49">
      <c r="A49" s="58" t="s">
        <v>5555</v>
      </c>
      <c r="B49" s="58" t="s">
        <v>5556</v>
      </c>
      <c r="C49" s="58" t="s">
        <v>5557</v>
      </c>
      <c r="D49" s="58" t="s">
        <v>5558</v>
      </c>
      <c r="E49" s="58" t="s">
        <v>5559</v>
      </c>
      <c r="F49" s="58" t="s">
        <v>5560</v>
      </c>
      <c r="G49" s="58" t="s">
        <v>5561</v>
      </c>
      <c r="H49" s="58" t="s">
        <v>5562</v>
      </c>
      <c r="I49" s="58" t="s">
        <v>5563</v>
      </c>
      <c r="J49" s="58" t="s">
        <v>5564</v>
      </c>
      <c r="K49" s="113"/>
    </row>
    <row r="50">
      <c r="A50" s="58" t="s">
        <v>5565</v>
      </c>
      <c r="B50" s="58" t="s">
        <v>5566</v>
      </c>
      <c r="C50" s="58" t="s">
        <v>5567</v>
      </c>
      <c r="D50" s="58" t="s">
        <v>5568</v>
      </c>
      <c r="E50" s="58" t="s">
        <v>5569</v>
      </c>
      <c r="F50" s="58" t="s">
        <v>5570</v>
      </c>
      <c r="G50" s="58" t="s">
        <v>5571</v>
      </c>
      <c r="H50" s="58" t="s">
        <v>5572</v>
      </c>
      <c r="I50" s="58" t="s">
        <v>5573</v>
      </c>
      <c r="J50" s="58" t="s">
        <v>5574</v>
      </c>
      <c r="K50" s="113"/>
    </row>
    <row r="5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</row>
    <row r="52">
      <c r="A52" s="58"/>
      <c r="B52" s="113"/>
      <c r="C52" s="113"/>
      <c r="D52" s="113"/>
      <c r="E52" s="113"/>
      <c r="F52" s="113"/>
      <c r="G52" s="113"/>
      <c r="H52" s="113"/>
      <c r="I52" s="113"/>
      <c r="J52" s="113"/>
      <c r="K52" s="113"/>
    </row>
    <row r="53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</row>
    <row r="54">
      <c r="A54" s="219" t="s">
        <v>3640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270" t="s">
        <v>2998</v>
      </c>
      <c r="B55" s="270" t="s">
        <v>3066</v>
      </c>
      <c r="C55" s="186" t="s">
        <v>3067</v>
      </c>
      <c r="D55" s="270" t="s">
        <v>2999</v>
      </c>
      <c r="E55" s="270" t="s">
        <v>85</v>
      </c>
      <c r="F55" s="270" t="s">
        <v>3069</v>
      </c>
      <c r="G55" s="270" t="s">
        <v>705</v>
      </c>
      <c r="H55" s="270" t="s">
        <v>696</v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4" t="s">
        <v>5575</v>
      </c>
      <c r="B56" s="14" t="s">
        <v>5576</v>
      </c>
      <c r="C56" s="14" t="s">
        <v>538</v>
      </c>
      <c r="D56" s="14" t="s">
        <v>5577</v>
      </c>
      <c r="E56" s="14" t="s">
        <v>722</v>
      </c>
      <c r="F56" s="14" t="s">
        <v>5578</v>
      </c>
      <c r="G56" s="14" t="s">
        <v>5578</v>
      </c>
      <c r="H56" s="14" t="s">
        <v>5579</v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4" t="s">
        <v>5580</v>
      </c>
      <c r="B57" s="14" t="s">
        <v>5576</v>
      </c>
      <c r="C57" s="14" t="s">
        <v>521</v>
      </c>
      <c r="D57" s="14" t="s">
        <v>5581</v>
      </c>
      <c r="E57" s="14" t="s">
        <v>3691</v>
      </c>
      <c r="F57" s="14" t="s">
        <v>5582</v>
      </c>
      <c r="G57" s="14" t="s">
        <v>5583</v>
      </c>
      <c r="H57" s="14" t="s">
        <v>5582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4" t="s">
        <v>5584</v>
      </c>
      <c r="B58" s="14" t="s">
        <v>5576</v>
      </c>
      <c r="C58" s="14" t="s">
        <v>1287</v>
      </c>
      <c r="D58" s="14" t="s">
        <v>5585</v>
      </c>
      <c r="E58" s="14" t="s">
        <v>755</v>
      </c>
      <c r="F58" s="14" t="s">
        <v>5586</v>
      </c>
      <c r="G58" s="14" t="s">
        <v>5587</v>
      </c>
      <c r="H58" s="14" t="s">
        <v>5586</v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4" t="s">
        <v>5588</v>
      </c>
      <c r="B59" s="14" t="s">
        <v>5576</v>
      </c>
      <c r="C59" s="14" t="s">
        <v>5589</v>
      </c>
      <c r="D59" s="14" t="s">
        <v>5590</v>
      </c>
      <c r="E59" s="14" t="s">
        <v>958</v>
      </c>
      <c r="F59" s="14" t="s">
        <v>5591</v>
      </c>
      <c r="G59" s="14" t="s">
        <v>5591</v>
      </c>
      <c r="H59" s="14" t="s">
        <v>5592</v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4" t="s">
        <v>5593</v>
      </c>
      <c r="B60" s="14" t="s">
        <v>5576</v>
      </c>
      <c r="C60" s="14" t="s">
        <v>5594</v>
      </c>
      <c r="D60" s="14" t="s">
        <v>5595</v>
      </c>
      <c r="E60" s="14" t="s">
        <v>916</v>
      </c>
      <c r="F60" s="14" t="s">
        <v>5596</v>
      </c>
      <c r="G60" s="14" t="s">
        <v>5596</v>
      </c>
      <c r="H60" s="14" t="s">
        <v>5597</v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4" t="s">
        <v>5598</v>
      </c>
      <c r="B61" s="14" t="s">
        <v>5599</v>
      </c>
      <c r="C61" s="14" t="s">
        <v>509</v>
      </c>
      <c r="D61" s="14" t="s">
        <v>5581</v>
      </c>
      <c r="E61" s="14" t="s">
        <v>5223</v>
      </c>
      <c r="F61" s="14" t="s">
        <v>5600</v>
      </c>
      <c r="G61" s="14" t="s">
        <v>5601</v>
      </c>
      <c r="H61" s="14" t="s">
        <v>5600</v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4" t="s">
        <v>5602</v>
      </c>
      <c r="B62" s="14" t="s">
        <v>5599</v>
      </c>
      <c r="C62" s="14" t="s">
        <v>1320</v>
      </c>
      <c r="D62" s="14" t="s">
        <v>5603</v>
      </c>
      <c r="E62" s="14" t="s">
        <v>3691</v>
      </c>
      <c r="F62" s="14" t="s">
        <v>5604</v>
      </c>
      <c r="G62" s="14" t="s">
        <v>5605</v>
      </c>
      <c r="H62" s="14" t="s">
        <v>5606</v>
      </c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4" t="s">
        <v>5607</v>
      </c>
      <c r="B63" s="14" t="s">
        <v>5599</v>
      </c>
      <c r="C63" s="14" t="s">
        <v>1306</v>
      </c>
      <c r="D63" s="14" t="s">
        <v>5595</v>
      </c>
      <c r="E63" s="14" t="s">
        <v>1059</v>
      </c>
      <c r="F63" s="14" t="s">
        <v>5596</v>
      </c>
      <c r="G63" s="14" t="s">
        <v>5596</v>
      </c>
      <c r="H63" s="14" t="s">
        <v>5608</v>
      </c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4" t="s">
        <v>5609</v>
      </c>
      <c r="B64" s="14" t="s">
        <v>5610</v>
      </c>
      <c r="C64" s="14" t="s">
        <v>5611</v>
      </c>
      <c r="D64" s="14" t="s">
        <v>5590</v>
      </c>
      <c r="E64" s="14" t="s">
        <v>5612</v>
      </c>
      <c r="F64" s="14" t="s">
        <v>5613</v>
      </c>
      <c r="G64" s="14" t="s">
        <v>5614</v>
      </c>
      <c r="H64" s="14" t="s">
        <v>5615</v>
      </c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4" t="s">
        <v>5616</v>
      </c>
      <c r="B65" s="14" t="s">
        <v>5610</v>
      </c>
      <c r="C65" s="14" t="s">
        <v>521</v>
      </c>
      <c r="D65" s="14" t="s">
        <v>5617</v>
      </c>
      <c r="E65" s="14" t="s">
        <v>755</v>
      </c>
      <c r="F65" s="14" t="s">
        <v>5618</v>
      </c>
      <c r="G65" s="14" t="s">
        <v>5619</v>
      </c>
      <c r="H65" s="14" t="s">
        <v>5620</v>
      </c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4" t="s">
        <v>5621</v>
      </c>
      <c r="B66" s="14" t="s">
        <v>5610</v>
      </c>
      <c r="C66" s="14" t="s">
        <v>538</v>
      </c>
      <c r="D66" s="14" t="s">
        <v>5622</v>
      </c>
      <c r="E66" s="14" t="s">
        <v>5173</v>
      </c>
      <c r="F66" s="14" t="s">
        <v>5623</v>
      </c>
      <c r="G66" s="14" t="s">
        <v>5624</v>
      </c>
      <c r="H66" s="14" t="s">
        <v>5592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280" t="s">
        <v>5625</v>
      </c>
      <c r="B67" s="14" t="s">
        <v>5626</v>
      </c>
      <c r="C67" s="14" t="s">
        <v>1306</v>
      </c>
      <c r="D67" s="14" t="s">
        <v>5617</v>
      </c>
      <c r="E67" s="14" t="s">
        <v>722</v>
      </c>
      <c r="F67" s="14" t="s">
        <v>5583</v>
      </c>
      <c r="G67" s="14" t="s">
        <v>5627</v>
      </c>
      <c r="H67" s="14" t="s">
        <v>5628</v>
      </c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4" t="s">
        <v>5629</v>
      </c>
      <c r="B68" s="14" t="s">
        <v>5626</v>
      </c>
      <c r="C68" s="14" t="s">
        <v>1296</v>
      </c>
      <c r="D68" s="14" t="s">
        <v>5590</v>
      </c>
      <c r="E68" s="14" t="s">
        <v>750</v>
      </c>
      <c r="F68" s="14" t="s">
        <v>5630</v>
      </c>
      <c r="G68" s="14" t="s">
        <v>5631</v>
      </c>
      <c r="H68" s="14" t="s">
        <v>5630</v>
      </c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4" t="s">
        <v>5632</v>
      </c>
      <c r="B69" s="14" t="s">
        <v>5626</v>
      </c>
      <c r="C69" s="14" t="s">
        <v>5594</v>
      </c>
      <c r="D69" s="14" t="s">
        <v>5633</v>
      </c>
      <c r="E69" s="14" t="s">
        <v>5205</v>
      </c>
      <c r="F69" s="14" t="s">
        <v>5634</v>
      </c>
      <c r="G69" s="14" t="s">
        <v>5635</v>
      </c>
      <c r="H69" s="14" t="s">
        <v>5636</v>
      </c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4" t="s">
        <v>5637</v>
      </c>
      <c r="B70" s="14" t="s">
        <v>5638</v>
      </c>
      <c r="C70" s="14" t="s">
        <v>1320</v>
      </c>
      <c r="D70" s="14" t="s">
        <v>5603</v>
      </c>
      <c r="E70" s="14" t="s">
        <v>479</v>
      </c>
      <c r="F70" s="14" t="s">
        <v>5604</v>
      </c>
      <c r="G70" s="14" t="s">
        <v>5639</v>
      </c>
      <c r="H70" s="14" t="s">
        <v>5604</v>
      </c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4" t="s">
        <v>5640</v>
      </c>
      <c r="B71" s="14" t="s">
        <v>5638</v>
      </c>
      <c r="C71" s="14" t="s">
        <v>5589</v>
      </c>
      <c r="D71" s="14" t="s">
        <v>5622</v>
      </c>
      <c r="E71" s="14" t="s">
        <v>759</v>
      </c>
      <c r="F71" s="14" t="s">
        <v>5641</v>
      </c>
      <c r="G71" s="14" t="s">
        <v>5642</v>
      </c>
      <c r="H71" s="14" t="s">
        <v>5636</v>
      </c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33" t="s">
        <v>5643</v>
      </c>
      <c r="B72" s="14" t="s">
        <v>5638</v>
      </c>
      <c r="C72" s="14" t="s">
        <v>1296</v>
      </c>
      <c r="D72" s="14" t="s">
        <v>5617</v>
      </c>
      <c r="E72" s="14" t="s">
        <v>755</v>
      </c>
      <c r="F72" s="14" t="s">
        <v>5644</v>
      </c>
      <c r="G72" s="14" t="s">
        <v>5583</v>
      </c>
      <c r="H72" s="14" t="s">
        <v>5644</v>
      </c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4" t="s">
        <v>5645</v>
      </c>
      <c r="B73" s="14" t="s">
        <v>5646</v>
      </c>
      <c r="C73" s="14" t="s">
        <v>1287</v>
      </c>
      <c r="D73" s="14" t="s">
        <v>5603</v>
      </c>
      <c r="E73" s="14" t="s">
        <v>1059</v>
      </c>
      <c r="F73" s="14" t="s">
        <v>5647</v>
      </c>
      <c r="G73" s="14" t="s">
        <v>5647</v>
      </c>
      <c r="H73" s="14" t="s">
        <v>5648</v>
      </c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4" t="s">
        <v>5649</v>
      </c>
      <c r="B74" s="14" t="s">
        <v>5646</v>
      </c>
      <c r="C74" s="14" t="s">
        <v>5611</v>
      </c>
      <c r="D74" s="14" t="s">
        <v>5577</v>
      </c>
      <c r="E74" s="14" t="s">
        <v>755</v>
      </c>
      <c r="F74" s="14" t="s">
        <v>5650</v>
      </c>
      <c r="G74" s="14" t="s">
        <v>5651</v>
      </c>
      <c r="H74" s="14" t="s">
        <v>5639</v>
      </c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4" t="s">
        <v>5652</v>
      </c>
      <c r="B75" s="14" t="s">
        <v>5646</v>
      </c>
      <c r="C75" s="14" t="s">
        <v>5589</v>
      </c>
      <c r="D75" s="14" t="s">
        <v>5633</v>
      </c>
      <c r="E75" s="14" t="s">
        <v>3691</v>
      </c>
      <c r="F75" s="14" t="s">
        <v>5597</v>
      </c>
      <c r="G75" s="14" t="s">
        <v>5653</v>
      </c>
      <c r="H75" s="14" t="s">
        <v>5654</v>
      </c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4" t="s">
        <v>5655</v>
      </c>
      <c r="B76" s="14" t="s">
        <v>5656</v>
      </c>
      <c r="C76" s="14" t="s">
        <v>521</v>
      </c>
      <c r="D76" s="14" t="s">
        <v>5617</v>
      </c>
      <c r="E76" s="14" t="s">
        <v>722</v>
      </c>
      <c r="F76" s="14" t="s">
        <v>5657</v>
      </c>
      <c r="G76" s="14" t="s">
        <v>5658</v>
      </c>
      <c r="H76" s="14" t="s">
        <v>5659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33" t="s">
        <v>5660</v>
      </c>
      <c r="B77" s="14" t="s">
        <v>5656</v>
      </c>
      <c r="C77" s="14" t="s">
        <v>509</v>
      </c>
      <c r="D77" s="14" t="s">
        <v>5661</v>
      </c>
      <c r="E77" s="14" t="s">
        <v>5205</v>
      </c>
      <c r="F77" s="14" t="s">
        <v>5662</v>
      </c>
      <c r="G77" s="14" t="s">
        <v>5662</v>
      </c>
      <c r="H77" s="14" t="s">
        <v>5582</v>
      </c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4" t="s">
        <v>5663</v>
      </c>
      <c r="B78" s="14" t="s">
        <v>5656</v>
      </c>
      <c r="C78" s="14" t="s">
        <v>5611</v>
      </c>
      <c r="D78" s="14" t="s">
        <v>5622</v>
      </c>
      <c r="E78" s="14" t="s">
        <v>3691</v>
      </c>
      <c r="F78" s="14" t="s">
        <v>5664</v>
      </c>
      <c r="G78" s="14" t="s">
        <v>5665</v>
      </c>
      <c r="H78" s="14" t="s">
        <v>5654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4" t="s">
        <v>5666</v>
      </c>
      <c r="B79" s="14" t="s">
        <v>5656</v>
      </c>
      <c r="C79" s="14" t="s">
        <v>1311</v>
      </c>
      <c r="D79" s="14" t="s">
        <v>5590</v>
      </c>
      <c r="E79" s="14" t="s">
        <v>5667</v>
      </c>
      <c r="F79" s="14" t="s">
        <v>5668</v>
      </c>
      <c r="G79" s="14" t="s">
        <v>5668</v>
      </c>
      <c r="H79" s="14" t="s">
        <v>5669</v>
      </c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4" t="s">
        <v>5670</v>
      </c>
      <c r="B80" s="14" t="s">
        <v>5656</v>
      </c>
      <c r="C80" s="14" t="s">
        <v>1320</v>
      </c>
      <c r="D80" s="14" t="s">
        <v>5595</v>
      </c>
      <c r="E80" s="14" t="s">
        <v>755</v>
      </c>
      <c r="F80" s="14" t="s">
        <v>5671</v>
      </c>
      <c r="G80" s="14" t="s">
        <v>5671</v>
      </c>
      <c r="H80" s="14" t="s">
        <v>5672</v>
      </c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4" t="s">
        <v>5673</v>
      </c>
      <c r="B81" s="14" t="s">
        <v>5674</v>
      </c>
      <c r="C81" s="14" t="s">
        <v>538</v>
      </c>
      <c r="D81" s="14" t="s">
        <v>5661</v>
      </c>
      <c r="E81" s="14" t="s">
        <v>5667</v>
      </c>
      <c r="F81" s="14" t="s">
        <v>5648</v>
      </c>
      <c r="G81" s="14" t="s">
        <v>5648</v>
      </c>
      <c r="H81" s="14" t="s">
        <v>5659</v>
      </c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33" t="s">
        <v>5675</v>
      </c>
      <c r="B82" s="14" t="s">
        <v>5674</v>
      </c>
      <c r="C82" s="14" t="s">
        <v>5589</v>
      </c>
      <c r="D82" s="14" t="s">
        <v>5617</v>
      </c>
      <c r="E82" s="14" t="s">
        <v>722</v>
      </c>
      <c r="F82" s="14" t="s">
        <v>5676</v>
      </c>
      <c r="G82" s="14" t="s">
        <v>5677</v>
      </c>
      <c r="H82" s="14" t="s">
        <v>5676</v>
      </c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4" t="s">
        <v>5678</v>
      </c>
      <c r="B83" s="14" t="s">
        <v>5674</v>
      </c>
      <c r="C83" s="14" t="s">
        <v>1311</v>
      </c>
      <c r="D83" s="14" t="s">
        <v>5585</v>
      </c>
      <c r="E83" s="14" t="s">
        <v>5679</v>
      </c>
      <c r="F83" s="14" t="s">
        <v>5639</v>
      </c>
      <c r="G83" s="14" t="s">
        <v>5665</v>
      </c>
      <c r="H83" s="14" t="s">
        <v>5639</v>
      </c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4" t="s">
        <v>5680</v>
      </c>
      <c r="B84" s="14" t="s">
        <v>5674</v>
      </c>
      <c r="C84" s="14" t="s">
        <v>1296</v>
      </c>
      <c r="D84" s="14" t="s">
        <v>5590</v>
      </c>
      <c r="E84" s="14" t="s">
        <v>5681</v>
      </c>
      <c r="F84" s="14" t="s">
        <v>5682</v>
      </c>
      <c r="G84" s="14" t="s">
        <v>5683</v>
      </c>
      <c r="H84" s="14" t="s">
        <v>5630</v>
      </c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4" t="s">
        <v>5684</v>
      </c>
      <c r="B85" s="14" t="s">
        <v>5685</v>
      </c>
      <c r="C85" s="14" t="s">
        <v>5611</v>
      </c>
      <c r="D85" s="14" t="s">
        <v>5595</v>
      </c>
      <c r="E85" s="14" t="s">
        <v>5679</v>
      </c>
      <c r="F85" s="14" t="s">
        <v>5596</v>
      </c>
      <c r="G85" s="14" t="s">
        <v>5615</v>
      </c>
      <c r="H85" s="14" t="s">
        <v>5686</v>
      </c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4" t="s">
        <v>5687</v>
      </c>
      <c r="B86" s="14" t="s">
        <v>5685</v>
      </c>
      <c r="C86" s="14" t="s">
        <v>1287</v>
      </c>
      <c r="D86" s="14" t="s">
        <v>5617</v>
      </c>
      <c r="E86" s="14" t="s">
        <v>722</v>
      </c>
      <c r="F86" s="14" t="s">
        <v>5618</v>
      </c>
      <c r="G86" s="14" t="s">
        <v>5618</v>
      </c>
      <c r="H86" s="14" t="s">
        <v>5688</v>
      </c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4" t="s">
        <v>5689</v>
      </c>
      <c r="B87" s="14" t="s">
        <v>5685</v>
      </c>
      <c r="C87" s="14" t="s">
        <v>509</v>
      </c>
      <c r="D87" s="14" t="s">
        <v>5581</v>
      </c>
      <c r="E87" s="14" t="s">
        <v>5667</v>
      </c>
      <c r="F87" s="14" t="s">
        <v>5636</v>
      </c>
      <c r="G87" s="14" t="s">
        <v>5690</v>
      </c>
      <c r="H87" s="14" t="s">
        <v>5636</v>
      </c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4" t="s">
        <v>5691</v>
      </c>
      <c r="B88" s="14" t="s">
        <v>5692</v>
      </c>
      <c r="C88" s="14" t="s">
        <v>538</v>
      </c>
      <c r="D88" s="14" t="s">
        <v>5577</v>
      </c>
      <c r="E88" s="14" t="s">
        <v>3180</v>
      </c>
      <c r="F88" s="14" t="s">
        <v>5650</v>
      </c>
      <c r="G88" s="14" t="s">
        <v>5650</v>
      </c>
      <c r="H88" s="14" t="s">
        <v>5659</v>
      </c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4" t="s">
        <v>5693</v>
      </c>
      <c r="B89" s="14" t="s">
        <v>5692</v>
      </c>
      <c r="C89" s="14" t="s">
        <v>521</v>
      </c>
      <c r="D89" s="14" t="s">
        <v>5590</v>
      </c>
      <c r="E89" s="14" t="s">
        <v>5681</v>
      </c>
      <c r="F89" s="14" t="s">
        <v>5694</v>
      </c>
      <c r="G89" s="14" t="s">
        <v>5695</v>
      </c>
      <c r="H89" s="14" t="s">
        <v>5696</v>
      </c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4" t="s">
        <v>5697</v>
      </c>
      <c r="B90" s="14" t="s">
        <v>5692</v>
      </c>
      <c r="C90" s="14" t="s">
        <v>1306</v>
      </c>
      <c r="D90" s="14" t="s">
        <v>5617</v>
      </c>
      <c r="E90" s="14" t="s">
        <v>722</v>
      </c>
      <c r="F90" s="14" t="s">
        <v>5698</v>
      </c>
      <c r="G90" s="14" t="s">
        <v>5657</v>
      </c>
      <c r="H90" s="14" t="s">
        <v>5698</v>
      </c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4" t="s">
        <v>5699</v>
      </c>
      <c r="B91" s="14" t="s">
        <v>5700</v>
      </c>
      <c r="C91" s="14" t="s">
        <v>1306</v>
      </c>
      <c r="D91" s="14" t="s">
        <v>5577</v>
      </c>
      <c r="E91" s="14" t="s">
        <v>5667</v>
      </c>
      <c r="F91" s="14" t="s">
        <v>5624</v>
      </c>
      <c r="G91" s="14" t="s">
        <v>5624</v>
      </c>
      <c r="H91" s="14" t="s">
        <v>5701</v>
      </c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4" t="s">
        <v>5702</v>
      </c>
      <c r="B92" s="14" t="s">
        <v>5700</v>
      </c>
      <c r="C92" s="14" t="s">
        <v>1287</v>
      </c>
      <c r="D92" s="14" t="s">
        <v>5661</v>
      </c>
      <c r="E92" s="14" t="s">
        <v>5667</v>
      </c>
      <c r="F92" s="14" t="s">
        <v>5703</v>
      </c>
      <c r="G92" s="14" t="s">
        <v>5703</v>
      </c>
      <c r="H92" s="14" t="s">
        <v>5704</v>
      </c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4" t="s">
        <v>5705</v>
      </c>
      <c r="B93" s="14" t="s">
        <v>5700</v>
      </c>
      <c r="C93" s="14" t="s">
        <v>5611</v>
      </c>
      <c r="D93" s="14" t="s">
        <v>5585</v>
      </c>
      <c r="E93" s="14" t="s">
        <v>5679</v>
      </c>
      <c r="F93" s="14" t="s">
        <v>5639</v>
      </c>
      <c r="G93" s="14" t="s">
        <v>5706</v>
      </c>
      <c r="H93" s="14" t="s">
        <v>5636</v>
      </c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4" t="s">
        <v>5707</v>
      </c>
      <c r="B94" s="14" t="s">
        <v>5708</v>
      </c>
      <c r="C94" s="14" t="s">
        <v>1296</v>
      </c>
      <c r="D94" s="14" t="s">
        <v>5590</v>
      </c>
      <c r="E94" s="14" t="s">
        <v>5667</v>
      </c>
      <c r="F94" s="14" t="s">
        <v>5709</v>
      </c>
      <c r="G94" s="14" t="s">
        <v>5710</v>
      </c>
      <c r="H94" s="14" t="s">
        <v>5709</v>
      </c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4" t="s">
        <v>5711</v>
      </c>
      <c r="B95" s="14" t="s">
        <v>5708</v>
      </c>
      <c r="C95" s="14" t="s">
        <v>521</v>
      </c>
      <c r="D95" s="14" t="s">
        <v>5585</v>
      </c>
      <c r="E95" s="14" t="s">
        <v>5681</v>
      </c>
      <c r="F95" s="14" t="s">
        <v>5712</v>
      </c>
      <c r="G95" s="14" t="s">
        <v>5712</v>
      </c>
      <c r="H95" s="14" t="s">
        <v>5615</v>
      </c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4" t="s">
        <v>5713</v>
      </c>
      <c r="B96" s="14" t="s">
        <v>5708</v>
      </c>
      <c r="C96" s="14" t="s">
        <v>1320</v>
      </c>
      <c r="D96" s="14" t="s">
        <v>5633</v>
      </c>
      <c r="E96" s="14" t="s">
        <v>3180</v>
      </c>
      <c r="F96" s="14" t="s">
        <v>5634</v>
      </c>
      <c r="G96" s="14" t="s">
        <v>5634</v>
      </c>
      <c r="H96" s="14" t="s">
        <v>5714</v>
      </c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4" t="s">
        <v>5715</v>
      </c>
      <c r="B97" s="14" t="s">
        <v>5708</v>
      </c>
      <c r="C97" s="14" t="s">
        <v>509</v>
      </c>
      <c r="D97" s="14" t="s">
        <v>5595</v>
      </c>
      <c r="E97" s="14" t="s">
        <v>722</v>
      </c>
      <c r="F97" s="14" t="s">
        <v>5716</v>
      </c>
      <c r="G97" s="14" t="s">
        <v>5582</v>
      </c>
      <c r="H97" s="14" t="s">
        <v>5716</v>
      </c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4" t="s">
        <v>5717</v>
      </c>
      <c r="B98" s="14" t="s">
        <v>5718</v>
      </c>
      <c r="C98" s="14" t="s">
        <v>1311</v>
      </c>
      <c r="D98" s="14" t="s">
        <v>5633</v>
      </c>
      <c r="E98" s="14" t="s">
        <v>5667</v>
      </c>
      <c r="F98" s="14" t="s">
        <v>5719</v>
      </c>
      <c r="G98" s="14" t="s">
        <v>5719</v>
      </c>
      <c r="H98" s="14" t="s">
        <v>5720</v>
      </c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4" t="s">
        <v>5721</v>
      </c>
      <c r="B99" s="14" t="s">
        <v>5718</v>
      </c>
      <c r="C99" s="14" t="s">
        <v>1296</v>
      </c>
      <c r="D99" s="14" t="s">
        <v>5590</v>
      </c>
      <c r="E99" s="14" t="s">
        <v>5667</v>
      </c>
      <c r="F99" s="14" t="s">
        <v>5630</v>
      </c>
      <c r="G99" s="14" t="s">
        <v>5591</v>
      </c>
      <c r="H99" s="14" t="s">
        <v>5630</v>
      </c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4" t="s">
        <v>5722</v>
      </c>
      <c r="B100" s="14" t="s">
        <v>5718</v>
      </c>
      <c r="C100" s="14" t="s">
        <v>5589</v>
      </c>
      <c r="D100" s="14" t="s">
        <v>5622</v>
      </c>
      <c r="E100" s="14" t="s">
        <v>722</v>
      </c>
      <c r="F100" s="14" t="s">
        <v>5723</v>
      </c>
      <c r="G100" s="14" t="s">
        <v>5695</v>
      </c>
      <c r="H100" s="14" t="s">
        <v>5723</v>
      </c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4" t="s">
        <v>5724</v>
      </c>
      <c r="B101" s="14" t="s">
        <v>5725</v>
      </c>
      <c r="C101" s="14" t="s">
        <v>5726</v>
      </c>
      <c r="D101" s="14" t="s">
        <v>5590</v>
      </c>
      <c r="E101" s="14" t="s">
        <v>3180</v>
      </c>
      <c r="F101" s="14" t="s">
        <v>5682</v>
      </c>
      <c r="G101" s="14" t="s">
        <v>5583</v>
      </c>
      <c r="H101" s="14" t="s">
        <v>5727</v>
      </c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4" t="s">
        <v>5728</v>
      </c>
      <c r="B102" s="14" t="s">
        <v>5725</v>
      </c>
      <c r="C102" s="14" t="s">
        <v>5729</v>
      </c>
      <c r="D102" s="14" t="s">
        <v>5581</v>
      </c>
      <c r="E102" s="14" t="s">
        <v>722</v>
      </c>
      <c r="F102" s="14" t="s">
        <v>5662</v>
      </c>
      <c r="G102" s="14" t="s">
        <v>5635</v>
      </c>
      <c r="H102" s="14" t="s">
        <v>5662</v>
      </c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4" t="s">
        <v>5730</v>
      </c>
      <c r="B103" s="14" t="s">
        <v>5731</v>
      </c>
      <c r="C103" s="14" t="s">
        <v>5726</v>
      </c>
      <c r="D103" s="14" t="s">
        <v>5581</v>
      </c>
      <c r="E103" s="14" t="s">
        <v>5667</v>
      </c>
      <c r="F103" s="14" t="s">
        <v>5662</v>
      </c>
      <c r="G103" s="14" t="s">
        <v>5662</v>
      </c>
      <c r="H103" s="14" t="s">
        <v>5662</v>
      </c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4" t="s">
        <v>5732</v>
      </c>
      <c r="B104" s="14" t="s">
        <v>5733</v>
      </c>
      <c r="C104" s="14" t="s">
        <v>5734</v>
      </c>
      <c r="D104" s="14" t="s">
        <v>5590</v>
      </c>
      <c r="E104" s="14" t="s">
        <v>5679</v>
      </c>
      <c r="F104" s="14" t="s">
        <v>5710</v>
      </c>
      <c r="G104" s="14" t="s">
        <v>5710</v>
      </c>
      <c r="H104" s="14" t="s">
        <v>5710</v>
      </c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9"/>
      <c r="B105" s="19"/>
      <c r="C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296" t="s">
        <v>5735</v>
      </c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63" t="s">
        <v>627</v>
      </c>
      <c r="B108" s="163" t="s">
        <v>629</v>
      </c>
      <c r="C108" s="163" t="s">
        <v>631</v>
      </c>
      <c r="D108" s="163" t="s">
        <v>633</v>
      </c>
      <c r="E108" s="163" t="s">
        <v>3169</v>
      </c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4" t="s">
        <v>649</v>
      </c>
      <c r="B109" s="14" t="s">
        <v>954</v>
      </c>
      <c r="C109" s="14" t="s">
        <v>955</v>
      </c>
      <c r="D109" s="14" t="s">
        <v>14</v>
      </c>
      <c r="E109" s="14">
        <v>40000.0</v>
      </c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4" t="s">
        <v>677</v>
      </c>
      <c r="B110" s="14" t="s">
        <v>679</v>
      </c>
      <c r="C110" s="14" t="s">
        <v>965</v>
      </c>
      <c r="D110" s="14" t="s">
        <v>18</v>
      </c>
      <c r="E110" s="14">
        <v>40000.0</v>
      </c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4" t="s">
        <v>974</v>
      </c>
      <c r="B111" s="14" t="s">
        <v>934</v>
      </c>
      <c r="C111" s="14" t="s">
        <v>955</v>
      </c>
      <c r="D111" s="14" t="s">
        <v>20</v>
      </c>
      <c r="E111" s="14">
        <v>80000.0</v>
      </c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4" t="s">
        <v>978</v>
      </c>
      <c r="B112" s="14" t="s">
        <v>979</v>
      </c>
      <c r="C112" s="14" t="s">
        <v>955</v>
      </c>
      <c r="D112" s="14" t="s">
        <v>23</v>
      </c>
      <c r="E112" s="14">
        <v>80000.0</v>
      </c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4" t="s">
        <v>720</v>
      </c>
      <c r="B113" s="14" t="s">
        <v>980</v>
      </c>
      <c r="C113" s="14" t="s">
        <v>982</v>
      </c>
      <c r="D113" s="14" t="s">
        <v>14</v>
      </c>
      <c r="E113" s="14">
        <v>160000.0</v>
      </c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4" t="s">
        <v>798</v>
      </c>
      <c r="B114" s="14" t="s">
        <v>986</v>
      </c>
      <c r="E114" s="14">
        <v>200000.0</v>
      </c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4" t="s">
        <v>809</v>
      </c>
      <c r="B115" s="14" t="s">
        <v>955</v>
      </c>
      <c r="E115" s="14">
        <v>350000.0</v>
      </c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4" t="s">
        <v>446</v>
      </c>
      <c r="B116" s="14" t="s">
        <v>1003</v>
      </c>
      <c r="E116" s="14">
        <v>700000.0</v>
      </c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75" t="s">
        <v>15</v>
      </c>
      <c r="B1" s="275" t="s">
        <v>14</v>
      </c>
      <c r="C1" s="275" t="s">
        <v>25</v>
      </c>
      <c r="D1" s="275" t="s">
        <v>21</v>
      </c>
      <c r="E1" s="275" t="s">
        <v>9</v>
      </c>
      <c r="F1" s="275" t="s">
        <v>20</v>
      </c>
      <c r="G1" s="275" t="s">
        <v>12</v>
      </c>
      <c r="H1" s="275" t="s">
        <v>18</v>
      </c>
      <c r="I1" s="275" t="s">
        <v>23</v>
      </c>
      <c r="J1" s="275" t="s">
        <v>27</v>
      </c>
      <c r="K1" s="275" t="s">
        <v>16</v>
      </c>
      <c r="L1" s="11" t="s">
        <v>5736</v>
      </c>
    </row>
    <row r="2">
      <c r="A2" s="294" t="s">
        <v>1629</v>
      </c>
      <c r="B2" s="272" t="s">
        <v>5737</v>
      </c>
      <c r="C2" s="12" t="s">
        <v>5738</v>
      </c>
      <c r="D2" s="12" t="s">
        <v>5739</v>
      </c>
      <c r="E2" s="12" t="s">
        <v>5740</v>
      </c>
      <c r="F2" s="12" t="s">
        <v>1755</v>
      </c>
      <c r="G2" s="12" t="s">
        <v>1165</v>
      </c>
      <c r="H2" s="12" t="s">
        <v>5741</v>
      </c>
      <c r="I2" s="12" t="s">
        <v>2807</v>
      </c>
      <c r="J2" s="12" t="s">
        <v>2638</v>
      </c>
      <c r="K2" s="12" t="s">
        <v>3514</v>
      </c>
      <c r="L2" s="12" t="s">
        <v>5742</v>
      </c>
    </row>
    <row r="3">
      <c r="A3" s="297" t="s">
        <v>5743</v>
      </c>
      <c r="B3" s="12" t="s">
        <v>1404</v>
      </c>
      <c r="C3" s="12" t="s">
        <v>257</v>
      </c>
      <c r="D3" s="12" t="s">
        <v>5744</v>
      </c>
      <c r="E3" s="12" t="s">
        <v>5745</v>
      </c>
      <c r="F3" s="12" t="s">
        <v>5746</v>
      </c>
      <c r="G3" s="12" t="s">
        <v>5747</v>
      </c>
      <c r="H3" s="12" t="s">
        <v>1900</v>
      </c>
      <c r="I3" s="12" t="s">
        <v>5748</v>
      </c>
      <c r="J3" s="12" t="s">
        <v>3641</v>
      </c>
      <c r="K3" s="12" t="s">
        <v>5236</v>
      </c>
      <c r="L3" s="12" t="s">
        <v>5749</v>
      </c>
    </row>
    <row r="4">
      <c r="A4" s="297" t="s">
        <v>5750</v>
      </c>
      <c r="B4" s="12" t="s">
        <v>1299</v>
      </c>
      <c r="C4" s="12" t="s">
        <v>2589</v>
      </c>
      <c r="D4" s="12" t="s">
        <v>2172</v>
      </c>
      <c r="E4" s="12" t="s">
        <v>3057</v>
      </c>
      <c r="F4" s="12" t="s">
        <v>5751</v>
      </c>
      <c r="G4" s="12" t="s">
        <v>1576</v>
      </c>
      <c r="H4" s="12" t="s">
        <v>5752</v>
      </c>
      <c r="I4" s="12" t="s">
        <v>2895</v>
      </c>
      <c r="J4" s="12" t="s">
        <v>2640</v>
      </c>
      <c r="K4" s="12" t="s">
        <v>5753</v>
      </c>
      <c r="L4" s="12" t="s">
        <v>5754</v>
      </c>
    </row>
    <row r="5">
      <c r="A5" s="297" t="s">
        <v>1383</v>
      </c>
      <c r="B5" s="12" t="s">
        <v>5755</v>
      </c>
      <c r="C5" s="12" t="s">
        <v>5756</v>
      </c>
      <c r="D5" s="12" t="s">
        <v>2171</v>
      </c>
      <c r="E5" s="12" t="s">
        <v>3650</v>
      </c>
      <c r="F5" s="12" t="s">
        <v>4455</v>
      </c>
      <c r="G5" s="12" t="s">
        <v>5757</v>
      </c>
      <c r="H5" s="12" t="s">
        <v>5758</v>
      </c>
      <c r="I5" s="12" t="s">
        <v>5759</v>
      </c>
      <c r="J5" s="12" t="s">
        <v>2675</v>
      </c>
      <c r="K5" s="12" t="s">
        <v>5760</v>
      </c>
      <c r="L5" s="12" t="s">
        <v>5761</v>
      </c>
    </row>
    <row r="6">
      <c r="A6" s="297" t="s">
        <v>1389</v>
      </c>
      <c r="B6" s="12" t="s">
        <v>5762</v>
      </c>
      <c r="C6" s="12" t="s">
        <v>5763</v>
      </c>
      <c r="D6" s="12" t="s">
        <v>1826</v>
      </c>
      <c r="E6" s="12" t="s">
        <v>4563</v>
      </c>
      <c r="F6" s="12" t="s">
        <v>4572</v>
      </c>
      <c r="G6" s="12" t="s">
        <v>5764</v>
      </c>
      <c r="H6" s="12" t="s">
        <v>5765</v>
      </c>
      <c r="I6" s="12" t="s">
        <v>2782</v>
      </c>
      <c r="J6" s="12" t="s">
        <v>3664</v>
      </c>
      <c r="K6" s="12" t="s">
        <v>5766</v>
      </c>
      <c r="L6" s="12" t="s">
        <v>5767</v>
      </c>
    </row>
    <row r="7">
      <c r="A7" s="297" t="s">
        <v>1395</v>
      </c>
      <c r="B7" s="12" t="s">
        <v>5768</v>
      </c>
      <c r="C7" s="12" t="s">
        <v>2529</v>
      </c>
      <c r="D7" s="12" t="s">
        <v>2358</v>
      </c>
      <c r="E7" s="12" t="s">
        <v>5769</v>
      </c>
      <c r="F7" s="12" t="s">
        <v>5271</v>
      </c>
      <c r="H7" s="12" t="s">
        <v>3679</v>
      </c>
      <c r="I7" s="12" t="s">
        <v>5770</v>
      </c>
      <c r="J7" s="12" t="s">
        <v>3486</v>
      </c>
      <c r="K7" s="12" t="s">
        <v>5771</v>
      </c>
      <c r="L7" s="12" t="s">
        <v>5772</v>
      </c>
    </row>
    <row r="8">
      <c r="A8" s="297" t="s">
        <v>1399</v>
      </c>
      <c r="B8" s="12" t="s">
        <v>5773</v>
      </c>
      <c r="C8" s="12" t="s">
        <v>5774</v>
      </c>
      <c r="D8" s="12" t="s">
        <v>5775</v>
      </c>
      <c r="E8" s="12" t="s">
        <v>4069</v>
      </c>
      <c r="F8" s="12" t="s">
        <v>5776</v>
      </c>
      <c r="H8" s="12" t="s">
        <v>5277</v>
      </c>
      <c r="I8" s="12" t="s">
        <v>5777</v>
      </c>
      <c r="J8" s="12" t="s">
        <v>3686</v>
      </c>
      <c r="K8" s="12" t="s">
        <v>5778</v>
      </c>
      <c r="L8" s="12" t="s">
        <v>5779</v>
      </c>
    </row>
    <row r="9">
      <c r="A9" s="297" t="s">
        <v>1402</v>
      </c>
      <c r="B9" s="12" t="s">
        <v>5780</v>
      </c>
      <c r="C9" s="12" t="s">
        <v>5781</v>
      </c>
      <c r="D9" s="12" t="s">
        <v>5782</v>
      </c>
      <c r="F9" s="12" t="s">
        <v>5783</v>
      </c>
      <c r="H9" s="12" t="s">
        <v>5784</v>
      </c>
      <c r="I9" s="12" t="s">
        <v>5785</v>
      </c>
      <c r="J9" s="12" t="s">
        <v>5291</v>
      </c>
      <c r="K9" s="12" t="s">
        <v>5786</v>
      </c>
      <c r="L9" s="12" t="s">
        <v>5787</v>
      </c>
    </row>
    <row r="10">
      <c r="A10" s="297" t="s">
        <v>5788</v>
      </c>
      <c r="B10" s="12" t="s">
        <v>5789</v>
      </c>
      <c r="C10" s="12" t="s">
        <v>5790</v>
      </c>
      <c r="D10" s="12" t="s">
        <v>5791</v>
      </c>
      <c r="F10" s="12" t="s">
        <v>5792</v>
      </c>
      <c r="H10" s="12" t="s">
        <v>5793</v>
      </c>
      <c r="I10" s="12" t="s">
        <v>5794</v>
      </c>
      <c r="J10" s="12" t="s">
        <v>5303</v>
      </c>
      <c r="K10" s="12" t="s">
        <v>5795</v>
      </c>
      <c r="L10" s="12" t="s">
        <v>5796</v>
      </c>
    </row>
    <row r="11">
      <c r="A11" s="297" t="s">
        <v>5797</v>
      </c>
      <c r="B11" s="12" t="s">
        <v>5798</v>
      </c>
      <c r="C11" s="12" t="s">
        <v>5799</v>
      </c>
      <c r="D11" s="12" t="s">
        <v>5800</v>
      </c>
      <c r="F11" s="12" t="s">
        <v>5801</v>
      </c>
      <c r="H11" s="12" t="s">
        <v>4532</v>
      </c>
      <c r="I11" s="12" t="s">
        <v>5802</v>
      </c>
      <c r="J11" s="12" t="s">
        <v>3716</v>
      </c>
      <c r="K11" s="12" t="s">
        <v>5803</v>
      </c>
      <c r="L11" s="12" t="s">
        <v>5804</v>
      </c>
    </row>
    <row r="12">
      <c r="A12" s="297" t="s">
        <v>5805</v>
      </c>
      <c r="B12" s="12" t="s">
        <v>5806</v>
      </c>
      <c r="C12" s="12" t="s">
        <v>5807</v>
      </c>
      <c r="D12" s="12" t="s">
        <v>5808</v>
      </c>
      <c r="F12" s="12" t="s">
        <v>5809</v>
      </c>
      <c r="H12" s="12" t="s">
        <v>5810</v>
      </c>
      <c r="I12" s="12" t="s">
        <v>5811</v>
      </c>
      <c r="J12" s="12" t="s">
        <v>5323</v>
      </c>
      <c r="L12" s="12" t="s">
        <v>5812</v>
      </c>
    </row>
    <row r="13">
      <c r="A13" s="297" t="s">
        <v>5813</v>
      </c>
      <c r="B13" s="12" t="s">
        <v>5814</v>
      </c>
      <c r="C13" s="12" t="s">
        <v>5815</v>
      </c>
      <c r="F13" s="12" t="s">
        <v>5816</v>
      </c>
      <c r="H13" s="12" t="s">
        <v>5817</v>
      </c>
      <c r="I13" s="12" t="s">
        <v>5818</v>
      </c>
      <c r="J13" s="12" t="s">
        <v>5333</v>
      </c>
      <c r="L13" s="33" t="s">
        <v>5819</v>
      </c>
    </row>
    <row r="14">
      <c r="A14" s="297" t="s">
        <v>5820</v>
      </c>
      <c r="B14" s="12" t="s">
        <v>5821</v>
      </c>
      <c r="C14" s="12" t="s">
        <v>5822</v>
      </c>
      <c r="F14" s="12" t="s">
        <v>5823</v>
      </c>
      <c r="H14" s="12" t="s">
        <v>5824</v>
      </c>
      <c r="I14" s="12" t="s">
        <v>5825</v>
      </c>
      <c r="J14" s="12" t="s">
        <v>5344</v>
      </c>
      <c r="L14" s="33" t="s">
        <v>5826</v>
      </c>
    </row>
    <row r="15">
      <c r="A15" s="297" t="s">
        <v>5827</v>
      </c>
      <c r="B15" s="12" t="s">
        <v>5828</v>
      </c>
      <c r="F15" s="12" t="s">
        <v>5829</v>
      </c>
      <c r="H15" s="12" t="s">
        <v>5830</v>
      </c>
      <c r="I15" s="12" t="s">
        <v>5831</v>
      </c>
      <c r="J15" s="12" t="s">
        <v>3751</v>
      </c>
      <c r="L15" s="33" t="s">
        <v>5832</v>
      </c>
    </row>
    <row r="16">
      <c r="A16" s="297" t="s">
        <v>5833</v>
      </c>
      <c r="B16" s="12" t="s">
        <v>5834</v>
      </c>
      <c r="F16" s="12" t="s">
        <v>5835</v>
      </c>
      <c r="H16" s="12" t="s">
        <v>5836</v>
      </c>
      <c r="I16" s="12" t="s">
        <v>5837</v>
      </c>
      <c r="J16" s="12" t="s">
        <v>5358</v>
      </c>
      <c r="L16" s="33" t="s">
        <v>5838</v>
      </c>
    </row>
    <row r="17">
      <c r="A17" s="297" t="s">
        <v>5839</v>
      </c>
      <c r="B17" s="12" t="s">
        <v>5840</v>
      </c>
      <c r="I17" s="12" t="s">
        <v>5841</v>
      </c>
      <c r="J17" s="12" t="s">
        <v>5366</v>
      </c>
      <c r="L17" s="12" t="s">
        <v>5842</v>
      </c>
    </row>
    <row r="18">
      <c r="A18" s="297" t="s">
        <v>5843</v>
      </c>
      <c r="I18" s="12" t="s">
        <v>5844</v>
      </c>
      <c r="J18" s="12" t="s">
        <v>4726</v>
      </c>
    </row>
    <row r="19">
      <c r="A19" s="297" t="s">
        <v>5845</v>
      </c>
      <c r="I19" s="12" t="s">
        <v>5846</v>
      </c>
    </row>
    <row r="20">
      <c r="A20" s="297" t="s">
        <v>5847</v>
      </c>
      <c r="I20" s="12" t="s">
        <v>5848</v>
      </c>
    </row>
    <row r="21">
      <c r="A21" s="12"/>
      <c r="I21" s="12" t="s">
        <v>5849</v>
      </c>
    </row>
    <row r="22">
      <c r="I22" s="12" t="s">
        <v>5850</v>
      </c>
    </row>
    <row r="23">
      <c r="I23" s="12" t="s">
        <v>5851</v>
      </c>
    </row>
    <row r="24">
      <c r="I24" s="12" t="s">
        <v>5852</v>
      </c>
    </row>
    <row r="25">
      <c r="I25" s="12" t="s">
        <v>5853</v>
      </c>
    </row>
    <row r="26">
      <c r="I26" s="12" t="s">
        <v>5854</v>
      </c>
    </row>
    <row r="27">
      <c r="I27" s="12" t="s">
        <v>5855</v>
      </c>
    </row>
    <row r="28">
      <c r="I28" s="12" t="s">
        <v>5856</v>
      </c>
    </row>
    <row r="31">
      <c r="A31" s="141" t="s">
        <v>5857</v>
      </c>
    </row>
    <row r="32">
      <c r="A32" s="85" t="s">
        <v>5858</v>
      </c>
      <c r="B32" s="85" t="s">
        <v>5859</v>
      </c>
      <c r="C32" s="85" t="s">
        <v>5860</v>
      </c>
      <c r="D32" s="85" t="s">
        <v>5861</v>
      </c>
      <c r="E32" s="85" t="s">
        <v>5862</v>
      </c>
      <c r="F32" s="85" t="s">
        <v>5863</v>
      </c>
      <c r="G32" s="85" t="s">
        <v>5864</v>
      </c>
      <c r="H32" s="85" t="s">
        <v>5865</v>
      </c>
    </row>
    <row r="33">
      <c r="A33" s="12" t="s">
        <v>5866</v>
      </c>
      <c r="B33" s="12" t="s">
        <v>5867</v>
      </c>
      <c r="C33" s="12" t="s">
        <v>5868</v>
      </c>
      <c r="D33" s="12" t="s">
        <v>5869</v>
      </c>
      <c r="E33" s="12" t="s">
        <v>5870</v>
      </c>
      <c r="F33" s="12" t="s">
        <v>5871</v>
      </c>
      <c r="G33" s="12" t="s">
        <v>5872</v>
      </c>
      <c r="H33" s="12" t="s">
        <v>5873</v>
      </c>
    </row>
    <row r="34">
      <c r="A34" s="12" t="s">
        <v>5874</v>
      </c>
      <c r="B34" s="12" t="s">
        <v>5875</v>
      </c>
      <c r="C34" s="12" t="s">
        <v>5876</v>
      </c>
      <c r="D34" s="12" t="s">
        <v>5877</v>
      </c>
      <c r="E34" s="12" t="s">
        <v>5878</v>
      </c>
      <c r="F34" s="12" t="s">
        <v>5879</v>
      </c>
      <c r="G34" s="12" t="s">
        <v>5880</v>
      </c>
      <c r="H34" s="12" t="s">
        <v>5881</v>
      </c>
    </row>
    <row r="35">
      <c r="A35" s="12" t="s">
        <v>5882</v>
      </c>
      <c r="B35" s="12" t="s">
        <v>5883</v>
      </c>
      <c r="C35" s="12" t="s">
        <v>5884</v>
      </c>
      <c r="D35" s="12" t="s">
        <v>5885</v>
      </c>
      <c r="E35" s="12" t="s">
        <v>5886</v>
      </c>
      <c r="F35" s="12" t="s">
        <v>5887</v>
      </c>
      <c r="G35" s="12" t="s">
        <v>5888</v>
      </c>
      <c r="H35" s="12" t="s">
        <v>5889</v>
      </c>
    </row>
    <row r="36">
      <c r="A36" s="12" t="s">
        <v>5890</v>
      </c>
      <c r="B36" s="12" t="s">
        <v>5891</v>
      </c>
      <c r="C36" s="12" t="s">
        <v>5892</v>
      </c>
      <c r="D36" s="12" t="s">
        <v>5893</v>
      </c>
      <c r="E36" s="12" t="s">
        <v>5894</v>
      </c>
      <c r="F36" s="12" t="s">
        <v>5895</v>
      </c>
      <c r="G36" s="12" t="s">
        <v>5896</v>
      </c>
      <c r="H36" s="12" t="s">
        <v>5897</v>
      </c>
    </row>
    <row r="37">
      <c r="A37" s="12" t="s">
        <v>5898</v>
      </c>
      <c r="B37" s="12" t="s">
        <v>5899</v>
      </c>
      <c r="C37" s="12" t="s">
        <v>5900</v>
      </c>
      <c r="D37" s="12" t="s">
        <v>5901</v>
      </c>
      <c r="E37" s="12" t="s">
        <v>5902</v>
      </c>
      <c r="F37" s="12" t="s">
        <v>5903</v>
      </c>
      <c r="G37" s="12" t="s">
        <v>5904</v>
      </c>
      <c r="H37" s="12" t="s">
        <v>5905</v>
      </c>
    </row>
    <row r="38">
      <c r="A38" s="12" t="s">
        <v>5906</v>
      </c>
      <c r="B38" s="12" t="s">
        <v>5907</v>
      </c>
      <c r="C38" s="12" t="s">
        <v>5908</v>
      </c>
      <c r="D38" s="12" t="s">
        <v>5909</v>
      </c>
      <c r="E38" s="12" t="s">
        <v>5910</v>
      </c>
      <c r="F38" s="12" t="s">
        <v>5911</v>
      </c>
      <c r="G38" s="12" t="s">
        <v>5912</v>
      </c>
      <c r="H38" s="12" t="s">
        <v>5913</v>
      </c>
    </row>
    <row r="39">
      <c r="A39" s="12" t="s">
        <v>5914</v>
      </c>
      <c r="B39" s="12" t="s">
        <v>5915</v>
      </c>
      <c r="C39" s="12" t="s">
        <v>5916</v>
      </c>
      <c r="D39" s="12" t="s">
        <v>5917</v>
      </c>
      <c r="E39" s="12" t="s">
        <v>5918</v>
      </c>
      <c r="F39" s="12" t="s">
        <v>5919</v>
      </c>
      <c r="G39" s="12" t="s">
        <v>5920</v>
      </c>
      <c r="H39" s="12" t="s">
        <v>5921</v>
      </c>
    </row>
    <row r="40">
      <c r="A40" s="12" t="s">
        <v>5922</v>
      </c>
      <c r="B40" s="12" t="s">
        <v>5923</v>
      </c>
      <c r="C40" s="12" t="s">
        <v>5924</v>
      </c>
      <c r="D40" s="12" t="s">
        <v>5925</v>
      </c>
      <c r="E40" s="12" t="s">
        <v>5926</v>
      </c>
      <c r="F40" s="12" t="s">
        <v>5927</v>
      </c>
      <c r="G40" s="12" t="s">
        <v>5928</v>
      </c>
      <c r="H40" s="12" t="s">
        <v>5929</v>
      </c>
    </row>
    <row r="41">
      <c r="A41" s="12" t="s">
        <v>5930</v>
      </c>
      <c r="B41" s="12" t="s">
        <v>5931</v>
      </c>
      <c r="C41" s="12" t="s">
        <v>5932</v>
      </c>
      <c r="D41" s="12" t="s">
        <v>5933</v>
      </c>
      <c r="E41" s="12" t="s">
        <v>5934</v>
      </c>
      <c r="F41" s="12" t="s">
        <v>5935</v>
      </c>
      <c r="G41" s="12" t="s">
        <v>5936</v>
      </c>
      <c r="H41" s="12" t="s">
        <v>5937</v>
      </c>
    </row>
    <row r="42">
      <c r="A42" s="12" t="s">
        <v>5938</v>
      </c>
      <c r="B42" s="12" t="s">
        <v>5939</v>
      </c>
      <c r="C42" s="12" t="s">
        <v>5940</v>
      </c>
      <c r="D42" s="12" t="s">
        <v>5941</v>
      </c>
      <c r="E42" s="12" t="s">
        <v>5942</v>
      </c>
      <c r="F42" s="12" t="s">
        <v>5943</v>
      </c>
      <c r="G42" s="12" t="s">
        <v>5944</v>
      </c>
      <c r="H42" s="12" t="s">
        <v>5945</v>
      </c>
    </row>
    <row r="43">
      <c r="A43" s="12" t="s">
        <v>5946</v>
      </c>
      <c r="B43" s="12" t="s">
        <v>5947</v>
      </c>
      <c r="C43" s="12" t="s">
        <v>5948</v>
      </c>
      <c r="D43" s="12" t="s">
        <v>5949</v>
      </c>
      <c r="E43" s="12" t="s">
        <v>5950</v>
      </c>
      <c r="F43" s="12" t="s">
        <v>5951</v>
      </c>
      <c r="G43" s="12" t="s">
        <v>5952</v>
      </c>
      <c r="H43" s="12" t="s">
        <v>5953</v>
      </c>
    </row>
    <row r="44">
      <c r="A44" s="12" t="s">
        <v>5954</v>
      </c>
      <c r="B44" s="12" t="s">
        <v>5955</v>
      </c>
      <c r="C44" s="12" t="s">
        <v>5956</v>
      </c>
      <c r="D44" s="12" t="s">
        <v>5957</v>
      </c>
      <c r="E44" s="12" t="s">
        <v>5958</v>
      </c>
      <c r="F44" s="12" t="s">
        <v>5959</v>
      </c>
      <c r="G44" s="12" t="s">
        <v>5960</v>
      </c>
      <c r="H44" s="12" t="s">
        <v>5961</v>
      </c>
    </row>
    <row r="45">
      <c r="A45" s="12" t="s">
        <v>5962</v>
      </c>
      <c r="B45" s="12" t="s">
        <v>5963</v>
      </c>
      <c r="C45" s="12" t="s">
        <v>5964</v>
      </c>
      <c r="D45" s="12" t="s">
        <v>5965</v>
      </c>
      <c r="E45" s="12" t="s">
        <v>5966</v>
      </c>
      <c r="F45" s="12" t="s">
        <v>5967</v>
      </c>
      <c r="G45" s="12" t="s">
        <v>5968</v>
      </c>
      <c r="H45" s="12" t="s">
        <v>5969</v>
      </c>
    </row>
    <row r="46">
      <c r="A46" s="12" t="s">
        <v>5970</v>
      </c>
      <c r="B46" s="12" t="s">
        <v>5971</v>
      </c>
      <c r="C46" s="12" t="s">
        <v>5972</v>
      </c>
      <c r="D46" s="12" t="s">
        <v>5973</v>
      </c>
      <c r="E46" s="12" t="s">
        <v>5974</v>
      </c>
      <c r="F46" s="12" t="s">
        <v>5975</v>
      </c>
      <c r="G46" s="12" t="s">
        <v>5976</v>
      </c>
      <c r="H46" s="12" t="s">
        <v>5977</v>
      </c>
    </row>
    <row r="47">
      <c r="A47" s="12" t="s">
        <v>5978</v>
      </c>
      <c r="B47" s="12" t="s">
        <v>5979</v>
      </c>
      <c r="C47" s="12" t="s">
        <v>5980</v>
      </c>
      <c r="D47" s="12" t="s">
        <v>5981</v>
      </c>
      <c r="E47" s="12" t="s">
        <v>5982</v>
      </c>
      <c r="F47" s="12" t="s">
        <v>5983</v>
      </c>
      <c r="G47" s="12" t="s">
        <v>5984</v>
      </c>
      <c r="H47" s="12" t="s">
        <v>5985</v>
      </c>
    </row>
    <row r="48">
      <c r="A48" s="12" t="s">
        <v>5986</v>
      </c>
      <c r="B48" s="12" t="s">
        <v>5987</v>
      </c>
      <c r="C48" s="12" t="s">
        <v>5988</v>
      </c>
      <c r="D48" s="12" t="s">
        <v>5989</v>
      </c>
      <c r="E48" s="12" t="s">
        <v>5990</v>
      </c>
      <c r="F48" s="12" t="s">
        <v>5991</v>
      </c>
      <c r="G48" s="12" t="s">
        <v>5992</v>
      </c>
      <c r="H48" s="12" t="s">
        <v>5993</v>
      </c>
    </row>
    <row r="49">
      <c r="A49" s="12" t="s">
        <v>5994</v>
      </c>
      <c r="B49" s="12" t="s">
        <v>5995</v>
      </c>
      <c r="C49" s="12" t="s">
        <v>5996</v>
      </c>
      <c r="D49" s="12" t="s">
        <v>5997</v>
      </c>
      <c r="E49" s="12" t="s">
        <v>5998</v>
      </c>
      <c r="F49" s="12" t="s">
        <v>5999</v>
      </c>
      <c r="G49" s="12" t="s">
        <v>6000</v>
      </c>
      <c r="H49" s="12" t="s">
        <v>6001</v>
      </c>
    </row>
    <row r="50">
      <c r="A50" s="12" t="s">
        <v>6002</v>
      </c>
      <c r="B50" s="12" t="s">
        <v>6003</v>
      </c>
      <c r="C50" s="12" t="s">
        <v>6004</v>
      </c>
      <c r="D50" s="12" t="s">
        <v>6005</v>
      </c>
      <c r="E50" s="12" t="s">
        <v>6006</v>
      </c>
      <c r="F50" s="12" t="s">
        <v>6007</v>
      </c>
      <c r="G50" s="12" t="s">
        <v>6008</v>
      </c>
      <c r="H50" s="12" t="s">
        <v>6009</v>
      </c>
    </row>
    <row r="52">
      <c r="A52" s="219" t="s">
        <v>3640</v>
      </c>
    </row>
    <row r="53">
      <c r="A53" s="270" t="s">
        <v>2998</v>
      </c>
      <c r="B53" s="270" t="s">
        <v>3066</v>
      </c>
      <c r="C53" s="186" t="s">
        <v>3067</v>
      </c>
      <c r="D53" s="270" t="s">
        <v>2999</v>
      </c>
      <c r="E53" s="270" t="s">
        <v>85</v>
      </c>
      <c r="F53" s="270" t="s">
        <v>3069</v>
      </c>
      <c r="G53" s="270" t="s">
        <v>705</v>
      </c>
      <c r="H53" s="270" t="s">
        <v>696</v>
      </c>
    </row>
    <row r="54">
      <c r="A54" s="14" t="s">
        <v>6010</v>
      </c>
      <c r="B54" s="14" t="s">
        <v>6011</v>
      </c>
      <c r="C54" s="14" t="s">
        <v>6012</v>
      </c>
      <c r="D54" s="14" t="s">
        <v>1038</v>
      </c>
      <c r="E54" s="14" t="s">
        <v>3691</v>
      </c>
      <c r="F54" s="14" t="s">
        <v>6013</v>
      </c>
      <c r="G54" s="14" t="s">
        <v>6014</v>
      </c>
      <c r="H54" s="14" t="s">
        <v>6015</v>
      </c>
    </row>
    <row r="55">
      <c r="A55" s="14" t="s">
        <v>6016</v>
      </c>
      <c r="B55" s="14" t="s">
        <v>6011</v>
      </c>
      <c r="C55" s="14" t="s">
        <v>6017</v>
      </c>
      <c r="D55" s="14" t="s">
        <v>1016</v>
      </c>
      <c r="E55" s="14" t="s">
        <v>6018</v>
      </c>
      <c r="F55" s="14" t="s">
        <v>6019</v>
      </c>
      <c r="G55" s="14" t="s">
        <v>6020</v>
      </c>
      <c r="H55" s="14" t="s">
        <v>6019</v>
      </c>
    </row>
    <row r="56">
      <c r="A56" s="14" t="s">
        <v>6021</v>
      </c>
      <c r="B56" s="14" t="s">
        <v>6022</v>
      </c>
      <c r="C56" s="14" t="s">
        <v>6023</v>
      </c>
      <c r="D56" s="14" t="s">
        <v>6024</v>
      </c>
      <c r="E56" s="14" t="s">
        <v>1031</v>
      </c>
      <c r="F56" s="14" t="s">
        <v>6025</v>
      </c>
      <c r="G56" s="14" t="s">
        <v>6025</v>
      </c>
      <c r="H56" s="14" t="s">
        <v>6026</v>
      </c>
    </row>
    <row r="57">
      <c r="A57" s="14" t="s">
        <v>6027</v>
      </c>
      <c r="B57" s="14" t="s">
        <v>6022</v>
      </c>
      <c r="C57" s="14" t="s">
        <v>6028</v>
      </c>
      <c r="D57" s="14" t="s">
        <v>6029</v>
      </c>
      <c r="E57" s="14" t="s">
        <v>722</v>
      </c>
      <c r="F57" s="14" t="s">
        <v>6030</v>
      </c>
      <c r="G57" s="14" t="s">
        <v>6031</v>
      </c>
      <c r="H57" s="14" t="s">
        <v>6030</v>
      </c>
    </row>
    <row r="58">
      <c r="A58" s="14" t="s">
        <v>6032</v>
      </c>
      <c r="B58" s="14" t="s">
        <v>6033</v>
      </c>
      <c r="C58" s="14" t="s">
        <v>6034</v>
      </c>
      <c r="D58" s="14" t="s">
        <v>1033</v>
      </c>
      <c r="E58" s="14" t="s">
        <v>6035</v>
      </c>
      <c r="F58" s="14" t="s">
        <v>6036</v>
      </c>
      <c r="G58" s="14" t="s">
        <v>6036</v>
      </c>
      <c r="H58" s="14" t="s">
        <v>6037</v>
      </c>
    </row>
    <row r="59">
      <c r="A59" s="14" t="s">
        <v>6038</v>
      </c>
      <c r="B59" s="14" t="s">
        <v>6033</v>
      </c>
      <c r="C59" s="14" t="s">
        <v>6012</v>
      </c>
      <c r="D59" s="14" t="s">
        <v>1038</v>
      </c>
      <c r="E59" s="14" t="s">
        <v>6018</v>
      </c>
      <c r="F59" s="14" t="s">
        <v>6039</v>
      </c>
      <c r="G59" s="14" t="s">
        <v>6039</v>
      </c>
      <c r="H59" s="14" t="s">
        <v>6040</v>
      </c>
    </row>
    <row r="60">
      <c r="A60" s="14" t="s">
        <v>6041</v>
      </c>
      <c r="B60" s="14" t="s">
        <v>6042</v>
      </c>
      <c r="C60" s="14" t="s">
        <v>6017</v>
      </c>
      <c r="D60" s="14" t="s">
        <v>1023</v>
      </c>
      <c r="E60" s="14" t="s">
        <v>1031</v>
      </c>
      <c r="F60" s="14" t="s">
        <v>6043</v>
      </c>
      <c r="G60" s="14" t="s">
        <v>6044</v>
      </c>
      <c r="H60" s="14" t="s">
        <v>6043</v>
      </c>
    </row>
    <row r="61">
      <c r="A61" s="14" t="s">
        <v>6045</v>
      </c>
      <c r="B61" s="14" t="s">
        <v>6042</v>
      </c>
      <c r="C61" s="14" t="s">
        <v>6023</v>
      </c>
      <c r="D61" s="14" t="s">
        <v>1039</v>
      </c>
      <c r="E61" s="14" t="s">
        <v>6046</v>
      </c>
      <c r="F61" s="14" t="s">
        <v>6047</v>
      </c>
      <c r="G61" s="14" t="s">
        <v>6047</v>
      </c>
      <c r="H61" s="14" t="s">
        <v>6048</v>
      </c>
    </row>
    <row r="62">
      <c r="A62" s="14" t="s">
        <v>6049</v>
      </c>
      <c r="B62" s="14" t="s">
        <v>6050</v>
      </c>
      <c r="C62" s="14" t="s">
        <v>6034</v>
      </c>
      <c r="D62" s="14" t="s">
        <v>1033</v>
      </c>
      <c r="E62" s="14" t="s">
        <v>6051</v>
      </c>
      <c r="F62" s="14" t="s">
        <v>6052</v>
      </c>
      <c r="G62" s="14" t="s">
        <v>6052</v>
      </c>
      <c r="H62" s="14" t="s">
        <v>6015</v>
      </c>
    </row>
    <row r="63">
      <c r="A63" s="14" t="s">
        <v>6053</v>
      </c>
      <c r="B63" s="14" t="s">
        <v>6050</v>
      </c>
      <c r="C63" s="14" t="s">
        <v>3090</v>
      </c>
      <c r="D63" s="14" t="s">
        <v>1016</v>
      </c>
      <c r="E63" s="14" t="s">
        <v>6054</v>
      </c>
      <c r="F63" s="14" t="s">
        <v>6055</v>
      </c>
      <c r="G63" s="14" t="s">
        <v>6056</v>
      </c>
      <c r="H63" s="14" t="s">
        <v>6055</v>
      </c>
    </row>
    <row r="64">
      <c r="A64" s="14" t="s">
        <v>6057</v>
      </c>
      <c r="B64" s="14" t="s">
        <v>6058</v>
      </c>
      <c r="C64" s="14" t="s">
        <v>6012</v>
      </c>
      <c r="D64" s="14" t="s">
        <v>1038</v>
      </c>
      <c r="E64" s="14" t="s">
        <v>6059</v>
      </c>
      <c r="F64" s="14" t="s">
        <v>6060</v>
      </c>
      <c r="G64" s="14" t="s">
        <v>6061</v>
      </c>
      <c r="H64" s="14" t="s">
        <v>6060</v>
      </c>
    </row>
    <row r="65">
      <c r="A65" s="14" t="s">
        <v>6062</v>
      </c>
      <c r="B65" s="14" t="s">
        <v>6058</v>
      </c>
      <c r="C65" s="14" t="s">
        <v>6017</v>
      </c>
      <c r="D65" s="14" t="s">
        <v>1039</v>
      </c>
      <c r="E65" s="14" t="s">
        <v>6063</v>
      </c>
      <c r="F65" s="14" t="s">
        <v>6064</v>
      </c>
      <c r="G65" s="14" t="s">
        <v>6065</v>
      </c>
      <c r="H65" s="14" t="s">
        <v>6064</v>
      </c>
    </row>
    <row r="66">
      <c r="A66" s="14" t="s">
        <v>6066</v>
      </c>
      <c r="B66" s="14" t="s">
        <v>6067</v>
      </c>
      <c r="C66" s="14" t="s">
        <v>6017</v>
      </c>
      <c r="D66" s="14" t="s">
        <v>6029</v>
      </c>
      <c r="E66" s="14" t="s">
        <v>6063</v>
      </c>
      <c r="F66" s="14" t="s">
        <v>6068</v>
      </c>
      <c r="G66" s="14" t="s">
        <v>6069</v>
      </c>
      <c r="H66" s="14" t="s">
        <v>6068</v>
      </c>
    </row>
    <row r="67">
      <c r="A67" s="14" t="s">
        <v>6070</v>
      </c>
      <c r="B67" s="14" t="s">
        <v>6067</v>
      </c>
      <c r="C67" s="14" t="s">
        <v>6071</v>
      </c>
      <c r="D67" s="14" t="s">
        <v>6024</v>
      </c>
      <c r="E67" s="14" t="s">
        <v>755</v>
      </c>
      <c r="F67" s="14" t="s">
        <v>6072</v>
      </c>
      <c r="G67" s="14" t="s">
        <v>6072</v>
      </c>
      <c r="H67" s="14" t="s">
        <v>6072</v>
      </c>
    </row>
    <row r="68">
      <c r="A68" s="14" t="s">
        <v>6073</v>
      </c>
      <c r="B68" s="14" t="s">
        <v>6074</v>
      </c>
      <c r="C68" s="14" t="s">
        <v>3090</v>
      </c>
      <c r="D68" s="14" t="s">
        <v>1039</v>
      </c>
      <c r="E68" s="14" t="s">
        <v>5667</v>
      </c>
      <c r="F68" s="14" t="s">
        <v>6075</v>
      </c>
      <c r="G68" s="14" t="s">
        <v>6076</v>
      </c>
      <c r="H68" s="14" t="s">
        <v>6077</v>
      </c>
    </row>
    <row r="69">
      <c r="A69" s="14" t="s">
        <v>6078</v>
      </c>
      <c r="B69" s="14" t="s">
        <v>6074</v>
      </c>
      <c r="C69" s="14" t="s">
        <v>6012</v>
      </c>
      <c r="D69" s="14" t="s">
        <v>1023</v>
      </c>
      <c r="E69" s="14" t="s">
        <v>3205</v>
      </c>
      <c r="F69" s="14" t="s">
        <v>6079</v>
      </c>
      <c r="G69" s="14" t="s">
        <v>6080</v>
      </c>
      <c r="H69" s="14" t="s">
        <v>6079</v>
      </c>
    </row>
    <row r="70">
      <c r="A70" s="14" t="s">
        <v>6081</v>
      </c>
      <c r="B70" s="14" t="s">
        <v>6082</v>
      </c>
      <c r="C70" s="14" t="s">
        <v>6028</v>
      </c>
      <c r="D70" s="14" t="s">
        <v>1033</v>
      </c>
      <c r="E70" s="14" t="s">
        <v>6083</v>
      </c>
      <c r="F70" s="14" t="s">
        <v>6036</v>
      </c>
      <c r="G70" s="14" t="s">
        <v>6036</v>
      </c>
      <c r="H70" s="14" t="s">
        <v>6015</v>
      </c>
    </row>
    <row r="71">
      <c r="A71" s="14" t="s">
        <v>6084</v>
      </c>
      <c r="B71" s="14" t="s">
        <v>6082</v>
      </c>
      <c r="C71" s="14" t="s">
        <v>6085</v>
      </c>
      <c r="D71" s="14" t="s">
        <v>1039</v>
      </c>
      <c r="E71" s="14" t="s">
        <v>6086</v>
      </c>
      <c r="F71" s="14" t="s">
        <v>6087</v>
      </c>
      <c r="G71" s="14" t="s">
        <v>6088</v>
      </c>
      <c r="H71" s="14" t="s">
        <v>6075</v>
      </c>
    </row>
    <row r="72">
      <c r="A72" s="14" t="s">
        <v>6089</v>
      </c>
      <c r="B72" s="14" t="s">
        <v>6090</v>
      </c>
      <c r="C72" s="14" t="s">
        <v>6071</v>
      </c>
      <c r="D72" s="14" t="s">
        <v>1023</v>
      </c>
      <c r="E72" s="14" t="s">
        <v>6035</v>
      </c>
      <c r="F72" s="14" t="s">
        <v>6043</v>
      </c>
      <c r="G72" s="14" t="s">
        <v>6091</v>
      </c>
      <c r="H72" s="14" t="s">
        <v>6092</v>
      </c>
    </row>
    <row r="73">
      <c r="A73" s="14" t="s">
        <v>6093</v>
      </c>
      <c r="B73" s="14" t="s">
        <v>6090</v>
      </c>
      <c r="C73" s="14" t="s">
        <v>3090</v>
      </c>
      <c r="D73" s="14" t="s">
        <v>1038</v>
      </c>
      <c r="E73" s="14" t="s">
        <v>6094</v>
      </c>
      <c r="F73" s="14" t="s">
        <v>6095</v>
      </c>
      <c r="G73" s="14" t="s">
        <v>6096</v>
      </c>
      <c r="H73" s="14" t="s">
        <v>6097</v>
      </c>
    </row>
    <row r="74">
      <c r="A74" s="14" t="s">
        <v>6098</v>
      </c>
      <c r="B74" s="14" t="s">
        <v>6099</v>
      </c>
      <c r="C74" s="14" t="s">
        <v>6034</v>
      </c>
      <c r="D74" s="14" t="s">
        <v>1039</v>
      </c>
      <c r="E74" s="14" t="s">
        <v>6054</v>
      </c>
      <c r="F74" s="14" t="s">
        <v>6048</v>
      </c>
      <c r="G74" s="14" t="s">
        <v>6100</v>
      </c>
      <c r="H74" s="14" t="s">
        <v>6048</v>
      </c>
    </row>
    <row r="75">
      <c r="A75" s="14" t="s">
        <v>6101</v>
      </c>
      <c r="B75" s="14" t="s">
        <v>6099</v>
      </c>
      <c r="C75" s="14" t="s">
        <v>6028</v>
      </c>
      <c r="D75" s="14" t="s">
        <v>1023</v>
      </c>
      <c r="E75" s="14" t="s">
        <v>755</v>
      </c>
      <c r="F75" s="14" t="s">
        <v>6102</v>
      </c>
      <c r="G75" s="14" t="s">
        <v>6103</v>
      </c>
      <c r="H75" s="14" t="s">
        <v>6079</v>
      </c>
    </row>
    <row r="76">
      <c r="A76" s="14" t="s">
        <v>6104</v>
      </c>
      <c r="B76" s="14" t="s">
        <v>6105</v>
      </c>
      <c r="C76" s="14" t="s">
        <v>6085</v>
      </c>
      <c r="D76" s="14" t="s">
        <v>1038</v>
      </c>
      <c r="E76" s="14" t="s">
        <v>6106</v>
      </c>
      <c r="F76" s="14" t="s">
        <v>6039</v>
      </c>
      <c r="G76" s="14" t="s">
        <v>6039</v>
      </c>
      <c r="H76" s="14" t="s">
        <v>6107</v>
      </c>
    </row>
    <row r="77">
      <c r="A77" s="14" t="s">
        <v>6108</v>
      </c>
      <c r="B77" s="14" t="s">
        <v>6105</v>
      </c>
      <c r="C77" s="14" t="s">
        <v>6071</v>
      </c>
      <c r="D77" s="14" t="s">
        <v>1016</v>
      </c>
      <c r="E77" s="14" t="s">
        <v>784</v>
      </c>
      <c r="F77" s="14" t="s">
        <v>6109</v>
      </c>
      <c r="G77" s="14" t="s">
        <v>6109</v>
      </c>
      <c r="H77" s="14" t="s">
        <v>6110</v>
      </c>
    </row>
    <row r="78">
      <c r="A78" s="14" t="s">
        <v>6111</v>
      </c>
      <c r="B78" s="14" t="s">
        <v>6112</v>
      </c>
      <c r="C78" s="14" t="s">
        <v>6017</v>
      </c>
      <c r="D78" s="14" t="s">
        <v>1023</v>
      </c>
      <c r="E78" s="14" t="s">
        <v>5667</v>
      </c>
      <c r="F78" s="14" t="s">
        <v>6102</v>
      </c>
      <c r="G78" s="14" t="s">
        <v>6113</v>
      </c>
      <c r="H78" s="14" t="s">
        <v>6113</v>
      </c>
    </row>
    <row r="79">
      <c r="A79" s="14" t="s">
        <v>6114</v>
      </c>
      <c r="B79" s="14" t="s">
        <v>6112</v>
      </c>
      <c r="C79" s="14" t="s">
        <v>6023</v>
      </c>
      <c r="D79" s="14" t="s">
        <v>1038</v>
      </c>
      <c r="E79" s="14" t="s">
        <v>1059</v>
      </c>
      <c r="F79" s="14" t="s">
        <v>6115</v>
      </c>
      <c r="G79" s="14" t="s">
        <v>6116</v>
      </c>
      <c r="H79" s="14" t="s">
        <v>6115</v>
      </c>
    </row>
    <row r="80">
      <c r="A80" s="14" t="s">
        <v>6117</v>
      </c>
      <c r="B80" s="14" t="s">
        <v>6118</v>
      </c>
      <c r="C80" s="14" t="s">
        <v>6028</v>
      </c>
      <c r="D80" s="14" t="s">
        <v>1013</v>
      </c>
      <c r="E80" s="14" t="s">
        <v>784</v>
      </c>
      <c r="F80" s="14" t="s">
        <v>6119</v>
      </c>
      <c r="G80" s="14" t="s">
        <v>6120</v>
      </c>
      <c r="H80" s="14" t="s">
        <v>6077</v>
      </c>
    </row>
    <row r="81">
      <c r="A81" s="14" t="s">
        <v>6121</v>
      </c>
      <c r="B81" s="14" t="s">
        <v>6118</v>
      </c>
      <c r="C81" s="14" t="s">
        <v>6085</v>
      </c>
      <c r="D81" s="14" t="s">
        <v>6029</v>
      </c>
      <c r="E81" s="14" t="s">
        <v>6122</v>
      </c>
      <c r="F81" s="14" t="s">
        <v>6123</v>
      </c>
      <c r="G81" s="14" t="s">
        <v>6124</v>
      </c>
      <c r="H81" s="14" t="s">
        <v>6123</v>
      </c>
    </row>
    <row r="82">
      <c r="A82" s="14" t="s">
        <v>6125</v>
      </c>
      <c r="B82" s="14" t="s">
        <v>6126</v>
      </c>
      <c r="C82" s="14" t="s">
        <v>6012</v>
      </c>
      <c r="D82" s="14" t="s">
        <v>1033</v>
      </c>
      <c r="E82" s="14" t="s">
        <v>755</v>
      </c>
      <c r="F82" s="14" t="s">
        <v>6052</v>
      </c>
      <c r="G82" s="14" t="s">
        <v>6127</v>
      </c>
      <c r="H82" s="14" t="s">
        <v>6115</v>
      </c>
    </row>
    <row r="83">
      <c r="A83" s="14" t="s">
        <v>6128</v>
      </c>
      <c r="B83" s="14" t="s">
        <v>6126</v>
      </c>
      <c r="C83" s="14" t="s">
        <v>6023</v>
      </c>
      <c r="D83" s="14" t="s">
        <v>1023</v>
      </c>
      <c r="E83" s="14" t="s">
        <v>6083</v>
      </c>
      <c r="F83" s="14" t="s">
        <v>6079</v>
      </c>
      <c r="G83" s="14" t="s">
        <v>6116</v>
      </c>
      <c r="H83" s="14" t="s">
        <v>6079</v>
      </c>
    </row>
    <row r="84">
      <c r="A84" s="14" t="s">
        <v>6129</v>
      </c>
      <c r="B84" s="14" t="s">
        <v>6130</v>
      </c>
      <c r="C84" s="14" t="s">
        <v>3090</v>
      </c>
      <c r="D84" s="14" t="s">
        <v>1023</v>
      </c>
      <c r="E84" s="14" t="s">
        <v>755</v>
      </c>
      <c r="F84" s="14" t="s">
        <v>6131</v>
      </c>
      <c r="G84" s="14" t="s">
        <v>6132</v>
      </c>
      <c r="H84" s="14" t="s">
        <v>6131</v>
      </c>
    </row>
    <row r="85">
      <c r="A85" s="19"/>
      <c r="B85" s="19"/>
      <c r="C85" s="19"/>
      <c r="D85" s="19"/>
      <c r="E85" s="19"/>
      <c r="F85" s="19"/>
      <c r="G85" s="19"/>
      <c r="H85" s="19"/>
    </row>
    <row r="86">
      <c r="A86" s="19"/>
      <c r="B86" s="19"/>
      <c r="C86" s="19"/>
      <c r="D86" s="19"/>
      <c r="E86" s="19"/>
      <c r="F86" s="19"/>
      <c r="G86" s="19"/>
      <c r="H86" s="19"/>
    </row>
    <row r="87">
      <c r="A87" s="19"/>
      <c r="B87" s="19"/>
      <c r="C87" s="19"/>
      <c r="D87" s="19"/>
      <c r="E87" s="19"/>
      <c r="F87" s="19"/>
      <c r="G87" s="19"/>
      <c r="H87" s="19"/>
    </row>
    <row r="88">
      <c r="A88" s="3" t="s">
        <v>6133</v>
      </c>
      <c r="F88" s="19"/>
      <c r="G88" s="19"/>
      <c r="H88" s="19"/>
    </row>
    <row r="89">
      <c r="A89" s="163" t="s">
        <v>627</v>
      </c>
      <c r="B89" s="163" t="s">
        <v>629</v>
      </c>
      <c r="C89" s="163" t="s">
        <v>631</v>
      </c>
      <c r="D89" s="163" t="s">
        <v>633</v>
      </c>
      <c r="E89" s="163" t="s">
        <v>3169</v>
      </c>
      <c r="F89" s="19"/>
      <c r="G89" s="19"/>
      <c r="H89" s="19"/>
    </row>
    <row r="90">
      <c r="A90" s="14" t="s">
        <v>649</v>
      </c>
      <c r="B90" s="14" t="s">
        <v>1010</v>
      </c>
      <c r="C90" s="14" t="s">
        <v>1013</v>
      </c>
      <c r="D90" s="14" t="s">
        <v>30</v>
      </c>
      <c r="E90" s="14">
        <v>50000.0</v>
      </c>
      <c r="F90" s="19"/>
      <c r="G90" s="19"/>
      <c r="H90" s="19"/>
    </row>
    <row r="91">
      <c r="A91" s="14" t="s">
        <v>677</v>
      </c>
      <c r="B91" s="14" t="s">
        <v>722</v>
      </c>
      <c r="C91" s="14" t="s">
        <v>1016</v>
      </c>
      <c r="D91" s="14" t="s">
        <v>14</v>
      </c>
      <c r="E91" s="14">
        <v>50000.0</v>
      </c>
      <c r="F91" s="19"/>
      <c r="G91" s="19"/>
      <c r="H91" s="19"/>
    </row>
    <row r="92">
      <c r="A92" s="14" t="s">
        <v>696</v>
      </c>
      <c r="B92" s="14" t="s">
        <v>1021</v>
      </c>
      <c r="C92" s="14" t="s">
        <v>1023</v>
      </c>
      <c r="D92" s="14" t="s">
        <v>30</v>
      </c>
      <c r="E92" s="14">
        <v>100000.0</v>
      </c>
      <c r="F92" s="19"/>
      <c r="G92" s="19"/>
      <c r="H92" s="19"/>
    </row>
    <row r="93">
      <c r="A93" s="14" t="s">
        <v>705</v>
      </c>
      <c r="B93" s="14" t="s">
        <v>1031</v>
      </c>
      <c r="C93" s="14" t="s">
        <v>1033</v>
      </c>
      <c r="D93" s="14" t="s">
        <v>30</v>
      </c>
      <c r="E93" s="14">
        <v>100000.0</v>
      </c>
      <c r="F93" s="19"/>
      <c r="G93" s="19"/>
      <c r="H93" s="19"/>
    </row>
    <row r="94">
      <c r="A94" s="14" t="s">
        <v>720</v>
      </c>
      <c r="B94" s="14" t="s">
        <v>916</v>
      </c>
      <c r="C94" s="14" t="s">
        <v>1039</v>
      </c>
      <c r="D94" s="14" t="s">
        <v>9</v>
      </c>
      <c r="E94" s="14">
        <v>180000.0</v>
      </c>
      <c r="F94" s="19"/>
      <c r="G94" s="19"/>
      <c r="H94" s="19"/>
    </row>
    <row r="95">
      <c r="A95" s="14" t="s">
        <v>798</v>
      </c>
      <c r="B95" s="14" t="s">
        <v>1016</v>
      </c>
      <c r="E95" s="14">
        <v>225000.0</v>
      </c>
      <c r="F95" s="19"/>
      <c r="G95" s="19"/>
      <c r="H95" s="19"/>
    </row>
    <row r="96">
      <c r="A96" s="14" t="s">
        <v>809</v>
      </c>
      <c r="B96" s="14" t="s">
        <v>1033</v>
      </c>
      <c r="E96" s="14">
        <v>400000.0</v>
      </c>
      <c r="F96" s="19"/>
      <c r="G96" s="19"/>
      <c r="H96" s="19"/>
    </row>
    <row r="97">
      <c r="A97" s="14" t="s">
        <v>446</v>
      </c>
      <c r="B97" s="14" t="s">
        <v>1023</v>
      </c>
      <c r="E97" s="14">
        <v>800000.0</v>
      </c>
      <c r="F97" s="19"/>
      <c r="G97" s="19"/>
      <c r="H97" s="19"/>
    </row>
    <row r="98">
      <c r="A98" s="19"/>
      <c r="B98" s="19"/>
      <c r="C98" s="19"/>
      <c r="D98" s="19"/>
      <c r="E98" s="19"/>
      <c r="F98" s="19"/>
      <c r="G98" s="19"/>
      <c r="H98" s="19"/>
    </row>
    <row r="99">
      <c r="A99" s="19"/>
      <c r="B99" s="19"/>
      <c r="C99" s="19"/>
      <c r="D99" s="19"/>
      <c r="E99" s="19"/>
      <c r="F99" s="19"/>
      <c r="G99" s="19"/>
      <c r="H99" s="19"/>
    </row>
    <row r="100">
      <c r="A100" s="19"/>
      <c r="B100" s="19"/>
      <c r="C100" s="19"/>
      <c r="D100" s="19"/>
      <c r="E100" s="19"/>
      <c r="F100" s="19"/>
      <c r="G100" s="19"/>
      <c r="H100" s="19"/>
    </row>
    <row r="101">
      <c r="A101" s="19"/>
      <c r="B101" s="19"/>
      <c r="C101" s="19"/>
      <c r="D101" s="19"/>
      <c r="E101" s="19"/>
      <c r="F101" s="19"/>
      <c r="G101" s="19"/>
      <c r="H101" s="19"/>
    </row>
    <row r="102">
      <c r="A102" s="19"/>
      <c r="B102" s="19"/>
      <c r="C102" s="19"/>
      <c r="D102" s="19"/>
      <c r="E102" s="19"/>
      <c r="F102" s="19"/>
      <c r="G102" s="19"/>
      <c r="H102" s="19"/>
    </row>
    <row r="103">
      <c r="A103" s="19"/>
      <c r="B103" s="19"/>
      <c r="C103" s="19"/>
      <c r="D103" s="19"/>
      <c r="E103" s="19"/>
      <c r="F103" s="19"/>
      <c r="G103" s="19"/>
      <c r="H103" s="19"/>
    </row>
    <row r="104">
      <c r="A104" s="19"/>
      <c r="B104" s="19"/>
      <c r="C104" s="19"/>
      <c r="D104" s="19"/>
      <c r="E104" s="19"/>
      <c r="F104" s="19"/>
      <c r="G104" s="19"/>
      <c r="H104" s="19"/>
    </row>
    <row r="105">
      <c r="A105" s="19"/>
      <c r="B105" s="19"/>
      <c r="C105" s="19"/>
      <c r="D105" s="19"/>
      <c r="E105" s="19"/>
      <c r="F105" s="19"/>
      <c r="G105" s="19"/>
      <c r="H105" s="19"/>
    </row>
    <row r="106">
      <c r="A106" s="19"/>
      <c r="B106" s="19"/>
      <c r="C106" s="19"/>
      <c r="D106" s="19"/>
      <c r="E106" s="19"/>
      <c r="F106" s="19"/>
      <c r="G106" s="19"/>
      <c r="H106" s="19"/>
    </row>
    <row r="107">
      <c r="A107" s="19"/>
      <c r="B107" s="19"/>
      <c r="C107" s="19"/>
      <c r="D107" s="19"/>
      <c r="E107" s="19"/>
      <c r="F107" s="19"/>
      <c r="G107" s="19"/>
      <c r="H107" s="19"/>
    </row>
    <row r="108">
      <c r="A108" s="19"/>
      <c r="B108" s="19"/>
      <c r="C108" s="19"/>
      <c r="D108" s="19"/>
      <c r="E108" s="19"/>
      <c r="F108" s="19"/>
      <c r="G108" s="19"/>
      <c r="H108" s="19"/>
    </row>
    <row r="109">
      <c r="A109" s="19"/>
      <c r="B109" s="19"/>
      <c r="C109" s="19"/>
      <c r="D109" s="19"/>
      <c r="E109" s="19"/>
      <c r="F109" s="19"/>
      <c r="G109" s="19"/>
      <c r="H109" s="19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93" t="s">
        <v>6134</v>
      </c>
    </row>
    <row r="2">
      <c r="A2" s="275" t="s">
        <v>30</v>
      </c>
      <c r="B2" s="275" t="s">
        <v>15</v>
      </c>
      <c r="C2" s="275" t="s">
        <v>21</v>
      </c>
      <c r="D2" s="275" t="s">
        <v>12</v>
      </c>
      <c r="E2" s="275" t="s">
        <v>25</v>
      </c>
      <c r="F2" s="275" t="s">
        <v>14</v>
      </c>
      <c r="G2" s="275" t="s">
        <v>9</v>
      </c>
      <c r="H2" s="275" t="s">
        <v>20</v>
      </c>
      <c r="I2" s="275" t="s">
        <v>11</v>
      </c>
      <c r="J2" s="275" t="s">
        <v>27</v>
      </c>
      <c r="K2" s="275" t="s">
        <v>18</v>
      </c>
      <c r="L2" s="275" t="s">
        <v>6135</v>
      </c>
    </row>
    <row r="3">
      <c r="A3" s="12" t="s">
        <v>6136</v>
      </c>
      <c r="B3" s="12" t="s">
        <v>1629</v>
      </c>
      <c r="C3" s="12" t="s">
        <v>6137</v>
      </c>
      <c r="D3" s="12" t="s">
        <v>1497</v>
      </c>
      <c r="E3" s="12" t="s">
        <v>6138</v>
      </c>
      <c r="F3" s="12" t="s">
        <v>1240</v>
      </c>
      <c r="G3" s="12" t="s">
        <v>6139</v>
      </c>
      <c r="H3" s="297" t="s">
        <v>6140</v>
      </c>
      <c r="I3" s="12" t="s">
        <v>64</v>
      </c>
      <c r="J3" s="12" t="s">
        <v>6141</v>
      </c>
      <c r="K3" s="12" t="s">
        <v>6142</v>
      </c>
      <c r="L3" s="12" t="s">
        <v>2644</v>
      </c>
    </row>
    <row r="4">
      <c r="A4" s="12" t="s">
        <v>3471</v>
      </c>
      <c r="B4" s="12" t="s">
        <v>5743</v>
      </c>
      <c r="C4" s="12" t="s">
        <v>6143</v>
      </c>
      <c r="D4" s="12" t="s">
        <v>1339</v>
      </c>
      <c r="E4" s="12" t="s">
        <v>805</v>
      </c>
      <c r="F4" s="12" t="s">
        <v>1265</v>
      </c>
      <c r="G4" s="12" t="s">
        <v>1201</v>
      </c>
      <c r="H4" s="297" t="s">
        <v>5746</v>
      </c>
      <c r="I4" s="12" t="s">
        <v>71</v>
      </c>
      <c r="J4" s="12" t="s">
        <v>6144</v>
      </c>
      <c r="K4" s="12" t="s">
        <v>6145</v>
      </c>
      <c r="L4" s="12" t="s">
        <v>1775</v>
      </c>
    </row>
    <row r="5">
      <c r="A5" s="12" t="s">
        <v>4012</v>
      </c>
      <c r="B5" s="12" t="s">
        <v>5750</v>
      </c>
      <c r="C5" s="12" t="s">
        <v>6146</v>
      </c>
      <c r="D5" s="12" t="s">
        <v>6147</v>
      </c>
      <c r="E5" s="12" t="s">
        <v>6148</v>
      </c>
      <c r="F5" s="12" t="s">
        <v>1368</v>
      </c>
      <c r="G5" s="12" t="s">
        <v>414</v>
      </c>
      <c r="H5" s="297" t="s">
        <v>6149</v>
      </c>
      <c r="I5" s="12" t="s">
        <v>6150</v>
      </c>
      <c r="J5" s="12" t="s">
        <v>6151</v>
      </c>
      <c r="K5" s="12" t="s">
        <v>2078</v>
      </c>
      <c r="L5" s="12" t="s">
        <v>2310</v>
      </c>
    </row>
    <row r="6">
      <c r="A6" s="12" t="s">
        <v>6152</v>
      </c>
      <c r="B6" s="12" t="s">
        <v>1383</v>
      </c>
      <c r="C6" s="12" t="s">
        <v>3647</v>
      </c>
      <c r="D6" s="12" t="s">
        <v>6153</v>
      </c>
      <c r="E6" s="12" t="s">
        <v>5756</v>
      </c>
      <c r="F6" s="12" t="s">
        <v>6154</v>
      </c>
      <c r="G6" s="12" t="s">
        <v>4544</v>
      </c>
      <c r="H6" s="297" t="s">
        <v>4455</v>
      </c>
      <c r="I6" s="12" t="s">
        <v>110</v>
      </c>
      <c r="K6" s="12" t="s">
        <v>6155</v>
      </c>
      <c r="L6" s="12" t="s">
        <v>6156</v>
      </c>
    </row>
    <row r="7">
      <c r="A7" s="12" t="s">
        <v>6157</v>
      </c>
      <c r="B7" s="12" t="s">
        <v>1389</v>
      </c>
      <c r="C7" s="12" t="s">
        <v>3481</v>
      </c>
      <c r="D7" s="12" t="s">
        <v>6158</v>
      </c>
      <c r="E7" s="12" t="s">
        <v>5763</v>
      </c>
      <c r="F7" s="12" t="s">
        <v>6159</v>
      </c>
      <c r="G7" s="12" t="s">
        <v>6160</v>
      </c>
      <c r="H7" s="297" t="s">
        <v>4572</v>
      </c>
      <c r="I7" s="12" t="s">
        <v>6161</v>
      </c>
      <c r="K7" s="12" t="s">
        <v>6162</v>
      </c>
      <c r="L7" s="12" t="s">
        <v>6163</v>
      </c>
    </row>
    <row r="8">
      <c r="A8" s="12" t="s">
        <v>2992</v>
      </c>
      <c r="B8" s="12" t="s">
        <v>1395</v>
      </c>
      <c r="C8" s="12" t="s">
        <v>4050</v>
      </c>
      <c r="D8" s="12" t="s">
        <v>5270</v>
      </c>
      <c r="E8" s="12" t="s">
        <v>6164</v>
      </c>
      <c r="F8" s="12" t="s">
        <v>6165</v>
      </c>
      <c r="G8" s="12" t="s">
        <v>5769</v>
      </c>
      <c r="H8" s="297" t="s">
        <v>5271</v>
      </c>
      <c r="I8" s="12" t="s">
        <v>6166</v>
      </c>
      <c r="K8" s="12" t="s">
        <v>4587</v>
      </c>
      <c r="L8" s="12" t="s">
        <v>6167</v>
      </c>
    </row>
    <row r="9">
      <c r="A9" s="12" t="s">
        <v>6168</v>
      </c>
      <c r="B9" s="12" t="s">
        <v>1399</v>
      </c>
      <c r="C9" s="12" t="s">
        <v>6169</v>
      </c>
      <c r="D9" s="12" t="s">
        <v>6170</v>
      </c>
      <c r="E9" s="12" t="s">
        <v>6171</v>
      </c>
      <c r="F9" s="12" t="s">
        <v>6172</v>
      </c>
      <c r="G9" s="12" t="s">
        <v>6173</v>
      </c>
      <c r="H9" s="297" t="s">
        <v>6174</v>
      </c>
      <c r="I9" s="12" t="s">
        <v>171</v>
      </c>
      <c r="K9" s="12" t="s">
        <v>6175</v>
      </c>
      <c r="L9" s="12" t="s">
        <v>2380</v>
      </c>
    </row>
    <row r="10">
      <c r="A10" s="12" t="s">
        <v>6176</v>
      </c>
      <c r="B10" s="12" t="s">
        <v>1402</v>
      </c>
      <c r="C10" s="12" t="s">
        <v>6177</v>
      </c>
      <c r="D10" s="12" t="s">
        <v>6178</v>
      </c>
      <c r="E10" s="12" t="s">
        <v>6179</v>
      </c>
      <c r="F10" s="12" t="s">
        <v>6180</v>
      </c>
      <c r="G10" s="12" t="s">
        <v>6181</v>
      </c>
      <c r="H10" s="297" t="s">
        <v>4617</v>
      </c>
      <c r="I10" s="12" t="s">
        <v>182</v>
      </c>
      <c r="K10" s="12" t="s">
        <v>6182</v>
      </c>
      <c r="L10" s="12" t="s">
        <v>6183</v>
      </c>
    </row>
    <row r="11">
      <c r="A11" s="12" t="s">
        <v>6184</v>
      </c>
      <c r="B11" s="12" t="s">
        <v>5788</v>
      </c>
      <c r="C11" s="12" t="s">
        <v>6185</v>
      </c>
      <c r="D11" s="12" t="s">
        <v>6186</v>
      </c>
      <c r="E11" s="12" t="s">
        <v>6187</v>
      </c>
      <c r="F11" s="12" t="s">
        <v>6188</v>
      </c>
      <c r="G11" s="12" t="s">
        <v>4522</v>
      </c>
      <c r="H11" s="297" t="s">
        <v>4628</v>
      </c>
      <c r="I11" s="12" t="s">
        <v>6189</v>
      </c>
      <c r="K11" s="12" t="s">
        <v>6190</v>
      </c>
      <c r="L11" s="12" t="s">
        <v>6191</v>
      </c>
    </row>
    <row r="12">
      <c r="A12" s="12" t="s">
        <v>3034</v>
      </c>
      <c r="B12" s="12" t="s">
        <v>5797</v>
      </c>
      <c r="C12" s="12" t="s">
        <v>6192</v>
      </c>
      <c r="D12" s="12" t="s">
        <v>6193</v>
      </c>
      <c r="E12" s="12" t="s">
        <v>2564</v>
      </c>
      <c r="F12" s="12" t="s">
        <v>6194</v>
      </c>
      <c r="H12" s="297" t="s">
        <v>6195</v>
      </c>
      <c r="I12" s="12" t="s">
        <v>233</v>
      </c>
      <c r="K12" s="12" t="s">
        <v>6196</v>
      </c>
      <c r="L12" s="12" t="s">
        <v>6197</v>
      </c>
    </row>
    <row r="13">
      <c r="A13" s="12" t="s">
        <v>6198</v>
      </c>
      <c r="B13" s="12" t="s">
        <v>5805</v>
      </c>
      <c r="C13" s="12" t="s">
        <v>4538</v>
      </c>
      <c r="D13" s="12" t="s">
        <v>4117</v>
      </c>
      <c r="E13" s="12" t="s">
        <v>6199</v>
      </c>
      <c r="F13" s="12" t="s">
        <v>5806</v>
      </c>
      <c r="H13" s="297" t="s">
        <v>4652</v>
      </c>
      <c r="I13" s="12" t="s">
        <v>5317</v>
      </c>
      <c r="K13" s="12" t="s">
        <v>6200</v>
      </c>
      <c r="L13" s="12" t="s">
        <v>5811</v>
      </c>
    </row>
    <row r="14">
      <c r="A14" s="12" t="s">
        <v>3051</v>
      </c>
      <c r="B14" s="12" t="s">
        <v>5813</v>
      </c>
      <c r="C14" s="12" t="s">
        <v>6201</v>
      </c>
      <c r="D14" s="12" t="s">
        <v>6202</v>
      </c>
      <c r="E14" s="12" t="s">
        <v>6203</v>
      </c>
      <c r="F14" s="12" t="s">
        <v>6204</v>
      </c>
      <c r="H14" s="294" t="s">
        <v>6205</v>
      </c>
      <c r="I14" s="12" t="s">
        <v>6206</v>
      </c>
      <c r="L14" s="12" t="s">
        <v>6207</v>
      </c>
    </row>
    <row r="15">
      <c r="A15" s="12" t="s">
        <v>6208</v>
      </c>
      <c r="B15" s="12" t="s">
        <v>5820</v>
      </c>
      <c r="C15" s="12" t="s">
        <v>6209</v>
      </c>
      <c r="D15" s="12" t="s">
        <v>6210</v>
      </c>
      <c r="E15" s="12" t="s">
        <v>5822</v>
      </c>
      <c r="F15" s="12" t="s">
        <v>6211</v>
      </c>
      <c r="H15" s="297" t="s">
        <v>6212</v>
      </c>
      <c r="I15" s="12" t="s">
        <v>6213</v>
      </c>
      <c r="L15" s="33" t="s">
        <v>6214</v>
      </c>
    </row>
    <row r="16">
      <c r="A16" s="12" t="s">
        <v>6215</v>
      </c>
      <c r="B16" s="12" t="s">
        <v>5827</v>
      </c>
      <c r="D16" s="12" t="s">
        <v>6216</v>
      </c>
      <c r="H16" s="297" t="s">
        <v>6217</v>
      </c>
      <c r="I16" s="12" t="s">
        <v>296</v>
      </c>
      <c r="L16" s="33" t="s">
        <v>6218</v>
      </c>
    </row>
    <row r="17">
      <c r="A17" s="12" t="s">
        <v>3093</v>
      </c>
      <c r="B17" s="12" t="s">
        <v>5833</v>
      </c>
      <c r="D17" s="12" t="s">
        <v>6219</v>
      </c>
      <c r="H17" s="297" t="s">
        <v>6220</v>
      </c>
      <c r="I17" s="12" t="s">
        <v>317</v>
      </c>
      <c r="L17" s="33" t="s">
        <v>6221</v>
      </c>
    </row>
    <row r="18">
      <c r="A18" s="12" t="s">
        <v>6222</v>
      </c>
      <c r="B18" s="12" t="s">
        <v>5839</v>
      </c>
      <c r="H18" s="297" t="s">
        <v>4713</v>
      </c>
      <c r="I18" s="12" t="s">
        <v>6223</v>
      </c>
      <c r="L18" s="33" t="s">
        <v>6224</v>
      </c>
    </row>
    <row r="19">
      <c r="A19" s="12" t="s">
        <v>3131</v>
      </c>
      <c r="B19" s="12" t="s">
        <v>5843</v>
      </c>
      <c r="I19" s="12" t="s">
        <v>376</v>
      </c>
      <c r="L19" s="33" t="s">
        <v>6225</v>
      </c>
    </row>
    <row r="20">
      <c r="A20" s="12" t="s">
        <v>6226</v>
      </c>
      <c r="B20" s="12" t="s">
        <v>5845</v>
      </c>
      <c r="I20" s="12" t="s">
        <v>6227</v>
      </c>
      <c r="L20" s="12" t="s">
        <v>6228</v>
      </c>
    </row>
    <row r="21">
      <c r="A21" s="12" t="s">
        <v>6229</v>
      </c>
      <c r="B21" s="12" t="s">
        <v>5847</v>
      </c>
      <c r="L21" s="12" t="s">
        <v>6230</v>
      </c>
    </row>
    <row r="22">
      <c r="A22" s="12" t="s">
        <v>3167</v>
      </c>
      <c r="B22" s="12" t="s">
        <v>6231</v>
      </c>
      <c r="L22" s="12" t="s">
        <v>6232</v>
      </c>
    </row>
    <row r="23">
      <c r="A23" s="12" t="s">
        <v>6233</v>
      </c>
      <c r="L23" s="12" t="s">
        <v>6234</v>
      </c>
    </row>
    <row r="24">
      <c r="A24" s="12" t="s">
        <v>3178</v>
      </c>
      <c r="L24" s="12" t="s">
        <v>6235</v>
      </c>
    </row>
    <row r="25">
      <c r="A25" s="12" t="s">
        <v>3184</v>
      </c>
      <c r="L25" s="12" t="s">
        <v>6236</v>
      </c>
    </row>
    <row r="26">
      <c r="A26" s="12" t="s">
        <v>3188</v>
      </c>
      <c r="L26" s="12" t="s">
        <v>6237</v>
      </c>
    </row>
    <row r="27">
      <c r="A27" s="12" t="s">
        <v>3198</v>
      </c>
    </row>
    <row r="28">
      <c r="A28" s="12" t="s">
        <v>3207</v>
      </c>
    </row>
    <row r="29">
      <c r="A29" s="12" t="s">
        <v>6238</v>
      </c>
    </row>
    <row r="30">
      <c r="A30" s="12" t="s">
        <v>6239</v>
      </c>
      <c r="C30" s="79">
        <f>37+20+13+15+13+13+9+16+18+3+11+11</f>
        <v>179</v>
      </c>
    </row>
    <row r="31">
      <c r="A31" s="12" t="s">
        <v>6240</v>
      </c>
    </row>
    <row r="32">
      <c r="A32" s="12" t="s">
        <v>3229</v>
      </c>
    </row>
    <row r="33">
      <c r="A33" s="12" t="s">
        <v>3232</v>
      </c>
    </row>
    <row r="34">
      <c r="A34" s="12" t="s">
        <v>6241</v>
      </c>
    </row>
    <row r="35">
      <c r="A35" s="12" t="s">
        <v>3242</v>
      </c>
    </row>
    <row r="36">
      <c r="A36" s="12" t="s">
        <v>6242</v>
      </c>
    </row>
    <row r="37">
      <c r="A37" s="12" t="s">
        <v>6243</v>
      </c>
    </row>
    <row r="38">
      <c r="A38" s="12" t="s">
        <v>6244</v>
      </c>
    </row>
    <row r="39">
      <c r="A39" s="12" t="s">
        <v>6245</v>
      </c>
    </row>
    <row r="42">
      <c r="A42" s="66" t="s">
        <v>6246</v>
      </c>
    </row>
    <row r="43">
      <c r="A43" s="85" t="s">
        <v>1066</v>
      </c>
      <c r="B43" s="85" t="s">
        <v>1068</v>
      </c>
      <c r="C43" s="85" t="s">
        <v>1069</v>
      </c>
      <c r="D43" s="85" t="s">
        <v>1070</v>
      </c>
      <c r="E43" s="85" t="s">
        <v>1072</v>
      </c>
      <c r="F43" s="85" t="s">
        <v>1073</v>
      </c>
      <c r="G43" s="85" t="s">
        <v>1074</v>
      </c>
      <c r="H43" s="85" t="s">
        <v>1076</v>
      </c>
      <c r="I43" s="85" t="s">
        <v>1078</v>
      </c>
      <c r="J43" s="85" t="s">
        <v>1080</v>
      </c>
    </row>
    <row r="44">
      <c r="A44" s="12" t="s">
        <v>6247</v>
      </c>
      <c r="B44" s="12" t="s">
        <v>6248</v>
      </c>
      <c r="C44" s="12" t="s">
        <v>6249</v>
      </c>
      <c r="D44" s="12" t="s">
        <v>6250</v>
      </c>
      <c r="E44" s="12" t="s">
        <v>6251</v>
      </c>
      <c r="F44" s="12" t="s">
        <v>6252</v>
      </c>
      <c r="G44" s="12" t="s">
        <v>6253</v>
      </c>
      <c r="H44" s="12" t="s">
        <v>6254</v>
      </c>
      <c r="I44" s="12" t="s">
        <v>6255</v>
      </c>
      <c r="J44" s="12" t="s">
        <v>6256</v>
      </c>
    </row>
    <row r="45">
      <c r="A45" s="12" t="s">
        <v>6257</v>
      </c>
      <c r="B45" s="12" t="s">
        <v>6258</v>
      </c>
      <c r="C45" s="12" t="s">
        <v>6259</v>
      </c>
      <c r="D45" s="12" t="s">
        <v>6260</v>
      </c>
      <c r="E45" s="12" t="s">
        <v>6261</v>
      </c>
      <c r="F45" s="12" t="s">
        <v>6262</v>
      </c>
      <c r="G45" s="12" t="s">
        <v>6263</v>
      </c>
      <c r="H45" s="12" t="s">
        <v>6264</v>
      </c>
      <c r="I45" s="12" t="s">
        <v>6265</v>
      </c>
      <c r="J45" s="12" t="s">
        <v>6266</v>
      </c>
    </row>
    <row r="46">
      <c r="A46" s="12" t="s">
        <v>6267</v>
      </c>
      <c r="B46" s="12" t="s">
        <v>6268</v>
      </c>
      <c r="C46" s="12" t="s">
        <v>6269</v>
      </c>
      <c r="D46" s="12" t="s">
        <v>6270</v>
      </c>
      <c r="E46" s="12" t="s">
        <v>6271</v>
      </c>
      <c r="F46" s="12" t="s">
        <v>6272</v>
      </c>
      <c r="G46" s="12" t="s">
        <v>6273</v>
      </c>
      <c r="H46" s="12" t="s">
        <v>6274</v>
      </c>
      <c r="I46" s="12" t="s">
        <v>6275</v>
      </c>
      <c r="J46" s="12" t="s">
        <v>6276</v>
      </c>
    </row>
    <row r="47">
      <c r="A47" s="12" t="s">
        <v>6277</v>
      </c>
      <c r="B47" s="12" t="s">
        <v>6278</v>
      </c>
      <c r="C47" s="12" t="s">
        <v>6279</v>
      </c>
      <c r="D47" s="12" t="s">
        <v>6280</v>
      </c>
      <c r="E47" s="12" t="s">
        <v>6281</v>
      </c>
      <c r="F47" s="12" t="s">
        <v>6282</v>
      </c>
      <c r="G47" s="12" t="s">
        <v>6283</v>
      </c>
      <c r="H47" s="12" t="s">
        <v>6284</v>
      </c>
      <c r="I47" s="12" t="s">
        <v>6285</v>
      </c>
      <c r="J47" s="12" t="s">
        <v>6286</v>
      </c>
    </row>
    <row r="48">
      <c r="A48" s="12" t="s">
        <v>6287</v>
      </c>
      <c r="B48" s="12" t="s">
        <v>6288</v>
      </c>
      <c r="C48" s="12" t="s">
        <v>6289</v>
      </c>
      <c r="D48" s="12" t="s">
        <v>6290</v>
      </c>
      <c r="E48" s="12" t="s">
        <v>6291</v>
      </c>
      <c r="F48" s="12" t="s">
        <v>6292</v>
      </c>
      <c r="G48" s="12" t="s">
        <v>6293</v>
      </c>
      <c r="H48" s="12" t="s">
        <v>6294</v>
      </c>
      <c r="I48" s="12" t="s">
        <v>6295</v>
      </c>
      <c r="J48" s="12" t="s">
        <v>6296</v>
      </c>
    </row>
    <row r="49">
      <c r="A49" s="12" t="s">
        <v>6297</v>
      </c>
      <c r="B49" s="12" t="s">
        <v>6298</v>
      </c>
      <c r="C49" s="12" t="s">
        <v>6299</v>
      </c>
      <c r="D49" s="12" t="s">
        <v>6300</v>
      </c>
      <c r="E49" s="12" t="s">
        <v>6301</v>
      </c>
      <c r="F49" s="12" t="s">
        <v>6302</v>
      </c>
      <c r="G49" s="12" t="s">
        <v>6303</v>
      </c>
      <c r="H49" s="12" t="s">
        <v>6304</v>
      </c>
      <c r="I49" s="12" t="s">
        <v>6305</v>
      </c>
      <c r="J49" s="12" t="s">
        <v>6306</v>
      </c>
    </row>
    <row r="50">
      <c r="A50" s="12" t="s">
        <v>6307</v>
      </c>
      <c r="B50" s="12" t="s">
        <v>6308</v>
      </c>
      <c r="C50" s="12" t="s">
        <v>6309</v>
      </c>
      <c r="D50" s="12" t="s">
        <v>6310</v>
      </c>
      <c r="E50" s="12" t="s">
        <v>6311</v>
      </c>
      <c r="F50" s="12" t="s">
        <v>6312</v>
      </c>
      <c r="G50" s="12" t="s">
        <v>6313</v>
      </c>
      <c r="H50" s="12" t="s">
        <v>6314</v>
      </c>
      <c r="I50" s="12" t="s">
        <v>6315</v>
      </c>
      <c r="J50" s="12" t="s">
        <v>6316</v>
      </c>
    </row>
    <row r="51">
      <c r="A51" s="12" t="s">
        <v>6317</v>
      </c>
      <c r="B51" s="12" t="s">
        <v>6318</v>
      </c>
      <c r="C51" s="12" t="s">
        <v>6319</v>
      </c>
      <c r="D51" s="12" t="s">
        <v>6320</v>
      </c>
      <c r="E51" s="12" t="s">
        <v>6321</v>
      </c>
      <c r="F51" s="12" t="s">
        <v>6322</v>
      </c>
      <c r="G51" s="12" t="s">
        <v>6323</v>
      </c>
      <c r="H51" s="12" t="s">
        <v>6324</v>
      </c>
      <c r="I51" s="12" t="s">
        <v>6325</v>
      </c>
      <c r="J51" s="12" t="s">
        <v>6326</v>
      </c>
    </row>
    <row r="52">
      <c r="A52" s="12" t="s">
        <v>6327</v>
      </c>
      <c r="B52" s="12" t="s">
        <v>6328</v>
      </c>
      <c r="C52" s="12" t="s">
        <v>6329</v>
      </c>
      <c r="D52" s="12" t="s">
        <v>6330</v>
      </c>
      <c r="E52" s="12" t="s">
        <v>6331</v>
      </c>
      <c r="F52" s="12" t="s">
        <v>6332</v>
      </c>
      <c r="G52" s="12" t="s">
        <v>6333</v>
      </c>
      <c r="H52" s="12" t="s">
        <v>6334</v>
      </c>
      <c r="I52" s="12" t="s">
        <v>6335</v>
      </c>
      <c r="J52" s="12" t="s">
        <v>6336</v>
      </c>
    </row>
    <row r="53">
      <c r="A53" s="12" t="s">
        <v>6337</v>
      </c>
      <c r="B53" s="12" t="s">
        <v>6338</v>
      </c>
      <c r="C53" s="12" t="s">
        <v>6339</v>
      </c>
      <c r="D53" s="12" t="s">
        <v>6340</v>
      </c>
      <c r="E53" s="12" t="s">
        <v>6341</v>
      </c>
      <c r="F53" s="12" t="s">
        <v>6342</v>
      </c>
      <c r="G53" s="12" t="s">
        <v>6343</v>
      </c>
      <c r="H53" s="12" t="s">
        <v>6344</v>
      </c>
      <c r="I53" s="12" t="s">
        <v>6345</v>
      </c>
      <c r="J53" s="12" t="s">
        <v>6346</v>
      </c>
    </row>
    <row r="54">
      <c r="A54" s="12" t="s">
        <v>6347</v>
      </c>
      <c r="B54" s="12" t="s">
        <v>6348</v>
      </c>
      <c r="C54" s="12" t="s">
        <v>6349</v>
      </c>
      <c r="D54" s="12" t="s">
        <v>6350</v>
      </c>
      <c r="E54" s="12" t="s">
        <v>6351</v>
      </c>
      <c r="F54" s="12" t="s">
        <v>6352</v>
      </c>
      <c r="G54" s="12" t="s">
        <v>6353</v>
      </c>
      <c r="H54" s="12" t="s">
        <v>6354</v>
      </c>
      <c r="I54" s="12" t="s">
        <v>6355</v>
      </c>
      <c r="J54" s="12" t="s">
        <v>6356</v>
      </c>
    </row>
    <row r="55">
      <c r="A55" s="12" t="s">
        <v>6357</v>
      </c>
      <c r="B55" s="12" t="s">
        <v>6358</v>
      </c>
      <c r="C55" s="12" t="s">
        <v>6359</v>
      </c>
      <c r="D55" s="12" t="s">
        <v>6360</v>
      </c>
      <c r="E55" s="12" t="s">
        <v>6361</v>
      </c>
      <c r="F55" s="12" t="s">
        <v>6362</v>
      </c>
      <c r="G55" s="12" t="s">
        <v>6363</v>
      </c>
      <c r="H55" s="12" t="s">
        <v>6364</v>
      </c>
      <c r="I55" s="12" t="s">
        <v>6365</v>
      </c>
      <c r="J55" s="12" t="s">
        <v>6366</v>
      </c>
    </row>
    <row r="56">
      <c r="A56" s="12" t="s">
        <v>6367</v>
      </c>
      <c r="B56" s="12" t="s">
        <v>6368</v>
      </c>
      <c r="C56" s="12" t="s">
        <v>6369</v>
      </c>
      <c r="D56" s="12" t="s">
        <v>6370</v>
      </c>
      <c r="E56" s="12" t="s">
        <v>6371</v>
      </c>
      <c r="F56" s="12" t="s">
        <v>6372</v>
      </c>
      <c r="G56" s="12" t="s">
        <v>6373</v>
      </c>
      <c r="H56" s="12" t="s">
        <v>6374</v>
      </c>
      <c r="I56" s="12" t="s">
        <v>6375</v>
      </c>
      <c r="J56" s="12" t="s">
        <v>6376</v>
      </c>
    </row>
    <row r="57">
      <c r="A57" s="12" t="s">
        <v>6377</v>
      </c>
      <c r="B57" s="12" t="s">
        <v>6378</v>
      </c>
      <c r="C57" s="12" t="s">
        <v>6379</v>
      </c>
      <c r="D57" s="12" t="s">
        <v>6380</v>
      </c>
      <c r="E57" s="12" t="s">
        <v>6381</v>
      </c>
      <c r="F57" s="12" t="s">
        <v>6382</v>
      </c>
      <c r="G57" s="12" t="s">
        <v>6383</v>
      </c>
      <c r="H57" s="12" t="s">
        <v>6384</v>
      </c>
      <c r="I57" s="12" t="s">
        <v>6385</v>
      </c>
      <c r="J57" s="12" t="s">
        <v>6386</v>
      </c>
    </row>
    <row r="58">
      <c r="A58" s="12" t="s">
        <v>6387</v>
      </c>
      <c r="B58" s="12" t="s">
        <v>6388</v>
      </c>
      <c r="C58" s="12" t="s">
        <v>6389</v>
      </c>
      <c r="D58" s="12" t="s">
        <v>6390</v>
      </c>
      <c r="E58" s="12" t="s">
        <v>6391</v>
      </c>
      <c r="F58" s="12" t="s">
        <v>6392</v>
      </c>
      <c r="G58" s="12" t="s">
        <v>6393</v>
      </c>
      <c r="H58" s="12" t="s">
        <v>6394</v>
      </c>
      <c r="I58" s="12" t="s">
        <v>6395</v>
      </c>
      <c r="J58" s="12" t="s">
        <v>6396</v>
      </c>
    </row>
    <row r="59">
      <c r="A59" s="12" t="s">
        <v>6397</v>
      </c>
      <c r="B59" s="12" t="s">
        <v>6398</v>
      </c>
      <c r="C59" s="12" t="s">
        <v>6399</v>
      </c>
      <c r="D59" s="12" t="s">
        <v>6400</v>
      </c>
      <c r="E59" s="12" t="s">
        <v>6401</v>
      </c>
      <c r="F59" s="12" t="s">
        <v>6402</v>
      </c>
      <c r="G59" s="12" t="s">
        <v>6403</v>
      </c>
      <c r="H59" s="12" t="s">
        <v>6404</v>
      </c>
      <c r="I59" s="12" t="s">
        <v>6405</v>
      </c>
      <c r="J59" s="12" t="s">
        <v>6406</v>
      </c>
    </row>
    <row r="60">
      <c r="A60" s="12" t="s">
        <v>6407</v>
      </c>
      <c r="B60" s="12" t="s">
        <v>6408</v>
      </c>
      <c r="C60" s="12" t="s">
        <v>6409</v>
      </c>
      <c r="D60" s="12" t="s">
        <v>6410</v>
      </c>
      <c r="E60" s="12" t="s">
        <v>6411</v>
      </c>
      <c r="F60" s="12" t="s">
        <v>6412</v>
      </c>
      <c r="G60" s="12" t="s">
        <v>6413</v>
      </c>
      <c r="H60" s="12" t="s">
        <v>6414</v>
      </c>
      <c r="I60" s="12" t="s">
        <v>6415</v>
      </c>
      <c r="J60" s="12" t="s">
        <v>6416</v>
      </c>
    </row>
    <row r="61">
      <c r="A61" s="12" t="s">
        <v>6417</v>
      </c>
      <c r="B61" s="12" t="s">
        <v>6418</v>
      </c>
      <c r="C61" s="12" t="s">
        <v>6419</v>
      </c>
      <c r="D61" s="12" t="s">
        <v>6420</v>
      </c>
      <c r="E61" s="12" t="s">
        <v>6421</v>
      </c>
      <c r="F61" s="12" t="s">
        <v>6422</v>
      </c>
      <c r="G61" s="12" t="s">
        <v>6423</v>
      </c>
      <c r="H61" s="12" t="s">
        <v>6424</v>
      </c>
      <c r="I61" s="12" t="s">
        <v>6425</v>
      </c>
      <c r="J61" s="12" t="s">
        <v>6426</v>
      </c>
    </row>
    <row r="62">
      <c r="C62" s="12" t="s">
        <v>6427</v>
      </c>
      <c r="D62" s="12" t="s">
        <v>6428</v>
      </c>
      <c r="E62" s="12" t="s">
        <v>6429</v>
      </c>
      <c r="F62" s="12" t="s">
        <v>6430</v>
      </c>
      <c r="G62" s="12" t="s">
        <v>6431</v>
      </c>
      <c r="H62" s="12" t="s">
        <v>6432</v>
      </c>
      <c r="I62" s="12" t="s">
        <v>6433</v>
      </c>
      <c r="J62" s="12" t="s">
        <v>6434</v>
      </c>
    </row>
    <row r="63">
      <c r="D63" s="12" t="s">
        <v>6435</v>
      </c>
      <c r="E63" s="12" t="s">
        <v>6436</v>
      </c>
      <c r="F63" s="12" t="s">
        <v>6437</v>
      </c>
      <c r="G63" s="12" t="s">
        <v>6438</v>
      </c>
      <c r="I63" s="12" t="s">
        <v>6439</v>
      </c>
    </row>
    <row r="64">
      <c r="D64" s="12" t="s">
        <v>6440</v>
      </c>
      <c r="E64" s="12" t="s">
        <v>6441</v>
      </c>
      <c r="F64" s="12" t="s">
        <v>6442</v>
      </c>
      <c r="G64" s="12" t="s">
        <v>6443</v>
      </c>
    </row>
    <row r="74">
      <c r="A74" s="33"/>
    </row>
    <row r="77">
      <c r="A77" s="33"/>
    </row>
    <row r="115">
      <c r="A115" s="296" t="s">
        <v>6444</v>
      </c>
    </row>
    <row r="116">
      <c r="A116" s="163" t="s">
        <v>627</v>
      </c>
      <c r="B116" s="163" t="s">
        <v>629</v>
      </c>
      <c r="C116" s="163" t="s">
        <v>631</v>
      </c>
      <c r="D116" s="163" t="s">
        <v>633</v>
      </c>
      <c r="E116" s="163" t="s">
        <v>3169</v>
      </c>
    </row>
    <row r="117">
      <c r="A117" s="14" t="s">
        <v>649</v>
      </c>
      <c r="B117" s="14"/>
      <c r="C117" s="14"/>
      <c r="D117" s="14"/>
      <c r="E117" s="14">
        <v>150000.0</v>
      </c>
    </row>
    <row r="118">
      <c r="A118" s="14" t="s">
        <v>677</v>
      </c>
      <c r="B118" s="14"/>
      <c r="C118" s="14"/>
      <c r="D118" s="14"/>
      <c r="E118" s="14">
        <v>150000.0</v>
      </c>
    </row>
    <row r="119">
      <c r="A119" s="14" t="s">
        <v>696</v>
      </c>
      <c r="B119" s="14"/>
      <c r="C119" s="14"/>
      <c r="D119" s="14"/>
      <c r="E119" s="14">
        <v>300000.0</v>
      </c>
    </row>
    <row r="120">
      <c r="A120" s="14" t="s">
        <v>705</v>
      </c>
      <c r="B120" s="14"/>
      <c r="C120" s="14"/>
      <c r="D120" s="14"/>
      <c r="E120" s="14">
        <v>300000.0</v>
      </c>
    </row>
    <row r="121">
      <c r="A121" s="14" t="s">
        <v>720</v>
      </c>
      <c r="B121" s="14"/>
      <c r="C121" s="14"/>
      <c r="D121" s="14"/>
      <c r="E121" s="14">
        <v>540000.0</v>
      </c>
    </row>
    <row r="122">
      <c r="A122" s="14" t="s">
        <v>798</v>
      </c>
      <c r="B122" s="14"/>
      <c r="E122" s="14">
        <v>675000.0</v>
      </c>
    </row>
    <row r="123">
      <c r="A123" s="14" t="s">
        <v>809</v>
      </c>
      <c r="B123" s="14"/>
      <c r="E123" s="14">
        <v>1200000.0</v>
      </c>
    </row>
    <row r="124">
      <c r="A124" s="14" t="s">
        <v>446</v>
      </c>
      <c r="B124" s="14"/>
      <c r="E124" s="14">
        <v>2400000.0</v>
      </c>
    </row>
  </sheetData>
  <mergeCells count="6">
    <mergeCell ref="A1:N1"/>
    <mergeCell ref="A42:J42"/>
    <mergeCell ref="A115:E115"/>
    <mergeCell ref="B122:D122"/>
    <mergeCell ref="B123:D123"/>
    <mergeCell ref="B124:D124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7.88"/>
    <col customWidth="1" min="4" max="4" width="16.75"/>
    <col customWidth="1" min="5" max="5" width="21.5"/>
    <col customWidth="1" min="6" max="6" width="21.63"/>
    <col customWidth="1" min="7" max="7" width="37.63"/>
    <col customWidth="1" min="8" max="8" width="15.25"/>
    <col customWidth="1" min="9" max="9" width="18.13"/>
  </cols>
  <sheetData>
    <row r="1">
      <c r="A1" s="11" t="s">
        <v>6445</v>
      </c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66" t="s">
        <v>6446</v>
      </c>
      <c r="B2" s="66" t="s">
        <v>3428</v>
      </c>
      <c r="C2" s="66" t="s">
        <v>6447</v>
      </c>
      <c r="D2" s="66" t="s">
        <v>6448</v>
      </c>
      <c r="E2" s="66" t="s">
        <v>3068</v>
      </c>
      <c r="F2" s="66" t="s">
        <v>6449</v>
      </c>
      <c r="G2" s="66" t="s">
        <v>6450</v>
      </c>
      <c r="H2" s="66" t="s">
        <v>6451</v>
      </c>
      <c r="I2" s="66" t="s">
        <v>6452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82" t="s">
        <v>6453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14" t="s">
        <v>6454</v>
      </c>
      <c r="B4" s="14" t="s">
        <v>9</v>
      </c>
      <c r="C4" s="14" t="s">
        <v>20</v>
      </c>
      <c r="D4" s="14" t="s">
        <v>6455</v>
      </c>
      <c r="E4" s="14" t="s">
        <v>20</v>
      </c>
      <c r="F4" s="14" t="s">
        <v>9</v>
      </c>
      <c r="G4" s="298">
        <v>46024.0</v>
      </c>
      <c r="H4" s="14">
        <v>5000.0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4" t="s">
        <v>6456</v>
      </c>
      <c r="B5" s="14" t="s">
        <v>27</v>
      </c>
      <c r="C5" s="14" t="s">
        <v>20</v>
      </c>
      <c r="D5" s="14" t="s">
        <v>6457</v>
      </c>
      <c r="E5" s="14" t="s">
        <v>27</v>
      </c>
      <c r="F5" s="14" t="s">
        <v>20</v>
      </c>
      <c r="G5" s="298">
        <v>46054.0</v>
      </c>
      <c r="H5" s="14">
        <v>6000.0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14" t="s">
        <v>6458</v>
      </c>
      <c r="B6" s="14" t="s">
        <v>9</v>
      </c>
      <c r="C6" s="14" t="s">
        <v>25</v>
      </c>
      <c r="D6" s="14" t="s">
        <v>6459</v>
      </c>
      <c r="E6" s="14" t="s">
        <v>9</v>
      </c>
      <c r="F6" s="14" t="s">
        <v>25</v>
      </c>
      <c r="G6" s="14" t="s">
        <v>6460</v>
      </c>
      <c r="H6" s="14">
        <v>5000.0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14" t="s">
        <v>6461</v>
      </c>
      <c r="B7" s="14" t="s">
        <v>18</v>
      </c>
      <c r="C7" s="14" t="s">
        <v>664</v>
      </c>
      <c r="D7" s="14" t="s">
        <v>6459</v>
      </c>
      <c r="E7" s="14" t="s">
        <v>18</v>
      </c>
      <c r="F7" s="14" t="s">
        <v>664</v>
      </c>
      <c r="G7" s="298">
        <v>46054.0</v>
      </c>
      <c r="H7" s="14">
        <v>3000.0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14" t="s">
        <v>6462</v>
      </c>
      <c r="B8" s="14" t="s">
        <v>30</v>
      </c>
      <c r="C8" s="14" t="s">
        <v>12</v>
      </c>
      <c r="D8" s="14" t="s">
        <v>6459</v>
      </c>
      <c r="E8" s="14" t="s">
        <v>12</v>
      </c>
      <c r="F8" s="14" t="s">
        <v>30</v>
      </c>
      <c r="G8" s="298">
        <v>46024.0</v>
      </c>
      <c r="H8" s="14">
        <v>10000.0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4" t="s">
        <v>6463</v>
      </c>
      <c r="B9" s="14" t="s">
        <v>18</v>
      </c>
      <c r="C9" s="14" t="s">
        <v>20</v>
      </c>
      <c r="D9" s="14" t="s">
        <v>6464</v>
      </c>
      <c r="E9" s="14" t="s">
        <v>18</v>
      </c>
      <c r="F9" s="14" t="s">
        <v>20</v>
      </c>
      <c r="G9" s="14" t="s">
        <v>6460</v>
      </c>
      <c r="H9" s="14">
        <v>3000.0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14" t="s">
        <v>6465</v>
      </c>
      <c r="B10" s="14" t="s">
        <v>12</v>
      </c>
      <c r="C10" s="14" t="s">
        <v>14</v>
      </c>
      <c r="D10" s="14" t="s">
        <v>6466</v>
      </c>
      <c r="E10" s="14" t="s">
        <v>14</v>
      </c>
      <c r="F10" s="14" t="s">
        <v>12</v>
      </c>
      <c r="G10" s="14" t="s">
        <v>6467</v>
      </c>
      <c r="H10" s="14">
        <v>5000.0</v>
      </c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14" t="s">
        <v>6468</v>
      </c>
      <c r="B11" s="14" t="s">
        <v>30</v>
      </c>
      <c r="C11" s="14" t="s">
        <v>6469</v>
      </c>
      <c r="D11" s="14" t="s">
        <v>6470</v>
      </c>
      <c r="E11" s="14" t="s">
        <v>9</v>
      </c>
      <c r="F11" s="14" t="s">
        <v>30</v>
      </c>
      <c r="G11" s="14" t="s">
        <v>6471</v>
      </c>
      <c r="H11" s="14">
        <v>5000.0</v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14" t="s">
        <v>6472</v>
      </c>
      <c r="B12" s="14" t="s">
        <v>18</v>
      </c>
      <c r="C12" s="14" t="s">
        <v>30</v>
      </c>
      <c r="D12" s="14" t="s">
        <v>6473</v>
      </c>
      <c r="E12" s="14" t="s">
        <v>18</v>
      </c>
      <c r="F12" s="14" t="s">
        <v>30</v>
      </c>
      <c r="G12" s="298">
        <v>46054.0</v>
      </c>
      <c r="H12" s="14">
        <v>5000.0</v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14" t="s">
        <v>6474</v>
      </c>
      <c r="B13" s="14" t="s">
        <v>664</v>
      </c>
      <c r="C13" s="14" t="s">
        <v>27</v>
      </c>
      <c r="D13" s="14" t="s">
        <v>6475</v>
      </c>
      <c r="E13" s="14" t="s">
        <v>27</v>
      </c>
      <c r="F13" s="14" t="s">
        <v>664</v>
      </c>
      <c r="G13" s="298">
        <v>46024.0</v>
      </c>
      <c r="H13" s="14">
        <v>5000.0</v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14" t="s">
        <v>6476</v>
      </c>
      <c r="B14" s="14" t="s">
        <v>9</v>
      </c>
      <c r="C14" s="14" t="s">
        <v>18</v>
      </c>
      <c r="D14" s="14" t="s">
        <v>6477</v>
      </c>
      <c r="E14" s="14" t="s">
        <v>18</v>
      </c>
      <c r="F14" s="14" t="s">
        <v>9</v>
      </c>
      <c r="G14" s="14" t="s">
        <v>6467</v>
      </c>
      <c r="H14" s="14">
        <v>5000.0</v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14" t="s">
        <v>6478</v>
      </c>
      <c r="B15" s="14" t="s">
        <v>30</v>
      </c>
      <c r="C15" s="14" t="s">
        <v>25</v>
      </c>
      <c r="D15" s="14" t="s">
        <v>6477</v>
      </c>
      <c r="E15" s="14" t="s">
        <v>25</v>
      </c>
      <c r="F15" s="14" t="s">
        <v>30</v>
      </c>
      <c r="G15" s="298">
        <v>46024.0</v>
      </c>
      <c r="H15" s="14">
        <v>5000.0</v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14" t="s">
        <v>6479</v>
      </c>
      <c r="B16" s="14" t="s">
        <v>27</v>
      </c>
      <c r="C16" s="14" t="s">
        <v>14</v>
      </c>
      <c r="D16" s="14" t="s">
        <v>6480</v>
      </c>
      <c r="E16" s="14" t="s">
        <v>27</v>
      </c>
      <c r="F16" s="14" t="s">
        <v>14</v>
      </c>
      <c r="G16" s="298">
        <v>46054.0</v>
      </c>
      <c r="H16" s="14">
        <v>6000.0</v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14" t="s">
        <v>6481</v>
      </c>
      <c r="B17" s="14" t="s">
        <v>12</v>
      </c>
      <c r="C17" s="14" t="s">
        <v>23</v>
      </c>
      <c r="D17" s="14" t="s">
        <v>6480</v>
      </c>
      <c r="E17" s="14" t="s">
        <v>12</v>
      </c>
      <c r="F17" s="14" t="s">
        <v>23</v>
      </c>
      <c r="G17" s="298">
        <v>46054.0</v>
      </c>
      <c r="H17" s="14">
        <v>5000.0</v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14" t="s">
        <v>6482</v>
      </c>
      <c r="B18" s="14" t="s">
        <v>664</v>
      </c>
      <c r="C18" s="14" t="s">
        <v>12</v>
      </c>
      <c r="D18" s="14" t="s">
        <v>6483</v>
      </c>
      <c r="E18" s="14" t="s">
        <v>664</v>
      </c>
      <c r="F18" s="14" t="s">
        <v>12</v>
      </c>
      <c r="G18" s="298">
        <v>46054.0</v>
      </c>
      <c r="H18" s="14">
        <v>3000.0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14" t="s">
        <v>6484</v>
      </c>
      <c r="B19" s="14" t="s">
        <v>20</v>
      </c>
      <c r="C19" s="14" t="s">
        <v>30</v>
      </c>
      <c r="D19" s="14" t="s">
        <v>6485</v>
      </c>
      <c r="E19" s="14" t="s">
        <v>30</v>
      </c>
      <c r="F19" s="14" t="s">
        <v>20</v>
      </c>
      <c r="G19" s="298">
        <v>46024.0</v>
      </c>
      <c r="H19" s="14">
        <v>5000.0</v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14" t="s">
        <v>6486</v>
      </c>
      <c r="B20" s="14" t="s">
        <v>18</v>
      </c>
      <c r="C20" s="14" t="s">
        <v>25</v>
      </c>
      <c r="D20" s="14" t="s">
        <v>6487</v>
      </c>
      <c r="E20" s="14" t="s">
        <v>25</v>
      </c>
      <c r="F20" s="14" t="s">
        <v>18</v>
      </c>
      <c r="G20" s="298">
        <v>46024.0</v>
      </c>
      <c r="H20" s="14">
        <v>5000.0</v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14" t="s">
        <v>6488</v>
      </c>
      <c r="B21" s="14" t="s">
        <v>9</v>
      </c>
      <c r="C21" s="14" t="s">
        <v>30</v>
      </c>
      <c r="D21" s="14" t="s">
        <v>6489</v>
      </c>
      <c r="E21" s="14" t="s">
        <v>30</v>
      </c>
      <c r="F21" s="14" t="s">
        <v>9</v>
      </c>
      <c r="G21" s="298">
        <v>46024.0</v>
      </c>
      <c r="H21" s="14">
        <v>5000.0</v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14" t="s">
        <v>6490</v>
      </c>
      <c r="B22" s="14" t="s">
        <v>18</v>
      </c>
      <c r="C22" s="14" t="s">
        <v>23</v>
      </c>
      <c r="D22" s="14" t="s">
        <v>6489</v>
      </c>
      <c r="E22" s="14" t="s">
        <v>23</v>
      </c>
      <c r="F22" s="14" t="s">
        <v>18</v>
      </c>
      <c r="G22" s="14" t="s">
        <v>6467</v>
      </c>
      <c r="H22" s="14">
        <v>5000.0</v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14" t="s">
        <v>6491</v>
      </c>
      <c r="B23" s="14" t="s">
        <v>23</v>
      </c>
      <c r="C23" s="14" t="s">
        <v>20</v>
      </c>
      <c r="D23" s="14" t="s">
        <v>6489</v>
      </c>
      <c r="E23" s="14" t="s">
        <v>20</v>
      </c>
      <c r="F23" s="14" t="s">
        <v>23</v>
      </c>
      <c r="G23" s="14" t="s">
        <v>6467</v>
      </c>
      <c r="H23" s="14">
        <v>5000.0</v>
      </c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14" t="s">
        <v>6492</v>
      </c>
      <c r="B24" s="14" t="s">
        <v>12</v>
      </c>
      <c r="C24" s="14" t="s">
        <v>27</v>
      </c>
      <c r="D24" s="14" t="s">
        <v>6489</v>
      </c>
      <c r="E24" s="14" t="s">
        <v>27</v>
      </c>
      <c r="F24" s="14" t="s">
        <v>12</v>
      </c>
      <c r="G24" s="298">
        <v>46024.0</v>
      </c>
      <c r="H24" s="14">
        <v>5000.0</v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14" t="s">
        <v>6493</v>
      </c>
      <c r="B25" s="14" t="s">
        <v>25</v>
      </c>
      <c r="C25" s="14" t="s">
        <v>664</v>
      </c>
      <c r="D25" s="14" t="s">
        <v>6494</v>
      </c>
      <c r="E25" s="14" t="s">
        <v>25</v>
      </c>
      <c r="F25" s="14" t="s">
        <v>664</v>
      </c>
      <c r="G25" s="298">
        <v>46054.0</v>
      </c>
      <c r="H25" s="14">
        <v>6000.0</v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14" t="s">
        <v>6495</v>
      </c>
      <c r="B26" s="14" t="s">
        <v>23</v>
      </c>
      <c r="C26" s="14" t="s">
        <v>6496</v>
      </c>
      <c r="D26" s="14" t="s">
        <v>6497</v>
      </c>
      <c r="E26" s="14" t="s">
        <v>23</v>
      </c>
      <c r="F26" s="14" t="s">
        <v>9</v>
      </c>
      <c r="G26" s="14" t="s">
        <v>6460</v>
      </c>
      <c r="H26" s="14">
        <v>5000.0</v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14" t="s">
        <v>6498</v>
      </c>
      <c r="B27" s="14" t="s">
        <v>12</v>
      </c>
      <c r="C27" s="14" t="s">
        <v>18</v>
      </c>
      <c r="D27" s="14" t="s">
        <v>6499</v>
      </c>
      <c r="E27" s="14" t="s">
        <v>12</v>
      </c>
      <c r="F27" s="14" t="s">
        <v>18</v>
      </c>
      <c r="G27" s="298">
        <v>46054.0</v>
      </c>
      <c r="H27" s="14">
        <v>5000.0</v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14" t="s">
        <v>6500</v>
      </c>
      <c r="B28" s="14" t="s">
        <v>27</v>
      </c>
      <c r="C28" s="14" t="s">
        <v>6501</v>
      </c>
      <c r="D28" s="14" t="s">
        <v>6502</v>
      </c>
      <c r="E28" s="14" t="s">
        <v>23</v>
      </c>
      <c r="F28" s="14" t="s">
        <v>20</v>
      </c>
      <c r="G28" s="14" t="s">
        <v>6503</v>
      </c>
      <c r="H28" s="14">
        <v>6000.0</v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14" t="s">
        <v>6504</v>
      </c>
      <c r="B29" s="14" t="s">
        <v>25</v>
      </c>
      <c r="C29" s="14" t="s">
        <v>30</v>
      </c>
      <c r="D29" s="14" t="s">
        <v>6505</v>
      </c>
      <c r="E29" s="14" t="s">
        <v>30</v>
      </c>
      <c r="F29" s="14" t="s">
        <v>25</v>
      </c>
      <c r="G29" s="298">
        <v>46056.0</v>
      </c>
      <c r="H29" s="14">
        <v>6000.0</v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14" t="s">
        <v>6506</v>
      </c>
      <c r="B30" s="14" t="s">
        <v>9</v>
      </c>
      <c r="C30" s="14" t="s">
        <v>664</v>
      </c>
      <c r="D30" s="14" t="s">
        <v>6507</v>
      </c>
      <c r="E30" s="14" t="s">
        <v>9</v>
      </c>
      <c r="F30" s="14" t="s">
        <v>664</v>
      </c>
      <c r="G30" s="14" t="s">
        <v>6460</v>
      </c>
      <c r="H30" s="14">
        <v>7000.0</v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14" t="s">
        <v>6508</v>
      </c>
      <c r="B31" s="14" t="s">
        <v>12</v>
      </c>
      <c r="C31" s="14" t="s">
        <v>20</v>
      </c>
      <c r="D31" s="14" t="s">
        <v>6509</v>
      </c>
      <c r="E31" s="14" t="s">
        <v>12</v>
      </c>
      <c r="F31" s="14" t="s">
        <v>20</v>
      </c>
      <c r="G31" s="298">
        <v>46054.0</v>
      </c>
      <c r="H31" s="14">
        <v>5000.0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82" t="s">
        <v>6510</v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14" t="s">
        <v>6511</v>
      </c>
      <c r="B33" s="14" t="s">
        <v>16</v>
      </c>
      <c r="C33" s="14" t="s">
        <v>664</v>
      </c>
      <c r="D33" s="14" t="s">
        <v>6512</v>
      </c>
      <c r="E33" s="14" t="s">
        <v>664</v>
      </c>
      <c r="F33" s="14" t="s">
        <v>16</v>
      </c>
      <c r="G33" s="298">
        <v>46024.0</v>
      </c>
      <c r="H33" s="14">
        <v>5000.0</v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14" t="s">
        <v>6513</v>
      </c>
      <c r="B34" s="14" t="s">
        <v>30</v>
      </c>
      <c r="C34" s="14" t="s">
        <v>664</v>
      </c>
      <c r="D34" s="14" t="s">
        <v>6514</v>
      </c>
      <c r="E34" s="14" t="s">
        <v>30</v>
      </c>
      <c r="F34" s="14" t="s">
        <v>664</v>
      </c>
      <c r="G34" s="298">
        <v>46054.0</v>
      </c>
      <c r="H34" s="14">
        <v>3000.0</v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14" t="s">
        <v>6515</v>
      </c>
      <c r="B35" s="14" t="s">
        <v>16</v>
      </c>
      <c r="C35" s="14" t="s">
        <v>29</v>
      </c>
      <c r="D35" s="14" t="s">
        <v>6514</v>
      </c>
      <c r="E35" s="14" t="s">
        <v>29</v>
      </c>
      <c r="F35" s="14" t="s">
        <v>16</v>
      </c>
      <c r="G35" s="298">
        <v>46024.0</v>
      </c>
      <c r="H35" s="14">
        <v>5000.0</v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14" t="s">
        <v>6516</v>
      </c>
      <c r="B36" s="14" t="s">
        <v>27</v>
      </c>
      <c r="C36" s="14" t="s">
        <v>581</v>
      </c>
      <c r="D36" s="14" t="s">
        <v>6517</v>
      </c>
      <c r="E36" s="14" t="s">
        <v>27</v>
      </c>
      <c r="F36" s="14" t="s">
        <v>581</v>
      </c>
      <c r="G36" s="14" t="s">
        <v>6460</v>
      </c>
      <c r="H36" s="14">
        <v>5000.0</v>
      </c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14" t="s">
        <v>6518</v>
      </c>
      <c r="B37" s="14" t="s">
        <v>12</v>
      </c>
      <c r="C37" s="14" t="s">
        <v>9</v>
      </c>
      <c r="D37" s="14" t="s">
        <v>6519</v>
      </c>
      <c r="E37" s="14" t="s">
        <v>9</v>
      </c>
      <c r="F37" s="14" t="s">
        <v>12</v>
      </c>
      <c r="G37" s="14" t="s">
        <v>6467</v>
      </c>
      <c r="H37" s="14">
        <v>10000.0</v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14" t="s">
        <v>6520</v>
      </c>
      <c r="B38" s="14" t="s">
        <v>30</v>
      </c>
      <c r="C38" s="14" t="s">
        <v>29</v>
      </c>
      <c r="D38" s="14" t="s">
        <v>6521</v>
      </c>
      <c r="E38" s="14" t="s">
        <v>29</v>
      </c>
      <c r="F38" s="14" t="s">
        <v>30</v>
      </c>
      <c r="G38" s="298">
        <v>46024.0</v>
      </c>
      <c r="H38" s="14">
        <v>5000.0</v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14" t="s">
        <v>6522</v>
      </c>
      <c r="B39" s="14" t="s">
        <v>23</v>
      </c>
      <c r="C39" s="14" t="s">
        <v>20</v>
      </c>
      <c r="D39" s="14" t="s">
        <v>6523</v>
      </c>
      <c r="E39" s="14" t="s">
        <v>20</v>
      </c>
      <c r="F39" s="14" t="s">
        <v>23</v>
      </c>
      <c r="G39" s="14" t="s">
        <v>6524</v>
      </c>
      <c r="H39" s="14">
        <v>10000.0</v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14" t="s">
        <v>6525</v>
      </c>
      <c r="B40" s="14" t="s">
        <v>16</v>
      </c>
      <c r="C40" s="14" t="s">
        <v>18</v>
      </c>
      <c r="D40" s="14" t="s">
        <v>6521</v>
      </c>
      <c r="E40" s="14" t="s">
        <v>18</v>
      </c>
      <c r="F40" s="14" t="s">
        <v>16</v>
      </c>
      <c r="G40" s="298">
        <v>46024.0</v>
      </c>
      <c r="H40" s="14">
        <v>5000.0</v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14" t="s">
        <v>6526</v>
      </c>
      <c r="B41" s="14" t="s">
        <v>18</v>
      </c>
      <c r="C41" s="14" t="s">
        <v>27</v>
      </c>
      <c r="D41" s="14" t="s">
        <v>6527</v>
      </c>
      <c r="E41" s="14" t="s">
        <v>18</v>
      </c>
      <c r="F41" s="14" t="s">
        <v>27</v>
      </c>
      <c r="G41" s="298">
        <v>46054.0</v>
      </c>
      <c r="H41" s="14">
        <v>5000.0</v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14" t="s">
        <v>6528</v>
      </c>
      <c r="B42" s="14" t="s">
        <v>581</v>
      </c>
      <c r="C42" s="14" t="s">
        <v>30</v>
      </c>
      <c r="D42" s="14" t="s">
        <v>6527</v>
      </c>
      <c r="E42" s="14" t="s">
        <v>30</v>
      </c>
      <c r="F42" s="14" t="s">
        <v>581</v>
      </c>
      <c r="G42" s="298">
        <v>46024.0</v>
      </c>
      <c r="H42" s="14">
        <v>5000.0</v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14" t="s">
        <v>6529</v>
      </c>
      <c r="B43" s="14" t="s">
        <v>14</v>
      </c>
      <c r="C43" s="14" t="s">
        <v>12</v>
      </c>
      <c r="D43" s="14" t="s">
        <v>6530</v>
      </c>
      <c r="E43" s="14" t="s">
        <v>12</v>
      </c>
      <c r="F43" s="14" t="s">
        <v>14</v>
      </c>
      <c r="G43" s="298">
        <v>46024.0</v>
      </c>
      <c r="H43" s="14">
        <v>10000.0</v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14" t="s">
        <v>6531</v>
      </c>
      <c r="B44" s="14" t="s">
        <v>16</v>
      </c>
      <c r="C44" s="14" t="s">
        <v>30</v>
      </c>
      <c r="D44" s="14" t="s">
        <v>6530</v>
      </c>
      <c r="E44" s="14" t="s">
        <v>30</v>
      </c>
      <c r="F44" s="14" t="s">
        <v>16</v>
      </c>
      <c r="G44" s="14" t="s">
        <v>6467</v>
      </c>
      <c r="H44" s="14">
        <v>5000.0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14" t="s">
        <v>6532</v>
      </c>
      <c r="B45" s="14" t="s">
        <v>29</v>
      </c>
      <c r="C45" s="14" t="s">
        <v>20</v>
      </c>
      <c r="D45" s="14" t="s">
        <v>6533</v>
      </c>
      <c r="E45" s="14" t="s">
        <v>29</v>
      </c>
      <c r="F45" s="14" t="s">
        <v>20</v>
      </c>
      <c r="G45" s="298">
        <v>46113.0</v>
      </c>
      <c r="H45" s="14">
        <v>5000.0</v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14" t="s">
        <v>6534</v>
      </c>
      <c r="B46" s="14" t="s">
        <v>11</v>
      </c>
      <c r="C46" s="14" t="s">
        <v>664</v>
      </c>
      <c r="D46" s="14" t="s">
        <v>6535</v>
      </c>
      <c r="E46" s="14" t="s">
        <v>11</v>
      </c>
      <c r="F46" s="14" t="s">
        <v>664</v>
      </c>
      <c r="G46" s="298">
        <v>46083.0</v>
      </c>
      <c r="H46" s="14">
        <v>5000.0</v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14" t="s">
        <v>6536</v>
      </c>
      <c r="B47" s="14" t="s">
        <v>23</v>
      </c>
      <c r="C47" s="14" t="s">
        <v>27</v>
      </c>
      <c r="D47" s="14" t="s">
        <v>6537</v>
      </c>
      <c r="E47" s="14" t="s">
        <v>27</v>
      </c>
      <c r="F47" s="14" t="s">
        <v>23</v>
      </c>
      <c r="G47" s="298">
        <v>46024.0</v>
      </c>
      <c r="H47" s="14">
        <v>5000.0</v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14" t="s">
        <v>6538</v>
      </c>
      <c r="B48" s="14" t="s">
        <v>16</v>
      </c>
      <c r="C48" s="14" t="s">
        <v>581</v>
      </c>
      <c r="D48" s="14" t="s">
        <v>6537</v>
      </c>
      <c r="E48" s="14" t="s">
        <v>16</v>
      </c>
      <c r="F48" s="14" t="s">
        <v>581</v>
      </c>
      <c r="G48" s="298">
        <v>46054.0</v>
      </c>
      <c r="H48" s="14">
        <v>5000.0</v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14" t="s">
        <v>6539</v>
      </c>
      <c r="B49" s="14" t="s">
        <v>12</v>
      </c>
      <c r="C49" s="14" t="s">
        <v>9</v>
      </c>
      <c r="D49" s="14" t="s">
        <v>6537</v>
      </c>
      <c r="E49" s="14" t="s">
        <v>12</v>
      </c>
      <c r="F49" s="14" t="s">
        <v>9</v>
      </c>
      <c r="G49" s="298">
        <v>46054.0</v>
      </c>
      <c r="H49" s="14">
        <v>5000.0</v>
      </c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14" t="s">
        <v>6540</v>
      </c>
      <c r="B50" s="14" t="s">
        <v>15</v>
      </c>
      <c r="C50" s="14" t="s">
        <v>30</v>
      </c>
      <c r="D50" s="14" t="s">
        <v>6541</v>
      </c>
      <c r="E50" s="14" t="s">
        <v>6542</v>
      </c>
      <c r="F50" s="14" t="s">
        <v>30</v>
      </c>
      <c r="G50" s="298">
        <v>46113.0</v>
      </c>
      <c r="H50" s="14">
        <v>5000.0</v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14" t="s">
        <v>6543</v>
      </c>
      <c r="B51" s="14" t="s">
        <v>18</v>
      </c>
      <c r="C51" s="14" t="s">
        <v>581</v>
      </c>
      <c r="D51" s="14" t="s">
        <v>6544</v>
      </c>
      <c r="E51" s="14" t="s">
        <v>18</v>
      </c>
      <c r="F51" s="14" t="s">
        <v>581</v>
      </c>
      <c r="G51" s="298">
        <v>46054.0</v>
      </c>
      <c r="H51" s="14">
        <v>5000.0</v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A52" s="14" t="s">
        <v>6545</v>
      </c>
      <c r="B52" s="14" t="s">
        <v>20</v>
      </c>
      <c r="C52" s="14" t="s">
        <v>664</v>
      </c>
      <c r="D52" s="14" t="s">
        <v>6546</v>
      </c>
      <c r="E52" s="14" t="s">
        <v>664</v>
      </c>
      <c r="F52" s="14" t="s">
        <v>20</v>
      </c>
      <c r="G52" s="298">
        <v>46024.0</v>
      </c>
      <c r="H52" s="14">
        <v>5000.0</v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14" t="s">
        <v>6547</v>
      </c>
      <c r="B53" s="14" t="s">
        <v>29</v>
      </c>
      <c r="C53" s="14" t="s">
        <v>9</v>
      </c>
      <c r="D53" s="14" t="s">
        <v>6548</v>
      </c>
      <c r="E53" s="14" t="s">
        <v>29</v>
      </c>
      <c r="F53" s="14" t="s">
        <v>9</v>
      </c>
      <c r="G53" s="298">
        <v>46083.0</v>
      </c>
      <c r="H53" s="14">
        <v>5000.0</v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14" t="s">
        <v>6549</v>
      </c>
      <c r="B54" s="14" t="s">
        <v>16</v>
      </c>
      <c r="C54" s="14" t="s">
        <v>23</v>
      </c>
      <c r="D54" s="14" t="s">
        <v>6550</v>
      </c>
      <c r="E54" s="14" t="s">
        <v>23</v>
      </c>
      <c r="F54" s="14" t="s">
        <v>16</v>
      </c>
      <c r="G54" s="298">
        <v>46026.0</v>
      </c>
      <c r="H54" s="14">
        <v>5000.0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14" t="s">
        <v>6551</v>
      </c>
      <c r="B55" s="14" t="s">
        <v>16</v>
      </c>
      <c r="C55" s="14" t="s">
        <v>20</v>
      </c>
      <c r="D55" s="14" t="s">
        <v>6552</v>
      </c>
      <c r="E55" s="14" t="s">
        <v>20</v>
      </c>
      <c r="F55" s="14" t="s">
        <v>16</v>
      </c>
      <c r="G55" s="298">
        <v>46024.0</v>
      </c>
      <c r="H55" s="14">
        <v>3000.0</v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4" t="s">
        <v>6553</v>
      </c>
      <c r="B56" s="14" t="s">
        <v>18</v>
      </c>
      <c r="C56" s="14" t="s">
        <v>11</v>
      </c>
      <c r="D56" s="14" t="s">
        <v>6552</v>
      </c>
      <c r="E56" s="14" t="s">
        <v>11</v>
      </c>
      <c r="F56" s="14" t="s">
        <v>18</v>
      </c>
      <c r="G56" s="298">
        <v>46024.0</v>
      </c>
      <c r="H56" s="14">
        <v>5000.0</v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4" t="s">
        <v>6554</v>
      </c>
      <c r="B57" s="14" t="s">
        <v>18</v>
      </c>
      <c r="C57" s="14" t="s">
        <v>664</v>
      </c>
      <c r="D57" s="14" t="s">
        <v>6555</v>
      </c>
      <c r="E57" s="14" t="s">
        <v>18</v>
      </c>
      <c r="F57" s="14" t="s">
        <v>664</v>
      </c>
      <c r="G57" s="298">
        <v>46054.0</v>
      </c>
      <c r="H57" s="14">
        <v>5000.0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4" t="s">
        <v>6556</v>
      </c>
      <c r="B58" s="14" t="s">
        <v>18</v>
      </c>
      <c r="C58" s="14" t="s">
        <v>9</v>
      </c>
      <c r="D58" s="14" t="s">
        <v>6555</v>
      </c>
      <c r="E58" s="14" t="s">
        <v>9</v>
      </c>
      <c r="F58" s="14" t="s">
        <v>18</v>
      </c>
      <c r="G58" s="14" t="s">
        <v>6467</v>
      </c>
      <c r="H58" s="14">
        <v>5000.0</v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82" t="s">
        <v>6557</v>
      </c>
      <c r="I59" s="14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4" t="s">
        <v>6558</v>
      </c>
      <c r="B60" s="14" t="s">
        <v>20</v>
      </c>
      <c r="C60" s="14" t="s">
        <v>9</v>
      </c>
      <c r="D60" s="14" t="s">
        <v>6559</v>
      </c>
      <c r="E60" s="14" t="s">
        <v>9</v>
      </c>
      <c r="F60" s="14" t="s">
        <v>20</v>
      </c>
      <c r="G60" s="298">
        <v>46024.0</v>
      </c>
      <c r="H60" s="14">
        <v>10000.0</v>
      </c>
      <c r="I60" s="14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4" t="s">
        <v>6560</v>
      </c>
      <c r="B61" s="14" t="s">
        <v>11</v>
      </c>
      <c r="C61" s="14" t="s">
        <v>30</v>
      </c>
      <c r="D61" s="14" t="s">
        <v>6559</v>
      </c>
      <c r="E61" s="14" t="s">
        <v>30</v>
      </c>
      <c r="F61" s="14" t="s">
        <v>11</v>
      </c>
      <c r="G61" s="298">
        <v>46024.0</v>
      </c>
      <c r="H61" s="14">
        <v>7000.0</v>
      </c>
      <c r="I61" s="14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4" t="s">
        <v>6561</v>
      </c>
      <c r="B62" s="14" t="s">
        <v>27</v>
      </c>
      <c r="C62" s="14" t="s">
        <v>6542</v>
      </c>
      <c r="D62" s="14" t="s">
        <v>6562</v>
      </c>
      <c r="E62" s="14" t="s">
        <v>6542</v>
      </c>
      <c r="F62" s="14" t="s">
        <v>27</v>
      </c>
      <c r="G62" s="298">
        <v>46024.0</v>
      </c>
      <c r="H62" s="14">
        <v>6000.0</v>
      </c>
      <c r="I62" s="14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4" t="s">
        <v>6563</v>
      </c>
      <c r="B63" s="14" t="s">
        <v>16</v>
      </c>
      <c r="C63" s="14" t="s">
        <v>12</v>
      </c>
      <c r="D63" s="14" t="s">
        <v>6559</v>
      </c>
      <c r="E63" s="14" t="s">
        <v>12</v>
      </c>
      <c r="F63" s="14" t="s">
        <v>16</v>
      </c>
      <c r="G63" s="298">
        <v>46024.0</v>
      </c>
      <c r="H63" s="14">
        <v>5000.0</v>
      </c>
      <c r="I63" s="14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4" t="s">
        <v>6564</v>
      </c>
      <c r="B64" s="14" t="s">
        <v>12</v>
      </c>
      <c r="C64" s="14" t="s">
        <v>30</v>
      </c>
      <c r="D64" s="14" t="s">
        <v>6565</v>
      </c>
      <c r="E64" s="14" t="s">
        <v>30</v>
      </c>
      <c r="F64" s="14" t="s">
        <v>12</v>
      </c>
      <c r="G64" s="298">
        <v>46024.0</v>
      </c>
      <c r="H64" s="14">
        <v>6000.0</v>
      </c>
      <c r="I64" s="14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4" t="s">
        <v>6566</v>
      </c>
      <c r="B65" s="14" t="s">
        <v>12</v>
      </c>
      <c r="C65" s="14" t="s">
        <v>6542</v>
      </c>
      <c r="D65" s="14" t="s">
        <v>6567</v>
      </c>
      <c r="E65" s="14" t="s">
        <v>6542</v>
      </c>
      <c r="F65" s="14" t="s">
        <v>12</v>
      </c>
      <c r="G65" s="298">
        <v>46024.0</v>
      </c>
      <c r="H65" s="14">
        <v>5000.0</v>
      </c>
      <c r="I65" s="14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4" t="s">
        <v>6568</v>
      </c>
      <c r="B66" s="14" t="s">
        <v>12</v>
      </c>
      <c r="C66" s="14" t="s">
        <v>11</v>
      </c>
      <c r="D66" s="14" t="s">
        <v>6569</v>
      </c>
      <c r="E66" s="14" t="s">
        <v>11</v>
      </c>
      <c r="F66" s="14" t="s">
        <v>12</v>
      </c>
      <c r="G66" s="298">
        <v>46024.0</v>
      </c>
      <c r="H66" s="14">
        <v>10000.0</v>
      </c>
      <c r="I66" s="14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4" t="s">
        <v>6570</v>
      </c>
      <c r="B67" s="14" t="s">
        <v>16</v>
      </c>
      <c r="C67" s="14" t="s">
        <v>14</v>
      </c>
      <c r="D67" s="14" t="s">
        <v>6571</v>
      </c>
      <c r="E67" s="14" t="s">
        <v>6572</v>
      </c>
      <c r="F67" s="14" t="s">
        <v>14</v>
      </c>
      <c r="G67" s="14" t="s">
        <v>6573</v>
      </c>
      <c r="H67" s="14">
        <v>2000.0</v>
      </c>
      <c r="I67" s="14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4" t="s">
        <v>6574</v>
      </c>
      <c r="B68" s="14" t="s">
        <v>18</v>
      </c>
      <c r="C68" s="14" t="s">
        <v>30</v>
      </c>
      <c r="D68" s="14" t="s">
        <v>6575</v>
      </c>
      <c r="E68" s="14" t="s">
        <v>18</v>
      </c>
      <c r="F68" s="14" t="s">
        <v>30</v>
      </c>
      <c r="G68" s="298">
        <v>46054.0</v>
      </c>
      <c r="H68" s="14">
        <v>5000.0</v>
      </c>
      <c r="I68" s="14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82" t="s">
        <v>6576</v>
      </c>
      <c r="I69" s="14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4" t="s">
        <v>6577</v>
      </c>
      <c r="B70" s="14" t="s">
        <v>18</v>
      </c>
      <c r="C70" s="14" t="s">
        <v>9</v>
      </c>
      <c r="D70" s="14" t="s">
        <v>6578</v>
      </c>
      <c r="E70" s="14" t="s">
        <v>9</v>
      </c>
      <c r="F70" s="14" t="s">
        <v>18</v>
      </c>
      <c r="G70" s="14" t="s">
        <v>6467</v>
      </c>
      <c r="H70" s="14">
        <v>5000.0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4" t="s">
        <v>6579</v>
      </c>
      <c r="B71" s="14" t="s">
        <v>664</v>
      </c>
      <c r="C71" s="14" t="s">
        <v>20</v>
      </c>
      <c r="D71" s="14" t="s">
        <v>6580</v>
      </c>
      <c r="E71" s="14" t="s">
        <v>20</v>
      </c>
      <c r="F71" s="14" t="s">
        <v>664</v>
      </c>
      <c r="G71" s="298">
        <v>46024.0</v>
      </c>
      <c r="H71" s="14">
        <v>5000.0</v>
      </c>
      <c r="I71" s="14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4" t="s">
        <v>6581</v>
      </c>
      <c r="B72" s="14" t="s">
        <v>30</v>
      </c>
      <c r="C72" s="14" t="s">
        <v>20</v>
      </c>
      <c r="D72" s="14" t="s">
        <v>6582</v>
      </c>
      <c r="E72" s="14" t="s">
        <v>20</v>
      </c>
      <c r="F72" s="14" t="s">
        <v>30</v>
      </c>
      <c r="G72" s="14" t="s">
        <v>6583</v>
      </c>
      <c r="H72" s="14">
        <v>5000.0</v>
      </c>
      <c r="I72" s="14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4" t="s">
        <v>6584</v>
      </c>
      <c r="B73" s="14" t="s">
        <v>664</v>
      </c>
      <c r="C73" s="14" t="s">
        <v>16</v>
      </c>
      <c r="D73" s="14" t="s">
        <v>6585</v>
      </c>
      <c r="E73" s="14" t="s">
        <v>664</v>
      </c>
      <c r="F73" s="14" t="s">
        <v>16</v>
      </c>
      <c r="G73" s="298">
        <v>46083.0</v>
      </c>
      <c r="H73" s="14">
        <v>4000.0</v>
      </c>
      <c r="I73" s="14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4" t="s">
        <v>6586</v>
      </c>
      <c r="B74" s="14" t="s">
        <v>20</v>
      </c>
      <c r="C74" s="14" t="s">
        <v>664</v>
      </c>
      <c r="D74" s="14" t="s">
        <v>6587</v>
      </c>
      <c r="E74" s="14" t="s">
        <v>664</v>
      </c>
      <c r="F74" s="14" t="s">
        <v>20</v>
      </c>
      <c r="G74" s="298">
        <v>46024.0</v>
      </c>
      <c r="H74" s="14">
        <v>5000.0</v>
      </c>
      <c r="I74" s="14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4" t="s">
        <v>6588</v>
      </c>
      <c r="B75" s="14" t="s">
        <v>16</v>
      </c>
      <c r="C75" s="14" t="s">
        <v>30</v>
      </c>
      <c r="D75" s="14" t="s">
        <v>4407</v>
      </c>
      <c r="E75" s="14" t="s">
        <v>16</v>
      </c>
      <c r="F75" s="14" t="s">
        <v>30</v>
      </c>
      <c r="G75" s="14" t="s">
        <v>6589</v>
      </c>
      <c r="H75" s="14">
        <v>4000.0</v>
      </c>
      <c r="I75" s="14"/>
    </row>
    <row r="76">
      <c r="A76" s="14" t="s">
        <v>6590</v>
      </c>
      <c r="B76" s="14" t="s">
        <v>20</v>
      </c>
      <c r="C76" s="14" t="s">
        <v>12</v>
      </c>
      <c r="D76" s="14" t="s">
        <v>6591</v>
      </c>
      <c r="E76" s="14" t="s">
        <v>12</v>
      </c>
      <c r="F76" s="14" t="s">
        <v>20</v>
      </c>
      <c r="G76" s="298">
        <v>46024.0</v>
      </c>
      <c r="H76" s="14">
        <v>5000.0</v>
      </c>
      <c r="I76" s="14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4" t="s">
        <v>6592</v>
      </c>
      <c r="B77" s="14" t="s">
        <v>12</v>
      </c>
      <c r="C77" s="14" t="s">
        <v>30</v>
      </c>
      <c r="D77" s="14" t="s">
        <v>6593</v>
      </c>
      <c r="E77" s="14" t="s">
        <v>12</v>
      </c>
      <c r="F77" s="14" t="s">
        <v>30</v>
      </c>
      <c r="G77" s="298">
        <v>46054.0</v>
      </c>
      <c r="H77" s="14">
        <v>5000.0</v>
      </c>
      <c r="I77" s="14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4" t="s">
        <v>6594</v>
      </c>
      <c r="B78" s="14" t="s">
        <v>16</v>
      </c>
      <c r="C78" s="14" t="s">
        <v>11</v>
      </c>
      <c r="D78" s="14" t="s">
        <v>6595</v>
      </c>
      <c r="E78" s="14" t="s">
        <v>11</v>
      </c>
      <c r="F78" s="14" t="s">
        <v>16</v>
      </c>
      <c r="G78" s="298">
        <v>46056.0</v>
      </c>
      <c r="H78" s="14">
        <v>4000.0</v>
      </c>
      <c r="I78" s="14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82" t="s">
        <v>6596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ht="14.25" customHeight="1">
      <c r="A80" s="14" t="s">
        <v>6597</v>
      </c>
      <c r="B80" s="14" t="s">
        <v>11</v>
      </c>
      <c r="C80" s="14" t="s">
        <v>20</v>
      </c>
      <c r="D80" s="14" t="s">
        <v>6598</v>
      </c>
      <c r="E80" s="14" t="s">
        <v>20</v>
      </c>
      <c r="F80" s="14" t="s">
        <v>11</v>
      </c>
      <c r="G80" s="14" t="s">
        <v>6467</v>
      </c>
      <c r="H80" s="14">
        <v>5000.0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299" t="s">
        <v>6599</v>
      </c>
      <c r="B81" s="14" t="s">
        <v>16</v>
      </c>
      <c r="C81" s="14" t="s">
        <v>12</v>
      </c>
      <c r="D81" s="14" t="s">
        <v>6600</v>
      </c>
      <c r="E81" s="14" t="s">
        <v>12</v>
      </c>
      <c r="F81" s="14" t="s">
        <v>16</v>
      </c>
      <c r="G81" s="298">
        <v>46056.0</v>
      </c>
      <c r="H81" s="14">
        <v>4000.0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4" t="s">
        <v>6601</v>
      </c>
      <c r="B82" s="14" t="s">
        <v>30</v>
      </c>
      <c r="C82" s="14" t="s">
        <v>29</v>
      </c>
      <c r="D82" s="14" t="s">
        <v>6602</v>
      </c>
      <c r="E82" s="14" t="s">
        <v>30</v>
      </c>
      <c r="F82" s="14" t="s">
        <v>29</v>
      </c>
      <c r="G82" s="298">
        <v>46113.0</v>
      </c>
      <c r="H82" s="14">
        <v>5000.0</v>
      </c>
      <c r="I82" s="14" t="s">
        <v>6603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4" t="s">
        <v>6604</v>
      </c>
      <c r="B83" s="14" t="s">
        <v>12</v>
      </c>
      <c r="C83" s="14" t="s">
        <v>11</v>
      </c>
      <c r="D83" s="14" t="s">
        <v>6605</v>
      </c>
      <c r="E83" s="14" t="s">
        <v>11</v>
      </c>
      <c r="F83" s="14" t="s">
        <v>12</v>
      </c>
      <c r="G83" s="298">
        <v>46024.0</v>
      </c>
      <c r="H83" s="14">
        <v>5000.0</v>
      </c>
      <c r="I83" s="14" t="s">
        <v>6606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4" t="s">
        <v>6607</v>
      </c>
      <c r="B84" s="14" t="s">
        <v>25</v>
      </c>
      <c r="C84" s="14" t="s">
        <v>664</v>
      </c>
      <c r="D84" s="14" t="s">
        <v>6605</v>
      </c>
      <c r="E84" s="14" t="s">
        <v>664</v>
      </c>
      <c r="F84" s="14" t="s">
        <v>25</v>
      </c>
      <c r="G84" s="298">
        <v>46024.0</v>
      </c>
      <c r="H84" s="14">
        <v>5000.0</v>
      </c>
      <c r="I84" s="14" t="s">
        <v>6608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4" t="s">
        <v>6609</v>
      </c>
      <c r="B85" s="14" t="s">
        <v>30</v>
      </c>
      <c r="C85" s="14" t="s">
        <v>16</v>
      </c>
      <c r="D85" s="14" t="s">
        <v>5198</v>
      </c>
      <c r="E85" s="14" t="s">
        <v>30</v>
      </c>
      <c r="F85" s="14" t="s">
        <v>16</v>
      </c>
      <c r="G85" s="14" t="s">
        <v>6589</v>
      </c>
      <c r="H85" s="14">
        <v>5000.0</v>
      </c>
      <c r="I85" s="14" t="s">
        <v>6610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4" t="s">
        <v>6611</v>
      </c>
      <c r="B86" s="14" t="s">
        <v>9</v>
      </c>
      <c r="C86" s="14" t="s">
        <v>27</v>
      </c>
      <c r="D86" s="14" t="s">
        <v>5198</v>
      </c>
      <c r="E86" s="14" t="s">
        <v>9</v>
      </c>
      <c r="F86" s="14" t="s">
        <v>27</v>
      </c>
      <c r="G86" s="14" t="s">
        <v>6589</v>
      </c>
      <c r="H86" s="14">
        <v>5000.0</v>
      </c>
      <c r="I86" s="14" t="s">
        <v>6610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4" t="s">
        <v>6612</v>
      </c>
      <c r="B87" s="14" t="s">
        <v>20</v>
      </c>
      <c r="C87" s="14" t="s">
        <v>18</v>
      </c>
      <c r="D87" s="14" t="s">
        <v>6613</v>
      </c>
      <c r="E87" s="14" t="s">
        <v>18</v>
      </c>
      <c r="F87" s="14" t="s">
        <v>20</v>
      </c>
      <c r="G87" s="298">
        <v>46024.0</v>
      </c>
      <c r="H87" s="14">
        <v>5000.0</v>
      </c>
      <c r="I87" s="14" t="s">
        <v>6614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4" t="s">
        <v>6615</v>
      </c>
      <c r="B88" s="14" t="s">
        <v>16</v>
      </c>
      <c r="C88" s="14" t="s">
        <v>12</v>
      </c>
      <c r="D88" s="14" t="s">
        <v>6616</v>
      </c>
      <c r="E88" s="14" t="s">
        <v>16</v>
      </c>
      <c r="F88" s="14" t="s">
        <v>12</v>
      </c>
      <c r="G88" s="14" t="s">
        <v>6573</v>
      </c>
      <c r="H88" s="14">
        <v>5000.0</v>
      </c>
      <c r="I88" s="14" t="s">
        <v>6610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4" t="s">
        <v>6617</v>
      </c>
      <c r="B89" s="14" t="s">
        <v>29</v>
      </c>
      <c r="C89" s="14" t="s">
        <v>21</v>
      </c>
      <c r="D89" s="14" t="s">
        <v>6618</v>
      </c>
      <c r="E89" s="14" t="s">
        <v>21</v>
      </c>
      <c r="F89" s="14" t="s">
        <v>29</v>
      </c>
      <c r="G89" s="14" t="s">
        <v>6573</v>
      </c>
      <c r="H89" s="14">
        <v>3000.0</v>
      </c>
      <c r="I89" s="14" t="s">
        <v>6619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4" t="s">
        <v>6620</v>
      </c>
      <c r="B90" s="14" t="s">
        <v>12</v>
      </c>
      <c r="C90" s="14" t="s">
        <v>27</v>
      </c>
      <c r="D90" s="14" t="s">
        <v>6618</v>
      </c>
      <c r="E90" s="14" t="s">
        <v>27</v>
      </c>
      <c r="F90" s="14" t="s">
        <v>12</v>
      </c>
      <c r="G90" s="14" t="s">
        <v>6573</v>
      </c>
      <c r="H90" s="14">
        <v>5000.0</v>
      </c>
      <c r="I90" s="14" t="s">
        <v>6610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4" t="s">
        <v>6621</v>
      </c>
      <c r="B91" s="14" t="s">
        <v>12</v>
      </c>
      <c r="C91" s="14" t="s">
        <v>29</v>
      </c>
      <c r="D91" s="14" t="s">
        <v>6622</v>
      </c>
      <c r="E91" s="14" t="s">
        <v>12</v>
      </c>
      <c r="F91" s="14" t="s">
        <v>29</v>
      </c>
      <c r="G91" s="14" t="s">
        <v>6573</v>
      </c>
      <c r="H91" s="14">
        <v>5000.0</v>
      </c>
      <c r="I91" s="14" t="s">
        <v>6619</v>
      </c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4" t="s">
        <v>6623</v>
      </c>
      <c r="B92" s="14" t="s">
        <v>25</v>
      </c>
      <c r="C92" s="14" t="s">
        <v>30</v>
      </c>
      <c r="D92" s="14" t="s">
        <v>6624</v>
      </c>
      <c r="E92" s="14" t="s">
        <v>30</v>
      </c>
      <c r="F92" s="14" t="s">
        <v>25</v>
      </c>
      <c r="G92" s="14" t="s">
        <v>6573</v>
      </c>
      <c r="H92" s="14">
        <v>3000.0</v>
      </c>
      <c r="I92" s="14" t="s">
        <v>6610</v>
      </c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4" t="s">
        <v>6625</v>
      </c>
      <c r="B93" s="14" t="s">
        <v>9</v>
      </c>
      <c r="C93" s="14" t="s">
        <v>12</v>
      </c>
      <c r="D93" s="14" t="s">
        <v>6626</v>
      </c>
      <c r="E93" s="14" t="s">
        <v>9</v>
      </c>
      <c r="F93" s="14" t="s">
        <v>12</v>
      </c>
      <c r="G93" s="298">
        <v>46054.0</v>
      </c>
      <c r="H93" s="14">
        <v>10000.0</v>
      </c>
      <c r="I93" s="14" t="s">
        <v>6619</v>
      </c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4" t="s">
        <v>6627</v>
      </c>
      <c r="B94" s="14" t="s">
        <v>20</v>
      </c>
      <c r="C94" s="14" t="s">
        <v>11</v>
      </c>
      <c r="D94" s="14" t="s">
        <v>6628</v>
      </c>
      <c r="E94" s="14" t="s">
        <v>20</v>
      </c>
      <c r="F94" s="14" t="s">
        <v>11</v>
      </c>
      <c r="G94" s="14" t="s">
        <v>6573</v>
      </c>
      <c r="H94" s="14">
        <v>5000.0</v>
      </c>
      <c r="I94" s="14" t="s">
        <v>6610</v>
      </c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4" t="s">
        <v>6629</v>
      </c>
      <c r="B95" s="14" t="s">
        <v>27</v>
      </c>
      <c r="C95" s="14" t="s">
        <v>30</v>
      </c>
      <c r="D95" s="14" t="s">
        <v>6628</v>
      </c>
      <c r="E95" s="14" t="s">
        <v>27</v>
      </c>
      <c r="F95" s="14" t="s">
        <v>30</v>
      </c>
      <c r="G95" s="14" t="s">
        <v>6573</v>
      </c>
      <c r="H95" s="14">
        <v>5000.0</v>
      </c>
      <c r="I95" s="14" t="s">
        <v>6610</v>
      </c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4" t="s">
        <v>6630</v>
      </c>
      <c r="B96" s="14" t="s">
        <v>30</v>
      </c>
      <c r="C96" s="14" t="s">
        <v>27</v>
      </c>
      <c r="D96" s="14" t="s">
        <v>6631</v>
      </c>
      <c r="E96" s="14" t="s">
        <v>30</v>
      </c>
      <c r="F96" s="14" t="s">
        <v>27</v>
      </c>
      <c r="G96" s="14" t="s">
        <v>6573</v>
      </c>
      <c r="H96" s="14">
        <v>5000.0</v>
      </c>
      <c r="I96" s="14" t="s">
        <v>6610</v>
      </c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82" t="s">
        <v>6632</v>
      </c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4" t="s">
        <v>6633</v>
      </c>
      <c r="B98" s="14" t="s">
        <v>12</v>
      </c>
      <c r="C98" s="14" t="s">
        <v>18</v>
      </c>
      <c r="D98" s="14" t="s">
        <v>6634</v>
      </c>
      <c r="E98" s="14" t="s">
        <v>12</v>
      </c>
      <c r="F98" s="14" t="s">
        <v>18</v>
      </c>
      <c r="G98" s="14" t="s">
        <v>6573</v>
      </c>
      <c r="H98" s="14">
        <v>10000.0</v>
      </c>
      <c r="I98" s="14" t="s">
        <v>6610</v>
      </c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4" t="s">
        <v>6635</v>
      </c>
      <c r="B99" s="14" t="s">
        <v>9</v>
      </c>
      <c r="C99" s="14" t="s">
        <v>14</v>
      </c>
      <c r="D99" s="14" t="s">
        <v>6634</v>
      </c>
      <c r="E99" s="14" t="s">
        <v>14</v>
      </c>
      <c r="F99" s="14" t="s">
        <v>9</v>
      </c>
      <c r="G99" s="14" t="s">
        <v>6573</v>
      </c>
      <c r="H99" s="14">
        <v>5000.0</v>
      </c>
      <c r="I99" s="14" t="s">
        <v>6610</v>
      </c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4" t="s">
        <v>6636</v>
      </c>
      <c r="B100" s="14" t="s">
        <v>11</v>
      </c>
      <c r="C100" s="14" t="s">
        <v>25</v>
      </c>
      <c r="D100" s="14" t="s">
        <v>6634</v>
      </c>
      <c r="E100" s="14" t="s">
        <v>11</v>
      </c>
      <c r="F100" s="14" t="s">
        <v>25</v>
      </c>
      <c r="G100" s="14" t="s">
        <v>6573</v>
      </c>
      <c r="H100" s="14">
        <v>6000.0</v>
      </c>
      <c r="I100" s="14" t="s">
        <v>6610</v>
      </c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4" t="s">
        <v>6637</v>
      </c>
      <c r="B101" s="14" t="s">
        <v>20</v>
      </c>
      <c r="C101" s="14" t="s">
        <v>21</v>
      </c>
      <c r="D101" s="14" t="s">
        <v>6634</v>
      </c>
      <c r="E101" s="14" t="s">
        <v>20</v>
      </c>
      <c r="F101" s="14" t="s">
        <v>21</v>
      </c>
      <c r="G101" s="14" t="s">
        <v>6573</v>
      </c>
      <c r="H101" s="14">
        <v>5000.0</v>
      </c>
      <c r="I101" s="14" t="s">
        <v>6619</v>
      </c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4" t="s">
        <v>6638</v>
      </c>
      <c r="B102" s="14" t="s">
        <v>12</v>
      </c>
      <c r="C102" s="14" t="s">
        <v>11</v>
      </c>
      <c r="D102" s="14" t="s">
        <v>6639</v>
      </c>
      <c r="E102" s="14" t="s">
        <v>12</v>
      </c>
      <c r="F102" s="14" t="s">
        <v>11</v>
      </c>
      <c r="G102" s="14" t="s">
        <v>6573</v>
      </c>
      <c r="H102" s="14">
        <v>5000.0</v>
      </c>
      <c r="I102" s="14" t="s">
        <v>6610</v>
      </c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4" t="s">
        <v>6640</v>
      </c>
      <c r="B103" s="14" t="s">
        <v>30</v>
      </c>
      <c r="C103" s="14" t="s">
        <v>21</v>
      </c>
      <c r="D103" s="14" t="s">
        <v>6639</v>
      </c>
      <c r="E103" s="14" t="s">
        <v>30</v>
      </c>
      <c r="F103" s="14" t="s">
        <v>21</v>
      </c>
      <c r="G103" s="14" t="s">
        <v>6573</v>
      </c>
      <c r="H103" s="14">
        <v>5000.0</v>
      </c>
      <c r="I103" s="14" t="s">
        <v>6641</v>
      </c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4" t="s">
        <v>6642</v>
      </c>
      <c r="B104" s="14" t="s">
        <v>14</v>
      </c>
      <c r="C104" s="14" t="s">
        <v>9</v>
      </c>
      <c r="D104" s="14" t="s">
        <v>6639</v>
      </c>
      <c r="E104" s="14" t="s">
        <v>9</v>
      </c>
      <c r="F104" s="14" t="s">
        <v>14</v>
      </c>
      <c r="G104" s="14" t="s">
        <v>6573</v>
      </c>
      <c r="H104" s="14">
        <v>5000.0</v>
      </c>
      <c r="I104" s="14" t="s">
        <v>6619</v>
      </c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4" t="s">
        <v>6643</v>
      </c>
      <c r="B105" s="14" t="s">
        <v>11</v>
      </c>
      <c r="C105" s="14" t="s">
        <v>6644</v>
      </c>
      <c r="D105" s="14" t="s">
        <v>5626</v>
      </c>
      <c r="E105" s="14" t="s">
        <v>30</v>
      </c>
      <c r="F105" s="14" t="s">
        <v>16</v>
      </c>
      <c r="G105" s="14" t="s">
        <v>6645</v>
      </c>
      <c r="H105" s="14">
        <v>15000.0</v>
      </c>
      <c r="I105" s="14" t="s">
        <v>6646</v>
      </c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4" t="s">
        <v>6647</v>
      </c>
      <c r="B106" s="14" t="s">
        <v>12</v>
      </c>
      <c r="C106" s="14" t="s">
        <v>11</v>
      </c>
      <c r="D106" s="14" t="s">
        <v>6648</v>
      </c>
      <c r="E106" s="14" t="s">
        <v>12</v>
      </c>
      <c r="F106" s="14" t="s">
        <v>11</v>
      </c>
      <c r="G106" s="298">
        <v>46054.0</v>
      </c>
      <c r="H106" s="14">
        <v>5000.0</v>
      </c>
      <c r="I106" s="14" t="s">
        <v>6619</v>
      </c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4" t="s">
        <v>6649</v>
      </c>
      <c r="B107" s="14" t="s">
        <v>9</v>
      </c>
      <c r="C107" s="14" t="s">
        <v>16</v>
      </c>
      <c r="D107" s="14" t="s">
        <v>6650</v>
      </c>
      <c r="E107" s="14" t="s">
        <v>9</v>
      </c>
      <c r="F107" s="14" t="s">
        <v>16</v>
      </c>
      <c r="G107" s="298">
        <v>46113.0</v>
      </c>
      <c r="H107" s="14">
        <v>10000.0</v>
      </c>
      <c r="I107" s="14" t="s">
        <v>6619</v>
      </c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4" t="s">
        <v>6651</v>
      </c>
      <c r="B108" s="14" t="s">
        <v>12</v>
      </c>
      <c r="C108" s="14" t="s">
        <v>11</v>
      </c>
      <c r="D108" s="14" t="s">
        <v>6652</v>
      </c>
      <c r="E108" s="14" t="s">
        <v>11</v>
      </c>
      <c r="F108" s="14" t="s">
        <v>12</v>
      </c>
      <c r="G108" s="298">
        <v>46024.0</v>
      </c>
      <c r="H108" s="14">
        <v>5000.0</v>
      </c>
      <c r="I108" s="14" t="s">
        <v>6610</v>
      </c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4" t="s">
        <v>6653</v>
      </c>
      <c r="B109" s="14" t="s">
        <v>11</v>
      </c>
      <c r="C109" s="14" t="s">
        <v>29</v>
      </c>
      <c r="D109" s="14" t="s">
        <v>6082</v>
      </c>
      <c r="E109" s="14" t="s">
        <v>29</v>
      </c>
      <c r="F109" s="14" t="s">
        <v>11</v>
      </c>
      <c r="G109" s="14" t="s">
        <v>6589</v>
      </c>
      <c r="H109" s="14">
        <v>5000.0</v>
      </c>
      <c r="I109" s="14" t="s">
        <v>6610</v>
      </c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4" t="s">
        <v>6654</v>
      </c>
      <c r="B110" s="14" t="s">
        <v>12</v>
      </c>
      <c r="C110" s="14" t="s">
        <v>29</v>
      </c>
      <c r="D110" s="14" t="s">
        <v>6090</v>
      </c>
      <c r="E110" s="14" t="s">
        <v>29</v>
      </c>
      <c r="F110" s="14" t="s">
        <v>12</v>
      </c>
      <c r="G110" s="14" t="s">
        <v>6589</v>
      </c>
      <c r="H110" s="14">
        <v>5000.0</v>
      </c>
      <c r="I110" s="14" t="s">
        <v>6610</v>
      </c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82" t="s">
        <v>6655</v>
      </c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4" t="s">
        <v>6656</v>
      </c>
      <c r="B112" s="14" t="s">
        <v>29</v>
      </c>
      <c r="C112" s="14" t="s">
        <v>30</v>
      </c>
      <c r="D112" s="14" t="s">
        <v>6657</v>
      </c>
      <c r="E112" s="14" t="s">
        <v>30</v>
      </c>
      <c r="F112" s="14" t="s">
        <v>29</v>
      </c>
      <c r="G112" s="14" t="s">
        <v>6589</v>
      </c>
      <c r="H112" s="14">
        <v>10000.0</v>
      </c>
      <c r="I112" s="14" t="s">
        <v>6610</v>
      </c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4" t="s">
        <v>6659</v>
      </c>
      <c r="B113" s="14" t="s">
        <v>30</v>
      </c>
      <c r="C113" s="14" t="s">
        <v>29</v>
      </c>
      <c r="D113" s="14" t="s">
        <v>6126</v>
      </c>
      <c r="E113" s="14" t="s">
        <v>29</v>
      </c>
      <c r="F113" s="14" t="s">
        <v>30</v>
      </c>
      <c r="G113" s="14" t="s">
        <v>6589</v>
      </c>
      <c r="H113" s="14">
        <v>10000.0</v>
      </c>
      <c r="I113" s="14" t="s">
        <v>6610</v>
      </c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4" t="s">
        <v>6662</v>
      </c>
      <c r="B114" s="14" t="s">
        <v>11</v>
      </c>
      <c r="C114" s="14" t="s">
        <v>16</v>
      </c>
      <c r="D114" s="14" t="s">
        <v>6664</v>
      </c>
      <c r="E114" s="14" t="s">
        <v>11</v>
      </c>
      <c r="F114" s="14" t="s">
        <v>16</v>
      </c>
      <c r="G114" s="298">
        <v>46113.0</v>
      </c>
      <c r="H114" s="14">
        <v>7000.0</v>
      </c>
      <c r="I114" s="14" t="s">
        <v>6610</v>
      </c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4" t="s">
        <v>6672</v>
      </c>
      <c r="B115" s="14" t="s">
        <v>9</v>
      </c>
      <c r="C115" s="14" t="s">
        <v>12</v>
      </c>
      <c r="D115" s="14" t="s">
        <v>6664</v>
      </c>
      <c r="E115" s="14" t="s">
        <v>12</v>
      </c>
      <c r="F115" s="14" t="s">
        <v>9</v>
      </c>
      <c r="G115" s="298">
        <v>46026.0</v>
      </c>
      <c r="H115" s="14">
        <v>10000.0</v>
      </c>
      <c r="I115" s="14" t="s">
        <v>6610</v>
      </c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4" t="s">
        <v>6679</v>
      </c>
      <c r="B116" s="14" t="s">
        <v>9</v>
      </c>
      <c r="C116" s="14" t="s">
        <v>29</v>
      </c>
      <c r="D116" s="14" t="s">
        <v>6130</v>
      </c>
      <c r="E116" s="14" t="s">
        <v>29</v>
      </c>
      <c r="F116" s="14" t="s">
        <v>9</v>
      </c>
      <c r="G116" s="14" t="s">
        <v>6589</v>
      </c>
      <c r="H116" s="14">
        <v>3000.0</v>
      </c>
      <c r="I116" s="14" t="s">
        <v>6610</v>
      </c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4" t="s">
        <v>6684</v>
      </c>
      <c r="B117" s="14" t="s">
        <v>31</v>
      </c>
      <c r="C117" s="14" t="s">
        <v>33</v>
      </c>
      <c r="D117" s="14" t="s">
        <v>6686</v>
      </c>
      <c r="E117" s="14" t="s">
        <v>33</v>
      </c>
      <c r="F117" s="14" t="s">
        <v>31</v>
      </c>
      <c r="G117" s="298">
        <v>46024.0</v>
      </c>
      <c r="H117" s="14">
        <v>5000.0</v>
      </c>
      <c r="I117" s="14" t="s">
        <v>6687</v>
      </c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4" t="s">
        <v>6692</v>
      </c>
      <c r="B118" s="14" t="s">
        <v>30</v>
      </c>
      <c r="C118" s="14" t="s">
        <v>27</v>
      </c>
      <c r="D118" s="14" t="s">
        <v>6693</v>
      </c>
      <c r="E118" s="14" t="s">
        <v>27</v>
      </c>
      <c r="F118" s="14" t="s">
        <v>30</v>
      </c>
      <c r="G118" s="14" t="s">
        <v>6589</v>
      </c>
      <c r="H118" s="14">
        <v>10000.0</v>
      </c>
      <c r="I118" s="14" t="s">
        <v>6646</v>
      </c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1" t="s">
        <v>6707</v>
      </c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66" t="s">
        <v>6446</v>
      </c>
      <c r="B122" s="66" t="s">
        <v>3428</v>
      </c>
      <c r="C122" s="66" t="s">
        <v>6447</v>
      </c>
      <c r="D122" s="66" t="s">
        <v>6448</v>
      </c>
      <c r="E122" s="66" t="s">
        <v>3068</v>
      </c>
      <c r="F122" s="66" t="s">
        <v>6449</v>
      </c>
      <c r="G122" s="66" t="s">
        <v>6450</v>
      </c>
      <c r="H122" s="66" t="s">
        <v>6451</v>
      </c>
      <c r="I122" s="66" t="s">
        <v>6452</v>
      </c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4" t="s">
        <v>6720</v>
      </c>
      <c r="B123" s="14" t="s">
        <v>33</v>
      </c>
      <c r="C123" s="14" t="s">
        <v>6721</v>
      </c>
      <c r="D123" s="14" t="s">
        <v>6722</v>
      </c>
      <c r="E123" s="14" t="s">
        <v>6724</v>
      </c>
      <c r="F123" s="14" t="s">
        <v>6724</v>
      </c>
      <c r="G123" s="14" t="s">
        <v>6726</v>
      </c>
      <c r="H123" s="14">
        <v>5000.0</v>
      </c>
      <c r="I123" s="14" t="s">
        <v>6687</v>
      </c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4" t="s">
        <v>6732</v>
      </c>
      <c r="B124" s="14" t="s">
        <v>30</v>
      </c>
      <c r="C124" s="14" t="s">
        <v>9</v>
      </c>
      <c r="D124" s="14" t="s">
        <v>6733</v>
      </c>
      <c r="E124" s="14" t="s">
        <v>6724</v>
      </c>
      <c r="F124" s="14" t="s">
        <v>6724</v>
      </c>
      <c r="G124" s="14" t="s">
        <v>6724</v>
      </c>
      <c r="H124" s="14">
        <v>10000.0</v>
      </c>
      <c r="I124" s="14" t="s">
        <v>6619</v>
      </c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4" t="s">
        <v>6738</v>
      </c>
      <c r="B125" s="14" t="s">
        <v>12</v>
      </c>
      <c r="C125" s="14" t="s">
        <v>6739</v>
      </c>
      <c r="D125" s="14" t="s">
        <v>6733</v>
      </c>
      <c r="E125" s="14" t="s">
        <v>6724</v>
      </c>
      <c r="F125" s="14" t="s">
        <v>6724</v>
      </c>
      <c r="G125" s="14" t="s">
        <v>6724</v>
      </c>
      <c r="H125" s="14">
        <v>10000.0</v>
      </c>
      <c r="I125" s="14" t="s">
        <v>6619</v>
      </c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4" t="s">
        <v>6743</v>
      </c>
      <c r="B126" s="14" t="s">
        <v>9</v>
      </c>
      <c r="C126" s="14" t="s">
        <v>6744</v>
      </c>
      <c r="D126" s="14" t="s">
        <v>6745</v>
      </c>
      <c r="E126" s="14" t="s">
        <v>6724</v>
      </c>
      <c r="F126" s="14" t="s">
        <v>6724</v>
      </c>
      <c r="G126" s="14" t="s">
        <v>6724</v>
      </c>
      <c r="H126" s="14">
        <v>15000.0</v>
      </c>
      <c r="I126" s="14" t="s">
        <v>6619</v>
      </c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4" t="s">
        <v>6749</v>
      </c>
      <c r="B127" s="14" t="s">
        <v>31</v>
      </c>
      <c r="C127" s="14" t="s">
        <v>30</v>
      </c>
      <c r="D127" s="14" t="s">
        <v>6750</v>
      </c>
      <c r="E127" s="14" t="s">
        <v>6724</v>
      </c>
      <c r="F127" s="14" t="s">
        <v>6724</v>
      </c>
      <c r="G127" s="14" t="s">
        <v>6724</v>
      </c>
      <c r="H127" s="14">
        <v>3000.0</v>
      </c>
      <c r="I127" s="14" t="s">
        <v>6646</v>
      </c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9">
      <c r="A129" s="11" t="s">
        <v>6756</v>
      </c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1" t="s">
        <v>6660</v>
      </c>
      <c r="B130" s="11" t="s">
        <v>3428</v>
      </c>
      <c r="C130" s="11" t="s">
        <v>6447</v>
      </c>
      <c r="D130" s="11" t="s">
        <v>6448</v>
      </c>
      <c r="E130" s="11" t="s">
        <v>6661</v>
      </c>
      <c r="F130" s="11" t="s">
        <v>6451</v>
      </c>
      <c r="G130" s="66" t="s">
        <v>6452</v>
      </c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4"/>
      <c r="B131" s="14"/>
      <c r="C131" s="14"/>
      <c r="D131" s="14"/>
      <c r="E131" s="14"/>
      <c r="F131" s="14"/>
      <c r="G131" s="14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4"/>
      <c r="B132" s="14"/>
      <c r="C132" s="14"/>
      <c r="D132" s="14"/>
      <c r="E132" s="14"/>
      <c r="F132" s="14"/>
      <c r="G132" s="14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1" t="s">
        <v>6770</v>
      </c>
      <c r="D133" s="19"/>
      <c r="E133" s="19"/>
      <c r="F133" s="11" t="s">
        <v>6773</v>
      </c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4" t="s">
        <v>625</v>
      </c>
      <c r="B134" s="14" t="s">
        <v>6778</v>
      </c>
      <c r="C134" s="14" t="s">
        <v>6780</v>
      </c>
      <c r="D134" s="66" t="s">
        <v>6452</v>
      </c>
      <c r="E134" s="19"/>
      <c r="F134" s="14" t="s">
        <v>6781</v>
      </c>
      <c r="G134" s="14" t="s">
        <v>6782</v>
      </c>
      <c r="H134" s="14" t="s">
        <v>6778</v>
      </c>
      <c r="I134" s="14" t="s">
        <v>6780</v>
      </c>
      <c r="J134" s="66" t="s">
        <v>6452</v>
      </c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4" t="s">
        <v>6786</v>
      </c>
      <c r="B135" s="14" t="s">
        <v>6788</v>
      </c>
      <c r="C135" s="14" t="s">
        <v>6789</v>
      </c>
      <c r="D135" s="14" t="s">
        <v>6641</v>
      </c>
      <c r="E135" s="19"/>
      <c r="F135" s="14" t="s">
        <v>6792</v>
      </c>
      <c r="G135" s="14" t="s">
        <v>6793</v>
      </c>
      <c r="H135" s="14" t="s">
        <v>6724</v>
      </c>
      <c r="I135" s="14" t="s">
        <v>6724</v>
      </c>
      <c r="J135" s="14" t="s">
        <v>6794</v>
      </c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E136" s="19"/>
      <c r="F136" s="14" t="s">
        <v>6797</v>
      </c>
      <c r="G136" s="14" t="s">
        <v>6798</v>
      </c>
      <c r="H136" s="14" t="s">
        <v>6724</v>
      </c>
      <c r="I136" s="14" t="s">
        <v>6724</v>
      </c>
      <c r="J136" s="14" t="s">
        <v>6799</v>
      </c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E137" s="19"/>
      <c r="F137" s="14"/>
      <c r="G137" s="14"/>
      <c r="H137" s="14"/>
      <c r="I137" s="14"/>
      <c r="J137" s="14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9"/>
      <c r="B138" s="19"/>
      <c r="C138" s="19"/>
      <c r="D138" s="19"/>
      <c r="E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</row>
  </sheetData>
  <mergeCells count="12">
    <mergeCell ref="A111:I111"/>
    <mergeCell ref="A121:I121"/>
    <mergeCell ref="A129:F129"/>
    <mergeCell ref="A133:C133"/>
    <mergeCell ref="F133:J133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1" t="s">
        <v>6658</v>
      </c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11" t="s">
        <v>6660</v>
      </c>
      <c r="B2" s="11" t="s">
        <v>3428</v>
      </c>
      <c r="C2" s="11" t="s">
        <v>6447</v>
      </c>
      <c r="D2" s="11" t="s">
        <v>6448</v>
      </c>
      <c r="E2" s="11" t="s">
        <v>6661</v>
      </c>
      <c r="F2" s="11" t="s">
        <v>6451</v>
      </c>
      <c r="G2" s="11" t="s">
        <v>3069</v>
      </c>
      <c r="H2" s="11" t="s">
        <v>705</v>
      </c>
      <c r="I2" s="11" t="s">
        <v>696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4" t="s">
        <v>6663</v>
      </c>
      <c r="B3" s="14" t="s">
        <v>30</v>
      </c>
      <c r="C3" s="14" t="s">
        <v>11</v>
      </c>
      <c r="D3" s="14" t="s">
        <v>6665</v>
      </c>
      <c r="E3" s="14" t="s">
        <v>30</v>
      </c>
      <c r="F3" s="14">
        <v>6000.0</v>
      </c>
      <c r="G3" s="14" t="s">
        <v>6666</v>
      </c>
      <c r="H3" s="14" t="s">
        <v>6667</v>
      </c>
      <c r="I3" s="14" t="s">
        <v>6668</v>
      </c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14" t="s">
        <v>6669</v>
      </c>
      <c r="B4" s="14" t="s">
        <v>11</v>
      </c>
      <c r="C4" s="14" t="s">
        <v>30</v>
      </c>
      <c r="D4" s="14" t="s">
        <v>6670</v>
      </c>
      <c r="E4" s="14" t="s">
        <v>30</v>
      </c>
      <c r="F4" s="14">
        <v>6000.0</v>
      </c>
      <c r="G4" s="14" t="s">
        <v>6671</v>
      </c>
      <c r="H4" s="14" t="s">
        <v>6666</v>
      </c>
      <c r="I4" s="14" t="s">
        <v>6673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4" t="s">
        <v>6674</v>
      </c>
      <c r="B5" s="14" t="s">
        <v>23</v>
      </c>
      <c r="C5" s="14" t="s">
        <v>30</v>
      </c>
      <c r="D5" s="14" t="s">
        <v>6552</v>
      </c>
      <c r="E5" s="14" t="s">
        <v>30</v>
      </c>
      <c r="F5" s="14">
        <v>5000.0</v>
      </c>
      <c r="G5" s="14" t="s">
        <v>6675</v>
      </c>
      <c r="H5" s="14" t="s">
        <v>6676</v>
      </c>
      <c r="I5" s="14" t="s">
        <v>6677</v>
      </c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14" t="s">
        <v>6678</v>
      </c>
      <c r="B6" s="14" t="s">
        <v>30</v>
      </c>
      <c r="C6" s="14" t="s">
        <v>23</v>
      </c>
      <c r="D6" s="14" t="s">
        <v>6555</v>
      </c>
      <c r="E6" s="14" t="s">
        <v>23</v>
      </c>
      <c r="F6" s="14">
        <v>5000.0</v>
      </c>
      <c r="G6" s="14" t="s">
        <v>6680</v>
      </c>
      <c r="H6" s="14" t="s">
        <v>6681</v>
      </c>
      <c r="I6" s="14" t="s">
        <v>6680</v>
      </c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14" t="s">
        <v>6682</v>
      </c>
      <c r="B7" s="14" t="s">
        <v>15</v>
      </c>
      <c r="C7" s="14" t="s">
        <v>23</v>
      </c>
      <c r="D7" s="14" t="s">
        <v>6683</v>
      </c>
      <c r="E7" s="14" t="s">
        <v>23</v>
      </c>
      <c r="F7" s="14">
        <v>5000.0</v>
      </c>
      <c r="G7" s="14" t="s">
        <v>6676</v>
      </c>
      <c r="H7" s="14" t="s">
        <v>6685</v>
      </c>
      <c r="I7" s="14" t="s">
        <v>6676</v>
      </c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14" t="s">
        <v>6688</v>
      </c>
      <c r="B8" s="14" t="s">
        <v>664</v>
      </c>
      <c r="C8" s="14" t="s">
        <v>14</v>
      </c>
      <c r="D8" s="14" t="s">
        <v>6559</v>
      </c>
      <c r="E8" s="14" t="s">
        <v>664</v>
      </c>
      <c r="F8" s="14">
        <v>7000.0</v>
      </c>
      <c r="G8" s="14" t="s">
        <v>6689</v>
      </c>
      <c r="H8" s="14" t="s">
        <v>6690</v>
      </c>
      <c r="I8" s="14" t="s">
        <v>6691</v>
      </c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4" t="s">
        <v>6694</v>
      </c>
      <c r="B9" s="14" t="s">
        <v>12</v>
      </c>
      <c r="C9" s="14" t="s">
        <v>30</v>
      </c>
      <c r="D9" s="14" t="s">
        <v>6695</v>
      </c>
      <c r="E9" s="14" t="s">
        <v>30</v>
      </c>
      <c r="F9" s="14">
        <v>6000.0</v>
      </c>
      <c r="G9" s="14" t="s">
        <v>6696</v>
      </c>
      <c r="H9" s="14" t="s">
        <v>6697</v>
      </c>
      <c r="I9" s="14" t="s">
        <v>6696</v>
      </c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14" t="s">
        <v>6698</v>
      </c>
      <c r="B10" s="14" t="s">
        <v>12</v>
      </c>
      <c r="C10" s="14" t="s">
        <v>15</v>
      </c>
      <c r="D10" s="14" t="s">
        <v>6699</v>
      </c>
      <c r="E10" s="14" t="s">
        <v>12</v>
      </c>
      <c r="F10" s="14">
        <v>5000.0</v>
      </c>
      <c r="G10" s="14" t="s">
        <v>6700</v>
      </c>
      <c r="H10" s="14" t="s">
        <v>6701</v>
      </c>
      <c r="I10" s="14" t="s">
        <v>6700</v>
      </c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14" t="s">
        <v>6702</v>
      </c>
      <c r="B11" s="14" t="s">
        <v>9</v>
      </c>
      <c r="C11" s="14" t="s">
        <v>20</v>
      </c>
      <c r="D11" s="14" t="s">
        <v>6703</v>
      </c>
      <c r="E11" s="14" t="s">
        <v>9</v>
      </c>
      <c r="F11" s="14">
        <v>5000.0</v>
      </c>
      <c r="G11" s="14" t="s">
        <v>6704</v>
      </c>
      <c r="H11" s="14" t="s">
        <v>6705</v>
      </c>
      <c r="I11" s="14" t="s">
        <v>6704</v>
      </c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14" t="s">
        <v>6706</v>
      </c>
      <c r="B12" s="14" t="s">
        <v>18</v>
      </c>
      <c r="C12" s="14" t="s">
        <v>23</v>
      </c>
      <c r="D12" s="14" t="s">
        <v>6703</v>
      </c>
      <c r="E12" s="14" t="s">
        <v>23</v>
      </c>
      <c r="F12" s="14">
        <v>5000.0</v>
      </c>
      <c r="G12" s="14" t="s">
        <v>6708</v>
      </c>
      <c r="H12" s="14" t="s">
        <v>6685</v>
      </c>
      <c r="I12" s="14" t="s">
        <v>6709</v>
      </c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14" t="s">
        <v>6710</v>
      </c>
      <c r="B13" s="14" t="s">
        <v>16</v>
      </c>
      <c r="C13" s="14" t="s">
        <v>14</v>
      </c>
      <c r="D13" s="14" t="s">
        <v>6703</v>
      </c>
      <c r="E13" s="14" t="s">
        <v>14</v>
      </c>
      <c r="F13" s="14">
        <v>2500.0</v>
      </c>
      <c r="G13" s="14" t="s">
        <v>6711</v>
      </c>
      <c r="H13" s="14" t="s">
        <v>6711</v>
      </c>
      <c r="I13" s="14" t="s">
        <v>6712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14" t="s">
        <v>6713</v>
      </c>
      <c r="B14" s="14" t="s">
        <v>12</v>
      </c>
      <c r="C14" s="14" t="s">
        <v>11</v>
      </c>
      <c r="D14" s="14" t="s">
        <v>6714</v>
      </c>
      <c r="E14" s="14" t="s">
        <v>11</v>
      </c>
      <c r="F14" s="14">
        <v>10000.0</v>
      </c>
      <c r="G14" s="14" t="s">
        <v>6715</v>
      </c>
      <c r="H14" s="14" t="s">
        <v>6716</v>
      </c>
      <c r="I14" s="14" t="s">
        <v>6715</v>
      </c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14" t="s">
        <v>6717</v>
      </c>
      <c r="B15" s="14" t="s">
        <v>27</v>
      </c>
      <c r="C15" s="14" t="s">
        <v>664</v>
      </c>
      <c r="D15" s="14" t="s">
        <v>6714</v>
      </c>
      <c r="E15" s="14" t="s">
        <v>664</v>
      </c>
      <c r="F15" s="14">
        <v>10000.0</v>
      </c>
      <c r="G15" s="14" t="s">
        <v>6718</v>
      </c>
      <c r="H15" s="14" t="s">
        <v>6719</v>
      </c>
      <c r="I15" s="14" t="s">
        <v>6718</v>
      </c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14" t="s">
        <v>6723</v>
      </c>
      <c r="B16" s="14" t="s">
        <v>23</v>
      </c>
      <c r="C16" s="14" t="s">
        <v>18</v>
      </c>
      <c r="D16" s="14" t="s">
        <v>6725</v>
      </c>
      <c r="E16" s="14" t="s">
        <v>23</v>
      </c>
      <c r="F16" s="14">
        <v>5000.0</v>
      </c>
      <c r="G16" s="14" t="s">
        <v>6676</v>
      </c>
      <c r="H16" s="14" t="s">
        <v>6727</v>
      </c>
      <c r="I16" s="14" t="s">
        <v>6728</v>
      </c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14" t="s">
        <v>6729</v>
      </c>
      <c r="B17" s="14" t="s">
        <v>14</v>
      </c>
      <c r="C17" s="14" t="s">
        <v>16</v>
      </c>
      <c r="D17" s="14" t="s">
        <v>6725</v>
      </c>
      <c r="E17" s="14" t="s">
        <v>16</v>
      </c>
      <c r="F17" s="14">
        <v>2500.0</v>
      </c>
      <c r="G17" s="14" t="s">
        <v>6730</v>
      </c>
      <c r="H17" s="14" t="s">
        <v>6731</v>
      </c>
      <c r="I17" s="14" t="s">
        <v>6730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14" t="s">
        <v>6734</v>
      </c>
      <c r="B18" s="14" t="s">
        <v>20</v>
      </c>
      <c r="C18" s="14" t="s">
        <v>9</v>
      </c>
      <c r="D18" s="14" t="s">
        <v>6735</v>
      </c>
      <c r="E18" s="14" t="s">
        <v>9</v>
      </c>
      <c r="F18" s="14">
        <v>5000.0</v>
      </c>
      <c r="G18" s="14" t="s">
        <v>6736</v>
      </c>
      <c r="H18" s="14" t="s">
        <v>6737</v>
      </c>
      <c r="I18" s="14" t="s">
        <v>6736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14" t="s">
        <v>6740</v>
      </c>
      <c r="B19" s="14" t="s">
        <v>11</v>
      </c>
      <c r="C19" s="14" t="s">
        <v>23</v>
      </c>
      <c r="D19" s="14" t="s">
        <v>6575</v>
      </c>
      <c r="E19" s="14" t="s">
        <v>11</v>
      </c>
      <c r="F19" s="14">
        <v>5000.0</v>
      </c>
      <c r="G19" s="14" t="s">
        <v>6741</v>
      </c>
      <c r="H19" s="14" t="s">
        <v>6742</v>
      </c>
      <c r="I19" s="14" t="s">
        <v>6741</v>
      </c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14" t="s">
        <v>6746</v>
      </c>
      <c r="B20" s="14" t="s">
        <v>664</v>
      </c>
      <c r="C20" s="14" t="s">
        <v>27</v>
      </c>
      <c r="D20" s="14" t="s">
        <v>6575</v>
      </c>
      <c r="E20" s="14" t="s">
        <v>664</v>
      </c>
      <c r="F20" s="14">
        <v>10000.0</v>
      </c>
      <c r="G20" s="14" t="s">
        <v>6747</v>
      </c>
      <c r="H20" s="14" t="s">
        <v>6747</v>
      </c>
      <c r="I20" s="14" t="s">
        <v>6748</v>
      </c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14" t="s">
        <v>6751</v>
      </c>
      <c r="B21" s="14" t="s">
        <v>12</v>
      </c>
      <c r="C21" s="14" t="s">
        <v>20</v>
      </c>
      <c r="D21" s="14" t="s">
        <v>6752</v>
      </c>
      <c r="E21" s="14" t="s">
        <v>12</v>
      </c>
      <c r="F21" s="14">
        <v>10000.0</v>
      </c>
      <c r="G21" s="14" t="s">
        <v>6753</v>
      </c>
      <c r="H21" s="14" t="s">
        <v>6754</v>
      </c>
      <c r="I21" s="14" t="s">
        <v>6753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14" t="s">
        <v>6755</v>
      </c>
      <c r="B22" s="14" t="s">
        <v>23</v>
      </c>
      <c r="C22" s="14" t="s">
        <v>11</v>
      </c>
      <c r="D22" s="14" t="s">
        <v>6578</v>
      </c>
      <c r="E22" s="14" t="s">
        <v>23</v>
      </c>
      <c r="F22" s="14">
        <v>5000.0</v>
      </c>
      <c r="G22" s="14" t="s">
        <v>6676</v>
      </c>
      <c r="H22" s="14" t="s">
        <v>6757</v>
      </c>
      <c r="I22" s="14" t="s">
        <v>6673</v>
      </c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14" t="s">
        <v>6758</v>
      </c>
      <c r="B23" s="14" t="s">
        <v>16</v>
      </c>
      <c r="C23" s="14" t="s">
        <v>27</v>
      </c>
      <c r="D23" s="14" t="s">
        <v>6578</v>
      </c>
      <c r="E23" s="14" t="s">
        <v>27</v>
      </c>
      <c r="F23" s="14">
        <v>5000.0</v>
      </c>
      <c r="G23" s="14" t="s">
        <v>6759</v>
      </c>
      <c r="H23" s="14" t="s">
        <v>6760</v>
      </c>
      <c r="I23" s="14" t="s">
        <v>6759</v>
      </c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14" t="s">
        <v>6761</v>
      </c>
      <c r="B24" s="14" t="s">
        <v>12</v>
      </c>
      <c r="C24" s="14" t="s">
        <v>14</v>
      </c>
      <c r="D24" s="14" t="s">
        <v>6578</v>
      </c>
      <c r="E24" s="14" t="s">
        <v>12</v>
      </c>
      <c r="F24" s="14">
        <v>5000.0</v>
      </c>
      <c r="G24" s="14" t="s">
        <v>6700</v>
      </c>
      <c r="H24" s="14" t="s">
        <v>6754</v>
      </c>
      <c r="I24" s="14" t="s">
        <v>6700</v>
      </c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14" t="s">
        <v>6762</v>
      </c>
      <c r="B25" s="14" t="s">
        <v>664</v>
      </c>
      <c r="C25" s="14" t="s">
        <v>15</v>
      </c>
      <c r="D25" s="14" t="s">
        <v>6578</v>
      </c>
      <c r="E25" s="14" t="s">
        <v>664</v>
      </c>
      <c r="F25" s="14">
        <v>5000.0</v>
      </c>
      <c r="G25" s="14" t="s">
        <v>6763</v>
      </c>
      <c r="H25" s="14" t="s">
        <v>6763</v>
      </c>
      <c r="I25" s="14" t="s">
        <v>6719</v>
      </c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14" t="s">
        <v>6764</v>
      </c>
      <c r="B26" s="14" t="s">
        <v>30</v>
      </c>
      <c r="C26" s="14" t="s">
        <v>20</v>
      </c>
      <c r="D26" s="14" t="s">
        <v>6578</v>
      </c>
      <c r="E26" s="14" t="s">
        <v>20</v>
      </c>
      <c r="F26" s="14">
        <v>5000.0</v>
      </c>
      <c r="G26" s="14" t="s">
        <v>6765</v>
      </c>
      <c r="H26" s="14" t="s">
        <v>6766</v>
      </c>
      <c r="I26" s="14" t="s">
        <v>6765</v>
      </c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14" t="s">
        <v>6767</v>
      </c>
      <c r="B27" s="14" t="s">
        <v>16</v>
      </c>
      <c r="C27" s="14" t="s">
        <v>23</v>
      </c>
      <c r="D27" s="14" t="s">
        <v>6768</v>
      </c>
      <c r="E27" s="14" t="s">
        <v>16</v>
      </c>
      <c r="F27" s="14">
        <v>3000.0</v>
      </c>
      <c r="G27" s="14" t="s">
        <v>6769</v>
      </c>
      <c r="H27" s="14" t="s">
        <v>6769</v>
      </c>
      <c r="I27" s="14" t="s">
        <v>6769</v>
      </c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14" t="s">
        <v>6771</v>
      </c>
      <c r="B28" s="14" t="s">
        <v>27</v>
      </c>
      <c r="C28" s="14" t="s">
        <v>30</v>
      </c>
      <c r="D28" s="14" t="s">
        <v>6772</v>
      </c>
      <c r="E28" s="14" t="s">
        <v>27</v>
      </c>
      <c r="F28" s="14">
        <v>10000.0</v>
      </c>
      <c r="G28" s="14" t="s">
        <v>6774</v>
      </c>
      <c r="H28" s="14" t="s">
        <v>6774</v>
      </c>
      <c r="I28" s="14" t="s">
        <v>6775</v>
      </c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14" t="s">
        <v>6776</v>
      </c>
      <c r="B29" s="14" t="s">
        <v>18</v>
      </c>
      <c r="C29" s="14" t="s">
        <v>12</v>
      </c>
      <c r="D29" s="14" t="s">
        <v>6772</v>
      </c>
      <c r="E29" s="14" t="s">
        <v>18</v>
      </c>
      <c r="F29" s="14">
        <v>5000.0</v>
      </c>
      <c r="G29" s="14" t="s">
        <v>6777</v>
      </c>
      <c r="H29" s="14" t="s">
        <v>6779</v>
      </c>
      <c r="I29" s="14" t="s">
        <v>6753</v>
      </c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14" t="s">
        <v>6783</v>
      </c>
      <c r="B30" s="14" t="s">
        <v>11</v>
      </c>
      <c r="C30" s="14" t="s">
        <v>20</v>
      </c>
      <c r="D30" s="14" t="s">
        <v>6772</v>
      </c>
      <c r="E30" s="14" t="s">
        <v>20</v>
      </c>
      <c r="F30" s="14">
        <v>5000.0</v>
      </c>
      <c r="G30" s="14" t="s">
        <v>6784</v>
      </c>
      <c r="H30" s="14" t="s">
        <v>6765</v>
      </c>
      <c r="I30" s="14" t="s">
        <v>6784</v>
      </c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14" t="s">
        <v>6785</v>
      </c>
      <c r="B31" s="14" t="s">
        <v>23</v>
      </c>
      <c r="C31" s="14" t="s">
        <v>15</v>
      </c>
      <c r="D31" s="14" t="s">
        <v>6787</v>
      </c>
      <c r="E31" s="14" t="s">
        <v>23</v>
      </c>
      <c r="F31" s="14">
        <v>5000.0</v>
      </c>
      <c r="G31" s="14" t="s">
        <v>6790</v>
      </c>
      <c r="H31" s="14" t="s">
        <v>6791</v>
      </c>
      <c r="I31" s="14" t="s">
        <v>6790</v>
      </c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14" t="s">
        <v>6795</v>
      </c>
      <c r="B32" s="14" t="s">
        <v>664</v>
      </c>
      <c r="C32" s="14" t="s">
        <v>30</v>
      </c>
      <c r="D32" s="14" t="s">
        <v>6796</v>
      </c>
      <c r="E32" s="14" t="s">
        <v>30</v>
      </c>
      <c r="F32" s="14">
        <v>5000.0</v>
      </c>
      <c r="G32" s="14" t="s">
        <v>6696</v>
      </c>
      <c r="H32" s="14" t="s">
        <v>6775</v>
      </c>
      <c r="I32" s="14" t="s">
        <v>6696</v>
      </c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14" t="s">
        <v>6800</v>
      </c>
      <c r="B33" s="14" t="s">
        <v>23</v>
      </c>
      <c r="C33" s="14" t="s">
        <v>9</v>
      </c>
      <c r="D33" s="14" t="s">
        <v>6796</v>
      </c>
      <c r="E33" s="14" t="s">
        <v>9</v>
      </c>
      <c r="F33" s="14">
        <v>5000.0</v>
      </c>
      <c r="G33" s="14" t="s">
        <v>6737</v>
      </c>
      <c r="H33" s="14" t="s">
        <v>6801</v>
      </c>
      <c r="I33" s="14" t="s">
        <v>6737</v>
      </c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14" t="s">
        <v>6802</v>
      </c>
      <c r="B34" s="14" t="s">
        <v>11</v>
      </c>
      <c r="C34" s="14" t="s">
        <v>16</v>
      </c>
      <c r="D34" s="14" t="s">
        <v>6803</v>
      </c>
      <c r="E34" s="14" t="s">
        <v>11</v>
      </c>
      <c r="F34" s="14">
        <v>4000.0</v>
      </c>
      <c r="G34" s="14" t="s">
        <v>6804</v>
      </c>
      <c r="H34" s="14" t="s">
        <v>6716</v>
      </c>
      <c r="I34" s="14" t="s">
        <v>6804</v>
      </c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14" t="s">
        <v>6805</v>
      </c>
      <c r="B35" s="14" t="s">
        <v>12</v>
      </c>
      <c r="C35" s="14" t="s">
        <v>27</v>
      </c>
      <c r="D35" s="14" t="s">
        <v>6803</v>
      </c>
      <c r="E35" s="14" t="s">
        <v>27</v>
      </c>
      <c r="F35" s="14">
        <v>5000.0</v>
      </c>
      <c r="G35" s="14" t="s">
        <v>6806</v>
      </c>
      <c r="H35" s="14" t="s">
        <v>6807</v>
      </c>
      <c r="I35" s="14" t="s">
        <v>6806</v>
      </c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14" t="s">
        <v>6808</v>
      </c>
      <c r="B36" s="14" t="s">
        <v>18</v>
      </c>
      <c r="C36" s="14" t="s">
        <v>14</v>
      </c>
      <c r="D36" s="14" t="s">
        <v>6803</v>
      </c>
      <c r="E36" s="14" t="s">
        <v>18</v>
      </c>
      <c r="F36" s="14">
        <v>6000.0</v>
      </c>
      <c r="G36" s="14" t="s">
        <v>6809</v>
      </c>
      <c r="H36" s="14" t="s">
        <v>6810</v>
      </c>
      <c r="I36" s="14" t="s">
        <v>6809</v>
      </c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14" t="s">
        <v>6811</v>
      </c>
      <c r="B37" s="14" t="s">
        <v>25</v>
      </c>
      <c r="C37" s="14" t="s">
        <v>15</v>
      </c>
      <c r="D37" s="14" t="s">
        <v>6803</v>
      </c>
      <c r="E37" s="14" t="s">
        <v>15</v>
      </c>
      <c r="F37" s="14">
        <v>5000.0</v>
      </c>
      <c r="G37" s="14" t="s">
        <v>6812</v>
      </c>
      <c r="H37" s="14" t="s">
        <v>6813</v>
      </c>
      <c r="I37" s="14" t="s">
        <v>6812</v>
      </c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14" t="s">
        <v>6814</v>
      </c>
      <c r="B38" s="14" t="s">
        <v>9</v>
      </c>
      <c r="C38" s="14" t="s">
        <v>23</v>
      </c>
      <c r="D38" s="14" t="s">
        <v>6815</v>
      </c>
      <c r="E38" s="14" t="s">
        <v>9</v>
      </c>
      <c r="F38" s="14">
        <v>5000.0</v>
      </c>
      <c r="G38" s="14" t="s">
        <v>6704</v>
      </c>
      <c r="H38" s="14" t="s">
        <v>6816</v>
      </c>
      <c r="I38" s="14" t="s">
        <v>6790</v>
      </c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14" t="s">
        <v>6817</v>
      </c>
      <c r="B39" s="14" t="s">
        <v>18</v>
      </c>
      <c r="C39" s="14" t="s">
        <v>11</v>
      </c>
      <c r="D39" s="14" t="s">
        <v>6818</v>
      </c>
      <c r="E39" s="14" t="s">
        <v>18</v>
      </c>
      <c r="F39" s="14">
        <v>6000.0</v>
      </c>
      <c r="G39" s="14" t="s">
        <v>6809</v>
      </c>
      <c r="H39" s="14" t="s">
        <v>6819</v>
      </c>
      <c r="I39" s="14" t="s">
        <v>6809</v>
      </c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14" t="s">
        <v>6820</v>
      </c>
      <c r="B40" s="14" t="s">
        <v>9</v>
      </c>
      <c r="C40" s="14" t="s">
        <v>12</v>
      </c>
      <c r="D40" s="14" t="s">
        <v>6821</v>
      </c>
      <c r="E40" s="14" t="s">
        <v>12</v>
      </c>
      <c r="F40" s="14">
        <v>5000.0</v>
      </c>
      <c r="G40" s="14" t="s">
        <v>6700</v>
      </c>
      <c r="H40" s="14" t="s">
        <v>6822</v>
      </c>
      <c r="I40" s="14" t="s">
        <v>6700</v>
      </c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14" t="s">
        <v>6823</v>
      </c>
      <c r="B41" s="14" t="s">
        <v>21</v>
      </c>
      <c r="C41" s="14" t="s">
        <v>16</v>
      </c>
      <c r="D41" s="14" t="s">
        <v>6824</v>
      </c>
      <c r="E41" s="14" t="s">
        <v>21</v>
      </c>
      <c r="F41" s="14">
        <v>5000.0</v>
      </c>
      <c r="G41" s="14" t="s">
        <v>6825</v>
      </c>
      <c r="H41" s="14" t="s">
        <v>6760</v>
      </c>
      <c r="I41" s="14" t="s">
        <v>6825</v>
      </c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14" t="s">
        <v>6826</v>
      </c>
      <c r="B42" s="14" t="s">
        <v>11</v>
      </c>
      <c r="C42" s="14" t="s">
        <v>18</v>
      </c>
      <c r="D42" s="14" t="s">
        <v>6824</v>
      </c>
      <c r="E42" s="14" t="s">
        <v>18</v>
      </c>
      <c r="F42" s="14">
        <v>5000.0</v>
      </c>
      <c r="G42" s="14" t="s">
        <v>6727</v>
      </c>
      <c r="H42" s="14" t="s">
        <v>6727</v>
      </c>
      <c r="I42" s="14" t="s">
        <v>6715</v>
      </c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14" t="s">
        <v>6827</v>
      </c>
      <c r="B43" s="14" t="s">
        <v>25</v>
      </c>
      <c r="C43" s="14" t="s">
        <v>30</v>
      </c>
      <c r="D43" s="14" t="s">
        <v>6824</v>
      </c>
      <c r="E43" s="14" t="s">
        <v>25</v>
      </c>
      <c r="F43" s="14">
        <v>5000.0</v>
      </c>
      <c r="G43" s="14" t="s">
        <v>6828</v>
      </c>
      <c r="H43" s="14" t="s">
        <v>6829</v>
      </c>
      <c r="I43" s="14" t="s">
        <v>6828</v>
      </c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14" t="s">
        <v>6830</v>
      </c>
      <c r="B44" s="14" t="s">
        <v>14</v>
      </c>
      <c r="C44" s="14" t="s">
        <v>20</v>
      </c>
      <c r="D44" s="14" t="s">
        <v>6824</v>
      </c>
      <c r="E44" s="14" t="s">
        <v>14</v>
      </c>
      <c r="F44" s="14">
        <v>5000.0</v>
      </c>
      <c r="G44" s="14" t="s">
        <v>6831</v>
      </c>
      <c r="H44" s="14" t="s">
        <v>6832</v>
      </c>
      <c r="I44" s="14" t="s">
        <v>6831</v>
      </c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14" t="s">
        <v>6592</v>
      </c>
      <c r="B45" s="14" t="s">
        <v>12</v>
      </c>
      <c r="C45" s="14" t="s">
        <v>9</v>
      </c>
      <c r="D45" s="14" t="s">
        <v>6833</v>
      </c>
      <c r="E45" s="14" t="s">
        <v>12</v>
      </c>
      <c r="F45" s="14">
        <v>5000.0</v>
      </c>
      <c r="G45" s="14" t="s">
        <v>6700</v>
      </c>
      <c r="H45" s="14" t="s">
        <v>6834</v>
      </c>
      <c r="I45" s="14" t="s">
        <v>6700</v>
      </c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14" t="s">
        <v>6835</v>
      </c>
      <c r="B46" s="14" t="s">
        <v>27</v>
      </c>
      <c r="C46" s="14" t="s">
        <v>23</v>
      </c>
      <c r="D46" s="14" t="s">
        <v>6836</v>
      </c>
      <c r="E46" s="14" t="s">
        <v>23</v>
      </c>
      <c r="F46" s="14">
        <v>6000.0</v>
      </c>
      <c r="G46" s="14" t="s">
        <v>6837</v>
      </c>
      <c r="H46" s="14" t="s">
        <v>6838</v>
      </c>
      <c r="I46" s="14" t="s">
        <v>6837</v>
      </c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14" t="s">
        <v>6839</v>
      </c>
      <c r="B47" s="14" t="s">
        <v>15</v>
      </c>
      <c r="C47" s="14" t="s">
        <v>18</v>
      </c>
      <c r="D47" s="14" t="s">
        <v>6836</v>
      </c>
      <c r="E47" s="14" t="s">
        <v>18</v>
      </c>
      <c r="F47" s="14">
        <v>5000.0</v>
      </c>
      <c r="G47" s="14" t="s">
        <v>6840</v>
      </c>
      <c r="H47" s="14" t="s">
        <v>6727</v>
      </c>
      <c r="I47" s="14" t="s">
        <v>6841</v>
      </c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14" t="s">
        <v>6842</v>
      </c>
      <c r="B48" s="14" t="s">
        <v>30</v>
      </c>
      <c r="C48" s="14" t="s">
        <v>25</v>
      </c>
      <c r="D48" s="14" t="s">
        <v>6836</v>
      </c>
      <c r="E48" s="14" t="s">
        <v>25</v>
      </c>
      <c r="F48" s="14">
        <v>5000.0</v>
      </c>
      <c r="G48" s="14" t="s">
        <v>6828</v>
      </c>
      <c r="H48" s="14" t="s">
        <v>6843</v>
      </c>
      <c r="I48" s="14" t="s">
        <v>6844</v>
      </c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14" t="s">
        <v>6845</v>
      </c>
      <c r="B49" s="14" t="s">
        <v>20</v>
      </c>
      <c r="C49" s="14" t="s">
        <v>11</v>
      </c>
      <c r="D49" s="14" t="s">
        <v>6626</v>
      </c>
      <c r="E49" s="14" t="s">
        <v>11</v>
      </c>
      <c r="F49" s="14">
        <v>5000.0</v>
      </c>
      <c r="G49" s="14" t="s">
        <v>6715</v>
      </c>
      <c r="H49" s="14" t="s">
        <v>6846</v>
      </c>
      <c r="I49" s="14" t="s">
        <v>6715</v>
      </c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14" t="s">
        <v>6847</v>
      </c>
      <c r="B50" s="14" t="s">
        <v>16</v>
      </c>
      <c r="C50" s="14" t="s">
        <v>21</v>
      </c>
      <c r="D50" s="14" t="s">
        <v>6626</v>
      </c>
      <c r="E50" s="14" t="s">
        <v>16</v>
      </c>
      <c r="F50" s="14">
        <v>5000.0</v>
      </c>
      <c r="G50" s="14" t="s">
        <v>6848</v>
      </c>
      <c r="H50" s="14" t="s">
        <v>6849</v>
      </c>
      <c r="I50" s="14" t="s">
        <v>6850</v>
      </c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14" t="s">
        <v>6851</v>
      </c>
      <c r="B51" s="14" t="s">
        <v>29</v>
      </c>
      <c r="C51" s="14" t="s">
        <v>23</v>
      </c>
      <c r="D51" s="14" t="s">
        <v>6852</v>
      </c>
      <c r="E51" s="14" t="s">
        <v>23</v>
      </c>
      <c r="F51" s="14">
        <v>5000.0</v>
      </c>
      <c r="G51" s="14" t="s">
        <v>6790</v>
      </c>
      <c r="H51" s="14" t="s">
        <v>6853</v>
      </c>
      <c r="I51" s="14" t="s">
        <v>6790</v>
      </c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A52" s="14" t="s">
        <v>6854</v>
      </c>
      <c r="B52" s="14" t="s">
        <v>25</v>
      </c>
      <c r="C52" s="14" t="s">
        <v>14</v>
      </c>
      <c r="D52" s="14" t="s">
        <v>6855</v>
      </c>
      <c r="E52" s="14" t="s">
        <v>25</v>
      </c>
      <c r="F52" s="14">
        <v>5000.0</v>
      </c>
      <c r="G52" s="14" t="s">
        <v>6828</v>
      </c>
      <c r="H52" s="14" t="s">
        <v>6856</v>
      </c>
      <c r="I52" s="14" t="s">
        <v>6857</v>
      </c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14" t="s">
        <v>169</v>
      </c>
      <c r="B53" s="14" t="s">
        <v>9</v>
      </c>
      <c r="C53" s="14" t="s">
        <v>11</v>
      </c>
      <c r="D53" s="14" t="s">
        <v>6855</v>
      </c>
      <c r="E53" s="14" t="s">
        <v>9</v>
      </c>
      <c r="F53" s="14">
        <v>5000.0</v>
      </c>
      <c r="G53" s="14" t="s">
        <v>6858</v>
      </c>
      <c r="H53" s="14" t="s">
        <v>6858</v>
      </c>
      <c r="I53" s="14" t="s">
        <v>6858</v>
      </c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14" t="s">
        <v>6859</v>
      </c>
      <c r="B54" s="14" t="s">
        <v>20</v>
      </c>
      <c r="C54" s="14" t="s">
        <v>18</v>
      </c>
      <c r="D54" s="14" t="s">
        <v>6855</v>
      </c>
      <c r="E54" s="14" t="s">
        <v>18</v>
      </c>
      <c r="F54" s="14">
        <v>5000.0</v>
      </c>
      <c r="G54" s="14" t="s">
        <v>6840</v>
      </c>
      <c r="H54" s="14" t="s">
        <v>6860</v>
      </c>
      <c r="I54" s="14" t="s">
        <v>6861</v>
      </c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14" t="s">
        <v>6862</v>
      </c>
      <c r="B55" s="14" t="s">
        <v>21</v>
      </c>
      <c r="C55" s="14" t="s">
        <v>12</v>
      </c>
      <c r="D55" s="14" t="s">
        <v>6855</v>
      </c>
      <c r="E55" s="14" t="s">
        <v>21</v>
      </c>
      <c r="F55" s="14">
        <v>5000.0</v>
      </c>
      <c r="G55" s="14" t="s">
        <v>6863</v>
      </c>
      <c r="H55" s="14" t="s">
        <v>6864</v>
      </c>
      <c r="I55" s="14" t="s">
        <v>6863</v>
      </c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4" t="s">
        <v>6865</v>
      </c>
      <c r="B56" s="14" t="s">
        <v>23</v>
      </c>
      <c r="C56" s="14" t="s">
        <v>29</v>
      </c>
      <c r="D56" s="14" t="s">
        <v>6866</v>
      </c>
      <c r="E56" s="14" t="s">
        <v>23</v>
      </c>
      <c r="F56" s="14">
        <v>5000.0</v>
      </c>
      <c r="G56" s="14" t="s">
        <v>6676</v>
      </c>
      <c r="H56" s="14" t="s">
        <v>6867</v>
      </c>
      <c r="I56" s="14" t="s">
        <v>6868</v>
      </c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4" t="s">
        <v>194</v>
      </c>
      <c r="B57" s="14" t="s">
        <v>11</v>
      </c>
      <c r="C57" s="14" t="s">
        <v>9</v>
      </c>
      <c r="D57" s="14" t="s">
        <v>6869</v>
      </c>
      <c r="E57" s="14" t="s">
        <v>9</v>
      </c>
      <c r="F57" s="14">
        <v>5000.0</v>
      </c>
      <c r="G57" s="14" t="s">
        <v>6737</v>
      </c>
      <c r="H57" s="14" t="s">
        <v>6870</v>
      </c>
      <c r="I57" s="14" t="s">
        <v>6737</v>
      </c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4" t="s">
        <v>6871</v>
      </c>
      <c r="B58" s="14" t="s">
        <v>30</v>
      </c>
      <c r="C58" s="14" t="s">
        <v>27</v>
      </c>
      <c r="D58" s="14" t="s">
        <v>6869</v>
      </c>
      <c r="E58" s="14" t="s">
        <v>30</v>
      </c>
      <c r="F58" s="14">
        <v>6000.0</v>
      </c>
      <c r="G58" s="14" t="s">
        <v>6872</v>
      </c>
      <c r="H58" s="14" t="s">
        <v>3144</v>
      </c>
      <c r="I58" s="14" t="s">
        <v>6872</v>
      </c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4" t="s">
        <v>6873</v>
      </c>
      <c r="B59" s="14" t="s">
        <v>21</v>
      </c>
      <c r="C59" s="14" t="s">
        <v>18</v>
      </c>
      <c r="D59" s="14" t="s">
        <v>6869</v>
      </c>
      <c r="E59" s="14" t="s">
        <v>18</v>
      </c>
      <c r="F59" s="14">
        <v>5000.0</v>
      </c>
      <c r="G59" s="14" t="s">
        <v>6809</v>
      </c>
      <c r="H59" s="14" t="s">
        <v>6777</v>
      </c>
      <c r="I59" s="14" t="s">
        <v>6850</v>
      </c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4" t="s">
        <v>6874</v>
      </c>
      <c r="B60" s="14" t="s">
        <v>12</v>
      </c>
      <c r="C60" s="14" t="s">
        <v>16</v>
      </c>
      <c r="D60" s="14" t="s">
        <v>6869</v>
      </c>
      <c r="E60" s="14" t="s">
        <v>12</v>
      </c>
      <c r="F60" s="14">
        <v>5000.0</v>
      </c>
      <c r="G60" s="14" t="s">
        <v>6875</v>
      </c>
      <c r="H60" s="14" t="s">
        <v>6876</v>
      </c>
      <c r="I60" s="14" t="s">
        <v>6875</v>
      </c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4" t="s">
        <v>6877</v>
      </c>
      <c r="B61" s="14" t="s">
        <v>14</v>
      </c>
      <c r="C61" s="14" t="s">
        <v>25</v>
      </c>
      <c r="D61" s="14" t="s">
        <v>6869</v>
      </c>
      <c r="E61" s="14" t="s">
        <v>25</v>
      </c>
      <c r="F61" s="14">
        <v>5000.0</v>
      </c>
      <c r="G61" s="14" t="s">
        <v>6828</v>
      </c>
      <c r="H61" s="14" t="s">
        <v>6878</v>
      </c>
      <c r="I61" s="14" t="s">
        <v>6828</v>
      </c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4" t="s">
        <v>6879</v>
      </c>
      <c r="B62" s="14" t="s">
        <v>9</v>
      </c>
      <c r="C62" s="14" t="s">
        <v>16</v>
      </c>
      <c r="D62" s="14" t="s">
        <v>6880</v>
      </c>
      <c r="E62" s="14" t="s">
        <v>16</v>
      </c>
      <c r="F62" s="14">
        <v>5000.0</v>
      </c>
      <c r="G62" s="14" t="s">
        <v>6848</v>
      </c>
      <c r="H62" s="14" t="s">
        <v>6881</v>
      </c>
      <c r="I62" s="14" t="s">
        <v>6848</v>
      </c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4" t="s">
        <v>6882</v>
      </c>
      <c r="B63" s="14" t="s">
        <v>11</v>
      </c>
      <c r="C63" s="14" t="s">
        <v>12</v>
      </c>
      <c r="D63" s="14" t="s">
        <v>6883</v>
      </c>
      <c r="E63" s="14" t="s">
        <v>12</v>
      </c>
      <c r="F63" s="14">
        <v>5000.0</v>
      </c>
      <c r="G63" s="14" t="s">
        <v>6875</v>
      </c>
      <c r="H63" s="14" t="s">
        <v>6876</v>
      </c>
      <c r="I63" s="14" t="s">
        <v>6715</v>
      </c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4" t="s">
        <v>211</v>
      </c>
      <c r="B64" s="14" t="s">
        <v>16</v>
      </c>
      <c r="C64" s="14" t="s">
        <v>9</v>
      </c>
      <c r="D64" s="14" t="s">
        <v>6884</v>
      </c>
      <c r="E64" s="14" t="s">
        <v>9</v>
      </c>
      <c r="F64" s="14">
        <v>5000.0</v>
      </c>
      <c r="G64" s="14" t="s">
        <v>6737</v>
      </c>
      <c r="H64" s="14" t="s">
        <v>6760</v>
      </c>
      <c r="I64" s="14" t="s">
        <v>6885</v>
      </c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G66" s="66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1" t="s">
        <v>6756</v>
      </c>
      <c r="G67" s="14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1" t="s">
        <v>6660</v>
      </c>
      <c r="B68" s="11" t="s">
        <v>3428</v>
      </c>
      <c r="C68" s="11" t="s">
        <v>6447</v>
      </c>
      <c r="D68" s="11" t="s">
        <v>6448</v>
      </c>
      <c r="E68" s="11" t="s">
        <v>6661</v>
      </c>
      <c r="F68" s="11" t="s">
        <v>6451</v>
      </c>
      <c r="G68" s="14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9"/>
      <c r="B70" s="19"/>
      <c r="C70" s="19"/>
      <c r="D70" s="19"/>
      <c r="E70" s="19"/>
      <c r="F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9"/>
      <c r="B71" s="19"/>
      <c r="C71" s="19"/>
      <c r="D71" s="19"/>
      <c r="E71" s="19"/>
      <c r="F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9"/>
      <c r="B72" s="19"/>
      <c r="C72" s="19"/>
      <c r="D72" s="19"/>
      <c r="E72" s="19"/>
      <c r="F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1" t="s">
        <v>6946</v>
      </c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1" t="s">
        <v>3428</v>
      </c>
      <c r="B75" s="11" t="s">
        <v>6447</v>
      </c>
      <c r="C75" s="11" t="s">
        <v>6951</v>
      </c>
      <c r="D75" s="11" t="s">
        <v>6778</v>
      </c>
      <c r="E75" s="19"/>
      <c r="F75" s="11" t="s">
        <v>3428</v>
      </c>
      <c r="G75" s="11" t="s">
        <v>6447</v>
      </c>
      <c r="H75" s="11" t="s">
        <v>6951</v>
      </c>
      <c r="I75" s="11" t="s">
        <v>6778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4" t="s">
        <v>21</v>
      </c>
      <c r="B76" s="14" t="s">
        <v>12</v>
      </c>
      <c r="C76" s="14" t="s">
        <v>6955</v>
      </c>
      <c r="D76" s="19"/>
      <c r="E76" s="19"/>
      <c r="F76" s="14" t="s">
        <v>18</v>
      </c>
      <c r="G76" s="14" t="s">
        <v>21</v>
      </c>
      <c r="H76" s="14" t="s">
        <v>6956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4" t="s">
        <v>21</v>
      </c>
      <c r="B77" s="14" t="s">
        <v>9</v>
      </c>
      <c r="C77" s="14" t="s">
        <v>6956</v>
      </c>
      <c r="D77" s="19"/>
      <c r="E77" s="19"/>
      <c r="F77" s="14" t="s">
        <v>18</v>
      </c>
      <c r="G77" s="14" t="s">
        <v>12</v>
      </c>
      <c r="H77" s="14" t="s">
        <v>6955</v>
      </c>
      <c r="I77" s="14" t="s">
        <v>3235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4" t="s">
        <v>21</v>
      </c>
      <c r="B78" s="14" t="s">
        <v>27</v>
      </c>
      <c r="C78" s="14" t="s">
        <v>6955</v>
      </c>
      <c r="D78" s="14" t="s">
        <v>6958</v>
      </c>
      <c r="E78" s="19"/>
      <c r="F78" s="14" t="s">
        <v>18</v>
      </c>
      <c r="G78" s="14" t="s">
        <v>9</v>
      </c>
      <c r="H78" s="14" t="s">
        <v>6956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4" t="s">
        <v>21</v>
      </c>
      <c r="B79" s="14" t="s">
        <v>20</v>
      </c>
      <c r="C79" s="14" t="s">
        <v>6956</v>
      </c>
      <c r="D79" s="19"/>
      <c r="E79" s="19"/>
      <c r="F79" s="14" t="s">
        <v>18</v>
      </c>
      <c r="G79" s="14" t="s">
        <v>27</v>
      </c>
      <c r="H79" s="14" t="s">
        <v>6956</v>
      </c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4" t="s">
        <v>21</v>
      </c>
      <c r="B80" s="14" t="s">
        <v>30</v>
      </c>
      <c r="C80" s="14" t="s">
        <v>6955</v>
      </c>
      <c r="D80" s="14" t="s">
        <v>6616</v>
      </c>
      <c r="E80" s="19"/>
      <c r="F80" s="14" t="s">
        <v>18</v>
      </c>
      <c r="G80" s="14" t="s">
        <v>20</v>
      </c>
      <c r="H80" s="14" t="s">
        <v>6956</v>
      </c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4" t="s">
        <v>21</v>
      </c>
      <c r="B81" s="14" t="s">
        <v>14</v>
      </c>
      <c r="C81" s="14" t="s">
        <v>6955</v>
      </c>
      <c r="D81" s="14" t="s">
        <v>6959</v>
      </c>
      <c r="E81" s="19"/>
      <c r="F81" s="14" t="s">
        <v>18</v>
      </c>
      <c r="G81" s="14" t="s">
        <v>30</v>
      </c>
      <c r="H81" s="14" t="s">
        <v>6956</v>
      </c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4" t="s">
        <v>21</v>
      </c>
      <c r="B82" s="14" t="s">
        <v>18</v>
      </c>
      <c r="C82" s="14" t="s">
        <v>6955</v>
      </c>
      <c r="D82" s="19"/>
      <c r="E82" s="19"/>
      <c r="F82" s="14" t="s">
        <v>18</v>
      </c>
      <c r="G82" s="14" t="s">
        <v>14</v>
      </c>
      <c r="H82" s="14" t="s">
        <v>6955</v>
      </c>
      <c r="I82" s="14" t="s">
        <v>6960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4" t="s">
        <v>21</v>
      </c>
      <c r="B83" s="14" t="s">
        <v>23</v>
      </c>
      <c r="C83" s="14" t="s">
        <v>6956</v>
      </c>
      <c r="D83" s="19"/>
      <c r="E83" s="19"/>
      <c r="F83" s="14" t="s">
        <v>18</v>
      </c>
      <c r="G83" s="14" t="s">
        <v>23</v>
      </c>
      <c r="H83" s="14" t="s">
        <v>6955</v>
      </c>
      <c r="I83" s="14" t="s">
        <v>6961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4" t="s">
        <v>21</v>
      </c>
      <c r="B84" s="14" t="s">
        <v>16</v>
      </c>
      <c r="C84" s="14" t="s">
        <v>6955</v>
      </c>
      <c r="D84" s="14" t="s">
        <v>3143</v>
      </c>
      <c r="E84" s="19"/>
      <c r="F84" s="14" t="s">
        <v>18</v>
      </c>
      <c r="G84" s="14" t="s">
        <v>16</v>
      </c>
      <c r="H84" s="14" t="s">
        <v>6956</v>
      </c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4" t="s">
        <v>21</v>
      </c>
      <c r="B85" s="14" t="s">
        <v>15</v>
      </c>
      <c r="C85" s="14" t="s">
        <v>6955</v>
      </c>
      <c r="D85" s="14" t="s">
        <v>6962</v>
      </c>
      <c r="E85" s="19"/>
      <c r="F85" s="14" t="s">
        <v>18</v>
      </c>
      <c r="G85" s="14" t="s">
        <v>15</v>
      </c>
      <c r="H85" s="14" t="s">
        <v>6956</v>
      </c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4" t="s">
        <v>21</v>
      </c>
      <c r="B86" s="14" t="s">
        <v>11</v>
      </c>
      <c r="C86" s="14" t="s">
        <v>6956</v>
      </c>
      <c r="D86" s="19"/>
      <c r="E86" s="19"/>
      <c r="F86" s="14" t="s">
        <v>18</v>
      </c>
      <c r="G86" s="14" t="s">
        <v>11</v>
      </c>
      <c r="H86" s="14" t="s">
        <v>6955</v>
      </c>
      <c r="I86" s="14" t="s">
        <v>6618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4" t="s">
        <v>21</v>
      </c>
      <c r="B87" s="14" t="s">
        <v>29</v>
      </c>
      <c r="C87" s="14" t="s">
        <v>6956</v>
      </c>
      <c r="D87" s="19"/>
      <c r="E87" s="19"/>
      <c r="F87" s="14" t="s">
        <v>18</v>
      </c>
      <c r="G87" s="14" t="s">
        <v>29</v>
      </c>
      <c r="H87" s="14" t="s">
        <v>6956</v>
      </c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4" t="s">
        <v>21</v>
      </c>
      <c r="B88" s="14" t="s">
        <v>25</v>
      </c>
      <c r="C88" s="14" t="s">
        <v>6956</v>
      </c>
      <c r="D88" s="19"/>
      <c r="E88" s="19"/>
      <c r="F88" s="14" t="s">
        <v>18</v>
      </c>
      <c r="G88" s="14" t="s">
        <v>25</v>
      </c>
      <c r="H88" s="14" t="s">
        <v>6956</v>
      </c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4" t="s">
        <v>12</v>
      </c>
      <c r="B89" s="14" t="s">
        <v>21</v>
      </c>
      <c r="C89" s="14" t="s">
        <v>6956</v>
      </c>
      <c r="D89" s="19"/>
      <c r="E89" s="19"/>
      <c r="F89" s="14" t="s">
        <v>23</v>
      </c>
      <c r="G89" s="14" t="s">
        <v>21</v>
      </c>
      <c r="H89" s="14" t="s">
        <v>6956</v>
      </c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4" t="s">
        <v>12</v>
      </c>
      <c r="B90" s="14" t="s">
        <v>9</v>
      </c>
      <c r="C90" s="14" t="s">
        <v>6955</v>
      </c>
      <c r="D90" s="14" t="s">
        <v>3153</v>
      </c>
      <c r="E90" s="19"/>
      <c r="F90" s="14" t="s">
        <v>23</v>
      </c>
      <c r="G90" s="14" t="s">
        <v>12</v>
      </c>
      <c r="H90" s="14" t="s">
        <v>6956</v>
      </c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4" t="s">
        <v>12</v>
      </c>
      <c r="B91" s="14" t="s">
        <v>27</v>
      </c>
      <c r="C91" s="14" t="s">
        <v>6955</v>
      </c>
      <c r="D91" s="14" t="s">
        <v>6989</v>
      </c>
      <c r="E91" s="19"/>
      <c r="F91" s="14" t="s">
        <v>23</v>
      </c>
      <c r="G91" s="14" t="s">
        <v>9</v>
      </c>
      <c r="H91" s="14" t="s">
        <v>6955</v>
      </c>
      <c r="I91" s="14" t="s">
        <v>6616</v>
      </c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4" t="s">
        <v>12</v>
      </c>
      <c r="B92" s="14" t="s">
        <v>20</v>
      </c>
      <c r="C92" s="14" t="s">
        <v>6955</v>
      </c>
      <c r="D92" s="14" t="s">
        <v>6571</v>
      </c>
      <c r="E92" s="19"/>
      <c r="F92" s="14" t="s">
        <v>23</v>
      </c>
      <c r="G92" s="14" t="s">
        <v>27</v>
      </c>
      <c r="H92" s="14" t="s">
        <v>6956</v>
      </c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4" t="s">
        <v>12</v>
      </c>
      <c r="B93" s="14" t="s">
        <v>30</v>
      </c>
      <c r="C93" s="14" t="s">
        <v>6955</v>
      </c>
      <c r="D93" s="14" t="s">
        <v>3980</v>
      </c>
      <c r="E93" s="19"/>
      <c r="F93" s="14" t="s">
        <v>23</v>
      </c>
      <c r="G93" s="14" t="s">
        <v>20</v>
      </c>
      <c r="H93" s="14" t="s">
        <v>6956</v>
      </c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4" t="s">
        <v>12</v>
      </c>
      <c r="B94" s="14" t="s">
        <v>14</v>
      </c>
      <c r="C94" s="14" t="s">
        <v>6955</v>
      </c>
      <c r="D94" s="14" t="s">
        <v>6962</v>
      </c>
      <c r="E94" s="19"/>
      <c r="F94" s="14" t="s">
        <v>23</v>
      </c>
      <c r="G94" s="14" t="s">
        <v>30</v>
      </c>
      <c r="H94" s="14" t="s">
        <v>6955</v>
      </c>
      <c r="I94" s="14" t="s">
        <v>3731</v>
      </c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4" t="s">
        <v>12</v>
      </c>
      <c r="B95" s="14" t="s">
        <v>18</v>
      </c>
      <c r="C95" s="14" t="s">
        <v>6956</v>
      </c>
      <c r="D95" s="19"/>
      <c r="E95" s="19"/>
      <c r="F95" s="14" t="s">
        <v>23</v>
      </c>
      <c r="G95" s="14" t="s">
        <v>14</v>
      </c>
      <c r="H95" s="14" t="s">
        <v>6956</v>
      </c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4" t="s">
        <v>12</v>
      </c>
      <c r="B96" s="14" t="s">
        <v>23</v>
      </c>
      <c r="C96" s="14" t="s">
        <v>6956</v>
      </c>
      <c r="D96" s="19"/>
      <c r="E96" s="19"/>
      <c r="F96" s="14" t="s">
        <v>23</v>
      </c>
      <c r="G96" s="14" t="s">
        <v>18</v>
      </c>
      <c r="H96" s="14" t="s">
        <v>6955</v>
      </c>
      <c r="I96" s="14" t="s">
        <v>7004</v>
      </c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4" t="s">
        <v>12</v>
      </c>
      <c r="B97" s="14" t="s">
        <v>16</v>
      </c>
      <c r="C97" s="14" t="s">
        <v>6955</v>
      </c>
      <c r="D97" s="19"/>
      <c r="E97" s="19"/>
      <c r="F97" s="14" t="s">
        <v>23</v>
      </c>
      <c r="G97" s="14" t="s">
        <v>16</v>
      </c>
      <c r="H97" s="14" t="s">
        <v>6956</v>
      </c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4" t="s">
        <v>12</v>
      </c>
      <c r="B98" s="14" t="s">
        <v>15</v>
      </c>
      <c r="C98" s="14" t="s">
        <v>6955</v>
      </c>
      <c r="D98" s="14" t="s">
        <v>4073</v>
      </c>
      <c r="E98" s="19"/>
      <c r="F98" s="14" t="s">
        <v>23</v>
      </c>
      <c r="G98" s="14" t="s">
        <v>15</v>
      </c>
      <c r="H98" s="14" t="s">
        <v>6955</v>
      </c>
      <c r="I98" s="14" t="s">
        <v>3303</v>
      </c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4" t="s">
        <v>12</v>
      </c>
      <c r="B99" s="14" t="s">
        <v>11</v>
      </c>
      <c r="C99" s="14" t="s">
        <v>6955</v>
      </c>
      <c r="D99" s="14" t="s">
        <v>7005</v>
      </c>
      <c r="E99" s="19"/>
      <c r="F99" s="14" t="s">
        <v>23</v>
      </c>
      <c r="G99" s="14" t="s">
        <v>11</v>
      </c>
      <c r="H99" s="14" t="s">
        <v>6955</v>
      </c>
      <c r="I99" s="14" t="s">
        <v>6962</v>
      </c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4" t="s">
        <v>12</v>
      </c>
      <c r="B100" s="14" t="s">
        <v>29</v>
      </c>
      <c r="C100" s="14" t="s">
        <v>6956</v>
      </c>
      <c r="D100" s="19"/>
      <c r="E100" s="19"/>
      <c r="F100" s="14" t="s">
        <v>23</v>
      </c>
      <c r="G100" s="14" t="s">
        <v>29</v>
      </c>
      <c r="H100" s="14" t="s">
        <v>6955</v>
      </c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4" t="s">
        <v>12</v>
      </c>
      <c r="B101" s="14" t="s">
        <v>25</v>
      </c>
      <c r="C101" s="14" t="s">
        <v>6956</v>
      </c>
      <c r="D101" s="19"/>
      <c r="E101" s="19"/>
      <c r="F101" s="14" t="s">
        <v>23</v>
      </c>
      <c r="G101" s="14" t="s">
        <v>25</v>
      </c>
      <c r="H101" s="14" t="s">
        <v>6956</v>
      </c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4" t="s">
        <v>9</v>
      </c>
      <c r="B102" s="14" t="s">
        <v>21</v>
      </c>
      <c r="C102" s="14" t="s">
        <v>6956</v>
      </c>
      <c r="D102" s="19"/>
      <c r="E102" s="19"/>
      <c r="F102" s="14" t="s">
        <v>16</v>
      </c>
      <c r="G102" s="14" t="s">
        <v>21</v>
      </c>
      <c r="H102" s="14" t="s">
        <v>6955</v>
      </c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4" t="s">
        <v>9</v>
      </c>
      <c r="B103" s="14" t="s">
        <v>12</v>
      </c>
      <c r="C103" s="14" t="s">
        <v>6955</v>
      </c>
      <c r="D103" s="14" t="s">
        <v>3129</v>
      </c>
      <c r="E103" s="19"/>
      <c r="F103" s="14" t="s">
        <v>16</v>
      </c>
      <c r="G103" s="14" t="s">
        <v>12</v>
      </c>
      <c r="H103" s="14" t="s">
        <v>6956</v>
      </c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4" t="s">
        <v>9</v>
      </c>
      <c r="B104" s="14" t="s">
        <v>27</v>
      </c>
      <c r="C104" s="14" t="s">
        <v>6956</v>
      </c>
      <c r="D104" s="19"/>
      <c r="E104" s="19"/>
      <c r="F104" s="14" t="s">
        <v>16</v>
      </c>
      <c r="G104" s="14" t="s">
        <v>9</v>
      </c>
      <c r="H104" s="14" t="s">
        <v>6955</v>
      </c>
      <c r="I104" s="14" t="s">
        <v>6082</v>
      </c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4" t="s">
        <v>9</v>
      </c>
      <c r="B105" s="14" t="s">
        <v>20</v>
      </c>
      <c r="C105" s="14" t="s">
        <v>6955</v>
      </c>
      <c r="D105" s="14" t="s">
        <v>6961</v>
      </c>
      <c r="E105" s="19"/>
      <c r="F105" s="14" t="s">
        <v>16</v>
      </c>
      <c r="G105" s="14" t="s">
        <v>27</v>
      </c>
      <c r="H105" s="14" t="s">
        <v>6955</v>
      </c>
      <c r="I105" s="14" t="s">
        <v>6962</v>
      </c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4" t="s">
        <v>9</v>
      </c>
      <c r="B106" s="14" t="s">
        <v>30</v>
      </c>
      <c r="C106" s="14" t="s">
        <v>6956</v>
      </c>
      <c r="D106" s="19"/>
      <c r="E106" s="19"/>
      <c r="F106" s="14" t="s">
        <v>16</v>
      </c>
      <c r="G106" s="14" t="s">
        <v>20</v>
      </c>
      <c r="H106" s="14" t="s">
        <v>6956</v>
      </c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4" t="s">
        <v>9</v>
      </c>
      <c r="B107" s="14" t="s">
        <v>14</v>
      </c>
      <c r="C107" s="14" t="s">
        <v>6956</v>
      </c>
      <c r="D107" s="19"/>
      <c r="E107" s="19"/>
      <c r="F107" s="14" t="s">
        <v>16</v>
      </c>
      <c r="G107" s="14" t="s">
        <v>30</v>
      </c>
      <c r="H107" s="14" t="s">
        <v>6956</v>
      </c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4" t="s">
        <v>9</v>
      </c>
      <c r="B108" s="14" t="s">
        <v>18</v>
      </c>
      <c r="C108" s="14" t="s">
        <v>6956</v>
      </c>
      <c r="D108" s="19"/>
      <c r="E108" s="19"/>
      <c r="F108" s="14" t="s">
        <v>16</v>
      </c>
      <c r="G108" s="14" t="s">
        <v>14</v>
      </c>
      <c r="H108" s="14" t="s">
        <v>6955</v>
      </c>
      <c r="I108" s="14" t="s">
        <v>6961</v>
      </c>
      <c r="J108" s="19"/>
      <c r="K108" s="14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4" t="s">
        <v>9</v>
      </c>
      <c r="B109" s="14" t="s">
        <v>23</v>
      </c>
      <c r="C109" s="14" t="s">
        <v>6955</v>
      </c>
      <c r="D109" s="14" t="s">
        <v>7036</v>
      </c>
      <c r="E109" s="19"/>
      <c r="F109" s="14" t="s">
        <v>16</v>
      </c>
      <c r="G109" s="14" t="s">
        <v>23</v>
      </c>
      <c r="H109" s="14" t="s">
        <v>6955</v>
      </c>
      <c r="I109" s="14" t="s">
        <v>4421</v>
      </c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4" t="s">
        <v>9</v>
      </c>
      <c r="B110" s="14" t="s">
        <v>16</v>
      </c>
      <c r="C110" s="14" t="s">
        <v>6955</v>
      </c>
      <c r="D110" s="14" t="s">
        <v>6058</v>
      </c>
      <c r="E110" s="19"/>
      <c r="F110" s="14" t="s">
        <v>16</v>
      </c>
      <c r="G110" s="14" t="s">
        <v>18</v>
      </c>
      <c r="H110" s="14" t="s">
        <v>6956</v>
      </c>
      <c r="I110" s="19"/>
      <c r="J110" s="19"/>
      <c r="K110" s="11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4" t="s">
        <v>9</v>
      </c>
      <c r="B111" s="14" t="s">
        <v>15</v>
      </c>
      <c r="C111" s="14" t="s">
        <v>6956</v>
      </c>
      <c r="D111" s="19"/>
      <c r="E111" s="19"/>
      <c r="F111" s="14" t="s">
        <v>16</v>
      </c>
      <c r="G111" s="14" t="s">
        <v>15</v>
      </c>
      <c r="H111" s="14" t="s">
        <v>6956</v>
      </c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4" t="s">
        <v>9</v>
      </c>
      <c r="B112" s="14" t="s">
        <v>11</v>
      </c>
      <c r="C112" s="14" t="s">
        <v>6955</v>
      </c>
      <c r="D112" s="19"/>
      <c r="E112" s="19"/>
      <c r="F112" s="14" t="s">
        <v>16</v>
      </c>
      <c r="G112" s="14" t="s">
        <v>11</v>
      </c>
      <c r="H112" s="14" t="s">
        <v>6956</v>
      </c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4" t="s">
        <v>9</v>
      </c>
      <c r="B113" s="14" t="s">
        <v>29</v>
      </c>
      <c r="C113" s="14" t="s">
        <v>6956</v>
      </c>
      <c r="D113" s="19"/>
      <c r="E113" s="19"/>
      <c r="F113" s="14" t="s">
        <v>16</v>
      </c>
      <c r="G113" s="14" t="s">
        <v>29</v>
      </c>
      <c r="H113" s="14" t="s">
        <v>6956</v>
      </c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4" t="s">
        <v>9</v>
      </c>
      <c r="B114" s="14" t="s">
        <v>25</v>
      </c>
      <c r="C114" s="14" t="s">
        <v>6956</v>
      </c>
      <c r="D114" s="19"/>
      <c r="E114" s="19"/>
      <c r="F114" s="14" t="s">
        <v>16</v>
      </c>
      <c r="G114" s="14" t="s">
        <v>25</v>
      </c>
      <c r="H114" s="14" t="s">
        <v>6956</v>
      </c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4" t="s">
        <v>27</v>
      </c>
      <c r="B115" s="14" t="s">
        <v>21</v>
      </c>
      <c r="C115" s="14" t="s">
        <v>6955</v>
      </c>
      <c r="D115" s="14" t="s">
        <v>7005</v>
      </c>
      <c r="E115" s="19"/>
      <c r="F115" s="14" t="s">
        <v>15</v>
      </c>
      <c r="G115" s="14" t="s">
        <v>21</v>
      </c>
      <c r="H115" s="14" t="s">
        <v>6956</v>
      </c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4" t="s">
        <v>27</v>
      </c>
      <c r="B116" s="14" t="s">
        <v>12</v>
      </c>
      <c r="C116" s="14" t="s">
        <v>6956</v>
      </c>
      <c r="D116" s="19"/>
      <c r="E116" s="19"/>
      <c r="F116" s="14" t="s">
        <v>15</v>
      </c>
      <c r="G116" s="14" t="s">
        <v>12</v>
      </c>
      <c r="H116" s="14" t="s">
        <v>6956</v>
      </c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4" t="s">
        <v>27</v>
      </c>
      <c r="B117" s="14" t="s">
        <v>9</v>
      </c>
      <c r="C117" s="14" t="s">
        <v>6956</v>
      </c>
      <c r="D117" s="19"/>
      <c r="E117" s="19"/>
      <c r="F117" s="14" t="s">
        <v>15</v>
      </c>
      <c r="G117" s="14" t="s">
        <v>9</v>
      </c>
      <c r="H117" s="14" t="s">
        <v>6956</v>
      </c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4" t="s">
        <v>27</v>
      </c>
      <c r="B118" s="14" t="s">
        <v>20</v>
      </c>
      <c r="C118" s="14" t="s">
        <v>6956</v>
      </c>
      <c r="D118" s="19"/>
      <c r="E118" s="19"/>
      <c r="F118" s="14" t="s">
        <v>15</v>
      </c>
      <c r="G118" s="14" t="s">
        <v>27</v>
      </c>
      <c r="H118" s="14" t="s">
        <v>6956</v>
      </c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4" t="s">
        <v>27</v>
      </c>
      <c r="B119" s="14" t="s">
        <v>30</v>
      </c>
      <c r="C119" s="14" t="s">
        <v>6955</v>
      </c>
      <c r="D119" s="14" t="s">
        <v>3235</v>
      </c>
      <c r="E119" s="19"/>
      <c r="F119" s="14" t="s">
        <v>15</v>
      </c>
      <c r="G119" s="14" t="s">
        <v>20</v>
      </c>
      <c r="H119" s="14" t="s">
        <v>6956</v>
      </c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4" t="s">
        <v>27</v>
      </c>
      <c r="B120" s="14" t="s">
        <v>14</v>
      </c>
      <c r="C120" s="14" t="s">
        <v>6956</v>
      </c>
      <c r="D120" s="19"/>
      <c r="E120" s="19"/>
      <c r="F120" s="14" t="s">
        <v>15</v>
      </c>
      <c r="G120" s="14" t="s">
        <v>30</v>
      </c>
      <c r="H120" s="14" t="s">
        <v>6956</v>
      </c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4" t="s">
        <v>27</v>
      </c>
      <c r="B121" s="14" t="s">
        <v>18</v>
      </c>
      <c r="C121" s="14" t="s">
        <v>6956</v>
      </c>
      <c r="D121" s="19"/>
      <c r="E121" s="19"/>
      <c r="F121" s="14" t="s">
        <v>15</v>
      </c>
      <c r="G121" s="14" t="s">
        <v>14</v>
      </c>
      <c r="H121" s="14" t="s">
        <v>6956</v>
      </c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4" t="s">
        <v>27</v>
      </c>
      <c r="B122" s="14" t="s">
        <v>23</v>
      </c>
      <c r="C122" s="14" t="s">
        <v>6955</v>
      </c>
      <c r="D122" s="14" t="s">
        <v>4839</v>
      </c>
      <c r="E122" s="19"/>
      <c r="F122" s="14" t="s">
        <v>15</v>
      </c>
      <c r="G122" s="14" t="s">
        <v>23</v>
      </c>
      <c r="H122" s="14" t="s">
        <v>6955</v>
      </c>
      <c r="I122" s="14" t="s">
        <v>3766</v>
      </c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4" t="s">
        <v>27</v>
      </c>
      <c r="B123" s="14" t="s">
        <v>16</v>
      </c>
      <c r="C123" s="14" t="s">
        <v>6956</v>
      </c>
      <c r="D123" s="19"/>
      <c r="E123" s="19"/>
      <c r="F123" s="14" t="s">
        <v>15</v>
      </c>
      <c r="G123" s="14" t="s">
        <v>16</v>
      </c>
      <c r="H123" s="14" t="s">
        <v>6956</v>
      </c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4" t="s">
        <v>27</v>
      </c>
      <c r="B124" s="14" t="s">
        <v>15</v>
      </c>
      <c r="C124" s="14" t="s">
        <v>6956</v>
      </c>
      <c r="D124" s="19"/>
      <c r="E124" s="19"/>
      <c r="F124" s="14" t="s">
        <v>15</v>
      </c>
      <c r="G124" s="14" t="s">
        <v>18</v>
      </c>
      <c r="H124" s="14" t="s">
        <v>6955</v>
      </c>
      <c r="I124" s="14" t="s">
        <v>4839</v>
      </c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4" t="s">
        <v>27</v>
      </c>
      <c r="B125" s="14" t="s">
        <v>11</v>
      </c>
      <c r="C125" s="14" t="s">
        <v>6956</v>
      </c>
      <c r="D125" s="19"/>
      <c r="E125" s="19"/>
      <c r="F125" s="14" t="s">
        <v>15</v>
      </c>
      <c r="G125" s="14" t="s">
        <v>11</v>
      </c>
      <c r="H125" s="14" t="s">
        <v>6956</v>
      </c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4" t="s">
        <v>27</v>
      </c>
      <c r="B126" s="14" t="s">
        <v>29</v>
      </c>
      <c r="C126" s="14" t="s">
        <v>6956</v>
      </c>
      <c r="D126" s="19"/>
      <c r="E126" s="19"/>
      <c r="F126" s="14" t="s">
        <v>15</v>
      </c>
      <c r="G126" s="14" t="s">
        <v>29</v>
      </c>
      <c r="H126" s="14" t="s">
        <v>6956</v>
      </c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4" t="s">
        <v>27</v>
      </c>
      <c r="B127" s="14" t="s">
        <v>25</v>
      </c>
      <c r="C127" s="14" t="s">
        <v>6956</v>
      </c>
      <c r="D127" s="19"/>
      <c r="E127" s="19"/>
      <c r="F127" s="14" t="s">
        <v>15</v>
      </c>
      <c r="G127" s="14" t="s">
        <v>25</v>
      </c>
      <c r="H127" s="14" t="s">
        <v>6956</v>
      </c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4" t="s">
        <v>20</v>
      </c>
      <c r="B128" s="14" t="s">
        <v>21</v>
      </c>
      <c r="C128" s="14" t="s">
        <v>6956</v>
      </c>
      <c r="D128" s="19"/>
      <c r="E128" s="19"/>
      <c r="F128" s="14" t="s">
        <v>11</v>
      </c>
      <c r="G128" s="14" t="s">
        <v>21</v>
      </c>
      <c r="H128" s="14" t="s">
        <v>6956</v>
      </c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4" t="s">
        <v>20</v>
      </c>
      <c r="B129" s="14" t="s">
        <v>12</v>
      </c>
      <c r="C129" s="14" t="s">
        <v>6956</v>
      </c>
      <c r="D129" s="19"/>
      <c r="E129" s="19"/>
      <c r="F129" s="14" t="s">
        <v>11</v>
      </c>
      <c r="G129" s="14" t="s">
        <v>12</v>
      </c>
      <c r="H129" s="14" t="s">
        <v>6955</v>
      </c>
      <c r="I129" s="14" t="s">
        <v>6067</v>
      </c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4" t="s">
        <v>20</v>
      </c>
      <c r="B130" s="14" t="s">
        <v>9</v>
      </c>
      <c r="C130" s="14" t="s">
        <v>6955</v>
      </c>
      <c r="D130" s="14" t="s">
        <v>7092</v>
      </c>
      <c r="E130" s="19"/>
      <c r="F130" s="14" t="s">
        <v>11</v>
      </c>
      <c r="G130" s="14" t="s">
        <v>9</v>
      </c>
      <c r="H130" s="14" t="s">
        <v>6955</v>
      </c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4" t="s">
        <v>20</v>
      </c>
      <c r="B131" s="14" t="s">
        <v>27</v>
      </c>
      <c r="C131" s="14" t="s">
        <v>6956</v>
      </c>
      <c r="D131" s="19"/>
      <c r="E131" s="19"/>
      <c r="F131" s="14" t="s">
        <v>11</v>
      </c>
      <c r="G131" s="14" t="s">
        <v>27</v>
      </c>
      <c r="H131" s="14" t="s">
        <v>6956</v>
      </c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4" t="s">
        <v>20</v>
      </c>
      <c r="B132" s="14" t="s">
        <v>30</v>
      </c>
      <c r="C132" s="14" t="s">
        <v>6956</v>
      </c>
      <c r="D132" s="19"/>
      <c r="E132" s="19"/>
      <c r="F132" s="14" t="s">
        <v>11</v>
      </c>
      <c r="G132" s="14" t="s">
        <v>20</v>
      </c>
      <c r="H132" s="14" t="s">
        <v>6955</v>
      </c>
      <c r="I132" s="14" t="s">
        <v>3235</v>
      </c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4" t="s">
        <v>20</v>
      </c>
      <c r="B133" s="14" t="s">
        <v>14</v>
      </c>
      <c r="C133" s="14" t="s">
        <v>6956</v>
      </c>
      <c r="D133" s="19"/>
      <c r="E133" s="19"/>
      <c r="F133" s="14" t="s">
        <v>11</v>
      </c>
      <c r="G133" s="14" t="s">
        <v>30</v>
      </c>
      <c r="H133" s="14" t="s">
        <v>6955</v>
      </c>
      <c r="I133" s="14" t="s">
        <v>3706</v>
      </c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4" t="s">
        <v>20</v>
      </c>
      <c r="B134" s="14" t="s">
        <v>18</v>
      </c>
      <c r="C134" s="14" t="s">
        <v>6955</v>
      </c>
      <c r="D134" s="19"/>
      <c r="E134" s="19"/>
      <c r="F134" s="14" t="s">
        <v>11</v>
      </c>
      <c r="G134" s="14" t="s">
        <v>14</v>
      </c>
      <c r="H134" s="14" t="s">
        <v>6956</v>
      </c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4" t="s">
        <v>20</v>
      </c>
      <c r="B135" s="14" t="s">
        <v>23</v>
      </c>
      <c r="C135" s="14" t="s">
        <v>6956</v>
      </c>
      <c r="D135" s="19"/>
      <c r="E135" s="19"/>
      <c r="F135" s="14" t="s">
        <v>11</v>
      </c>
      <c r="G135" s="14" t="s">
        <v>23</v>
      </c>
      <c r="H135" s="14" t="s">
        <v>6955</v>
      </c>
      <c r="I135" s="14" t="s">
        <v>6958</v>
      </c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4" t="s">
        <v>20</v>
      </c>
      <c r="B136" s="14" t="s">
        <v>16</v>
      </c>
      <c r="C136" s="14" t="s">
        <v>6956</v>
      </c>
      <c r="D136" s="19"/>
      <c r="E136" s="19"/>
      <c r="F136" s="14" t="s">
        <v>11</v>
      </c>
      <c r="G136" s="14" t="s">
        <v>16</v>
      </c>
      <c r="H136" s="14" t="s">
        <v>6955</v>
      </c>
      <c r="I136" s="14" t="s">
        <v>6960</v>
      </c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4" t="s">
        <v>20</v>
      </c>
      <c r="B137" s="14" t="s">
        <v>15</v>
      </c>
      <c r="C137" s="14" t="s">
        <v>6956</v>
      </c>
      <c r="D137" s="19"/>
      <c r="E137" s="19"/>
      <c r="F137" s="14" t="s">
        <v>11</v>
      </c>
      <c r="G137" s="14" t="s">
        <v>18</v>
      </c>
      <c r="H137" s="14" t="s">
        <v>6955</v>
      </c>
      <c r="I137" s="14" t="s">
        <v>3143</v>
      </c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4" t="s">
        <v>20</v>
      </c>
      <c r="B138" s="14" t="s">
        <v>11</v>
      </c>
      <c r="C138" s="14" t="s">
        <v>6955</v>
      </c>
      <c r="D138" s="19"/>
      <c r="E138" s="19"/>
      <c r="F138" s="14" t="s">
        <v>11</v>
      </c>
      <c r="G138" s="14" t="s">
        <v>15</v>
      </c>
      <c r="H138" s="14" t="s">
        <v>6956</v>
      </c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4" t="s">
        <v>20</v>
      </c>
      <c r="B139" s="14" t="s">
        <v>29</v>
      </c>
      <c r="C139" s="14" t="s">
        <v>6956</v>
      </c>
      <c r="D139" s="19"/>
      <c r="E139" s="19"/>
      <c r="F139" s="14" t="s">
        <v>11</v>
      </c>
      <c r="G139" s="14" t="s">
        <v>29</v>
      </c>
      <c r="H139" s="14" t="s">
        <v>6956</v>
      </c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4" t="s">
        <v>20</v>
      </c>
      <c r="B140" s="14" t="s">
        <v>25</v>
      </c>
      <c r="C140" s="14" t="s">
        <v>6956</v>
      </c>
      <c r="D140" s="19"/>
      <c r="E140" s="19"/>
      <c r="F140" s="14" t="s">
        <v>11</v>
      </c>
      <c r="G140" s="14" t="s">
        <v>25</v>
      </c>
      <c r="H140" s="14" t="s">
        <v>6956</v>
      </c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4" t="s">
        <v>30</v>
      </c>
      <c r="B141" s="14" t="s">
        <v>21</v>
      </c>
      <c r="C141" s="14" t="s">
        <v>6956</v>
      </c>
      <c r="D141" s="19"/>
      <c r="E141" s="19"/>
      <c r="F141" s="14" t="s">
        <v>14</v>
      </c>
      <c r="G141" s="14" t="s">
        <v>21</v>
      </c>
      <c r="H141" s="14" t="s">
        <v>6956</v>
      </c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4" t="s">
        <v>30</v>
      </c>
      <c r="B142" s="14" t="s">
        <v>12</v>
      </c>
      <c r="C142" s="14" t="s">
        <v>6956</v>
      </c>
      <c r="D142" s="19"/>
      <c r="E142" s="19"/>
      <c r="F142" s="14" t="s">
        <v>14</v>
      </c>
      <c r="G142" s="14" t="s">
        <v>12</v>
      </c>
      <c r="H142" s="14" t="s">
        <v>6956</v>
      </c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4" t="s">
        <v>30</v>
      </c>
      <c r="B143" s="14" t="s">
        <v>9</v>
      </c>
      <c r="C143" s="14" t="s">
        <v>6956</v>
      </c>
      <c r="D143" s="19"/>
      <c r="E143" s="19"/>
      <c r="F143" s="14" t="s">
        <v>14</v>
      </c>
      <c r="G143" s="14" t="s">
        <v>9</v>
      </c>
      <c r="H143" s="14" t="s">
        <v>6956</v>
      </c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4" t="s">
        <v>30</v>
      </c>
      <c r="B144" s="14" t="s">
        <v>27</v>
      </c>
      <c r="C144" s="14" t="s">
        <v>6955</v>
      </c>
      <c r="D144" s="14" t="s">
        <v>7123</v>
      </c>
      <c r="E144" s="19"/>
      <c r="F144" s="14" t="s">
        <v>14</v>
      </c>
      <c r="G144" s="14" t="s">
        <v>27</v>
      </c>
      <c r="H144" s="14" t="s">
        <v>6956</v>
      </c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4" t="s">
        <v>30</v>
      </c>
      <c r="B145" s="14" t="s">
        <v>20</v>
      </c>
      <c r="C145" s="14" t="s">
        <v>6955</v>
      </c>
      <c r="D145" s="14" t="s">
        <v>6962</v>
      </c>
      <c r="E145" s="19"/>
      <c r="F145" s="14" t="s">
        <v>14</v>
      </c>
      <c r="G145" s="14" t="s">
        <v>20</v>
      </c>
      <c r="H145" s="14" t="s">
        <v>6955</v>
      </c>
      <c r="I145" s="14" t="s">
        <v>3143</v>
      </c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4" t="s">
        <v>30</v>
      </c>
      <c r="B146" s="14" t="s">
        <v>14</v>
      </c>
      <c r="C146" s="14" t="s">
        <v>6956</v>
      </c>
      <c r="D146" s="19"/>
      <c r="E146" s="19"/>
      <c r="F146" s="14" t="s">
        <v>14</v>
      </c>
      <c r="G146" s="14" t="s">
        <v>30</v>
      </c>
      <c r="H146" s="14" t="s">
        <v>6956</v>
      </c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4" t="s">
        <v>30</v>
      </c>
      <c r="B147" s="14" t="s">
        <v>18</v>
      </c>
      <c r="C147" s="14" t="s">
        <v>6956</v>
      </c>
      <c r="D147" s="19"/>
      <c r="E147" s="19"/>
      <c r="F147" s="14" t="s">
        <v>14</v>
      </c>
      <c r="G147" s="14" t="s">
        <v>18</v>
      </c>
      <c r="H147" s="14" t="s">
        <v>6956</v>
      </c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4" t="s">
        <v>30</v>
      </c>
      <c r="B148" s="14" t="s">
        <v>23</v>
      </c>
      <c r="C148" s="14" t="s">
        <v>6955</v>
      </c>
      <c r="D148" s="14" t="s">
        <v>3748</v>
      </c>
      <c r="E148" s="19"/>
      <c r="F148" s="14" t="s">
        <v>14</v>
      </c>
      <c r="G148" s="14" t="s">
        <v>23</v>
      </c>
      <c r="H148" s="14" t="s">
        <v>6956</v>
      </c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4" t="s">
        <v>30</v>
      </c>
      <c r="B149" s="14" t="s">
        <v>16</v>
      </c>
      <c r="C149" s="14" t="s">
        <v>6956</v>
      </c>
      <c r="D149" s="19"/>
      <c r="E149" s="19"/>
      <c r="F149" s="14" t="s">
        <v>14</v>
      </c>
      <c r="G149" s="14" t="s">
        <v>16</v>
      </c>
      <c r="H149" s="14" t="s">
        <v>6955</v>
      </c>
      <c r="I149" s="14" t="s">
        <v>7004</v>
      </c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4" t="s">
        <v>30</v>
      </c>
      <c r="B150" s="14" t="s">
        <v>15</v>
      </c>
      <c r="C150" s="14" t="s">
        <v>6956</v>
      </c>
      <c r="D150" s="19"/>
      <c r="E150" s="19"/>
      <c r="F150" s="14" t="s">
        <v>14</v>
      </c>
      <c r="G150" s="14" t="s">
        <v>15</v>
      </c>
      <c r="H150" s="14" t="s">
        <v>6956</v>
      </c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4" t="s">
        <v>30</v>
      </c>
      <c r="B151" s="14" t="s">
        <v>11</v>
      </c>
      <c r="C151" s="14" t="s">
        <v>6955</v>
      </c>
      <c r="D151" s="14" t="s">
        <v>3667</v>
      </c>
      <c r="E151" s="19"/>
      <c r="F151" s="14" t="s">
        <v>14</v>
      </c>
      <c r="G151" s="14" t="s">
        <v>11</v>
      </c>
      <c r="H151" s="14" t="s">
        <v>6956</v>
      </c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4" t="s">
        <v>30</v>
      </c>
      <c r="B152" s="14" t="s">
        <v>29</v>
      </c>
      <c r="C152" s="14" t="s">
        <v>6956</v>
      </c>
      <c r="D152" s="19"/>
      <c r="E152" s="19"/>
      <c r="F152" s="14" t="s">
        <v>14</v>
      </c>
      <c r="G152" s="14" t="s">
        <v>29</v>
      </c>
      <c r="H152" s="14" t="s">
        <v>6956</v>
      </c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4" t="s">
        <v>30</v>
      </c>
      <c r="B153" s="14" t="s">
        <v>25</v>
      </c>
      <c r="C153" s="14" t="s">
        <v>6955</v>
      </c>
      <c r="D153" s="14" t="s">
        <v>4839</v>
      </c>
      <c r="E153" s="19"/>
      <c r="F153" s="14" t="s">
        <v>14</v>
      </c>
      <c r="G153" s="14" t="s">
        <v>25</v>
      </c>
      <c r="H153" s="14" t="s">
        <v>6955</v>
      </c>
      <c r="I153" s="14" t="s">
        <v>7123</v>
      </c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4" t="s">
        <v>29</v>
      </c>
      <c r="B154" s="14" t="s">
        <v>21</v>
      </c>
      <c r="C154" s="14" t="s">
        <v>6956</v>
      </c>
      <c r="D154" s="19"/>
      <c r="E154" s="19"/>
      <c r="F154" s="14" t="s">
        <v>25</v>
      </c>
      <c r="G154" s="14" t="s">
        <v>21</v>
      </c>
      <c r="H154" s="14" t="s">
        <v>6956</v>
      </c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4" t="s">
        <v>29</v>
      </c>
      <c r="B155" s="14" t="s">
        <v>12</v>
      </c>
      <c r="C155" s="14" t="s">
        <v>6956</v>
      </c>
      <c r="D155" s="19"/>
      <c r="E155" s="19"/>
      <c r="F155" s="14" t="s">
        <v>25</v>
      </c>
      <c r="G155" s="14" t="s">
        <v>12</v>
      </c>
      <c r="H155" s="14" t="s">
        <v>6956</v>
      </c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4" t="s">
        <v>29</v>
      </c>
      <c r="B156" s="14" t="s">
        <v>9</v>
      </c>
      <c r="C156" s="14" t="s">
        <v>6956</v>
      </c>
      <c r="D156" s="19"/>
      <c r="E156" s="19"/>
      <c r="F156" s="14" t="s">
        <v>25</v>
      </c>
      <c r="G156" s="14" t="s">
        <v>9</v>
      </c>
      <c r="H156" s="14" t="s">
        <v>6956</v>
      </c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4" t="s">
        <v>29</v>
      </c>
      <c r="B157" s="14" t="s">
        <v>27</v>
      </c>
      <c r="C157" s="14" t="s">
        <v>6956</v>
      </c>
      <c r="D157" s="19"/>
      <c r="E157" s="19"/>
      <c r="F157" s="14" t="s">
        <v>25</v>
      </c>
      <c r="G157" s="14" t="s">
        <v>27</v>
      </c>
      <c r="H157" s="14" t="s">
        <v>6956</v>
      </c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4" t="s">
        <v>29</v>
      </c>
      <c r="B158" s="14" t="s">
        <v>20</v>
      </c>
      <c r="C158" s="14" t="s">
        <v>6956</v>
      </c>
      <c r="D158" s="19"/>
      <c r="E158" s="19"/>
      <c r="F158" s="14" t="s">
        <v>25</v>
      </c>
      <c r="G158" s="14" t="s">
        <v>20</v>
      </c>
      <c r="H158" s="14" t="s">
        <v>6956</v>
      </c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4" t="s">
        <v>29</v>
      </c>
      <c r="B159" s="14" t="s">
        <v>14</v>
      </c>
      <c r="C159" s="14" t="s">
        <v>6956</v>
      </c>
      <c r="D159" s="19"/>
      <c r="E159" s="19"/>
      <c r="F159" s="14" t="s">
        <v>25</v>
      </c>
      <c r="G159" s="14" t="s">
        <v>14</v>
      </c>
      <c r="H159" s="14" t="s">
        <v>6955</v>
      </c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4" t="s">
        <v>29</v>
      </c>
      <c r="B160" s="14" t="s">
        <v>18</v>
      </c>
      <c r="C160" s="14" t="s">
        <v>6956</v>
      </c>
      <c r="D160" s="19"/>
      <c r="E160" s="19"/>
      <c r="F160" s="14" t="s">
        <v>25</v>
      </c>
      <c r="G160" s="14" t="s">
        <v>18</v>
      </c>
      <c r="H160" s="14" t="s">
        <v>6956</v>
      </c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4" t="s">
        <v>29</v>
      </c>
      <c r="B161" s="14" t="s">
        <v>23</v>
      </c>
      <c r="C161" s="14" t="s">
        <v>6955</v>
      </c>
      <c r="D161" s="19"/>
      <c r="E161" s="19"/>
      <c r="F161" s="14" t="s">
        <v>25</v>
      </c>
      <c r="G161" s="14" t="s">
        <v>23</v>
      </c>
      <c r="H161" s="14" t="s">
        <v>6956</v>
      </c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4" t="s">
        <v>29</v>
      </c>
      <c r="B162" s="14" t="s">
        <v>16</v>
      </c>
      <c r="C162" s="14" t="s">
        <v>6956</v>
      </c>
      <c r="D162" s="19"/>
      <c r="E162" s="19"/>
      <c r="F162" s="14" t="s">
        <v>25</v>
      </c>
      <c r="G162" s="14" t="s">
        <v>16</v>
      </c>
      <c r="H162" s="14" t="s">
        <v>6956</v>
      </c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4" t="s">
        <v>29</v>
      </c>
      <c r="B163" s="14" t="s">
        <v>15</v>
      </c>
      <c r="C163" s="14" t="s">
        <v>6956</v>
      </c>
      <c r="D163" s="19"/>
      <c r="E163" s="19"/>
      <c r="F163" s="14" t="s">
        <v>25</v>
      </c>
      <c r="G163" s="14" t="s">
        <v>15</v>
      </c>
      <c r="H163" s="14" t="s">
        <v>6955</v>
      </c>
      <c r="I163" s="14" t="s">
        <v>6960</v>
      </c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4" t="s">
        <v>29</v>
      </c>
      <c r="B164" s="14" t="s">
        <v>11</v>
      </c>
      <c r="C164" s="14" t="s">
        <v>6956</v>
      </c>
      <c r="D164" s="19"/>
      <c r="E164" s="19"/>
      <c r="F164" s="14" t="s">
        <v>25</v>
      </c>
      <c r="G164" s="14" t="s">
        <v>11</v>
      </c>
      <c r="H164" s="14" t="s">
        <v>6956</v>
      </c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4" t="s">
        <v>29</v>
      </c>
      <c r="B165" s="14" t="s">
        <v>30</v>
      </c>
      <c r="C165" s="14" t="s">
        <v>6956</v>
      </c>
      <c r="D165" s="19"/>
      <c r="E165" s="19"/>
      <c r="F165" s="14" t="s">
        <v>25</v>
      </c>
      <c r="G165" s="14" t="s">
        <v>30</v>
      </c>
      <c r="H165" s="14" t="s">
        <v>6955</v>
      </c>
      <c r="I165" s="14" t="s">
        <v>3143</v>
      </c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4" t="s">
        <v>29</v>
      </c>
      <c r="B166" s="14" t="s">
        <v>25</v>
      </c>
      <c r="C166" s="14" t="s">
        <v>6956</v>
      </c>
      <c r="D166" s="19"/>
      <c r="E166" s="19"/>
      <c r="F166" s="14" t="s">
        <v>25</v>
      </c>
      <c r="G166" s="14" t="s">
        <v>29</v>
      </c>
      <c r="H166" s="14" t="s">
        <v>6956</v>
      </c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4" t="s">
        <v>7137</v>
      </c>
      <c r="B171" s="14">
        <v>182.0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4" t="s">
        <v>6955</v>
      </c>
      <c r="B172" s="14">
        <v>32.0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4" t="s">
        <v>7139</v>
      </c>
      <c r="B173" s="14">
        <v>12.0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  <c r="L1030" s="19"/>
      <c r="M1030" s="19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00" t="s">
        <v>6886</v>
      </c>
    </row>
    <row r="2">
      <c r="A2" s="12" t="s">
        <v>2963</v>
      </c>
    </row>
    <row r="3">
      <c r="A3" s="12" t="s">
        <v>6887</v>
      </c>
    </row>
    <row r="4">
      <c r="A4" s="12" t="s">
        <v>6888</v>
      </c>
    </row>
    <row r="5">
      <c r="A5" s="12" t="s">
        <v>6889</v>
      </c>
    </row>
    <row r="6">
      <c r="A6" s="12" t="s">
        <v>2981</v>
      </c>
    </row>
    <row r="7">
      <c r="A7" s="12" t="s">
        <v>6890</v>
      </c>
    </row>
    <row r="9">
      <c r="A9" s="219" t="s">
        <v>6891</v>
      </c>
    </row>
    <row r="10">
      <c r="A10" s="270" t="s">
        <v>2998</v>
      </c>
      <c r="B10" s="270" t="s">
        <v>3066</v>
      </c>
      <c r="C10" s="186" t="s">
        <v>3067</v>
      </c>
      <c r="D10" s="270" t="s">
        <v>2999</v>
      </c>
      <c r="E10" s="270" t="s">
        <v>85</v>
      </c>
      <c r="F10" s="270" t="s">
        <v>3069</v>
      </c>
      <c r="G10" s="270" t="s">
        <v>705</v>
      </c>
      <c r="H10" s="270" t="s">
        <v>696</v>
      </c>
    </row>
    <row r="11">
      <c r="A11" s="14" t="s">
        <v>6892</v>
      </c>
      <c r="B11" s="14" t="s">
        <v>6893</v>
      </c>
      <c r="C11" s="14" t="s">
        <v>6894</v>
      </c>
      <c r="D11" s="14" t="s">
        <v>29</v>
      </c>
      <c r="E11" s="14" t="s">
        <v>759</v>
      </c>
      <c r="F11" s="14" t="s">
        <v>6895</v>
      </c>
      <c r="G11" s="14" t="s">
        <v>6896</v>
      </c>
      <c r="H11" s="14" t="s">
        <v>6895</v>
      </c>
    </row>
    <row r="12">
      <c r="A12" s="14" t="s">
        <v>6897</v>
      </c>
      <c r="B12" s="14" t="s">
        <v>6893</v>
      </c>
      <c r="C12" s="14" t="s">
        <v>6898</v>
      </c>
      <c r="D12" s="14" t="s">
        <v>27</v>
      </c>
      <c r="E12" s="14" t="s">
        <v>479</v>
      </c>
      <c r="F12" s="14" t="s">
        <v>6899</v>
      </c>
      <c r="G12" s="14" t="s">
        <v>6900</v>
      </c>
      <c r="H12" s="14" t="s">
        <v>6899</v>
      </c>
    </row>
    <row r="13">
      <c r="A13" s="14" t="s">
        <v>3106</v>
      </c>
      <c r="B13" s="14" t="s">
        <v>6893</v>
      </c>
      <c r="C13" s="14" t="s">
        <v>6901</v>
      </c>
      <c r="D13" s="14" t="s">
        <v>21</v>
      </c>
      <c r="E13" s="14" t="s">
        <v>5138</v>
      </c>
      <c r="F13" s="14" t="s">
        <v>6902</v>
      </c>
      <c r="G13" s="14" t="s">
        <v>6903</v>
      </c>
      <c r="H13" s="14" t="s">
        <v>6902</v>
      </c>
    </row>
    <row r="14">
      <c r="A14" s="14" t="s">
        <v>6904</v>
      </c>
      <c r="B14" s="14" t="s">
        <v>6905</v>
      </c>
      <c r="C14" s="14" t="s">
        <v>6906</v>
      </c>
      <c r="D14" s="14" t="s">
        <v>11</v>
      </c>
      <c r="E14" s="14" t="s">
        <v>759</v>
      </c>
      <c r="F14" s="14" t="s">
        <v>6907</v>
      </c>
      <c r="G14" s="14" t="s">
        <v>6908</v>
      </c>
      <c r="H14" s="14" t="s">
        <v>6909</v>
      </c>
    </row>
    <row r="15">
      <c r="A15" s="14" t="s">
        <v>3025</v>
      </c>
      <c r="B15" s="14" t="s">
        <v>6905</v>
      </c>
      <c r="C15" s="14" t="s">
        <v>5181</v>
      </c>
      <c r="D15" s="14" t="s">
        <v>14</v>
      </c>
      <c r="E15" s="14" t="s">
        <v>755</v>
      </c>
      <c r="F15" s="14" t="s">
        <v>6910</v>
      </c>
      <c r="G15" s="14" t="s">
        <v>6911</v>
      </c>
      <c r="H15" s="14" t="s">
        <v>6910</v>
      </c>
    </row>
    <row r="16">
      <c r="A16" s="14" t="s">
        <v>6912</v>
      </c>
      <c r="B16" s="14" t="s">
        <v>6905</v>
      </c>
      <c r="C16" s="14" t="s">
        <v>6913</v>
      </c>
      <c r="D16" s="14" t="s">
        <v>20</v>
      </c>
      <c r="E16" s="14" t="s">
        <v>722</v>
      </c>
      <c r="F16" s="14" t="s">
        <v>6914</v>
      </c>
      <c r="G16" s="14" t="s">
        <v>6915</v>
      </c>
      <c r="H16" s="14" t="s">
        <v>6895</v>
      </c>
    </row>
    <row r="17">
      <c r="A17" s="14" t="s">
        <v>6916</v>
      </c>
      <c r="B17" s="14" t="s">
        <v>6917</v>
      </c>
      <c r="C17" s="14" t="s">
        <v>6918</v>
      </c>
      <c r="D17" s="14" t="s">
        <v>11</v>
      </c>
      <c r="E17" s="14" t="s">
        <v>755</v>
      </c>
      <c r="F17" s="14" t="s">
        <v>6896</v>
      </c>
      <c r="G17" s="14" t="s">
        <v>6896</v>
      </c>
      <c r="H17" s="14" t="s">
        <v>6919</v>
      </c>
    </row>
    <row r="18">
      <c r="A18" s="14" t="s">
        <v>6920</v>
      </c>
      <c r="B18" s="14" t="s">
        <v>6917</v>
      </c>
      <c r="C18" s="14" t="s">
        <v>6898</v>
      </c>
      <c r="D18" s="14" t="s">
        <v>14</v>
      </c>
      <c r="E18" s="14" t="s">
        <v>759</v>
      </c>
      <c r="F18" s="14" t="s">
        <v>6910</v>
      </c>
      <c r="G18" s="14" t="s">
        <v>6921</v>
      </c>
      <c r="H18" s="14" t="s">
        <v>6910</v>
      </c>
    </row>
    <row r="19">
      <c r="A19" s="14" t="s">
        <v>6922</v>
      </c>
      <c r="B19" s="14" t="s">
        <v>6917</v>
      </c>
      <c r="C19" s="14" t="s">
        <v>6923</v>
      </c>
      <c r="D19" s="14" t="s">
        <v>21</v>
      </c>
      <c r="E19" s="14" t="s">
        <v>750</v>
      </c>
      <c r="F19" s="14" t="s">
        <v>6908</v>
      </c>
      <c r="G19" s="14" t="s">
        <v>6908</v>
      </c>
      <c r="H19" s="14" t="s">
        <v>6924</v>
      </c>
    </row>
    <row r="20">
      <c r="A20" s="14" t="s">
        <v>6925</v>
      </c>
      <c r="B20" s="14" t="s">
        <v>6926</v>
      </c>
      <c r="C20" s="14" t="s">
        <v>6901</v>
      </c>
      <c r="D20" s="14" t="s">
        <v>11</v>
      </c>
      <c r="E20" s="14" t="s">
        <v>5223</v>
      </c>
      <c r="F20" s="14" t="s">
        <v>6927</v>
      </c>
      <c r="G20" s="14" t="s">
        <v>6900</v>
      </c>
      <c r="H20" s="14" t="s">
        <v>6927</v>
      </c>
    </row>
    <row r="21">
      <c r="A21" s="14" t="s">
        <v>3016</v>
      </c>
      <c r="B21" s="14" t="s">
        <v>6926</v>
      </c>
      <c r="C21" s="14" t="s">
        <v>6894</v>
      </c>
      <c r="D21" s="14" t="s">
        <v>14</v>
      </c>
      <c r="E21" s="14" t="s">
        <v>6928</v>
      </c>
      <c r="F21" s="14" t="s">
        <v>6929</v>
      </c>
      <c r="G21" s="14" t="s">
        <v>6915</v>
      </c>
      <c r="H21" s="14" t="s">
        <v>6903</v>
      </c>
    </row>
    <row r="22">
      <c r="A22" s="14" t="s">
        <v>6930</v>
      </c>
      <c r="B22" s="14" t="s">
        <v>6926</v>
      </c>
      <c r="C22" s="14" t="s">
        <v>6906</v>
      </c>
      <c r="D22" s="14" t="s">
        <v>21</v>
      </c>
      <c r="E22" s="14" t="s">
        <v>759</v>
      </c>
      <c r="F22" s="14" t="s">
        <v>6850</v>
      </c>
      <c r="G22" s="14" t="s">
        <v>6867</v>
      </c>
      <c r="H22" s="14" t="s">
        <v>6931</v>
      </c>
    </row>
    <row r="23">
      <c r="A23" s="14" t="s">
        <v>6932</v>
      </c>
      <c r="B23" s="14" t="s">
        <v>6933</v>
      </c>
      <c r="C23" s="14" t="s">
        <v>5181</v>
      </c>
      <c r="D23" s="14" t="s">
        <v>11</v>
      </c>
      <c r="E23" s="14" t="s">
        <v>755</v>
      </c>
      <c r="F23" s="14" t="s">
        <v>6896</v>
      </c>
      <c r="G23" s="14" t="s">
        <v>6896</v>
      </c>
      <c r="H23" s="14" t="s">
        <v>6934</v>
      </c>
    </row>
    <row r="24">
      <c r="A24" s="14" t="s">
        <v>6935</v>
      </c>
      <c r="B24" s="14" t="s">
        <v>6933</v>
      </c>
      <c r="C24" s="14" t="s">
        <v>6918</v>
      </c>
      <c r="D24" s="14" t="s">
        <v>29</v>
      </c>
      <c r="E24" s="14" t="s">
        <v>759</v>
      </c>
      <c r="F24" s="14" t="s">
        <v>6936</v>
      </c>
      <c r="G24" s="14" t="s">
        <v>6937</v>
      </c>
      <c r="H24" s="14" t="s">
        <v>6938</v>
      </c>
    </row>
    <row r="25">
      <c r="A25" s="14" t="s">
        <v>6939</v>
      </c>
      <c r="B25" s="14" t="s">
        <v>6933</v>
      </c>
      <c r="C25" s="14" t="s">
        <v>6898</v>
      </c>
      <c r="D25" s="14" t="s">
        <v>20</v>
      </c>
      <c r="E25" s="14" t="s">
        <v>3205</v>
      </c>
      <c r="F25" s="14" t="s">
        <v>6940</v>
      </c>
      <c r="G25" s="14" t="s">
        <v>6908</v>
      </c>
      <c r="H25" s="14" t="s">
        <v>6941</v>
      </c>
    </row>
    <row r="26">
      <c r="A26" s="14" t="s">
        <v>6942</v>
      </c>
      <c r="B26" s="14" t="s">
        <v>6943</v>
      </c>
      <c r="C26" s="14" t="s">
        <v>6906</v>
      </c>
      <c r="D26" s="14" t="s">
        <v>11</v>
      </c>
      <c r="E26" s="14" t="s">
        <v>3205</v>
      </c>
      <c r="F26" s="14" t="s">
        <v>6907</v>
      </c>
      <c r="G26" s="14" t="s">
        <v>6944</v>
      </c>
      <c r="H26" s="14" t="s">
        <v>6907</v>
      </c>
    </row>
    <row r="27">
      <c r="A27" s="14" t="s">
        <v>6945</v>
      </c>
      <c r="B27" s="14" t="s">
        <v>6943</v>
      </c>
      <c r="C27" s="14" t="s">
        <v>6923</v>
      </c>
      <c r="D27" s="14" t="s">
        <v>21</v>
      </c>
      <c r="E27" s="14" t="s">
        <v>3268</v>
      </c>
      <c r="F27" s="14" t="s">
        <v>6908</v>
      </c>
      <c r="G27" s="14" t="s">
        <v>6908</v>
      </c>
      <c r="H27" s="14" t="s">
        <v>6947</v>
      </c>
    </row>
    <row r="28">
      <c r="A28" s="14" t="s">
        <v>6948</v>
      </c>
      <c r="B28" s="14" t="s">
        <v>6693</v>
      </c>
      <c r="C28" s="14" t="s">
        <v>6894</v>
      </c>
      <c r="D28" s="14" t="s">
        <v>21</v>
      </c>
      <c r="E28" s="14" t="s">
        <v>3691</v>
      </c>
      <c r="F28" s="14" t="s">
        <v>6909</v>
      </c>
      <c r="G28" s="14" t="s">
        <v>6902</v>
      </c>
      <c r="H28" s="14" t="s">
        <v>6927</v>
      </c>
    </row>
    <row r="32">
      <c r="A32" s="263" t="s">
        <v>6949</v>
      </c>
      <c r="E32" s="19"/>
    </row>
    <row r="33">
      <c r="A33" s="163" t="s">
        <v>627</v>
      </c>
      <c r="B33" s="163" t="s">
        <v>629</v>
      </c>
      <c r="C33" s="163" t="s">
        <v>3345</v>
      </c>
      <c r="D33" s="163" t="s">
        <v>6950</v>
      </c>
      <c r="E33" s="163" t="s">
        <v>3169</v>
      </c>
    </row>
    <row r="34">
      <c r="A34" s="14" t="s">
        <v>6952</v>
      </c>
      <c r="B34" s="14"/>
      <c r="C34" s="14"/>
      <c r="D34" s="19"/>
      <c r="E34" s="14">
        <v>55000.0</v>
      </c>
    </row>
    <row r="35">
      <c r="A35" s="14" t="s">
        <v>944</v>
      </c>
      <c r="B35" s="14" t="s">
        <v>29</v>
      </c>
      <c r="D35" s="14" t="s">
        <v>6724</v>
      </c>
      <c r="E35" s="14">
        <v>40000.0</v>
      </c>
    </row>
    <row r="36">
      <c r="A36" s="14" t="s">
        <v>948</v>
      </c>
      <c r="B36" s="14" t="s">
        <v>950</v>
      </c>
      <c r="C36" s="14" t="s">
        <v>21</v>
      </c>
      <c r="D36" s="14" t="s">
        <v>6724</v>
      </c>
      <c r="E36" s="14">
        <v>15000.0</v>
      </c>
    </row>
    <row r="37">
      <c r="A37" s="14" t="s">
        <v>649</v>
      </c>
      <c r="B37" s="14" t="s">
        <v>951</v>
      </c>
      <c r="C37" s="14" t="s">
        <v>29</v>
      </c>
      <c r="D37" s="14" t="s">
        <v>6724</v>
      </c>
      <c r="E37" s="14">
        <v>15000.0</v>
      </c>
    </row>
    <row r="38">
      <c r="A38" s="14" t="s">
        <v>957</v>
      </c>
      <c r="B38" s="14" t="s">
        <v>958</v>
      </c>
      <c r="C38" s="14" t="s">
        <v>21</v>
      </c>
      <c r="D38" s="14" t="s">
        <v>6953</v>
      </c>
      <c r="E38" s="14">
        <v>25000.0</v>
      </c>
    </row>
    <row r="39">
      <c r="A39" s="14" t="s">
        <v>970</v>
      </c>
      <c r="B39" s="14" t="s">
        <v>971</v>
      </c>
      <c r="C39" s="14" t="s">
        <v>21</v>
      </c>
      <c r="D39" s="14" t="s">
        <v>6954</v>
      </c>
      <c r="E39" s="14">
        <v>25000.0</v>
      </c>
    </row>
    <row r="40">
      <c r="A40" s="14" t="s">
        <v>977</v>
      </c>
      <c r="B40" s="14" t="s">
        <v>971</v>
      </c>
      <c r="C40" s="14" t="s">
        <v>21</v>
      </c>
      <c r="D40" s="14" t="s">
        <v>6954</v>
      </c>
      <c r="E40" s="14">
        <v>50000.0</v>
      </c>
    </row>
    <row r="41">
      <c r="A41" s="14" t="s">
        <v>726</v>
      </c>
      <c r="C41" s="14" t="s">
        <v>11</v>
      </c>
      <c r="D41" s="14" t="s">
        <v>6724</v>
      </c>
      <c r="E41" s="14">
        <v>150000.0</v>
      </c>
    </row>
    <row r="42">
      <c r="A42" s="14" t="s">
        <v>446</v>
      </c>
      <c r="C42" s="14" t="s">
        <v>21</v>
      </c>
      <c r="D42" s="14" t="s">
        <v>6724</v>
      </c>
      <c r="E42" s="14">
        <v>300000.0</v>
      </c>
    </row>
    <row r="44">
      <c r="A44" s="263" t="s">
        <v>6957</v>
      </c>
    </row>
    <row r="45">
      <c r="A45" s="163" t="s">
        <v>130</v>
      </c>
      <c r="B45" s="163" t="s">
        <v>3345</v>
      </c>
      <c r="C45" s="163" t="s">
        <v>3169</v>
      </c>
    </row>
  </sheetData>
  <mergeCells count="6">
    <mergeCell ref="A9:H9"/>
    <mergeCell ref="A32:D32"/>
    <mergeCell ref="A41:B41"/>
    <mergeCell ref="A42:B42"/>
    <mergeCell ref="A44:C44"/>
    <mergeCell ref="B35:C35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00" t="s">
        <v>6886</v>
      </c>
    </row>
    <row r="2">
      <c r="A2" s="12" t="s">
        <v>2964</v>
      </c>
    </row>
    <row r="3">
      <c r="A3" s="12" t="s">
        <v>6963</v>
      </c>
    </row>
    <row r="4">
      <c r="A4" s="12" t="s">
        <v>6964</v>
      </c>
    </row>
    <row r="5">
      <c r="A5" s="12" t="s">
        <v>6965</v>
      </c>
    </row>
    <row r="7">
      <c r="A7" s="219" t="s">
        <v>6891</v>
      </c>
    </row>
    <row r="8">
      <c r="A8" s="270" t="s">
        <v>2998</v>
      </c>
      <c r="B8" s="270" t="s">
        <v>3066</v>
      </c>
      <c r="C8" s="186" t="s">
        <v>3067</v>
      </c>
      <c r="D8" s="270" t="s">
        <v>2999</v>
      </c>
      <c r="E8" s="270" t="s">
        <v>85</v>
      </c>
      <c r="F8" s="270" t="s">
        <v>3069</v>
      </c>
      <c r="G8" s="270" t="s">
        <v>705</v>
      </c>
      <c r="H8" s="270" t="s">
        <v>696</v>
      </c>
    </row>
    <row r="9">
      <c r="A9" s="14" t="s">
        <v>6966</v>
      </c>
      <c r="B9" s="14" t="s">
        <v>6893</v>
      </c>
      <c r="C9" s="14" t="s">
        <v>6967</v>
      </c>
      <c r="D9" s="14" t="s">
        <v>12</v>
      </c>
      <c r="E9" s="14" t="s">
        <v>3330</v>
      </c>
      <c r="F9" s="14" t="s">
        <v>6968</v>
      </c>
      <c r="G9" s="14" t="s">
        <v>6969</v>
      </c>
      <c r="H9" s="14" t="s">
        <v>6968</v>
      </c>
    </row>
    <row r="10">
      <c r="A10" s="14" t="s">
        <v>6970</v>
      </c>
      <c r="B10" s="14" t="s">
        <v>6893</v>
      </c>
      <c r="C10" s="14" t="s">
        <v>6971</v>
      </c>
      <c r="D10" s="14" t="s">
        <v>23</v>
      </c>
      <c r="E10" s="14" t="s">
        <v>3691</v>
      </c>
      <c r="F10" s="14" t="s">
        <v>6972</v>
      </c>
      <c r="G10" s="14" t="s">
        <v>6973</v>
      </c>
      <c r="H10" s="14" t="s">
        <v>6972</v>
      </c>
    </row>
    <row r="11">
      <c r="A11" s="14" t="s">
        <v>6974</v>
      </c>
      <c r="B11" s="14" t="s">
        <v>6905</v>
      </c>
      <c r="C11" s="14" t="s">
        <v>6975</v>
      </c>
      <c r="D11" s="14" t="s">
        <v>16</v>
      </c>
      <c r="E11" s="14" t="s">
        <v>6976</v>
      </c>
      <c r="F11" s="14" t="s">
        <v>6977</v>
      </c>
      <c r="G11" s="14" t="s">
        <v>6978</v>
      </c>
      <c r="H11" s="14" t="s">
        <v>6977</v>
      </c>
    </row>
    <row r="12">
      <c r="A12" s="14" t="s">
        <v>6979</v>
      </c>
      <c r="B12" s="14" t="s">
        <v>6905</v>
      </c>
      <c r="C12" s="14" t="s">
        <v>6971</v>
      </c>
      <c r="D12" s="14" t="s">
        <v>15</v>
      </c>
      <c r="E12" s="14" t="s">
        <v>3691</v>
      </c>
      <c r="F12" s="14" t="s">
        <v>6980</v>
      </c>
      <c r="G12" s="14" t="s">
        <v>6972</v>
      </c>
      <c r="H12" s="14" t="s">
        <v>6981</v>
      </c>
    </row>
    <row r="13">
      <c r="A13" s="14" t="s">
        <v>6982</v>
      </c>
      <c r="B13" s="14" t="s">
        <v>6917</v>
      </c>
      <c r="C13" s="14" t="s">
        <v>6975</v>
      </c>
      <c r="D13" s="14" t="s">
        <v>15</v>
      </c>
      <c r="E13" s="14" t="s">
        <v>3330</v>
      </c>
      <c r="F13" s="14" t="s">
        <v>6980</v>
      </c>
      <c r="G13" s="14" t="s">
        <v>6980</v>
      </c>
      <c r="H13" s="14" t="s">
        <v>6980</v>
      </c>
    </row>
    <row r="14">
      <c r="A14" s="14" t="s">
        <v>6983</v>
      </c>
      <c r="B14" s="14" t="s">
        <v>6917</v>
      </c>
      <c r="C14" s="14" t="s">
        <v>6967</v>
      </c>
      <c r="D14" s="14" t="s">
        <v>12</v>
      </c>
      <c r="E14" s="14" t="s">
        <v>3691</v>
      </c>
      <c r="F14" s="14" t="s">
        <v>6968</v>
      </c>
      <c r="G14" s="14" t="s">
        <v>6978</v>
      </c>
      <c r="H14" s="14" t="s">
        <v>6968</v>
      </c>
    </row>
    <row r="15">
      <c r="A15" s="14" t="s">
        <v>6984</v>
      </c>
      <c r="B15" s="14" t="s">
        <v>6926</v>
      </c>
      <c r="C15" s="14" t="s">
        <v>6971</v>
      </c>
      <c r="D15" s="14" t="s">
        <v>23</v>
      </c>
      <c r="E15" s="14" t="s">
        <v>3691</v>
      </c>
      <c r="F15" s="14" t="s">
        <v>6985</v>
      </c>
      <c r="G15" s="14" t="s">
        <v>6985</v>
      </c>
      <c r="H15" s="14" t="s">
        <v>6986</v>
      </c>
    </row>
    <row r="16">
      <c r="A16" s="14" t="s">
        <v>6987</v>
      </c>
      <c r="B16" s="14" t="s">
        <v>6926</v>
      </c>
      <c r="C16" s="14" t="s">
        <v>6975</v>
      </c>
      <c r="D16" s="14" t="s">
        <v>12</v>
      </c>
      <c r="E16" s="14" t="s">
        <v>3330</v>
      </c>
      <c r="F16" s="14" t="s">
        <v>6968</v>
      </c>
      <c r="G16" s="14" t="s">
        <v>6980</v>
      </c>
      <c r="H16" s="14" t="s">
        <v>6968</v>
      </c>
    </row>
    <row r="17">
      <c r="A17" s="14" t="s">
        <v>6988</v>
      </c>
      <c r="B17" s="14" t="s">
        <v>6933</v>
      </c>
      <c r="C17" s="14" t="s">
        <v>6975</v>
      </c>
      <c r="D17" s="14" t="s">
        <v>15</v>
      </c>
      <c r="E17" s="14" t="s">
        <v>3330</v>
      </c>
      <c r="F17" s="14" t="s">
        <v>6981</v>
      </c>
      <c r="G17" s="14" t="s">
        <v>6981</v>
      </c>
      <c r="H17" s="14" t="s">
        <v>6986</v>
      </c>
    </row>
    <row r="18">
      <c r="A18" s="14" t="s">
        <v>3196</v>
      </c>
      <c r="B18" s="14" t="s">
        <v>6933</v>
      </c>
      <c r="C18" s="14" t="s">
        <v>6971</v>
      </c>
      <c r="D18" s="14" t="s">
        <v>23</v>
      </c>
      <c r="E18" s="14" t="s">
        <v>3691</v>
      </c>
      <c r="F18" s="14" t="s">
        <v>6990</v>
      </c>
      <c r="G18" s="14" t="s">
        <v>6991</v>
      </c>
      <c r="H18" s="14" t="s">
        <v>6992</v>
      </c>
    </row>
    <row r="19">
      <c r="A19" s="14" t="s">
        <v>6974</v>
      </c>
      <c r="B19" s="14" t="s">
        <v>6943</v>
      </c>
      <c r="C19" s="14" t="s">
        <v>6967</v>
      </c>
      <c r="D19" s="14" t="s">
        <v>12</v>
      </c>
      <c r="E19" s="14" t="s">
        <v>3330</v>
      </c>
      <c r="F19" s="14" t="s">
        <v>6968</v>
      </c>
      <c r="G19" s="14" t="s">
        <v>6993</v>
      </c>
      <c r="H19" s="14" t="s">
        <v>6968</v>
      </c>
      <c r="I19" s="19"/>
    </row>
    <row r="20">
      <c r="A20" s="14" t="s">
        <v>6994</v>
      </c>
      <c r="B20" s="14" t="s">
        <v>6943</v>
      </c>
      <c r="C20" s="14" t="s">
        <v>6975</v>
      </c>
      <c r="D20" s="14" t="s">
        <v>15</v>
      </c>
      <c r="E20" s="14" t="s">
        <v>6995</v>
      </c>
      <c r="F20" s="14" t="s">
        <v>6980</v>
      </c>
      <c r="G20" s="14" t="s">
        <v>6980</v>
      </c>
      <c r="H20" s="14" t="s">
        <v>6996</v>
      </c>
    </row>
    <row r="21">
      <c r="A21" s="14" t="s">
        <v>6997</v>
      </c>
      <c r="B21" s="14" t="s">
        <v>6693</v>
      </c>
      <c r="C21" s="14" t="s">
        <v>6967</v>
      </c>
      <c r="D21" s="14" t="s">
        <v>12</v>
      </c>
      <c r="E21" s="14" t="s">
        <v>3330</v>
      </c>
      <c r="F21" s="14" t="s">
        <v>6998</v>
      </c>
      <c r="G21" s="14" t="s">
        <v>6981</v>
      </c>
      <c r="H21" s="14" t="s">
        <v>6998</v>
      </c>
    </row>
    <row r="23">
      <c r="A23" s="263" t="s">
        <v>6999</v>
      </c>
    </row>
    <row r="24">
      <c r="A24" s="163" t="s">
        <v>627</v>
      </c>
      <c r="B24" s="163" t="s">
        <v>629</v>
      </c>
      <c r="C24" s="163" t="s">
        <v>3345</v>
      </c>
      <c r="D24" s="163" t="s">
        <v>6950</v>
      </c>
      <c r="E24" s="163" t="s">
        <v>3169</v>
      </c>
    </row>
    <row r="25">
      <c r="A25" s="14" t="s">
        <v>6952</v>
      </c>
      <c r="B25" s="14"/>
      <c r="C25" s="14"/>
      <c r="D25" s="19"/>
      <c r="E25" s="14">
        <v>55000.0</v>
      </c>
    </row>
    <row r="26">
      <c r="A26" s="14" t="s">
        <v>944</v>
      </c>
      <c r="B26" s="14" t="s">
        <v>23</v>
      </c>
      <c r="D26" s="14" t="s">
        <v>6724</v>
      </c>
      <c r="E26" s="14">
        <v>40000.0</v>
      </c>
    </row>
    <row r="27">
      <c r="A27" s="14" t="s">
        <v>948</v>
      </c>
      <c r="B27" s="14" t="s">
        <v>716</v>
      </c>
      <c r="C27" s="14" t="s">
        <v>12</v>
      </c>
      <c r="D27" s="14" t="s">
        <v>6724</v>
      </c>
      <c r="E27" s="14">
        <v>15000.0</v>
      </c>
    </row>
    <row r="28">
      <c r="A28" s="14" t="s">
        <v>649</v>
      </c>
      <c r="B28" s="14" t="s">
        <v>1007</v>
      </c>
      <c r="C28" s="14" t="s">
        <v>16</v>
      </c>
      <c r="D28" s="14" t="s">
        <v>6724</v>
      </c>
      <c r="E28" s="14">
        <v>15000.0</v>
      </c>
    </row>
    <row r="29">
      <c r="A29" s="14" t="s">
        <v>957</v>
      </c>
      <c r="B29" s="14" t="s">
        <v>697</v>
      </c>
      <c r="C29" s="14" t="s">
        <v>12</v>
      </c>
      <c r="D29" s="14" t="s">
        <v>7000</v>
      </c>
      <c r="E29" s="14">
        <v>25000.0</v>
      </c>
    </row>
    <row r="30">
      <c r="A30" s="14" t="s">
        <v>970</v>
      </c>
      <c r="B30" s="14" t="s">
        <v>1018</v>
      </c>
      <c r="C30" s="14" t="s">
        <v>12</v>
      </c>
      <c r="D30" s="14" t="s">
        <v>7001</v>
      </c>
      <c r="E30" s="14">
        <v>25000.0</v>
      </c>
    </row>
    <row r="31">
      <c r="A31" s="14" t="s">
        <v>977</v>
      </c>
      <c r="B31" s="14" t="s">
        <v>1029</v>
      </c>
      <c r="C31" s="14" t="s">
        <v>15</v>
      </c>
      <c r="D31" s="14" t="s">
        <v>7002</v>
      </c>
      <c r="E31" s="14">
        <v>50000.0</v>
      </c>
    </row>
    <row r="32">
      <c r="A32" s="14" t="s">
        <v>726</v>
      </c>
      <c r="C32" s="14" t="s">
        <v>15</v>
      </c>
      <c r="D32" s="14" t="s">
        <v>6724</v>
      </c>
      <c r="E32" s="14">
        <v>150000.0</v>
      </c>
    </row>
    <row r="33">
      <c r="A33" s="14" t="s">
        <v>446</v>
      </c>
      <c r="C33" s="14" t="s">
        <v>12</v>
      </c>
      <c r="D33" s="14" t="s">
        <v>6724</v>
      </c>
      <c r="E33" s="14">
        <v>300000.0</v>
      </c>
    </row>
    <row r="35">
      <c r="A35" s="263" t="s">
        <v>7003</v>
      </c>
    </row>
    <row r="36">
      <c r="A36" s="163" t="s">
        <v>130</v>
      </c>
      <c r="B36" s="163" t="s">
        <v>3345</v>
      </c>
      <c r="C36" s="163" t="s">
        <v>3169</v>
      </c>
    </row>
  </sheetData>
  <mergeCells count="6">
    <mergeCell ref="A7:H7"/>
    <mergeCell ref="A23:D23"/>
    <mergeCell ref="B26:C26"/>
    <mergeCell ref="A32:B32"/>
    <mergeCell ref="A33:B33"/>
    <mergeCell ref="A35:C35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00" t="s">
        <v>6886</v>
      </c>
    </row>
    <row r="2">
      <c r="A2" s="12" t="s">
        <v>7006</v>
      </c>
    </row>
    <row r="3">
      <c r="A3" s="12" t="s">
        <v>7007</v>
      </c>
    </row>
    <row r="4">
      <c r="A4" s="12" t="s">
        <v>7008</v>
      </c>
    </row>
    <row r="5">
      <c r="A5" s="12" t="s">
        <v>7009</v>
      </c>
    </row>
    <row r="7">
      <c r="A7" s="219" t="s">
        <v>6891</v>
      </c>
    </row>
    <row r="8">
      <c r="A8" s="270" t="s">
        <v>2998</v>
      </c>
      <c r="B8" s="270" t="s">
        <v>3066</v>
      </c>
      <c r="C8" s="186" t="s">
        <v>3067</v>
      </c>
      <c r="D8" s="270" t="s">
        <v>2999</v>
      </c>
      <c r="E8" s="270" t="s">
        <v>85</v>
      </c>
      <c r="F8" s="270" t="s">
        <v>3069</v>
      </c>
      <c r="G8" s="270" t="s">
        <v>705</v>
      </c>
      <c r="H8" s="270" t="s">
        <v>696</v>
      </c>
    </row>
    <row r="9">
      <c r="A9" s="14" t="s">
        <v>7010</v>
      </c>
      <c r="B9" s="14" t="s">
        <v>6893</v>
      </c>
      <c r="C9" s="14" t="s">
        <v>426</v>
      </c>
      <c r="D9" s="14" t="s">
        <v>18</v>
      </c>
      <c r="E9" s="14" t="s">
        <v>722</v>
      </c>
      <c r="F9" s="14" t="s">
        <v>7011</v>
      </c>
      <c r="G9" s="14" t="s">
        <v>7012</v>
      </c>
      <c r="H9" s="14" t="s">
        <v>7011</v>
      </c>
    </row>
    <row r="10">
      <c r="A10" s="14" t="s">
        <v>3266</v>
      </c>
      <c r="B10" s="14" t="s">
        <v>6893</v>
      </c>
      <c r="C10" s="14" t="s">
        <v>7013</v>
      </c>
      <c r="D10" s="14" t="s">
        <v>30</v>
      </c>
      <c r="E10" s="14" t="s">
        <v>5183</v>
      </c>
      <c r="F10" s="14" t="s">
        <v>7014</v>
      </c>
      <c r="G10" s="14" t="s">
        <v>7014</v>
      </c>
      <c r="H10" s="14" t="s">
        <v>7015</v>
      </c>
    </row>
    <row r="11">
      <c r="A11" s="14" t="s">
        <v>3009</v>
      </c>
      <c r="B11" s="14" t="s">
        <v>6905</v>
      </c>
      <c r="C11" s="14" t="s">
        <v>382</v>
      </c>
      <c r="D11" s="14" t="s">
        <v>18</v>
      </c>
      <c r="E11" s="14" t="s">
        <v>7016</v>
      </c>
      <c r="F11" s="14" t="s">
        <v>7011</v>
      </c>
      <c r="G11" s="14" t="s">
        <v>7012</v>
      </c>
      <c r="H11" s="14" t="s">
        <v>7011</v>
      </c>
    </row>
    <row r="12">
      <c r="A12" s="14" t="s">
        <v>3193</v>
      </c>
      <c r="B12" s="14" t="s">
        <v>6905</v>
      </c>
      <c r="C12" s="14" t="s">
        <v>3122</v>
      </c>
      <c r="D12" s="14" t="s">
        <v>30</v>
      </c>
      <c r="E12" s="14" t="s">
        <v>5183</v>
      </c>
      <c r="F12" s="14" t="s">
        <v>7017</v>
      </c>
      <c r="G12" s="14" t="s">
        <v>7018</v>
      </c>
      <c r="H12" s="14" t="s">
        <v>7019</v>
      </c>
    </row>
    <row r="13">
      <c r="A13" s="14" t="s">
        <v>7020</v>
      </c>
      <c r="B13" s="14" t="s">
        <v>6917</v>
      </c>
      <c r="C13" s="14" t="s">
        <v>426</v>
      </c>
      <c r="D13" s="14" t="s">
        <v>18</v>
      </c>
      <c r="E13" s="14" t="s">
        <v>7021</v>
      </c>
      <c r="F13" s="14" t="s">
        <v>7012</v>
      </c>
      <c r="G13" s="14" t="s">
        <v>7022</v>
      </c>
      <c r="H13" s="14" t="s">
        <v>7012</v>
      </c>
    </row>
    <row r="14">
      <c r="A14" s="14" t="s">
        <v>7023</v>
      </c>
      <c r="B14" s="14" t="s">
        <v>6917</v>
      </c>
      <c r="C14" s="14" t="s">
        <v>7013</v>
      </c>
      <c r="D14" s="14" t="s">
        <v>9</v>
      </c>
      <c r="E14" s="14" t="s">
        <v>5183</v>
      </c>
      <c r="F14" s="14" t="s">
        <v>7024</v>
      </c>
      <c r="G14" s="14" t="s">
        <v>7025</v>
      </c>
      <c r="H14" s="14" t="s">
        <v>7024</v>
      </c>
    </row>
    <row r="15">
      <c r="A15" s="14" t="s">
        <v>7010</v>
      </c>
      <c r="B15" s="14" t="s">
        <v>6926</v>
      </c>
      <c r="C15" s="14" t="s">
        <v>382</v>
      </c>
      <c r="D15" s="14" t="s">
        <v>18</v>
      </c>
      <c r="E15" s="14" t="s">
        <v>7026</v>
      </c>
      <c r="F15" s="14" t="s">
        <v>7027</v>
      </c>
      <c r="G15" s="14" t="s">
        <v>7027</v>
      </c>
      <c r="H15" s="14" t="s">
        <v>7028</v>
      </c>
    </row>
    <row r="16">
      <c r="A16" s="14" t="s">
        <v>7029</v>
      </c>
      <c r="B16" s="14" t="s">
        <v>6926</v>
      </c>
      <c r="C16" s="14" t="s">
        <v>3122</v>
      </c>
      <c r="D16" s="14" t="s">
        <v>25</v>
      </c>
      <c r="E16" s="14" t="s">
        <v>7030</v>
      </c>
      <c r="F16" s="14" t="s">
        <v>7031</v>
      </c>
      <c r="G16" s="14" t="s">
        <v>7032</v>
      </c>
      <c r="H16" s="14" t="s">
        <v>7031</v>
      </c>
    </row>
    <row r="17">
      <c r="A17" s="14" t="s">
        <v>3009</v>
      </c>
      <c r="B17" s="14" t="s">
        <v>6933</v>
      </c>
      <c r="C17" s="14" t="s">
        <v>426</v>
      </c>
      <c r="D17" s="14" t="s">
        <v>25</v>
      </c>
      <c r="E17" s="14" t="s">
        <v>7033</v>
      </c>
      <c r="F17" s="14" t="s">
        <v>7034</v>
      </c>
      <c r="G17" s="14" t="s">
        <v>7034</v>
      </c>
      <c r="H17" s="14" t="s">
        <v>7034</v>
      </c>
    </row>
    <row r="18">
      <c r="A18" s="14" t="s">
        <v>7035</v>
      </c>
      <c r="B18" s="14" t="s">
        <v>6933</v>
      </c>
      <c r="C18" s="14" t="s">
        <v>7013</v>
      </c>
      <c r="D18" s="14" t="s">
        <v>9</v>
      </c>
      <c r="E18" s="14" t="s">
        <v>5183</v>
      </c>
      <c r="F18" s="14" t="s">
        <v>7037</v>
      </c>
      <c r="G18" s="14" t="s">
        <v>7038</v>
      </c>
      <c r="H18" s="14" t="s">
        <v>7037</v>
      </c>
    </row>
    <row r="19">
      <c r="A19" s="14" t="s">
        <v>7020</v>
      </c>
      <c r="B19" s="14" t="s">
        <v>6943</v>
      </c>
      <c r="C19" s="14" t="s">
        <v>382</v>
      </c>
      <c r="D19" s="14" t="s">
        <v>18</v>
      </c>
      <c r="E19" s="14" t="s">
        <v>5223</v>
      </c>
      <c r="F19" s="14" t="s">
        <v>7039</v>
      </c>
      <c r="G19" s="14" t="s">
        <v>7039</v>
      </c>
      <c r="H19" s="14" t="s">
        <v>7040</v>
      </c>
    </row>
    <row r="20">
      <c r="A20" s="14" t="s">
        <v>7041</v>
      </c>
      <c r="B20" s="14" t="s">
        <v>6943</v>
      </c>
      <c r="C20" s="14" t="s">
        <v>3122</v>
      </c>
      <c r="D20" s="14" t="s">
        <v>9</v>
      </c>
      <c r="E20" s="14" t="s">
        <v>5183</v>
      </c>
      <c r="F20" s="14" t="s">
        <v>7042</v>
      </c>
      <c r="G20" s="14" t="s">
        <v>7025</v>
      </c>
      <c r="H20" s="14" t="s">
        <v>7042</v>
      </c>
    </row>
    <row r="21">
      <c r="A21" s="14" t="s">
        <v>7043</v>
      </c>
      <c r="B21" s="14" t="s">
        <v>6693</v>
      </c>
      <c r="C21" s="14" t="s">
        <v>426</v>
      </c>
      <c r="D21" s="14" t="s">
        <v>9</v>
      </c>
      <c r="E21" s="14" t="s">
        <v>722</v>
      </c>
      <c r="F21" s="14" t="s">
        <v>7028</v>
      </c>
      <c r="G21" s="14" t="s">
        <v>7044</v>
      </c>
      <c r="H21" s="14" t="s">
        <v>7037</v>
      </c>
    </row>
    <row r="22">
      <c r="A22" s="19"/>
      <c r="B22" s="19"/>
      <c r="C22" s="19"/>
      <c r="D22" s="19"/>
      <c r="E22" s="19"/>
      <c r="F22" s="19"/>
      <c r="G22" s="19"/>
      <c r="H22" s="19"/>
    </row>
    <row r="23">
      <c r="A23" s="263" t="s">
        <v>7045</v>
      </c>
      <c r="E23" s="19"/>
      <c r="F23" s="19"/>
      <c r="G23" s="19"/>
      <c r="H23" s="19"/>
    </row>
    <row r="24">
      <c r="A24" s="163" t="s">
        <v>627</v>
      </c>
      <c r="B24" s="163" t="s">
        <v>629</v>
      </c>
      <c r="C24" s="163" t="s">
        <v>3345</v>
      </c>
      <c r="D24" s="163" t="s">
        <v>6950</v>
      </c>
      <c r="E24" s="163" t="s">
        <v>3169</v>
      </c>
      <c r="F24" s="19"/>
      <c r="G24" s="19"/>
      <c r="H24" s="19"/>
    </row>
    <row r="25">
      <c r="A25" s="14" t="s">
        <v>6952</v>
      </c>
      <c r="B25" s="14"/>
      <c r="C25" s="14"/>
      <c r="D25" s="19"/>
      <c r="E25" s="14">
        <v>55000.0</v>
      </c>
      <c r="F25" s="19"/>
      <c r="G25" s="19"/>
      <c r="H25" s="19"/>
    </row>
    <row r="26">
      <c r="A26" s="14" t="s">
        <v>944</v>
      </c>
      <c r="B26" s="14" t="s">
        <v>18</v>
      </c>
      <c r="D26" s="14" t="s">
        <v>6724</v>
      </c>
      <c r="E26" s="14">
        <v>40000.0</v>
      </c>
      <c r="F26" s="19"/>
      <c r="G26" s="19"/>
      <c r="H26" s="19"/>
    </row>
    <row r="27">
      <c r="A27" s="14" t="s">
        <v>948</v>
      </c>
      <c r="B27" s="14" t="s">
        <v>644</v>
      </c>
      <c r="C27" s="14" t="s">
        <v>18</v>
      </c>
      <c r="D27" s="14" t="s">
        <v>6724</v>
      </c>
      <c r="E27" s="14">
        <v>15000.0</v>
      </c>
      <c r="F27" s="19"/>
      <c r="G27" s="19"/>
      <c r="H27" s="19"/>
    </row>
    <row r="28">
      <c r="A28" s="14" t="s">
        <v>649</v>
      </c>
      <c r="B28" s="14" t="s">
        <v>1055</v>
      </c>
      <c r="C28" s="14" t="s">
        <v>1057</v>
      </c>
      <c r="D28" s="14" t="s">
        <v>6724</v>
      </c>
      <c r="E28" s="14">
        <v>15000.0</v>
      </c>
      <c r="F28" s="19"/>
      <c r="G28" s="19"/>
      <c r="H28" s="19"/>
    </row>
    <row r="29">
      <c r="A29" s="14" t="s">
        <v>957</v>
      </c>
      <c r="B29" s="14" t="s">
        <v>1059</v>
      </c>
      <c r="C29" s="14" t="s">
        <v>9</v>
      </c>
      <c r="D29" s="14" t="s">
        <v>7046</v>
      </c>
      <c r="E29" s="14">
        <v>25000.0</v>
      </c>
      <c r="F29" s="19"/>
      <c r="G29" s="19"/>
      <c r="H29" s="19"/>
    </row>
    <row r="30">
      <c r="A30" s="14" t="s">
        <v>970</v>
      </c>
      <c r="B30" s="14" t="s">
        <v>1064</v>
      </c>
      <c r="C30" s="14" t="s">
        <v>9</v>
      </c>
      <c r="D30" s="14" t="s">
        <v>7047</v>
      </c>
      <c r="E30" s="14">
        <v>25000.0</v>
      </c>
    </row>
    <row r="31">
      <c r="A31" s="14" t="s">
        <v>977</v>
      </c>
      <c r="B31" s="14" t="s">
        <v>1059</v>
      </c>
      <c r="C31" s="14" t="s">
        <v>9</v>
      </c>
      <c r="D31" s="14" t="s">
        <v>7048</v>
      </c>
      <c r="E31" s="14">
        <v>50000.0</v>
      </c>
    </row>
    <row r="32">
      <c r="A32" s="14" t="s">
        <v>726</v>
      </c>
      <c r="C32" s="14" t="s">
        <v>18</v>
      </c>
      <c r="D32" s="14" t="s">
        <v>6724</v>
      </c>
      <c r="E32" s="14">
        <v>150000.0</v>
      </c>
    </row>
    <row r="33">
      <c r="A33" s="14" t="s">
        <v>446</v>
      </c>
      <c r="C33" s="14" t="s">
        <v>9</v>
      </c>
      <c r="D33" s="14" t="s">
        <v>6724</v>
      </c>
      <c r="E33" s="14">
        <v>300000.0</v>
      </c>
    </row>
    <row r="34">
      <c r="D34" s="19"/>
    </row>
    <row r="35">
      <c r="A35" s="263" t="s">
        <v>7049</v>
      </c>
    </row>
    <row r="36">
      <c r="A36" s="163" t="s">
        <v>130</v>
      </c>
      <c r="B36" s="163" t="s">
        <v>3345</v>
      </c>
      <c r="C36" s="163" t="s">
        <v>3169</v>
      </c>
    </row>
  </sheetData>
  <mergeCells count="6">
    <mergeCell ref="A7:H7"/>
    <mergeCell ref="A23:D23"/>
    <mergeCell ref="A32:B32"/>
    <mergeCell ref="A33:B33"/>
    <mergeCell ref="A35:C35"/>
    <mergeCell ref="B26:C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3" width="18.38"/>
    <col customWidth="1" min="4" max="4" width="16.63"/>
  </cols>
  <sheetData>
    <row r="1">
      <c r="A1" s="301" t="s">
        <v>3056</v>
      </c>
    </row>
    <row r="2">
      <c r="A2" s="302" t="s">
        <v>20</v>
      </c>
      <c r="B2" s="302" t="s">
        <v>30</v>
      </c>
      <c r="C2" s="302" t="s">
        <v>12</v>
      </c>
      <c r="D2" s="302" t="s">
        <v>15</v>
      </c>
    </row>
    <row r="3">
      <c r="A3" s="12" t="s">
        <v>7050</v>
      </c>
      <c r="B3" s="12" t="s">
        <v>7051</v>
      </c>
      <c r="C3" s="12" t="s">
        <v>7052</v>
      </c>
      <c r="D3" s="12" t="s">
        <v>7053</v>
      </c>
    </row>
    <row r="4">
      <c r="A4" s="12" t="s">
        <v>7054</v>
      </c>
      <c r="B4" s="12" t="s">
        <v>7055</v>
      </c>
      <c r="C4" s="12" t="s">
        <v>7056</v>
      </c>
      <c r="D4" s="12" t="s">
        <v>7057</v>
      </c>
    </row>
    <row r="5">
      <c r="A5" s="12" t="s">
        <v>7058</v>
      </c>
      <c r="B5" s="12" t="s">
        <v>7059</v>
      </c>
      <c r="C5" s="12" t="s">
        <v>7060</v>
      </c>
      <c r="D5" s="12" t="s">
        <v>7061</v>
      </c>
    </row>
    <row r="6">
      <c r="A6" s="12" t="s">
        <v>7062</v>
      </c>
      <c r="B6" s="12" t="s">
        <v>7063</v>
      </c>
      <c r="C6" s="12" t="s">
        <v>7064</v>
      </c>
      <c r="D6" s="12" t="s">
        <v>7065</v>
      </c>
    </row>
    <row r="7">
      <c r="A7" s="12" t="s">
        <v>7066</v>
      </c>
      <c r="B7" s="12" t="s">
        <v>7067</v>
      </c>
      <c r="C7" s="12" t="s">
        <v>7068</v>
      </c>
      <c r="D7" s="12" t="s">
        <v>7069</v>
      </c>
    </row>
    <row r="8">
      <c r="A8" s="12" t="s">
        <v>7070</v>
      </c>
      <c r="B8" s="12" t="s">
        <v>7071</v>
      </c>
      <c r="C8" s="12" t="s">
        <v>7072</v>
      </c>
      <c r="D8" s="12" t="s">
        <v>7073</v>
      </c>
    </row>
    <row r="9">
      <c r="A9" s="12" t="s">
        <v>7074</v>
      </c>
      <c r="B9" s="12" t="s">
        <v>7075</v>
      </c>
      <c r="C9" s="12" t="s">
        <v>7076</v>
      </c>
      <c r="D9" s="12" t="s">
        <v>7077</v>
      </c>
    </row>
    <row r="10">
      <c r="A10" s="12" t="s">
        <v>7078</v>
      </c>
      <c r="B10" s="12" t="s">
        <v>7079</v>
      </c>
      <c r="C10" s="12" t="s">
        <v>7080</v>
      </c>
      <c r="D10" s="12" t="s">
        <v>7081</v>
      </c>
    </row>
    <row r="11">
      <c r="A11" s="12" t="s">
        <v>7082</v>
      </c>
      <c r="B11" s="12" t="s">
        <v>7083</v>
      </c>
      <c r="C11" s="12" t="s">
        <v>7084</v>
      </c>
      <c r="D11" s="12" t="s">
        <v>7085</v>
      </c>
    </row>
    <row r="12">
      <c r="A12" s="12" t="s">
        <v>7086</v>
      </c>
      <c r="B12" s="12" t="s">
        <v>7087</v>
      </c>
      <c r="C12" s="12" t="s">
        <v>7088</v>
      </c>
    </row>
    <row r="13">
      <c r="B13" s="12" t="s">
        <v>7089</v>
      </c>
      <c r="C13" s="12" t="s">
        <v>7090</v>
      </c>
    </row>
    <row r="14">
      <c r="B14" s="12" t="s">
        <v>7091</v>
      </c>
    </row>
  </sheetData>
  <mergeCells count="1">
    <mergeCell ref="A1:D1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126.1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2" t="s">
        <v>7093</v>
      </c>
      <c r="D1" s="2" t="s">
        <v>7094</v>
      </c>
    </row>
    <row r="2">
      <c r="A2" s="303" t="s">
        <v>7095</v>
      </c>
      <c r="B2" s="206" t="s">
        <v>6641</v>
      </c>
      <c r="D2" s="206" t="s">
        <v>7096</v>
      </c>
      <c r="E2" s="206" t="s">
        <v>7097</v>
      </c>
    </row>
    <row r="3">
      <c r="B3" s="206" t="s">
        <v>6619</v>
      </c>
      <c r="D3" s="206" t="s">
        <v>7098</v>
      </c>
      <c r="E3" s="206" t="s">
        <v>7099</v>
      </c>
    </row>
    <row r="4">
      <c r="B4" s="206" t="s">
        <v>7100</v>
      </c>
      <c r="D4" s="304" t="s">
        <v>7101</v>
      </c>
      <c r="E4" s="304" t="s">
        <v>7102</v>
      </c>
    </row>
    <row r="5">
      <c r="B5" s="206" t="s">
        <v>6610</v>
      </c>
      <c r="D5" s="304" t="s">
        <v>7103</v>
      </c>
      <c r="E5" s="304" t="s">
        <v>7104</v>
      </c>
    </row>
    <row r="6">
      <c r="B6" s="206">
        <v>100.0</v>
      </c>
      <c r="D6" s="304" t="s">
        <v>7105</v>
      </c>
      <c r="E6" s="304" t="s">
        <v>7106</v>
      </c>
    </row>
    <row r="7">
      <c r="B7" s="206" t="s">
        <v>7107</v>
      </c>
      <c r="D7" s="305"/>
      <c r="E7" s="304" t="s">
        <v>7108</v>
      </c>
    </row>
    <row r="8">
      <c r="B8" s="206" t="s">
        <v>7109</v>
      </c>
      <c r="D8" s="305"/>
      <c r="E8" s="304" t="s">
        <v>7110</v>
      </c>
    </row>
    <row r="9">
      <c r="D9" s="305"/>
      <c r="E9" s="304" t="s">
        <v>7111</v>
      </c>
    </row>
    <row r="10">
      <c r="D10" s="305"/>
      <c r="E10" s="304" t="s">
        <v>7112</v>
      </c>
    </row>
    <row r="11">
      <c r="D11" s="206" t="s">
        <v>7113</v>
      </c>
    </row>
    <row r="12">
      <c r="D12" s="206" t="s">
        <v>7114</v>
      </c>
    </row>
    <row r="14">
      <c r="A14" s="306" t="s">
        <v>7115</v>
      </c>
      <c r="I14" s="191"/>
    </row>
    <row r="15">
      <c r="A15" s="206" t="s">
        <v>3345</v>
      </c>
      <c r="B15" s="206" t="s">
        <v>7116</v>
      </c>
      <c r="C15" s="206" t="s">
        <v>7117</v>
      </c>
      <c r="D15" s="206" t="s">
        <v>7118</v>
      </c>
      <c r="E15" s="206" t="s">
        <v>7119</v>
      </c>
      <c r="F15" s="206" t="s">
        <v>7120</v>
      </c>
      <c r="G15" s="206" t="s">
        <v>7121</v>
      </c>
      <c r="H15" s="206" t="s">
        <v>90</v>
      </c>
    </row>
    <row r="16">
      <c r="A16" s="14" t="s">
        <v>11</v>
      </c>
      <c r="B16" s="14">
        <v>14.0</v>
      </c>
      <c r="C16" s="14">
        <v>9.0</v>
      </c>
      <c r="D16" s="14" t="s">
        <v>7122</v>
      </c>
      <c r="E16" s="14">
        <f t="shared" ref="E16:E34" si="1">(C16/B16)*100</f>
        <v>64.28571429</v>
      </c>
      <c r="F16" s="14">
        <v>0.0</v>
      </c>
      <c r="G16" s="19">
        <f t="shared" ref="G16:G34" si="2">E16*6</f>
        <v>385.7142857</v>
      </c>
      <c r="H16" s="307">
        <f t="shared" ref="H16:H34" si="3">F16+G16</f>
        <v>385.7142857</v>
      </c>
    </row>
    <row r="17">
      <c r="A17" s="14" t="s">
        <v>12</v>
      </c>
      <c r="B17" s="14">
        <v>12.0</v>
      </c>
      <c r="C17" s="14">
        <v>7.0</v>
      </c>
      <c r="D17" s="14" t="s">
        <v>7122</v>
      </c>
      <c r="E17" s="14">
        <f t="shared" si="1"/>
        <v>58.33333333</v>
      </c>
      <c r="F17" s="14">
        <v>0.0</v>
      </c>
      <c r="G17" s="19">
        <f t="shared" si="2"/>
        <v>350</v>
      </c>
      <c r="H17" s="307">
        <f t="shared" si="3"/>
        <v>350</v>
      </c>
    </row>
    <row r="18">
      <c r="A18" s="14" t="s">
        <v>18</v>
      </c>
      <c r="B18" s="14">
        <v>6.0</v>
      </c>
      <c r="C18" s="14">
        <v>3.0</v>
      </c>
      <c r="D18" s="14" t="s">
        <v>7122</v>
      </c>
      <c r="E18" s="14">
        <f t="shared" si="1"/>
        <v>50</v>
      </c>
      <c r="F18" s="14">
        <v>0.0</v>
      </c>
      <c r="G18" s="19">
        <f t="shared" si="2"/>
        <v>300</v>
      </c>
      <c r="H18" s="307">
        <f t="shared" si="3"/>
        <v>300</v>
      </c>
    </row>
    <row r="19">
      <c r="A19" s="14" t="s">
        <v>30</v>
      </c>
      <c r="B19" s="14">
        <v>4.0</v>
      </c>
      <c r="C19" s="14">
        <v>2.0</v>
      </c>
      <c r="D19" s="14" t="s">
        <v>7122</v>
      </c>
      <c r="E19" s="14">
        <f t="shared" si="1"/>
        <v>50</v>
      </c>
      <c r="F19" s="14">
        <v>0.0</v>
      </c>
      <c r="G19" s="19">
        <f t="shared" si="2"/>
        <v>300</v>
      </c>
      <c r="H19" s="307">
        <f t="shared" si="3"/>
        <v>300</v>
      </c>
    </row>
    <row r="20">
      <c r="A20" s="14" t="s">
        <v>21</v>
      </c>
      <c r="B20" s="14">
        <v>10.0</v>
      </c>
      <c r="C20" s="14">
        <v>4.0</v>
      </c>
      <c r="D20" s="14" t="s">
        <v>7122</v>
      </c>
      <c r="E20" s="14">
        <f t="shared" si="1"/>
        <v>40</v>
      </c>
      <c r="F20" s="14">
        <v>0.0</v>
      </c>
      <c r="G20" s="19">
        <f t="shared" si="2"/>
        <v>240</v>
      </c>
      <c r="H20" s="307">
        <f t="shared" si="3"/>
        <v>240</v>
      </c>
    </row>
    <row r="21">
      <c r="A21" s="14" t="s">
        <v>16</v>
      </c>
      <c r="B21" s="14">
        <v>8.0</v>
      </c>
      <c r="C21" s="14">
        <v>3.0</v>
      </c>
      <c r="D21" s="14" t="s">
        <v>7122</v>
      </c>
      <c r="E21" s="14">
        <f t="shared" si="1"/>
        <v>37.5</v>
      </c>
      <c r="F21" s="14">
        <v>0.0</v>
      </c>
      <c r="G21" s="19">
        <f t="shared" si="2"/>
        <v>225</v>
      </c>
      <c r="H21" s="307">
        <f t="shared" si="3"/>
        <v>225</v>
      </c>
    </row>
    <row r="22">
      <c r="A22" s="14" t="s">
        <v>9</v>
      </c>
      <c r="B22" s="14">
        <v>3.0</v>
      </c>
      <c r="C22" s="14">
        <v>1.0</v>
      </c>
      <c r="D22" s="14" t="s">
        <v>7122</v>
      </c>
      <c r="E22" s="14">
        <f t="shared" si="1"/>
        <v>33.33333333</v>
      </c>
      <c r="F22" s="14">
        <v>0.0</v>
      </c>
      <c r="G22" s="19">
        <f t="shared" si="2"/>
        <v>200</v>
      </c>
      <c r="H22" s="307">
        <f t="shared" si="3"/>
        <v>200</v>
      </c>
    </row>
    <row r="23">
      <c r="A23" s="14" t="s">
        <v>25</v>
      </c>
      <c r="B23" s="14">
        <v>3.0</v>
      </c>
      <c r="C23" s="14">
        <v>1.0</v>
      </c>
      <c r="D23" s="14" t="s">
        <v>7122</v>
      </c>
      <c r="E23" s="14">
        <f t="shared" si="1"/>
        <v>33.33333333</v>
      </c>
      <c r="F23" s="14">
        <v>0.0</v>
      </c>
      <c r="G23" s="19">
        <f t="shared" si="2"/>
        <v>200</v>
      </c>
      <c r="H23" s="307">
        <f t="shared" si="3"/>
        <v>200</v>
      </c>
    </row>
    <row r="24">
      <c r="A24" s="14" t="s">
        <v>14</v>
      </c>
      <c r="B24" s="14">
        <v>0.0</v>
      </c>
      <c r="C24" s="14">
        <v>0.0</v>
      </c>
      <c r="D24" s="14" t="s">
        <v>7122</v>
      </c>
      <c r="E24" s="14" t="str">
        <f t="shared" si="1"/>
        <v>#DIV/0!</v>
      </c>
      <c r="F24" s="14">
        <v>0.0</v>
      </c>
      <c r="G24" s="19" t="str">
        <f t="shared" si="2"/>
        <v>#DIV/0!</v>
      </c>
      <c r="H24" s="307" t="str">
        <f t="shared" si="3"/>
        <v>#DIV/0!</v>
      </c>
    </row>
    <row r="25" ht="15.75" customHeight="1">
      <c r="A25" s="14" t="s">
        <v>15</v>
      </c>
      <c r="B25" s="14">
        <v>0.0</v>
      </c>
      <c r="C25" s="14">
        <v>0.0</v>
      </c>
      <c r="D25" s="14" t="s">
        <v>7122</v>
      </c>
      <c r="E25" s="14" t="str">
        <f t="shared" si="1"/>
        <v>#DIV/0!</v>
      </c>
      <c r="F25" s="14">
        <v>0.0</v>
      </c>
      <c r="G25" s="19" t="str">
        <f t="shared" si="2"/>
        <v>#DIV/0!</v>
      </c>
      <c r="H25" s="307" t="str">
        <f t="shared" si="3"/>
        <v>#DIV/0!</v>
      </c>
    </row>
    <row r="26">
      <c r="A26" s="14" t="s">
        <v>20</v>
      </c>
      <c r="B26" s="14">
        <v>0.0</v>
      </c>
      <c r="C26" s="14">
        <v>0.0</v>
      </c>
      <c r="D26" s="14" t="s">
        <v>7122</v>
      </c>
      <c r="E26" s="14" t="str">
        <f t="shared" si="1"/>
        <v>#DIV/0!</v>
      </c>
      <c r="F26" s="14">
        <v>0.0</v>
      </c>
      <c r="G26" s="19" t="str">
        <f t="shared" si="2"/>
        <v>#DIV/0!</v>
      </c>
      <c r="H26" s="307" t="str">
        <f t="shared" si="3"/>
        <v>#DIV/0!</v>
      </c>
    </row>
    <row r="27">
      <c r="A27" s="14" t="s">
        <v>23</v>
      </c>
      <c r="B27" s="14">
        <v>0.0</v>
      </c>
      <c r="C27" s="14">
        <v>0.0</v>
      </c>
      <c r="D27" s="14" t="s">
        <v>7122</v>
      </c>
      <c r="E27" s="14" t="str">
        <f t="shared" si="1"/>
        <v>#DIV/0!</v>
      </c>
      <c r="F27" s="14">
        <v>0.0</v>
      </c>
      <c r="G27" s="19" t="str">
        <f t="shared" si="2"/>
        <v>#DIV/0!</v>
      </c>
      <c r="H27" s="307" t="str">
        <f t="shared" si="3"/>
        <v>#DIV/0!</v>
      </c>
    </row>
    <row r="28">
      <c r="A28" s="14" t="s">
        <v>27</v>
      </c>
      <c r="B28" s="14">
        <v>0.0</v>
      </c>
      <c r="C28" s="14">
        <v>0.0</v>
      </c>
      <c r="D28" s="14" t="s">
        <v>7122</v>
      </c>
      <c r="E28" s="14" t="str">
        <f t="shared" si="1"/>
        <v>#DIV/0!</v>
      </c>
      <c r="F28" s="14">
        <v>0.0</v>
      </c>
      <c r="G28" s="19" t="str">
        <f t="shared" si="2"/>
        <v>#DIV/0!</v>
      </c>
      <c r="H28" s="307" t="str">
        <f t="shared" si="3"/>
        <v>#DIV/0!</v>
      </c>
    </row>
    <row r="29">
      <c r="A29" s="14" t="s">
        <v>29</v>
      </c>
      <c r="B29" s="14">
        <v>0.0</v>
      </c>
      <c r="C29" s="14">
        <v>0.0</v>
      </c>
      <c r="D29" s="14" t="s">
        <v>7122</v>
      </c>
      <c r="E29" s="14" t="str">
        <f t="shared" si="1"/>
        <v>#DIV/0!</v>
      </c>
      <c r="F29" s="14">
        <v>0.0</v>
      </c>
      <c r="G29" s="19" t="str">
        <f t="shared" si="2"/>
        <v>#DIV/0!</v>
      </c>
      <c r="H29" s="307" t="str">
        <f t="shared" si="3"/>
        <v>#DIV/0!</v>
      </c>
    </row>
    <row r="30">
      <c r="A30" s="14" t="s">
        <v>33</v>
      </c>
      <c r="B30" s="14">
        <v>0.0</v>
      </c>
      <c r="C30" s="14">
        <v>0.0</v>
      </c>
      <c r="D30" s="14" t="s">
        <v>7122</v>
      </c>
      <c r="E30" s="14" t="str">
        <f t="shared" si="1"/>
        <v>#DIV/0!</v>
      </c>
      <c r="F30" s="14">
        <v>0.0</v>
      </c>
      <c r="G30" s="19" t="str">
        <f t="shared" si="2"/>
        <v>#DIV/0!</v>
      </c>
      <c r="H30" s="307" t="str">
        <f t="shared" si="3"/>
        <v>#DIV/0!</v>
      </c>
    </row>
    <row r="31">
      <c r="A31" s="14" t="s">
        <v>31</v>
      </c>
      <c r="B31" s="14">
        <v>0.0</v>
      </c>
      <c r="C31" s="14">
        <v>0.0</v>
      </c>
      <c r="D31" s="14" t="s">
        <v>7122</v>
      </c>
      <c r="E31" s="14" t="str">
        <f t="shared" si="1"/>
        <v>#DIV/0!</v>
      </c>
      <c r="F31" s="14">
        <v>0.0</v>
      </c>
      <c r="G31" s="19" t="str">
        <f t="shared" si="2"/>
        <v>#DIV/0!</v>
      </c>
      <c r="H31" s="307" t="str">
        <f t="shared" si="3"/>
        <v>#DIV/0!</v>
      </c>
    </row>
    <row r="32">
      <c r="A32" s="14" t="s">
        <v>566</v>
      </c>
      <c r="B32" s="14">
        <v>0.0</v>
      </c>
      <c r="C32" s="14">
        <v>0.0</v>
      </c>
      <c r="D32" s="14" t="s">
        <v>7122</v>
      </c>
      <c r="E32" s="14" t="str">
        <f t="shared" si="1"/>
        <v>#DIV/0!</v>
      </c>
      <c r="F32" s="14">
        <v>0.0</v>
      </c>
      <c r="G32" s="19" t="str">
        <f t="shared" si="2"/>
        <v>#DIV/0!</v>
      </c>
      <c r="H32" s="307" t="str">
        <f t="shared" si="3"/>
        <v>#DIV/0!</v>
      </c>
    </row>
    <row r="33">
      <c r="A33" s="14" t="s">
        <v>574</v>
      </c>
      <c r="B33" s="14">
        <v>0.0</v>
      </c>
      <c r="C33" s="14">
        <v>0.0</v>
      </c>
      <c r="D33" s="14" t="s">
        <v>7122</v>
      </c>
      <c r="E33" s="14" t="str">
        <f t="shared" si="1"/>
        <v>#DIV/0!</v>
      </c>
      <c r="F33" s="14">
        <v>0.0</v>
      </c>
      <c r="G33" s="19" t="str">
        <f t="shared" si="2"/>
        <v>#DIV/0!</v>
      </c>
      <c r="H33" s="307" t="str">
        <f t="shared" si="3"/>
        <v>#DIV/0!</v>
      </c>
    </row>
    <row r="34">
      <c r="A34" s="14" t="s">
        <v>581</v>
      </c>
      <c r="B34" s="14">
        <v>0.0</v>
      </c>
      <c r="C34" s="14">
        <v>0.0</v>
      </c>
      <c r="D34" s="14" t="s">
        <v>7122</v>
      </c>
      <c r="E34" s="14" t="str">
        <f t="shared" si="1"/>
        <v>#DIV/0!</v>
      </c>
      <c r="F34" s="14">
        <v>0.0</v>
      </c>
      <c r="G34" s="19" t="str">
        <f t="shared" si="2"/>
        <v>#DIV/0!</v>
      </c>
      <c r="H34" s="307" t="str">
        <f t="shared" si="3"/>
        <v>#DIV/0!</v>
      </c>
    </row>
    <row r="36">
      <c r="A36" s="306" t="s">
        <v>7124</v>
      </c>
      <c r="I36" s="191"/>
    </row>
    <row r="37">
      <c r="A37" s="206" t="s">
        <v>3345</v>
      </c>
      <c r="B37" s="206" t="s">
        <v>7116</v>
      </c>
      <c r="C37" s="206" t="s">
        <v>7117</v>
      </c>
      <c r="D37" s="206" t="s">
        <v>7118</v>
      </c>
      <c r="E37" s="206" t="s">
        <v>7119</v>
      </c>
      <c r="F37" s="206" t="s">
        <v>7120</v>
      </c>
      <c r="G37" s="206" t="s">
        <v>7121</v>
      </c>
      <c r="H37" s="206" t="s">
        <v>90</v>
      </c>
    </row>
    <row r="38">
      <c r="A38" s="14" t="s">
        <v>23</v>
      </c>
      <c r="B38" s="14">
        <v>9.0</v>
      </c>
      <c r="C38" s="14">
        <v>6.0</v>
      </c>
      <c r="D38" s="14" t="s">
        <v>7125</v>
      </c>
      <c r="E38" s="14">
        <f t="shared" ref="E38:E56" si="4">(C38/B38)*100</f>
        <v>66.66666667</v>
      </c>
      <c r="F38" s="14">
        <v>100.0</v>
      </c>
      <c r="G38" s="19">
        <f t="shared" ref="G38:G56" si="5">E38*6</f>
        <v>400</v>
      </c>
      <c r="H38" s="307">
        <f t="shared" ref="H38:H56" si="6">F38+G38</f>
        <v>500</v>
      </c>
    </row>
    <row r="39">
      <c r="A39" s="14" t="s">
        <v>30</v>
      </c>
      <c r="B39" s="14">
        <v>14.0</v>
      </c>
      <c r="C39" s="14">
        <v>10.0</v>
      </c>
      <c r="D39" s="14" t="s">
        <v>7122</v>
      </c>
      <c r="E39" s="14">
        <f t="shared" si="4"/>
        <v>71.42857143</v>
      </c>
      <c r="F39" s="14">
        <v>0.0</v>
      </c>
      <c r="G39" s="19">
        <f t="shared" si="5"/>
        <v>428.5714286</v>
      </c>
      <c r="H39" s="307">
        <f t="shared" si="6"/>
        <v>428.5714286</v>
      </c>
    </row>
    <row r="40">
      <c r="A40" s="14" t="s">
        <v>12</v>
      </c>
      <c r="B40" s="14">
        <v>28.0</v>
      </c>
      <c r="C40" s="14">
        <v>16.0</v>
      </c>
      <c r="D40" s="14" t="s">
        <v>7126</v>
      </c>
      <c r="E40" s="14">
        <f t="shared" si="4"/>
        <v>57.14285714</v>
      </c>
      <c r="F40" s="14">
        <v>70.0</v>
      </c>
      <c r="G40" s="19">
        <f t="shared" si="5"/>
        <v>342.8571429</v>
      </c>
      <c r="H40" s="307">
        <f t="shared" si="6"/>
        <v>412.8571429</v>
      </c>
    </row>
    <row r="41">
      <c r="A41" s="14" t="s">
        <v>15</v>
      </c>
      <c r="B41" s="14">
        <v>3.0</v>
      </c>
      <c r="C41" s="14">
        <v>2.0</v>
      </c>
      <c r="D41" s="14" t="s">
        <v>7122</v>
      </c>
      <c r="E41" s="14">
        <f t="shared" si="4"/>
        <v>66.66666667</v>
      </c>
      <c r="F41" s="14">
        <v>0.0</v>
      </c>
      <c r="G41" s="19">
        <f t="shared" si="5"/>
        <v>400</v>
      </c>
      <c r="H41" s="307">
        <f t="shared" si="6"/>
        <v>400</v>
      </c>
    </row>
    <row r="42">
      <c r="A42" s="14" t="s">
        <v>9</v>
      </c>
      <c r="B42" s="14">
        <v>16.0</v>
      </c>
      <c r="C42" s="14">
        <v>10.0</v>
      </c>
      <c r="D42" s="14" t="s">
        <v>7122</v>
      </c>
      <c r="E42" s="14">
        <f t="shared" si="4"/>
        <v>62.5</v>
      </c>
      <c r="F42" s="14">
        <v>0.0</v>
      </c>
      <c r="G42" s="19">
        <f t="shared" si="5"/>
        <v>375</v>
      </c>
      <c r="H42" s="307">
        <f t="shared" si="6"/>
        <v>375</v>
      </c>
    </row>
    <row r="43">
      <c r="A43" s="14" t="s">
        <v>11</v>
      </c>
      <c r="B43" s="14">
        <v>9.0</v>
      </c>
      <c r="C43" s="14">
        <v>4.0</v>
      </c>
      <c r="D43" s="14" t="s">
        <v>7122</v>
      </c>
      <c r="E43" s="14">
        <f t="shared" si="4"/>
        <v>44.44444444</v>
      </c>
      <c r="F43" s="14">
        <v>0.0</v>
      </c>
      <c r="G43" s="19">
        <f t="shared" si="5"/>
        <v>266.6666667</v>
      </c>
      <c r="H43" s="307">
        <f t="shared" si="6"/>
        <v>266.6666667</v>
      </c>
    </row>
    <row r="44">
      <c r="A44" s="14" t="s">
        <v>18</v>
      </c>
      <c r="B44" s="14">
        <v>7.0</v>
      </c>
      <c r="C44" s="14">
        <v>3.0</v>
      </c>
      <c r="D44" s="14" t="s">
        <v>7122</v>
      </c>
      <c r="E44" s="14">
        <f t="shared" si="4"/>
        <v>42.85714286</v>
      </c>
      <c r="F44" s="14">
        <v>0.0</v>
      </c>
      <c r="G44" s="19">
        <f t="shared" si="5"/>
        <v>257.1428571</v>
      </c>
      <c r="H44" s="307">
        <f t="shared" si="6"/>
        <v>257.1428571</v>
      </c>
    </row>
    <row r="45">
      <c r="A45" s="14" t="s">
        <v>14</v>
      </c>
      <c r="B45" s="14">
        <v>12.0</v>
      </c>
      <c r="C45" s="14">
        <v>5.0</v>
      </c>
      <c r="D45" s="14" t="s">
        <v>7122</v>
      </c>
      <c r="E45" s="14">
        <f t="shared" si="4"/>
        <v>41.66666667</v>
      </c>
      <c r="F45" s="14">
        <v>0.0</v>
      </c>
      <c r="G45" s="19">
        <f t="shared" si="5"/>
        <v>250</v>
      </c>
      <c r="H45" s="307">
        <f t="shared" si="6"/>
        <v>250</v>
      </c>
    </row>
    <row r="46">
      <c r="A46" s="14" t="s">
        <v>20</v>
      </c>
      <c r="B46" s="14">
        <v>8.0</v>
      </c>
      <c r="C46" s="14">
        <v>3.0</v>
      </c>
      <c r="D46" s="14" t="s">
        <v>7122</v>
      </c>
      <c r="E46" s="14">
        <f t="shared" si="4"/>
        <v>37.5</v>
      </c>
      <c r="F46" s="14">
        <v>0.0</v>
      </c>
      <c r="G46" s="19">
        <f t="shared" si="5"/>
        <v>225</v>
      </c>
      <c r="H46" s="307">
        <f t="shared" si="6"/>
        <v>225</v>
      </c>
    </row>
    <row r="47">
      <c r="A47" s="14" t="s">
        <v>21</v>
      </c>
      <c r="B47" s="14">
        <v>6.0</v>
      </c>
      <c r="C47" s="14">
        <v>2.0</v>
      </c>
      <c r="D47" s="14" t="s">
        <v>7122</v>
      </c>
      <c r="E47" s="14">
        <f t="shared" si="4"/>
        <v>33.33333333</v>
      </c>
      <c r="F47" s="14">
        <v>0.0</v>
      </c>
      <c r="G47" s="19">
        <f t="shared" si="5"/>
        <v>200</v>
      </c>
      <c r="H47" s="307">
        <f t="shared" si="6"/>
        <v>200</v>
      </c>
    </row>
    <row r="48">
      <c r="A48" s="14" t="s">
        <v>16</v>
      </c>
      <c r="B48" s="14">
        <v>5.0</v>
      </c>
      <c r="C48" s="14">
        <v>1.0</v>
      </c>
      <c r="D48" s="14" t="s">
        <v>7122</v>
      </c>
      <c r="E48" s="14">
        <f t="shared" si="4"/>
        <v>20</v>
      </c>
      <c r="F48" s="14">
        <v>0.0</v>
      </c>
      <c r="G48" s="19">
        <f t="shared" si="5"/>
        <v>120</v>
      </c>
      <c r="H48" s="307">
        <f t="shared" si="6"/>
        <v>120</v>
      </c>
    </row>
    <row r="49">
      <c r="A49" s="14" t="s">
        <v>27</v>
      </c>
      <c r="B49" s="14">
        <v>4.0</v>
      </c>
      <c r="C49" s="14">
        <v>1.0</v>
      </c>
      <c r="D49" s="14" t="s">
        <v>7122</v>
      </c>
      <c r="E49" s="14">
        <f t="shared" si="4"/>
        <v>25</v>
      </c>
      <c r="F49" s="14">
        <v>0.0</v>
      </c>
      <c r="G49" s="19">
        <f t="shared" si="5"/>
        <v>150</v>
      </c>
      <c r="H49" s="307">
        <f t="shared" si="6"/>
        <v>150</v>
      </c>
    </row>
    <row r="50">
      <c r="A50" s="14" t="s">
        <v>29</v>
      </c>
      <c r="B50" s="14">
        <v>2.0</v>
      </c>
      <c r="C50" s="14">
        <v>0.0</v>
      </c>
      <c r="D50" s="14" t="s">
        <v>7122</v>
      </c>
      <c r="E50" s="14">
        <f t="shared" si="4"/>
        <v>0</v>
      </c>
      <c r="F50" s="14">
        <v>0.0</v>
      </c>
      <c r="G50" s="19">
        <f t="shared" si="5"/>
        <v>0</v>
      </c>
      <c r="H50" s="307">
        <f t="shared" si="6"/>
        <v>0</v>
      </c>
    </row>
    <row r="51">
      <c r="A51" s="14" t="s">
        <v>25</v>
      </c>
      <c r="B51" s="14">
        <v>0.0</v>
      </c>
      <c r="C51" s="14">
        <v>0.0</v>
      </c>
      <c r="D51" s="14" t="s">
        <v>7122</v>
      </c>
      <c r="E51" s="14" t="str">
        <f t="shared" si="4"/>
        <v>#DIV/0!</v>
      </c>
      <c r="F51" s="14">
        <v>0.0</v>
      </c>
      <c r="G51" s="19" t="str">
        <f t="shared" si="5"/>
        <v>#DIV/0!</v>
      </c>
      <c r="H51" s="307" t="str">
        <f t="shared" si="6"/>
        <v>#DIV/0!</v>
      </c>
    </row>
    <row r="52">
      <c r="A52" s="14" t="s">
        <v>33</v>
      </c>
      <c r="B52" s="14">
        <v>0.0</v>
      </c>
      <c r="C52" s="14">
        <v>0.0</v>
      </c>
      <c r="D52" s="14" t="s">
        <v>7122</v>
      </c>
      <c r="E52" s="14" t="str">
        <f t="shared" si="4"/>
        <v>#DIV/0!</v>
      </c>
      <c r="F52" s="14">
        <v>0.0</v>
      </c>
      <c r="G52" s="19" t="str">
        <f t="shared" si="5"/>
        <v>#DIV/0!</v>
      </c>
      <c r="H52" s="307" t="str">
        <f t="shared" si="6"/>
        <v>#DIV/0!</v>
      </c>
    </row>
    <row r="53">
      <c r="A53" s="14" t="s">
        <v>31</v>
      </c>
      <c r="B53" s="14">
        <v>0.0</v>
      </c>
      <c r="C53" s="14">
        <v>0.0</v>
      </c>
      <c r="D53" s="14" t="s">
        <v>7122</v>
      </c>
      <c r="E53" s="14" t="str">
        <f t="shared" si="4"/>
        <v>#DIV/0!</v>
      </c>
      <c r="F53" s="14">
        <v>0.0</v>
      </c>
      <c r="G53" s="19" t="str">
        <f t="shared" si="5"/>
        <v>#DIV/0!</v>
      </c>
      <c r="H53" s="307" t="str">
        <f t="shared" si="6"/>
        <v>#DIV/0!</v>
      </c>
    </row>
    <row r="54">
      <c r="A54" s="14" t="s">
        <v>566</v>
      </c>
      <c r="B54" s="14">
        <v>0.0</v>
      </c>
      <c r="C54" s="14">
        <v>0.0</v>
      </c>
      <c r="D54" s="14" t="s">
        <v>7122</v>
      </c>
      <c r="E54" s="14" t="str">
        <f t="shared" si="4"/>
        <v>#DIV/0!</v>
      </c>
      <c r="F54" s="14">
        <v>0.0</v>
      </c>
      <c r="G54" s="19" t="str">
        <f t="shared" si="5"/>
        <v>#DIV/0!</v>
      </c>
      <c r="H54" s="307" t="str">
        <f t="shared" si="6"/>
        <v>#DIV/0!</v>
      </c>
    </row>
    <row r="55">
      <c r="A55" s="14" t="s">
        <v>574</v>
      </c>
      <c r="B55" s="14">
        <v>0.0</v>
      </c>
      <c r="C55" s="14">
        <v>0.0</v>
      </c>
      <c r="D55" s="14" t="s">
        <v>7122</v>
      </c>
      <c r="E55" s="14" t="str">
        <f t="shared" si="4"/>
        <v>#DIV/0!</v>
      </c>
      <c r="F55" s="14">
        <v>0.0</v>
      </c>
      <c r="G55" s="19" t="str">
        <f t="shared" si="5"/>
        <v>#DIV/0!</v>
      </c>
      <c r="H55" s="307" t="str">
        <f t="shared" si="6"/>
        <v>#DIV/0!</v>
      </c>
    </row>
    <row r="56">
      <c r="A56" s="14" t="s">
        <v>581</v>
      </c>
      <c r="B56" s="14">
        <v>0.0</v>
      </c>
      <c r="C56" s="14">
        <v>0.0</v>
      </c>
      <c r="D56" s="14" t="s">
        <v>7122</v>
      </c>
      <c r="E56" s="14" t="str">
        <f t="shared" si="4"/>
        <v>#DIV/0!</v>
      </c>
      <c r="F56" s="14">
        <v>0.0</v>
      </c>
      <c r="G56" s="19" t="str">
        <f t="shared" si="5"/>
        <v>#DIV/0!</v>
      </c>
      <c r="H56" s="307" t="str">
        <f t="shared" si="6"/>
        <v>#DIV/0!</v>
      </c>
    </row>
    <row r="58">
      <c r="A58" s="306" t="s">
        <v>7127</v>
      </c>
    </row>
    <row r="59">
      <c r="A59" s="206" t="s">
        <v>3345</v>
      </c>
      <c r="B59" s="206" t="s">
        <v>7116</v>
      </c>
      <c r="C59" s="206" t="s">
        <v>7117</v>
      </c>
      <c r="D59" s="206" t="s">
        <v>7118</v>
      </c>
      <c r="E59" s="206" t="s">
        <v>7119</v>
      </c>
      <c r="F59" s="206" t="s">
        <v>7120</v>
      </c>
      <c r="G59" s="206" t="s">
        <v>7121</v>
      </c>
      <c r="H59" s="206" t="s">
        <v>90</v>
      </c>
    </row>
    <row r="60">
      <c r="A60" s="14" t="s">
        <v>12</v>
      </c>
      <c r="B60" s="14">
        <v>43.0</v>
      </c>
      <c r="C60" s="14">
        <v>25.0</v>
      </c>
      <c r="D60" s="14" t="s">
        <v>7128</v>
      </c>
      <c r="E60" s="14">
        <f t="shared" ref="E60:E78" si="7">(C60/B60)*100</f>
        <v>58.13953488</v>
      </c>
      <c r="F60" s="14">
        <f>70+50</f>
        <v>120</v>
      </c>
      <c r="G60" s="19">
        <f t="shared" ref="G60:G78" si="8">E60*6</f>
        <v>348.8372093</v>
      </c>
      <c r="H60" s="307">
        <f t="shared" ref="H60:H78" si="9">F60+G60</f>
        <v>468.8372093</v>
      </c>
    </row>
    <row r="61">
      <c r="A61" s="14" t="s">
        <v>23</v>
      </c>
      <c r="B61" s="14">
        <v>38.0</v>
      </c>
      <c r="C61" s="14">
        <v>19.0</v>
      </c>
      <c r="D61" s="14" t="s">
        <v>7129</v>
      </c>
      <c r="E61" s="14">
        <f t="shared" si="7"/>
        <v>50</v>
      </c>
      <c r="F61" s="14">
        <v>100.0</v>
      </c>
      <c r="G61" s="19">
        <f t="shared" si="8"/>
        <v>300</v>
      </c>
      <c r="H61" s="307">
        <f t="shared" si="9"/>
        <v>400</v>
      </c>
    </row>
    <row r="62">
      <c r="A62" s="14" t="s">
        <v>9</v>
      </c>
      <c r="B62" s="14">
        <v>35.0</v>
      </c>
      <c r="C62" s="14">
        <v>20.0</v>
      </c>
      <c r="D62" s="14" t="s">
        <v>7122</v>
      </c>
      <c r="E62" s="14">
        <f t="shared" si="7"/>
        <v>57.14285714</v>
      </c>
      <c r="F62" s="14">
        <v>0.0</v>
      </c>
      <c r="G62" s="19">
        <f t="shared" si="8"/>
        <v>342.8571429</v>
      </c>
      <c r="H62" s="307">
        <f t="shared" si="9"/>
        <v>342.8571429</v>
      </c>
    </row>
    <row r="63">
      <c r="A63" s="14" t="s">
        <v>20</v>
      </c>
      <c r="B63" s="14">
        <v>66.0</v>
      </c>
      <c r="C63" s="14">
        <v>35.0</v>
      </c>
      <c r="D63" s="14" t="s">
        <v>7130</v>
      </c>
      <c r="E63" s="14">
        <f t="shared" si="7"/>
        <v>53.03030303</v>
      </c>
      <c r="F63" s="14">
        <v>25.0</v>
      </c>
      <c r="G63" s="19">
        <f t="shared" si="8"/>
        <v>318.1818182</v>
      </c>
      <c r="H63" s="307">
        <f t="shared" si="9"/>
        <v>343.1818182</v>
      </c>
    </row>
    <row r="64">
      <c r="A64" s="14" t="s">
        <v>18</v>
      </c>
      <c r="B64" s="14">
        <v>44.0</v>
      </c>
      <c r="C64" s="14">
        <v>24.0</v>
      </c>
      <c r="D64" s="14" t="s">
        <v>7122</v>
      </c>
      <c r="E64" s="14">
        <f t="shared" si="7"/>
        <v>54.54545455</v>
      </c>
      <c r="F64" s="14">
        <v>0.0</v>
      </c>
      <c r="G64" s="19">
        <f t="shared" si="8"/>
        <v>327.2727273</v>
      </c>
      <c r="H64" s="307">
        <f t="shared" si="9"/>
        <v>327.2727273</v>
      </c>
    </row>
    <row r="65">
      <c r="A65" s="14" t="s">
        <v>14</v>
      </c>
      <c r="B65" s="14">
        <v>13.0</v>
      </c>
      <c r="C65" s="14">
        <v>7.0</v>
      </c>
      <c r="D65" s="14" t="s">
        <v>7122</v>
      </c>
      <c r="E65" s="14">
        <f t="shared" si="7"/>
        <v>53.84615385</v>
      </c>
      <c r="F65" s="14">
        <v>0.0</v>
      </c>
      <c r="G65" s="19">
        <f t="shared" si="8"/>
        <v>323.0769231</v>
      </c>
      <c r="H65" s="307">
        <f t="shared" si="9"/>
        <v>323.0769231</v>
      </c>
    </row>
    <row r="66">
      <c r="A66" s="14" t="s">
        <v>15</v>
      </c>
      <c r="B66" s="14">
        <v>13.0</v>
      </c>
      <c r="C66" s="14">
        <v>7.0</v>
      </c>
      <c r="D66" s="14" t="s">
        <v>7122</v>
      </c>
      <c r="E66" s="14">
        <f t="shared" si="7"/>
        <v>53.84615385</v>
      </c>
      <c r="F66" s="14">
        <v>0.0</v>
      </c>
      <c r="G66" s="19">
        <f t="shared" si="8"/>
        <v>323.0769231</v>
      </c>
      <c r="H66" s="307">
        <f t="shared" si="9"/>
        <v>323.0769231</v>
      </c>
    </row>
    <row r="67">
      <c r="A67" s="14" t="s">
        <v>30</v>
      </c>
      <c r="B67" s="14">
        <v>70.0</v>
      </c>
      <c r="C67" s="14">
        <v>37.0</v>
      </c>
      <c r="D67" s="14" t="s">
        <v>7122</v>
      </c>
      <c r="E67" s="14">
        <f t="shared" si="7"/>
        <v>52.85714286</v>
      </c>
      <c r="F67" s="14">
        <v>0.0</v>
      </c>
      <c r="G67" s="19">
        <f t="shared" si="8"/>
        <v>317.1428571</v>
      </c>
      <c r="H67" s="307">
        <f t="shared" si="9"/>
        <v>317.1428571</v>
      </c>
    </row>
    <row r="68">
      <c r="A68" s="14" t="s">
        <v>27</v>
      </c>
      <c r="B68" s="14">
        <v>33.0</v>
      </c>
      <c r="C68" s="14">
        <v>18.0</v>
      </c>
      <c r="D68" s="14" t="s">
        <v>7122</v>
      </c>
      <c r="E68" s="14">
        <f t="shared" si="7"/>
        <v>54.54545455</v>
      </c>
      <c r="F68" s="14">
        <v>0.0</v>
      </c>
      <c r="G68" s="19">
        <f t="shared" si="8"/>
        <v>327.2727273</v>
      </c>
      <c r="H68" s="307">
        <f t="shared" si="9"/>
        <v>327.2727273</v>
      </c>
    </row>
    <row r="69">
      <c r="A69" s="14" t="s">
        <v>21</v>
      </c>
      <c r="B69" s="14">
        <v>44.0</v>
      </c>
      <c r="C69" s="14">
        <v>20.0</v>
      </c>
      <c r="D69" s="14" t="s">
        <v>7122</v>
      </c>
      <c r="E69" s="14">
        <f t="shared" si="7"/>
        <v>45.45454545</v>
      </c>
      <c r="F69" s="14">
        <v>0.0</v>
      </c>
      <c r="G69" s="19">
        <f t="shared" si="8"/>
        <v>272.7272727</v>
      </c>
      <c r="H69" s="307">
        <f t="shared" si="9"/>
        <v>272.7272727</v>
      </c>
    </row>
    <row r="70">
      <c r="A70" s="14" t="s">
        <v>16</v>
      </c>
      <c r="B70" s="14">
        <v>46.0</v>
      </c>
      <c r="C70" s="14">
        <v>16.0</v>
      </c>
      <c r="D70" s="14" t="s">
        <v>7122</v>
      </c>
      <c r="E70" s="14">
        <f t="shared" si="7"/>
        <v>34.7826087</v>
      </c>
      <c r="F70" s="14">
        <v>0.0</v>
      </c>
      <c r="G70" s="19">
        <f t="shared" si="8"/>
        <v>208.6956522</v>
      </c>
      <c r="H70" s="307">
        <f t="shared" si="9"/>
        <v>208.6956522</v>
      </c>
    </row>
    <row r="71">
      <c r="A71" s="14" t="s">
        <v>29</v>
      </c>
      <c r="B71" s="14">
        <v>5.0</v>
      </c>
      <c r="C71" s="14">
        <v>1.0</v>
      </c>
      <c r="D71" s="14" t="s">
        <v>7122</v>
      </c>
      <c r="E71" s="14">
        <f t="shared" si="7"/>
        <v>20</v>
      </c>
      <c r="F71" s="14">
        <v>0.0</v>
      </c>
      <c r="G71" s="19">
        <f t="shared" si="8"/>
        <v>120</v>
      </c>
      <c r="H71" s="307">
        <f t="shared" si="9"/>
        <v>120</v>
      </c>
    </row>
    <row r="72">
      <c r="A72" s="14" t="s">
        <v>11</v>
      </c>
      <c r="B72" s="14">
        <v>17.0</v>
      </c>
      <c r="C72" s="14">
        <v>3.0</v>
      </c>
      <c r="D72" s="14" t="s">
        <v>7122</v>
      </c>
      <c r="E72" s="14">
        <f t="shared" si="7"/>
        <v>17.64705882</v>
      </c>
      <c r="F72" s="14">
        <v>0.0</v>
      </c>
      <c r="G72" s="19">
        <f t="shared" si="8"/>
        <v>105.8823529</v>
      </c>
      <c r="H72" s="307">
        <f t="shared" si="9"/>
        <v>105.8823529</v>
      </c>
    </row>
    <row r="73">
      <c r="A73" s="14" t="s">
        <v>25</v>
      </c>
      <c r="B73" s="14">
        <v>0.0</v>
      </c>
      <c r="C73" s="14">
        <v>0.0</v>
      </c>
      <c r="D73" s="14" t="s">
        <v>7122</v>
      </c>
      <c r="E73" s="14" t="str">
        <f t="shared" si="7"/>
        <v>#DIV/0!</v>
      </c>
      <c r="F73" s="14">
        <v>0.0</v>
      </c>
      <c r="G73" s="19" t="str">
        <f t="shared" si="8"/>
        <v>#DIV/0!</v>
      </c>
      <c r="H73" s="307" t="str">
        <f t="shared" si="9"/>
        <v>#DIV/0!</v>
      </c>
    </row>
    <row r="74">
      <c r="A74" s="14" t="s">
        <v>33</v>
      </c>
      <c r="B74" s="14">
        <v>4.0</v>
      </c>
      <c r="C74" s="14">
        <v>3.0</v>
      </c>
      <c r="D74" s="14" t="s">
        <v>7122</v>
      </c>
      <c r="E74" s="14">
        <f t="shared" si="7"/>
        <v>75</v>
      </c>
      <c r="F74" s="14">
        <v>0.0</v>
      </c>
      <c r="G74" s="19">
        <f t="shared" si="8"/>
        <v>450</v>
      </c>
      <c r="H74" s="307">
        <f t="shared" si="9"/>
        <v>450</v>
      </c>
    </row>
    <row r="75">
      <c r="A75" s="14" t="s">
        <v>31</v>
      </c>
      <c r="B75" s="14">
        <v>3.0</v>
      </c>
      <c r="C75" s="14">
        <v>1.0</v>
      </c>
      <c r="D75" s="14" t="s">
        <v>7122</v>
      </c>
      <c r="E75" s="14">
        <f t="shared" si="7"/>
        <v>33.33333333</v>
      </c>
      <c r="F75" s="14">
        <v>0.0</v>
      </c>
      <c r="G75" s="19">
        <f t="shared" si="8"/>
        <v>200</v>
      </c>
      <c r="H75" s="307">
        <f t="shared" si="9"/>
        <v>200</v>
      </c>
    </row>
    <row r="76">
      <c r="A76" s="14" t="s">
        <v>566</v>
      </c>
      <c r="B76" s="14">
        <v>0.0</v>
      </c>
      <c r="C76" s="14">
        <v>0.0</v>
      </c>
      <c r="D76" s="14" t="s">
        <v>7122</v>
      </c>
      <c r="E76" s="14" t="str">
        <f t="shared" si="7"/>
        <v>#DIV/0!</v>
      </c>
      <c r="F76" s="14">
        <v>0.0</v>
      </c>
      <c r="G76" s="19" t="str">
        <f t="shared" si="8"/>
        <v>#DIV/0!</v>
      </c>
      <c r="H76" s="307" t="str">
        <f t="shared" si="9"/>
        <v>#DIV/0!</v>
      </c>
    </row>
    <row r="77">
      <c r="A77" s="14" t="s">
        <v>574</v>
      </c>
      <c r="B77" s="14">
        <v>1.0</v>
      </c>
      <c r="C77" s="14">
        <v>0.0</v>
      </c>
      <c r="D77" s="14" t="s">
        <v>7122</v>
      </c>
      <c r="E77" s="14">
        <f t="shared" si="7"/>
        <v>0</v>
      </c>
      <c r="F77" s="14">
        <v>0.0</v>
      </c>
      <c r="G77" s="19">
        <f t="shared" si="8"/>
        <v>0</v>
      </c>
      <c r="H77" s="307">
        <f t="shared" si="9"/>
        <v>0</v>
      </c>
    </row>
    <row r="78">
      <c r="A78" s="14" t="s">
        <v>581</v>
      </c>
      <c r="B78" s="14">
        <v>0.0</v>
      </c>
      <c r="C78" s="14">
        <v>0.0</v>
      </c>
      <c r="D78" s="14" t="s">
        <v>7122</v>
      </c>
      <c r="E78" s="14" t="str">
        <f t="shared" si="7"/>
        <v>#DIV/0!</v>
      </c>
      <c r="F78" s="14">
        <v>0.0</v>
      </c>
      <c r="G78" s="19" t="str">
        <f t="shared" si="8"/>
        <v>#DIV/0!</v>
      </c>
      <c r="H78" s="307" t="str">
        <f t="shared" si="9"/>
        <v>#DIV/0!</v>
      </c>
    </row>
    <row r="80">
      <c r="A80" s="306" t="s">
        <v>7131</v>
      </c>
    </row>
    <row r="81">
      <c r="A81" s="206" t="s">
        <v>3345</v>
      </c>
      <c r="B81" s="206" t="s">
        <v>7116</v>
      </c>
      <c r="C81" s="206" t="s">
        <v>7117</v>
      </c>
      <c r="D81" s="206" t="s">
        <v>7118</v>
      </c>
      <c r="E81" s="206" t="s">
        <v>7119</v>
      </c>
      <c r="F81" s="206" t="s">
        <v>7120</v>
      </c>
      <c r="G81" s="206" t="s">
        <v>7121</v>
      </c>
      <c r="H81" s="206" t="s">
        <v>90</v>
      </c>
    </row>
    <row r="82">
      <c r="A82" s="14" t="s">
        <v>20</v>
      </c>
      <c r="B82" s="14">
        <v>6.0</v>
      </c>
      <c r="C82" s="14">
        <v>3.0</v>
      </c>
      <c r="D82" s="14" t="s">
        <v>7122</v>
      </c>
      <c r="E82" s="14">
        <f t="shared" ref="E82:E100" si="10">(C82/B82)*100</f>
        <v>50</v>
      </c>
      <c r="F82" s="14">
        <v>0.0</v>
      </c>
      <c r="G82" s="19">
        <f t="shared" ref="G82:G100" si="11">E82*6</f>
        <v>300</v>
      </c>
      <c r="H82" s="307">
        <f t="shared" ref="H82:H100" si="12">F82+G82</f>
        <v>300</v>
      </c>
    </row>
    <row r="83">
      <c r="A83" s="14" t="s">
        <v>9</v>
      </c>
      <c r="B83" s="14">
        <v>18.0</v>
      </c>
      <c r="C83" s="14">
        <v>9.0</v>
      </c>
      <c r="D83" s="14" t="s">
        <v>7132</v>
      </c>
      <c r="E83" s="14">
        <f t="shared" si="10"/>
        <v>50</v>
      </c>
      <c r="F83" s="14">
        <v>100.0</v>
      </c>
      <c r="G83" s="19">
        <f t="shared" si="11"/>
        <v>300</v>
      </c>
      <c r="H83" s="307">
        <f t="shared" si="12"/>
        <v>400</v>
      </c>
    </row>
    <row r="84">
      <c r="A84" s="14" t="s">
        <v>16</v>
      </c>
      <c r="B84" s="14">
        <v>14.0</v>
      </c>
      <c r="C84" s="14">
        <v>5.0</v>
      </c>
      <c r="D84" s="14" t="s">
        <v>7122</v>
      </c>
      <c r="E84" s="14">
        <f t="shared" si="10"/>
        <v>35.71428571</v>
      </c>
      <c r="F84" s="14">
        <v>0.0</v>
      </c>
      <c r="G84" s="19">
        <f t="shared" si="11"/>
        <v>214.2857143</v>
      </c>
      <c r="H84" s="307">
        <f t="shared" si="12"/>
        <v>214.2857143</v>
      </c>
    </row>
    <row r="85">
      <c r="A85" s="14" t="s">
        <v>30</v>
      </c>
      <c r="B85" s="14">
        <v>13.0</v>
      </c>
      <c r="C85" s="14">
        <v>6.0</v>
      </c>
      <c r="D85" s="14" t="s">
        <v>7122</v>
      </c>
      <c r="E85" s="14">
        <f t="shared" si="10"/>
        <v>46.15384615</v>
      </c>
      <c r="F85" s="14">
        <v>0.0</v>
      </c>
      <c r="G85" s="19">
        <f t="shared" si="11"/>
        <v>276.9230769</v>
      </c>
      <c r="H85" s="307">
        <f t="shared" si="12"/>
        <v>276.9230769</v>
      </c>
    </row>
    <row r="86">
      <c r="A86" s="14" t="s">
        <v>27</v>
      </c>
      <c r="B86" s="14">
        <v>9.0</v>
      </c>
      <c r="C86" s="14">
        <v>4.0</v>
      </c>
      <c r="D86" s="14" t="s">
        <v>7122</v>
      </c>
      <c r="E86" s="14">
        <f t="shared" si="10"/>
        <v>44.44444444</v>
      </c>
      <c r="F86" s="14">
        <v>0.0</v>
      </c>
      <c r="G86" s="19">
        <f t="shared" si="11"/>
        <v>266.6666667</v>
      </c>
      <c r="H86" s="307">
        <f t="shared" si="12"/>
        <v>266.6666667</v>
      </c>
    </row>
    <row r="87">
      <c r="A87" s="14" t="s">
        <v>12</v>
      </c>
      <c r="B87" s="14">
        <v>20.0</v>
      </c>
      <c r="C87" s="14">
        <v>12.0</v>
      </c>
      <c r="D87" s="14" t="s">
        <v>7133</v>
      </c>
      <c r="E87" s="14">
        <f t="shared" si="10"/>
        <v>60</v>
      </c>
      <c r="F87" s="14">
        <v>100.0</v>
      </c>
      <c r="G87" s="19">
        <f t="shared" si="11"/>
        <v>360</v>
      </c>
      <c r="H87" s="307">
        <f t="shared" si="12"/>
        <v>460</v>
      </c>
    </row>
    <row r="88">
      <c r="A88" s="14" t="s">
        <v>14</v>
      </c>
      <c r="B88" s="14">
        <v>8.0</v>
      </c>
      <c r="C88" s="14">
        <v>4.0</v>
      </c>
      <c r="D88" s="14" t="s">
        <v>7122</v>
      </c>
      <c r="E88" s="14">
        <f t="shared" si="10"/>
        <v>50</v>
      </c>
      <c r="F88" s="14">
        <v>0.0</v>
      </c>
      <c r="G88" s="19">
        <f t="shared" si="11"/>
        <v>300</v>
      </c>
      <c r="H88" s="307">
        <f t="shared" si="12"/>
        <v>300</v>
      </c>
    </row>
    <row r="89">
      <c r="A89" s="14" t="s">
        <v>11</v>
      </c>
      <c r="B89" s="14">
        <v>19.0</v>
      </c>
      <c r="C89" s="14">
        <v>12.0</v>
      </c>
      <c r="D89" s="14" t="s">
        <v>7134</v>
      </c>
      <c r="E89" s="14">
        <f t="shared" si="10"/>
        <v>63.15789474</v>
      </c>
      <c r="F89" s="14">
        <v>70.0</v>
      </c>
      <c r="G89" s="19">
        <f t="shared" si="11"/>
        <v>378.9473684</v>
      </c>
      <c r="H89" s="307">
        <f t="shared" si="12"/>
        <v>448.9473684</v>
      </c>
    </row>
    <row r="90">
      <c r="A90" s="14" t="s">
        <v>18</v>
      </c>
      <c r="B90" s="14">
        <v>12.0</v>
      </c>
      <c r="C90" s="14">
        <v>5.0</v>
      </c>
      <c r="D90" s="14" t="s">
        <v>7135</v>
      </c>
      <c r="E90" s="14">
        <f t="shared" si="10"/>
        <v>41.66666667</v>
      </c>
      <c r="F90" s="14">
        <v>70.0</v>
      </c>
      <c r="G90" s="19">
        <f t="shared" si="11"/>
        <v>250</v>
      </c>
      <c r="H90" s="307">
        <f t="shared" si="12"/>
        <v>320</v>
      </c>
    </row>
    <row r="91">
      <c r="A91" s="14" t="s">
        <v>25</v>
      </c>
      <c r="B91" s="14">
        <v>8.0</v>
      </c>
      <c r="C91" s="14">
        <v>2.0</v>
      </c>
      <c r="D91" s="14" t="s">
        <v>7122</v>
      </c>
      <c r="E91" s="14">
        <f t="shared" si="10"/>
        <v>25</v>
      </c>
      <c r="F91" s="14">
        <v>0.0</v>
      </c>
      <c r="G91" s="19">
        <f t="shared" si="11"/>
        <v>150</v>
      </c>
      <c r="H91" s="307">
        <f t="shared" si="12"/>
        <v>150</v>
      </c>
    </row>
    <row r="92">
      <c r="A92" s="14" t="s">
        <v>29</v>
      </c>
      <c r="B92" s="14">
        <v>11.0</v>
      </c>
      <c r="C92" s="14">
        <v>6.0</v>
      </c>
      <c r="D92" s="14" t="s">
        <v>7122</v>
      </c>
      <c r="E92" s="14">
        <f t="shared" si="10"/>
        <v>54.54545455</v>
      </c>
      <c r="F92" s="14">
        <v>0.0</v>
      </c>
      <c r="G92" s="19">
        <f t="shared" si="11"/>
        <v>327.2727273</v>
      </c>
      <c r="H92" s="307">
        <f t="shared" si="12"/>
        <v>327.2727273</v>
      </c>
    </row>
    <row r="93">
      <c r="A93" s="14" t="s">
        <v>21</v>
      </c>
      <c r="B93" s="14">
        <v>7.0</v>
      </c>
      <c r="C93" s="14">
        <v>5.0</v>
      </c>
      <c r="D93" s="14" t="s">
        <v>7136</v>
      </c>
      <c r="E93" s="14">
        <f t="shared" si="10"/>
        <v>71.42857143</v>
      </c>
      <c r="F93" s="14">
        <v>100.0</v>
      </c>
      <c r="G93" s="19">
        <f t="shared" si="11"/>
        <v>428.5714286</v>
      </c>
      <c r="H93" s="307">
        <f t="shared" si="12"/>
        <v>528.5714286</v>
      </c>
    </row>
    <row r="94">
      <c r="A94" s="14" t="s">
        <v>15</v>
      </c>
      <c r="B94" s="14">
        <v>7.0</v>
      </c>
      <c r="C94" s="14">
        <v>4.0</v>
      </c>
      <c r="D94" s="14" t="s">
        <v>7138</v>
      </c>
      <c r="E94" s="14">
        <f t="shared" si="10"/>
        <v>57.14285714</v>
      </c>
      <c r="F94" s="14">
        <v>70.0</v>
      </c>
      <c r="G94" s="19">
        <f t="shared" si="11"/>
        <v>342.8571429</v>
      </c>
      <c r="H94" s="307">
        <f t="shared" si="12"/>
        <v>412.8571429</v>
      </c>
    </row>
    <row r="95">
      <c r="A95" s="14" t="s">
        <v>23</v>
      </c>
      <c r="B95" s="14">
        <v>6.0</v>
      </c>
      <c r="C95" s="14">
        <v>3.0</v>
      </c>
      <c r="D95" s="14" t="s">
        <v>7122</v>
      </c>
      <c r="E95" s="14">
        <f t="shared" si="10"/>
        <v>50</v>
      </c>
      <c r="F95" s="14">
        <v>0.0</v>
      </c>
      <c r="G95" s="19">
        <f t="shared" si="11"/>
        <v>300</v>
      </c>
      <c r="H95" s="307">
        <f t="shared" si="12"/>
        <v>300</v>
      </c>
    </row>
    <row r="96">
      <c r="A96" s="14" t="s">
        <v>33</v>
      </c>
      <c r="B96" s="14">
        <v>0.0</v>
      </c>
      <c r="C96" s="14">
        <v>0.0</v>
      </c>
      <c r="D96" s="14" t="s">
        <v>7122</v>
      </c>
      <c r="E96" s="14" t="str">
        <f t="shared" si="10"/>
        <v>#DIV/0!</v>
      </c>
      <c r="F96" s="14">
        <v>0.0</v>
      </c>
      <c r="G96" s="19" t="str">
        <f t="shared" si="11"/>
        <v>#DIV/0!</v>
      </c>
      <c r="H96" s="307" t="str">
        <f t="shared" si="12"/>
        <v>#DIV/0!</v>
      </c>
    </row>
    <row r="97">
      <c r="A97" s="14" t="s">
        <v>31</v>
      </c>
      <c r="B97" s="14">
        <v>0.0</v>
      </c>
      <c r="C97" s="14">
        <v>0.0</v>
      </c>
      <c r="D97" s="14" t="s">
        <v>7122</v>
      </c>
      <c r="E97" s="14" t="str">
        <f t="shared" si="10"/>
        <v>#DIV/0!</v>
      </c>
      <c r="F97" s="14">
        <v>0.0</v>
      </c>
      <c r="G97" s="19" t="str">
        <f t="shared" si="11"/>
        <v>#DIV/0!</v>
      </c>
      <c r="H97" s="307" t="str">
        <f t="shared" si="12"/>
        <v>#DIV/0!</v>
      </c>
    </row>
    <row r="98">
      <c r="A98" s="14" t="s">
        <v>566</v>
      </c>
      <c r="B98" s="14">
        <v>0.0</v>
      </c>
      <c r="C98" s="14">
        <v>0.0</v>
      </c>
      <c r="D98" s="14" t="s">
        <v>7122</v>
      </c>
      <c r="E98" s="14" t="str">
        <f t="shared" si="10"/>
        <v>#DIV/0!</v>
      </c>
      <c r="F98" s="14">
        <v>0.0</v>
      </c>
      <c r="G98" s="19" t="str">
        <f t="shared" si="11"/>
        <v>#DIV/0!</v>
      </c>
      <c r="H98" s="307" t="str">
        <f t="shared" si="12"/>
        <v>#DIV/0!</v>
      </c>
    </row>
    <row r="99">
      <c r="A99" s="14" t="s">
        <v>574</v>
      </c>
      <c r="B99" s="14">
        <v>0.0</v>
      </c>
      <c r="C99" s="14">
        <v>0.0</v>
      </c>
      <c r="D99" s="14" t="s">
        <v>7122</v>
      </c>
      <c r="E99" s="14" t="str">
        <f t="shared" si="10"/>
        <v>#DIV/0!</v>
      </c>
      <c r="F99" s="14">
        <v>0.0</v>
      </c>
      <c r="G99" s="19" t="str">
        <f t="shared" si="11"/>
        <v>#DIV/0!</v>
      </c>
      <c r="H99" s="307" t="str">
        <f t="shared" si="12"/>
        <v>#DIV/0!</v>
      </c>
    </row>
    <row r="100">
      <c r="A100" s="14" t="s">
        <v>581</v>
      </c>
      <c r="B100" s="14">
        <v>0.0</v>
      </c>
      <c r="C100" s="14">
        <v>0.0</v>
      </c>
      <c r="D100" s="14" t="s">
        <v>7122</v>
      </c>
      <c r="E100" s="14" t="str">
        <f t="shared" si="10"/>
        <v>#DIV/0!</v>
      </c>
      <c r="F100" s="14">
        <v>0.0</v>
      </c>
      <c r="G100" s="19" t="str">
        <f t="shared" si="11"/>
        <v>#DIV/0!</v>
      </c>
      <c r="H100" s="307" t="str">
        <f t="shared" si="12"/>
        <v>#DIV/0!</v>
      </c>
    </row>
    <row r="102">
      <c r="A102" s="306" t="s">
        <v>7140</v>
      </c>
    </row>
    <row r="103">
      <c r="A103" s="206" t="s">
        <v>3345</v>
      </c>
      <c r="B103" s="206" t="s">
        <v>7116</v>
      </c>
      <c r="C103" s="206" t="s">
        <v>7117</v>
      </c>
      <c r="D103" s="206" t="s">
        <v>7118</v>
      </c>
      <c r="E103" s="206" t="s">
        <v>7119</v>
      </c>
      <c r="F103" s="206" t="s">
        <v>7120</v>
      </c>
      <c r="G103" s="206" t="s">
        <v>7121</v>
      </c>
      <c r="H103" s="206" t="s">
        <v>90</v>
      </c>
    </row>
    <row r="104">
      <c r="A104" s="14" t="s">
        <v>11</v>
      </c>
      <c r="B104" s="14">
        <v>0.0</v>
      </c>
      <c r="C104" s="14">
        <v>0.0</v>
      </c>
      <c r="D104" s="14" t="s">
        <v>7122</v>
      </c>
      <c r="E104" s="14" t="str">
        <f t="shared" ref="E104:E122" si="13">(C104/B104)*100</f>
        <v>#DIV/0!</v>
      </c>
      <c r="F104" s="14">
        <v>0.0</v>
      </c>
      <c r="G104" s="19" t="str">
        <f t="shared" ref="G104:G122" si="14">E104*6</f>
        <v>#DIV/0!</v>
      </c>
      <c r="H104" s="307" t="str">
        <f t="shared" ref="H104:H122" si="15">F104+G104</f>
        <v>#DIV/0!</v>
      </c>
    </row>
    <row r="105">
      <c r="A105" s="14" t="s">
        <v>12</v>
      </c>
      <c r="B105" s="14">
        <v>0.0</v>
      </c>
      <c r="C105" s="14">
        <v>0.0</v>
      </c>
      <c r="D105" s="14" t="s">
        <v>7122</v>
      </c>
      <c r="E105" s="14" t="str">
        <f t="shared" si="13"/>
        <v>#DIV/0!</v>
      </c>
      <c r="F105" s="14">
        <v>0.0</v>
      </c>
      <c r="G105" s="19" t="str">
        <f t="shared" si="14"/>
        <v>#DIV/0!</v>
      </c>
      <c r="H105" s="307" t="str">
        <f t="shared" si="15"/>
        <v>#DIV/0!</v>
      </c>
    </row>
    <row r="106">
      <c r="A106" s="14" t="s">
        <v>18</v>
      </c>
      <c r="B106" s="14">
        <v>0.0</v>
      </c>
      <c r="C106" s="14">
        <v>0.0</v>
      </c>
      <c r="D106" s="14" t="s">
        <v>7122</v>
      </c>
      <c r="E106" s="14" t="str">
        <f t="shared" si="13"/>
        <v>#DIV/0!</v>
      </c>
      <c r="F106" s="14">
        <v>0.0</v>
      </c>
      <c r="G106" s="19" t="str">
        <f t="shared" si="14"/>
        <v>#DIV/0!</v>
      </c>
      <c r="H106" s="307" t="str">
        <f t="shared" si="15"/>
        <v>#DIV/0!</v>
      </c>
    </row>
    <row r="107">
      <c r="A107" s="14" t="s">
        <v>30</v>
      </c>
      <c r="B107" s="14">
        <v>0.0</v>
      </c>
      <c r="C107" s="14">
        <v>0.0</v>
      </c>
      <c r="D107" s="14" t="s">
        <v>7122</v>
      </c>
      <c r="E107" s="14" t="str">
        <f t="shared" si="13"/>
        <v>#DIV/0!</v>
      </c>
      <c r="F107" s="14">
        <v>0.0</v>
      </c>
      <c r="G107" s="19" t="str">
        <f t="shared" si="14"/>
        <v>#DIV/0!</v>
      </c>
      <c r="H107" s="307" t="str">
        <f t="shared" si="15"/>
        <v>#DIV/0!</v>
      </c>
    </row>
    <row r="108">
      <c r="A108" s="14" t="s">
        <v>21</v>
      </c>
      <c r="B108" s="14">
        <v>0.0</v>
      </c>
      <c r="C108" s="14">
        <v>0.0</v>
      </c>
      <c r="D108" s="14" t="s">
        <v>7122</v>
      </c>
      <c r="E108" s="14" t="str">
        <f t="shared" si="13"/>
        <v>#DIV/0!</v>
      </c>
      <c r="F108" s="14">
        <v>0.0</v>
      </c>
      <c r="G108" s="19" t="str">
        <f t="shared" si="14"/>
        <v>#DIV/0!</v>
      </c>
      <c r="H108" s="307" t="str">
        <f t="shared" si="15"/>
        <v>#DIV/0!</v>
      </c>
    </row>
    <row r="109">
      <c r="A109" s="14" t="s">
        <v>16</v>
      </c>
      <c r="B109" s="14">
        <v>0.0</v>
      </c>
      <c r="C109" s="14">
        <v>0.0</v>
      </c>
      <c r="D109" s="14" t="s">
        <v>7122</v>
      </c>
      <c r="E109" s="14" t="str">
        <f t="shared" si="13"/>
        <v>#DIV/0!</v>
      </c>
      <c r="F109" s="14">
        <v>0.0</v>
      </c>
      <c r="G109" s="19" t="str">
        <f t="shared" si="14"/>
        <v>#DIV/0!</v>
      </c>
      <c r="H109" s="307" t="str">
        <f t="shared" si="15"/>
        <v>#DIV/0!</v>
      </c>
    </row>
    <row r="110">
      <c r="A110" s="14" t="s">
        <v>9</v>
      </c>
      <c r="B110" s="14">
        <v>0.0</v>
      </c>
      <c r="C110" s="14">
        <v>0.0</v>
      </c>
      <c r="D110" s="14" t="s">
        <v>7122</v>
      </c>
      <c r="E110" s="14" t="str">
        <f t="shared" si="13"/>
        <v>#DIV/0!</v>
      </c>
      <c r="F110" s="14">
        <v>0.0</v>
      </c>
      <c r="G110" s="19" t="str">
        <f t="shared" si="14"/>
        <v>#DIV/0!</v>
      </c>
      <c r="H110" s="307" t="str">
        <f t="shared" si="15"/>
        <v>#DIV/0!</v>
      </c>
    </row>
    <row r="111">
      <c r="A111" s="14" t="s">
        <v>25</v>
      </c>
      <c r="B111" s="14">
        <v>0.0</v>
      </c>
      <c r="C111" s="14">
        <v>0.0</v>
      </c>
      <c r="D111" s="14" t="s">
        <v>7122</v>
      </c>
      <c r="E111" s="14" t="str">
        <f t="shared" si="13"/>
        <v>#DIV/0!</v>
      </c>
      <c r="F111" s="14">
        <v>0.0</v>
      </c>
      <c r="G111" s="19" t="str">
        <f t="shared" si="14"/>
        <v>#DIV/0!</v>
      </c>
      <c r="H111" s="307" t="str">
        <f t="shared" si="15"/>
        <v>#DIV/0!</v>
      </c>
    </row>
    <row r="112">
      <c r="A112" s="14" t="s">
        <v>14</v>
      </c>
      <c r="B112" s="14">
        <v>0.0</v>
      </c>
      <c r="C112" s="14">
        <v>0.0</v>
      </c>
      <c r="D112" s="14" t="s">
        <v>7122</v>
      </c>
      <c r="E112" s="14" t="str">
        <f t="shared" si="13"/>
        <v>#DIV/0!</v>
      </c>
      <c r="F112" s="14">
        <v>0.0</v>
      </c>
      <c r="G112" s="19" t="str">
        <f t="shared" si="14"/>
        <v>#DIV/0!</v>
      </c>
      <c r="H112" s="307" t="str">
        <f t="shared" si="15"/>
        <v>#DIV/0!</v>
      </c>
    </row>
    <row r="113">
      <c r="A113" s="14" t="s">
        <v>15</v>
      </c>
      <c r="B113" s="14">
        <v>0.0</v>
      </c>
      <c r="C113" s="14">
        <v>0.0</v>
      </c>
      <c r="D113" s="14" t="s">
        <v>7122</v>
      </c>
      <c r="E113" s="14" t="str">
        <f t="shared" si="13"/>
        <v>#DIV/0!</v>
      </c>
      <c r="F113" s="14">
        <v>0.0</v>
      </c>
      <c r="G113" s="19" t="str">
        <f t="shared" si="14"/>
        <v>#DIV/0!</v>
      </c>
      <c r="H113" s="307" t="str">
        <f t="shared" si="15"/>
        <v>#DIV/0!</v>
      </c>
    </row>
    <row r="114">
      <c r="A114" s="14" t="s">
        <v>20</v>
      </c>
      <c r="B114" s="14">
        <v>0.0</v>
      </c>
      <c r="C114" s="14">
        <v>0.0</v>
      </c>
      <c r="D114" s="14" t="s">
        <v>7122</v>
      </c>
      <c r="E114" s="14" t="str">
        <f t="shared" si="13"/>
        <v>#DIV/0!</v>
      </c>
      <c r="F114" s="14">
        <v>0.0</v>
      </c>
      <c r="G114" s="19" t="str">
        <f t="shared" si="14"/>
        <v>#DIV/0!</v>
      </c>
      <c r="H114" s="307" t="str">
        <f t="shared" si="15"/>
        <v>#DIV/0!</v>
      </c>
    </row>
    <row r="115">
      <c r="A115" s="14" t="s">
        <v>23</v>
      </c>
      <c r="B115" s="14">
        <v>0.0</v>
      </c>
      <c r="C115" s="14">
        <v>0.0</v>
      </c>
      <c r="D115" s="14" t="s">
        <v>7122</v>
      </c>
      <c r="E115" s="14" t="str">
        <f t="shared" si="13"/>
        <v>#DIV/0!</v>
      </c>
      <c r="F115" s="14">
        <v>0.0</v>
      </c>
      <c r="G115" s="19" t="str">
        <f t="shared" si="14"/>
        <v>#DIV/0!</v>
      </c>
      <c r="H115" s="307" t="str">
        <f t="shared" si="15"/>
        <v>#DIV/0!</v>
      </c>
    </row>
    <row r="116">
      <c r="A116" s="14" t="s">
        <v>27</v>
      </c>
      <c r="B116" s="14">
        <v>0.0</v>
      </c>
      <c r="C116" s="14">
        <v>0.0</v>
      </c>
      <c r="D116" s="14" t="s">
        <v>7122</v>
      </c>
      <c r="E116" s="14" t="str">
        <f t="shared" si="13"/>
        <v>#DIV/0!</v>
      </c>
      <c r="F116" s="14">
        <v>0.0</v>
      </c>
      <c r="G116" s="19" t="str">
        <f t="shared" si="14"/>
        <v>#DIV/0!</v>
      </c>
      <c r="H116" s="307" t="str">
        <f t="shared" si="15"/>
        <v>#DIV/0!</v>
      </c>
    </row>
    <row r="117">
      <c r="A117" s="14" t="s">
        <v>29</v>
      </c>
      <c r="B117" s="14">
        <v>0.0</v>
      </c>
      <c r="C117" s="14">
        <v>0.0</v>
      </c>
      <c r="D117" s="14" t="s">
        <v>7122</v>
      </c>
      <c r="E117" s="14" t="str">
        <f t="shared" si="13"/>
        <v>#DIV/0!</v>
      </c>
      <c r="F117" s="14">
        <v>0.0</v>
      </c>
      <c r="G117" s="19" t="str">
        <f t="shared" si="14"/>
        <v>#DIV/0!</v>
      </c>
      <c r="H117" s="307" t="str">
        <f t="shared" si="15"/>
        <v>#DIV/0!</v>
      </c>
    </row>
    <row r="118">
      <c r="A118" s="14" t="s">
        <v>33</v>
      </c>
      <c r="B118" s="14">
        <v>0.0</v>
      </c>
      <c r="C118" s="14">
        <v>0.0</v>
      </c>
      <c r="D118" s="14" t="s">
        <v>7122</v>
      </c>
      <c r="E118" s="14" t="str">
        <f t="shared" si="13"/>
        <v>#DIV/0!</v>
      </c>
      <c r="F118" s="14">
        <v>0.0</v>
      </c>
      <c r="G118" s="19" t="str">
        <f t="shared" si="14"/>
        <v>#DIV/0!</v>
      </c>
      <c r="H118" s="307" t="str">
        <f t="shared" si="15"/>
        <v>#DIV/0!</v>
      </c>
    </row>
    <row r="119">
      <c r="A119" s="14" t="s">
        <v>31</v>
      </c>
      <c r="B119" s="14">
        <v>0.0</v>
      </c>
      <c r="C119" s="14">
        <v>0.0</v>
      </c>
      <c r="D119" s="14" t="s">
        <v>7122</v>
      </c>
      <c r="E119" s="14" t="str">
        <f t="shared" si="13"/>
        <v>#DIV/0!</v>
      </c>
      <c r="F119" s="14">
        <v>0.0</v>
      </c>
      <c r="G119" s="19" t="str">
        <f t="shared" si="14"/>
        <v>#DIV/0!</v>
      </c>
      <c r="H119" s="307" t="str">
        <f t="shared" si="15"/>
        <v>#DIV/0!</v>
      </c>
    </row>
    <row r="120">
      <c r="A120" s="14" t="s">
        <v>566</v>
      </c>
      <c r="B120" s="14">
        <v>0.0</v>
      </c>
      <c r="C120" s="14">
        <v>0.0</v>
      </c>
      <c r="D120" s="14" t="s">
        <v>7122</v>
      </c>
      <c r="E120" s="14" t="str">
        <f t="shared" si="13"/>
        <v>#DIV/0!</v>
      </c>
      <c r="F120" s="14">
        <v>0.0</v>
      </c>
      <c r="G120" s="19" t="str">
        <f t="shared" si="14"/>
        <v>#DIV/0!</v>
      </c>
      <c r="H120" s="307" t="str">
        <f t="shared" si="15"/>
        <v>#DIV/0!</v>
      </c>
    </row>
    <row r="121">
      <c r="A121" s="14" t="s">
        <v>574</v>
      </c>
      <c r="B121" s="14">
        <v>0.0</v>
      </c>
      <c r="C121" s="14">
        <v>0.0</v>
      </c>
      <c r="D121" s="14" t="s">
        <v>7122</v>
      </c>
      <c r="E121" s="14" t="str">
        <f t="shared" si="13"/>
        <v>#DIV/0!</v>
      </c>
      <c r="F121" s="14">
        <v>0.0</v>
      </c>
      <c r="G121" s="19" t="str">
        <f t="shared" si="14"/>
        <v>#DIV/0!</v>
      </c>
      <c r="H121" s="307" t="str">
        <f t="shared" si="15"/>
        <v>#DIV/0!</v>
      </c>
    </row>
    <row r="122">
      <c r="A122" s="14" t="s">
        <v>581</v>
      </c>
      <c r="B122" s="14">
        <v>0.0</v>
      </c>
      <c r="C122" s="14">
        <v>0.0</v>
      </c>
      <c r="D122" s="14" t="s">
        <v>7122</v>
      </c>
      <c r="E122" s="14" t="str">
        <f t="shared" si="13"/>
        <v>#DIV/0!</v>
      </c>
      <c r="F122" s="14">
        <v>0.0</v>
      </c>
      <c r="G122" s="19" t="str">
        <f t="shared" si="14"/>
        <v>#DIV/0!</v>
      </c>
      <c r="H122" s="307" t="str">
        <f t="shared" si="15"/>
        <v>#DIV/0!</v>
      </c>
    </row>
    <row r="124">
      <c r="A124" s="306" t="s">
        <v>7141</v>
      </c>
    </row>
    <row r="125">
      <c r="A125" s="206" t="s">
        <v>3345</v>
      </c>
      <c r="B125" s="206" t="s">
        <v>7116</v>
      </c>
      <c r="C125" s="206" t="s">
        <v>7117</v>
      </c>
      <c r="D125" s="206" t="s">
        <v>7118</v>
      </c>
      <c r="E125" s="206" t="s">
        <v>7119</v>
      </c>
      <c r="F125" s="206" t="s">
        <v>7120</v>
      </c>
      <c r="G125" s="206" t="s">
        <v>7121</v>
      </c>
      <c r="H125" s="206" t="s">
        <v>90</v>
      </c>
    </row>
    <row r="126">
      <c r="A126" s="14" t="s">
        <v>9</v>
      </c>
      <c r="B126" s="14">
        <v>13.0</v>
      </c>
      <c r="C126" s="14">
        <v>10.0</v>
      </c>
      <c r="D126" s="14" t="s">
        <v>7122</v>
      </c>
      <c r="E126" s="14">
        <f t="shared" ref="E126:E144" si="16">(C126/B126)*100</f>
        <v>76.92307692</v>
      </c>
      <c r="F126" s="14">
        <v>0.0</v>
      </c>
      <c r="G126" s="19">
        <f t="shared" ref="G126:G144" si="17">E126*6</f>
        <v>461.5384615</v>
      </c>
      <c r="H126" s="307">
        <f t="shared" ref="H126:H144" si="18">F126+G126</f>
        <v>461.5384615</v>
      </c>
    </row>
    <row r="127">
      <c r="A127" s="14" t="s">
        <v>25</v>
      </c>
      <c r="B127" s="14">
        <v>5.0</v>
      </c>
      <c r="C127" s="14">
        <v>4.0</v>
      </c>
      <c r="D127" s="14" t="s">
        <v>7122</v>
      </c>
      <c r="E127" s="14">
        <f t="shared" si="16"/>
        <v>80</v>
      </c>
      <c r="F127" s="14">
        <v>0.0</v>
      </c>
      <c r="G127" s="19">
        <f t="shared" si="17"/>
        <v>480</v>
      </c>
      <c r="H127" s="307">
        <f t="shared" si="18"/>
        <v>480</v>
      </c>
    </row>
    <row r="128">
      <c r="A128" s="14" t="s">
        <v>18</v>
      </c>
      <c r="B128" s="14">
        <v>9.0</v>
      </c>
      <c r="C128" s="14">
        <v>6.0</v>
      </c>
      <c r="D128" s="14" t="s">
        <v>7122</v>
      </c>
      <c r="E128" s="14">
        <f t="shared" si="16"/>
        <v>66.66666667</v>
      </c>
      <c r="F128" s="14">
        <v>0.0</v>
      </c>
      <c r="G128" s="19">
        <f t="shared" si="17"/>
        <v>400</v>
      </c>
      <c r="H128" s="307">
        <f t="shared" si="18"/>
        <v>400</v>
      </c>
    </row>
    <row r="129">
      <c r="A129" s="14" t="s">
        <v>21</v>
      </c>
      <c r="B129" s="14">
        <v>9.0</v>
      </c>
      <c r="C129" s="14">
        <v>6.0</v>
      </c>
      <c r="D129" s="14" t="s">
        <v>7122</v>
      </c>
      <c r="E129" s="14">
        <f t="shared" si="16"/>
        <v>66.66666667</v>
      </c>
      <c r="F129" s="14">
        <v>0.0</v>
      </c>
      <c r="G129" s="19">
        <f t="shared" si="17"/>
        <v>400</v>
      </c>
      <c r="H129" s="307">
        <f t="shared" si="18"/>
        <v>400</v>
      </c>
    </row>
    <row r="130">
      <c r="A130" s="14" t="s">
        <v>23</v>
      </c>
      <c r="B130" s="14">
        <v>14.0</v>
      </c>
      <c r="C130" s="14">
        <v>9.0</v>
      </c>
      <c r="D130" s="14" t="s">
        <v>7122</v>
      </c>
      <c r="E130" s="14">
        <f t="shared" si="16"/>
        <v>64.28571429</v>
      </c>
      <c r="F130" s="14">
        <v>0.0</v>
      </c>
      <c r="G130" s="19">
        <f t="shared" si="17"/>
        <v>385.7142857</v>
      </c>
      <c r="H130" s="307">
        <f t="shared" si="18"/>
        <v>385.7142857</v>
      </c>
    </row>
    <row r="131">
      <c r="A131" s="14" t="s">
        <v>30</v>
      </c>
      <c r="B131" s="14">
        <v>11.0</v>
      </c>
      <c r="C131" s="14">
        <v>6.0</v>
      </c>
      <c r="D131" s="14" t="s">
        <v>7122</v>
      </c>
      <c r="E131" s="14">
        <f t="shared" si="16"/>
        <v>54.54545455</v>
      </c>
      <c r="F131" s="14">
        <v>0.0</v>
      </c>
      <c r="G131" s="19">
        <f t="shared" si="17"/>
        <v>327.2727273</v>
      </c>
      <c r="H131" s="307">
        <f t="shared" si="18"/>
        <v>327.2727273</v>
      </c>
    </row>
    <row r="132">
      <c r="A132" s="14" t="s">
        <v>12</v>
      </c>
      <c r="B132" s="14">
        <v>15.0</v>
      </c>
      <c r="C132" s="14">
        <v>7.0</v>
      </c>
      <c r="D132" s="14" t="s">
        <v>7122</v>
      </c>
      <c r="E132" s="14">
        <f t="shared" si="16"/>
        <v>46.66666667</v>
      </c>
      <c r="F132" s="14">
        <v>0.0</v>
      </c>
      <c r="G132" s="19">
        <f t="shared" si="17"/>
        <v>280</v>
      </c>
      <c r="H132" s="307">
        <f t="shared" si="18"/>
        <v>280</v>
      </c>
    </row>
    <row r="133">
      <c r="A133" s="14" t="s">
        <v>27</v>
      </c>
      <c r="B133" s="14">
        <v>7.0</v>
      </c>
      <c r="C133" s="14">
        <v>3.0</v>
      </c>
      <c r="D133" s="14" t="s">
        <v>7122</v>
      </c>
      <c r="E133" s="14">
        <f t="shared" si="16"/>
        <v>42.85714286</v>
      </c>
      <c r="F133" s="14">
        <v>0.0</v>
      </c>
      <c r="G133" s="19">
        <f t="shared" si="17"/>
        <v>257.1428571</v>
      </c>
      <c r="H133" s="307">
        <f t="shared" si="18"/>
        <v>257.1428571</v>
      </c>
    </row>
    <row r="134">
      <c r="A134" s="14" t="s">
        <v>16</v>
      </c>
      <c r="B134" s="14">
        <v>10.0</v>
      </c>
      <c r="C134" s="14">
        <v>4.0</v>
      </c>
      <c r="D134" s="14" t="s">
        <v>7122</v>
      </c>
      <c r="E134" s="14">
        <f t="shared" si="16"/>
        <v>40</v>
      </c>
      <c r="F134" s="14">
        <v>0.0</v>
      </c>
      <c r="G134" s="19">
        <f t="shared" si="17"/>
        <v>240</v>
      </c>
      <c r="H134" s="307">
        <f t="shared" si="18"/>
        <v>240</v>
      </c>
    </row>
    <row r="135">
      <c r="A135" s="14" t="s">
        <v>11</v>
      </c>
      <c r="B135" s="14">
        <v>13.0</v>
      </c>
      <c r="C135" s="14">
        <v>4.0</v>
      </c>
      <c r="D135" s="14" t="s">
        <v>7122</v>
      </c>
      <c r="E135" s="14">
        <f t="shared" si="16"/>
        <v>30.76923077</v>
      </c>
      <c r="F135" s="14">
        <v>0.0</v>
      </c>
      <c r="G135" s="19">
        <f t="shared" si="17"/>
        <v>184.6153846</v>
      </c>
      <c r="H135" s="307">
        <f t="shared" si="18"/>
        <v>184.6153846</v>
      </c>
    </row>
    <row r="136">
      <c r="A136" s="14" t="s">
        <v>14</v>
      </c>
      <c r="B136" s="14">
        <v>8.0</v>
      </c>
      <c r="C136" s="14">
        <v>2.0</v>
      </c>
      <c r="D136" s="14" t="s">
        <v>7122</v>
      </c>
      <c r="E136" s="14">
        <f t="shared" si="16"/>
        <v>25</v>
      </c>
      <c r="F136" s="14">
        <v>0.0</v>
      </c>
      <c r="G136" s="19">
        <f t="shared" si="17"/>
        <v>150</v>
      </c>
      <c r="H136" s="307">
        <f t="shared" si="18"/>
        <v>150</v>
      </c>
    </row>
    <row r="137">
      <c r="A137" s="14" t="s">
        <v>20</v>
      </c>
      <c r="B137" s="14">
        <v>8.0</v>
      </c>
      <c r="C137" s="14">
        <v>2.0</v>
      </c>
      <c r="D137" s="14" t="s">
        <v>7122</v>
      </c>
      <c r="E137" s="14">
        <f t="shared" si="16"/>
        <v>25</v>
      </c>
      <c r="F137" s="14">
        <v>0.0</v>
      </c>
      <c r="G137" s="19">
        <f t="shared" si="17"/>
        <v>150</v>
      </c>
      <c r="H137" s="307">
        <f t="shared" si="18"/>
        <v>150</v>
      </c>
    </row>
    <row r="138">
      <c r="A138" s="14" t="s">
        <v>15</v>
      </c>
      <c r="B138" s="14">
        <v>6.0</v>
      </c>
      <c r="C138" s="14">
        <v>1.0</v>
      </c>
      <c r="D138" s="14" t="s">
        <v>7122</v>
      </c>
      <c r="E138" s="14">
        <f t="shared" si="16"/>
        <v>16.66666667</v>
      </c>
      <c r="F138" s="14">
        <v>0.0</v>
      </c>
      <c r="G138" s="19">
        <f t="shared" si="17"/>
        <v>100</v>
      </c>
      <c r="H138" s="307">
        <f t="shared" si="18"/>
        <v>100</v>
      </c>
    </row>
    <row r="139">
      <c r="A139" s="14" t="s">
        <v>29</v>
      </c>
      <c r="B139" s="14">
        <v>2.0</v>
      </c>
      <c r="C139" s="14">
        <v>0.0</v>
      </c>
      <c r="D139" s="14" t="s">
        <v>7122</v>
      </c>
      <c r="E139" s="14">
        <f t="shared" si="16"/>
        <v>0</v>
      </c>
      <c r="F139" s="14">
        <v>0.0</v>
      </c>
      <c r="G139" s="19">
        <f t="shared" si="17"/>
        <v>0</v>
      </c>
      <c r="H139" s="307">
        <f t="shared" si="18"/>
        <v>0</v>
      </c>
    </row>
    <row r="140">
      <c r="A140" s="14" t="s">
        <v>33</v>
      </c>
      <c r="B140" s="14">
        <v>0.0</v>
      </c>
      <c r="C140" s="14">
        <v>0.0</v>
      </c>
      <c r="D140" s="14" t="s">
        <v>7122</v>
      </c>
      <c r="E140" s="14" t="str">
        <f t="shared" si="16"/>
        <v>#DIV/0!</v>
      </c>
      <c r="F140" s="14">
        <v>0.0</v>
      </c>
      <c r="G140" s="19" t="str">
        <f t="shared" si="17"/>
        <v>#DIV/0!</v>
      </c>
      <c r="H140" s="307" t="str">
        <f t="shared" si="18"/>
        <v>#DIV/0!</v>
      </c>
    </row>
    <row r="141">
      <c r="A141" s="14" t="s">
        <v>31</v>
      </c>
      <c r="B141" s="14">
        <v>0.0</v>
      </c>
      <c r="C141" s="14">
        <v>0.0</v>
      </c>
      <c r="D141" s="14" t="s">
        <v>7122</v>
      </c>
      <c r="E141" s="14" t="str">
        <f t="shared" si="16"/>
        <v>#DIV/0!</v>
      </c>
      <c r="F141" s="14">
        <v>0.0</v>
      </c>
      <c r="G141" s="19" t="str">
        <f t="shared" si="17"/>
        <v>#DIV/0!</v>
      </c>
      <c r="H141" s="307" t="str">
        <f t="shared" si="18"/>
        <v>#DIV/0!</v>
      </c>
    </row>
    <row r="142">
      <c r="A142" s="14" t="s">
        <v>566</v>
      </c>
      <c r="B142" s="14">
        <v>0.0</v>
      </c>
      <c r="C142" s="14">
        <v>0.0</v>
      </c>
      <c r="D142" s="14" t="s">
        <v>7122</v>
      </c>
      <c r="E142" s="14" t="str">
        <f t="shared" si="16"/>
        <v>#DIV/0!</v>
      </c>
      <c r="F142" s="14">
        <v>0.0</v>
      </c>
      <c r="G142" s="19" t="str">
        <f t="shared" si="17"/>
        <v>#DIV/0!</v>
      </c>
      <c r="H142" s="307" t="str">
        <f t="shared" si="18"/>
        <v>#DIV/0!</v>
      </c>
    </row>
    <row r="143">
      <c r="A143" s="14" t="s">
        <v>574</v>
      </c>
      <c r="B143" s="14">
        <v>0.0</v>
      </c>
      <c r="C143" s="14">
        <v>0.0</v>
      </c>
      <c r="D143" s="14" t="s">
        <v>7122</v>
      </c>
      <c r="E143" s="14" t="str">
        <f t="shared" si="16"/>
        <v>#DIV/0!</v>
      </c>
      <c r="F143" s="14">
        <v>0.0</v>
      </c>
      <c r="G143" s="19" t="str">
        <f t="shared" si="17"/>
        <v>#DIV/0!</v>
      </c>
      <c r="H143" s="307" t="str">
        <f t="shared" si="18"/>
        <v>#DIV/0!</v>
      </c>
    </row>
    <row r="144">
      <c r="A144" s="14" t="s">
        <v>581</v>
      </c>
      <c r="B144" s="14">
        <v>0.0</v>
      </c>
      <c r="C144" s="14">
        <v>0.0</v>
      </c>
      <c r="D144" s="14" t="s">
        <v>7122</v>
      </c>
      <c r="E144" s="14" t="str">
        <f t="shared" si="16"/>
        <v>#DIV/0!</v>
      </c>
      <c r="F144" s="14">
        <v>0.0</v>
      </c>
      <c r="G144" s="19" t="str">
        <f t="shared" si="17"/>
        <v>#DIV/0!</v>
      </c>
      <c r="H144" s="307" t="str">
        <f t="shared" si="18"/>
        <v>#DIV/0!</v>
      </c>
    </row>
    <row r="146">
      <c r="A146" s="306" t="s">
        <v>7142</v>
      </c>
    </row>
    <row r="147">
      <c r="A147" s="206" t="s">
        <v>3345</v>
      </c>
      <c r="B147" s="206" t="s">
        <v>7116</v>
      </c>
      <c r="C147" s="206" t="s">
        <v>7117</v>
      </c>
      <c r="D147" s="206" t="s">
        <v>7118</v>
      </c>
      <c r="E147" s="206" t="s">
        <v>7119</v>
      </c>
      <c r="F147" s="206" t="s">
        <v>7120</v>
      </c>
      <c r="G147" s="206" t="s">
        <v>7121</v>
      </c>
      <c r="H147" s="206" t="s">
        <v>90</v>
      </c>
    </row>
    <row r="148">
      <c r="A148" s="14" t="s">
        <v>9</v>
      </c>
      <c r="B148" s="14">
        <f t="shared" ref="B148:C148" si="19">B22+B42+B62+B83+B110+B126</f>
        <v>85</v>
      </c>
      <c r="C148" s="14">
        <f t="shared" si="19"/>
        <v>50</v>
      </c>
      <c r="D148" s="14" t="s">
        <v>7132</v>
      </c>
      <c r="E148" s="14">
        <f t="shared" ref="E148:E166" si="21">(C148/B148)*100</f>
        <v>58.82352941</v>
      </c>
      <c r="F148" s="14">
        <v>100.0</v>
      </c>
      <c r="G148" s="19">
        <f t="shared" ref="G148:G166" si="22">E148*6</f>
        <v>352.9411765</v>
      </c>
      <c r="H148" s="307">
        <f t="shared" ref="H148:H166" si="23">F148+G148</f>
        <v>452.9411765</v>
      </c>
    </row>
    <row r="149">
      <c r="A149" s="14" t="s">
        <v>30</v>
      </c>
      <c r="B149" s="14">
        <f t="shared" ref="B149:C149" si="20">B19+B39+B67+B85+B107+B131</f>
        <v>112</v>
      </c>
      <c r="C149" s="14">
        <f t="shared" si="20"/>
        <v>61</v>
      </c>
      <c r="D149" s="14" t="s">
        <v>7122</v>
      </c>
      <c r="E149" s="14">
        <f t="shared" si="21"/>
        <v>54.46428571</v>
      </c>
      <c r="F149" s="14">
        <v>0.0</v>
      </c>
      <c r="G149" s="19">
        <f t="shared" si="22"/>
        <v>326.7857143</v>
      </c>
      <c r="H149" s="307">
        <f t="shared" si="23"/>
        <v>326.7857143</v>
      </c>
    </row>
    <row r="150">
      <c r="A150" s="14" t="s">
        <v>23</v>
      </c>
      <c r="B150" s="14">
        <f t="shared" ref="B150:C150" si="24">B27+B38+B61+B95+B115+B130</f>
        <v>67</v>
      </c>
      <c r="C150" s="14">
        <f t="shared" si="24"/>
        <v>37</v>
      </c>
      <c r="D150" s="14" t="s">
        <v>7143</v>
      </c>
      <c r="E150" s="14">
        <f t="shared" si="21"/>
        <v>55.2238806</v>
      </c>
      <c r="F150" s="14">
        <v>200.0</v>
      </c>
      <c r="G150" s="19">
        <f t="shared" si="22"/>
        <v>331.3432836</v>
      </c>
      <c r="H150" s="307">
        <f t="shared" si="23"/>
        <v>531.3432836</v>
      </c>
    </row>
    <row r="151">
      <c r="A151" s="14" t="s">
        <v>12</v>
      </c>
      <c r="B151" s="14">
        <f t="shared" ref="B151:C151" si="25">B17+B40+B60+B87+B105+B132</f>
        <v>118</v>
      </c>
      <c r="C151" s="14">
        <f t="shared" si="25"/>
        <v>67</v>
      </c>
      <c r="D151" s="14" t="s">
        <v>7144</v>
      </c>
      <c r="E151" s="14">
        <f t="shared" si="21"/>
        <v>56.77966102</v>
      </c>
      <c r="F151" s="14">
        <v>290.0</v>
      </c>
      <c r="G151" s="19">
        <f t="shared" si="22"/>
        <v>340.6779661</v>
      </c>
      <c r="H151" s="307">
        <f t="shared" si="23"/>
        <v>630.6779661</v>
      </c>
    </row>
    <row r="152">
      <c r="A152" s="14" t="s">
        <v>18</v>
      </c>
      <c r="B152" s="14">
        <f t="shared" ref="B152:C152" si="26">B18+B44+B64+B90+B106+B128</f>
        <v>78</v>
      </c>
      <c r="C152" s="14">
        <f t="shared" si="26"/>
        <v>41</v>
      </c>
      <c r="D152" s="14" t="s">
        <v>7135</v>
      </c>
      <c r="E152" s="14">
        <f t="shared" si="21"/>
        <v>52.56410256</v>
      </c>
      <c r="F152" s="14">
        <v>70.0</v>
      </c>
      <c r="G152" s="19">
        <f t="shared" si="22"/>
        <v>315.3846154</v>
      </c>
      <c r="H152" s="307">
        <f t="shared" si="23"/>
        <v>385.3846154</v>
      </c>
    </row>
    <row r="153">
      <c r="A153" s="14" t="s">
        <v>25</v>
      </c>
      <c r="B153" s="14">
        <f t="shared" ref="B153:C153" si="27">B23+B51+B73+B91+B111+B127</f>
        <v>16</v>
      </c>
      <c r="C153" s="14">
        <f t="shared" si="27"/>
        <v>7</v>
      </c>
      <c r="D153" s="14" t="s">
        <v>7122</v>
      </c>
      <c r="E153" s="14">
        <f t="shared" si="21"/>
        <v>43.75</v>
      </c>
      <c r="F153" s="14">
        <v>0.0</v>
      </c>
      <c r="G153" s="19">
        <f t="shared" si="22"/>
        <v>262.5</v>
      </c>
      <c r="H153" s="307">
        <f t="shared" si="23"/>
        <v>262.5</v>
      </c>
    </row>
    <row r="154">
      <c r="A154" s="14" t="s">
        <v>20</v>
      </c>
      <c r="B154" s="14">
        <f t="shared" ref="B154:C154" si="28">B26+B46+B63+B82+B114+B137</f>
        <v>88</v>
      </c>
      <c r="C154" s="14">
        <f t="shared" si="28"/>
        <v>43</v>
      </c>
      <c r="D154" s="14" t="s">
        <v>7130</v>
      </c>
      <c r="E154" s="14">
        <f t="shared" si="21"/>
        <v>48.86363636</v>
      </c>
      <c r="F154" s="14">
        <v>25.0</v>
      </c>
      <c r="G154" s="19">
        <f t="shared" si="22"/>
        <v>293.1818182</v>
      </c>
      <c r="H154" s="307">
        <f t="shared" si="23"/>
        <v>318.1818182</v>
      </c>
    </row>
    <row r="155">
      <c r="A155" s="14" t="s">
        <v>27</v>
      </c>
      <c r="B155" s="14">
        <f t="shared" ref="B155:C155" si="29">B28+B49+B68+B86+B116+B133</f>
        <v>53</v>
      </c>
      <c r="C155" s="14">
        <f t="shared" si="29"/>
        <v>26</v>
      </c>
      <c r="D155" s="14" t="s">
        <v>7122</v>
      </c>
      <c r="E155" s="14">
        <f t="shared" si="21"/>
        <v>49.05660377</v>
      </c>
      <c r="F155" s="14">
        <v>0.0</v>
      </c>
      <c r="G155" s="19">
        <f t="shared" si="22"/>
        <v>294.3396226</v>
      </c>
      <c r="H155" s="307">
        <f t="shared" si="23"/>
        <v>294.3396226</v>
      </c>
    </row>
    <row r="156">
      <c r="A156" s="14" t="s">
        <v>21</v>
      </c>
      <c r="B156" s="14">
        <f t="shared" ref="B156:C156" si="30">B20+B47+B69+B93+B108+B129</f>
        <v>76</v>
      </c>
      <c r="C156" s="14">
        <f t="shared" si="30"/>
        <v>37</v>
      </c>
      <c r="D156" s="14" t="s">
        <v>7136</v>
      </c>
      <c r="E156" s="14">
        <f t="shared" si="21"/>
        <v>48.68421053</v>
      </c>
      <c r="F156" s="14">
        <v>100.0</v>
      </c>
      <c r="G156" s="19">
        <f t="shared" si="22"/>
        <v>292.1052632</v>
      </c>
      <c r="H156" s="307">
        <f t="shared" si="23"/>
        <v>392.1052632</v>
      </c>
    </row>
    <row r="157">
      <c r="A157" s="14" t="s">
        <v>15</v>
      </c>
      <c r="B157" s="14">
        <f t="shared" ref="B157:C157" si="31">B25+B41+B66+B94+B113+B138</f>
        <v>29</v>
      </c>
      <c r="C157" s="14">
        <f t="shared" si="31"/>
        <v>14</v>
      </c>
      <c r="D157" s="14" t="s">
        <v>7138</v>
      </c>
      <c r="E157" s="14">
        <f t="shared" si="21"/>
        <v>48.27586207</v>
      </c>
      <c r="F157" s="14">
        <v>70.0</v>
      </c>
      <c r="G157" s="19">
        <f t="shared" si="22"/>
        <v>289.6551724</v>
      </c>
      <c r="H157" s="307">
        <f t="shared" si="23"/>
        <v>359.6551724</v>
      </c>
    </row>
    <row r="158">
      <c r="A158" s="14" t="s">
        <v>14</v>
      </c>
      <c r="B158" s="14">
        <f>B24+B45+B65+B88+B112+B136</f>
        <v>41</v>
      </c>
      <c r="C158" s="14">
        <f>C24+C45+C65+C88+C136+C112</f>
        <v>18</v>
      </c>
      <c r="D158" s="14" t="s">
        <v>7122</v>
      </c>
      <c r="E158" s="14">
        <f t="shared" si="21"/>
        <v>43.90243902</v>
      </c>
      <c r="F158" s="14">
        <v>0.0</v>
      </c>
      <c r="G158" s="19">
        <f t="shared" si="22"/>
        <v>263.4146341</v>
      </c>
      <c r="H158" s="307">
        <f t="shared" si="23"/>
        <v>263.4146341</v>
      </c>
    </row>
    <row r="159">
      <c r="A159" s="14" t="s">
        <v>11</v>
      </c>
      <c r="B159" s="14">
        <f t="shared" ref="B159:C159" si="32">B16+B43+B72+B89+B104+B135</f>
        <v>72</v>
      </c>
      <c r="C159" s="14">
        <f t="shared" si="32"/>
        <v>32</v>
      </c>
      <c r="D159" s="14" t="s">
        <v>7134</v>
      </c>
      <c r="E159" s="14">
        <f t="shared" si="21"/>
        <v>44.44444444</v>
      </c>
      <c r="F159" s="14">
        <v>70.0</v>
      </c>
      <c r="G159" s="19">
        <f t="shared" si="22"/>
        <v>266.6666667</v>
      </c>
      <c r="H159" s="307">
        <f t="shared" si="23"/>
        <v>336.6666667</v>
      </c>
    </row>
    <row r="160">
      <c r="A160" s="14" t="s">
        <v>16</v>
      </c>
      <c r="B160" s="14">
        <f t="shared" ref="B160:C160" si="33">B21+B48+B70+B84+B109+B134</f>
        <v>83</v>
      </c>
      <c r="C160" s="14">
        <f t="shared" si="33"/>
        <v>29</v>
      </c>
      <c r="D160" s="14" t="s">
        <v>7122</v>
      </c>
      <c r="E160" s="14">
        <f t="shared" si="21"/>
        <v>34.93975904</v>
      </c>
      <c r="F160" s="14">
        <v>0.0</v>
      </c>
      <c r="G160" s="19">
        <f t="shared" si="22"/>
        <v>209.6385542</v>
      </c>
      <c r="H160" s="307">
        <f t="shared" si="23"/>
        <v>209.6385542</v>
      </c>
    </row>
    <row r="161">
      <c r="A161" s="14" t="s">
        <v>29</v>
      </c>
      <c r="B161" s="14">
        <f t="shared" ref="B161:C161" si="34">B29+B50+B71+B92+B117+B139</f>
        <v>20</v>
      </c>
      <c r="C161" s="14">
        <f t="shared" si="34"/>
        <v>7</v>
      </c>
      <c r="D161" s="14" t="s">
        <v>7122</v>
      </c>
      <c r="E161" s="14">
        <f t="shared" si="21"/>
        <v>35</v>
      </c>
      <c r="F161" s="14">
        <v>0.0</v>
      </c>
      <c r="G161" s="19">
        <f t="shared" si="22"/>
        <v>210</v>
      </c>
      <c r="H161" s="307">
        <f t="shared" si="23"/>
        <v>210</v>
      </c>
    </row>
    <row r="162">
      <c r="A162" s="14" t="s">
        <v>33</v>
      </c>
      <c r="B162" s="14">
        <f t="shared" ref="B162:C162" si="35">B30+B52+B74+B96+B118+B140</f>
        <v>4</v>
      </c>
      <c r="C162" s="14">
        <f t="shared" si="35"/>
        <v>3</v>
      </c>
      <c r="D162" s="14" t="s">
        <v>7122</v>
      </c>
      <c r="E162" s="14">
        <f t="shared" si="21"/>
        <v>75</v>
      </c>
      <c r="F162" s="14">
        <v>0.0</v>
      </c>
      <c r="G162" s="19">
        <f t="shared" si="22"/>
        <v>450</v>
      </c>
      <c r="H162" s="307">
        <f t="shared" si="23"/>
        <v>450</v>
      </c>
    </row>
    <row r="163">
      <c r="A163" s="14" t="s">
        <v>31</v>
      </c>
      <c r="B163" s="14">
        <f t="shared" ref="B163:C163" si="36">B31+B53+B75+B97+B119+B141</f>
        <v>3</v>
      </c>
      <c r="C163" s="14">
        <f t="shared" si="36"/>
        <v>1</v>
      </c>
      <c r="D163" s="14" t="s">
        <v>7122</v>
      </c>
      <c r="E163" s="14">
        <f t="shared" si="21"/>
        <v>33.33333333</v>
      </c>
      <c r="F163" s="14">
        <v>0.0</v>
      </c>
      <c r="G163" s="19">
        <f t="shared" si="22"/>
        <v>200</v>
      </c>
      <c r="H163" s="307">
        <f t="shared" si="23"/>
        <v>200</v>
      </c>
    </row>
    <row r="164">
      <c r="A164" s="14" t="s">
        <v>566</v>
      </c>
      <c r="B164" s="14">
        <f t="shared" ref="B164:C164" si="37">B32+B54+B76+B98+B120+B142</f>
        <v>0</v>
      </c>
      <c r="C164" s="14">
        <f t="shared" si="37"/>
        <v>0</v>
      </c>
      <c r="D164" s="14" t="s">
        <v>7122</v>
      </c>
      <c r="E164" s="14" t="str">
        <f t="shared" si="21"/>
        <v>#DIV/0!</v>
      </c>
      <c r="F164" s="14">
        <v>0.0</v>
      </c>
      <c r="G164" s="19" t="str">
        <f t="shared" si="22"/>
        <v>#DIV/0!</v>
      </c>
      <c r="H164" s="307" t="str">
        <f t="shared" si="23"/>
        <v>#DIV/0!</v>
      </c>
    </row>
    <row r="165">
      <c r="A165" s="14" t="s">
        <v>574</v>
      </c>
      <c r="B165" s="14">
        <f t="shared" ref="B165:C165" si="38">B33+B55+B77+B99+B121+B143</f>
        <v>1</v>
      </c>
      <c r="C165" s="14">
        <f t="shared" si="38"/>
        <v>0</v>
      </c>
      <c r="D165" s="14" t="s">
        <v>7122</v>
      </c>
      <c r="E165" s="14">
        <f t="shared" si="21"/>
        <v>0</v>
      </c>
      <c r="F165" s="14">
        <v>0.0</v>
      </c>
      <c r="G165" s="19">
        <f t="shared" si="22"/>
        <v>0</v>
      </c>
      <c r="H165" s="307">
        <f t="shared" si="23"/>
        <v>0</v>
      </c>
    </row>
    <row r="166">
      <c r="A166" s="14" t="s">
        <v>581</v>
      </c>
      <c r="B166" s="14">
        <f t="shared" ref="B166:C166" si="39">B34+B56+B78+B100+B122+B144</f>
        <v>0</v>
      </c>
      <c r="C166" s="14">
        <f t="shared" si="39"/>
        <v>0</v>
      </c>
      <c r="D166" s="14" t="s">
        <v>7122</v>
      </c>
      <c r="E166" s="14" t="str">
        <f t="shared" si="21"/>
        <v>#DIV/0!</v>
      </c>
      <c r="F166" s="14">
        <v>0.0</v>
      </c>
      <c r="G166" s="19" t="str">
        <f t="shared" si="22"/>
        <v>#DIV/0!</v>
      </c>
      <c r="H166" s="307" t="str">
        <f t="shared" si="23"/>
        <v>#DIV/0!</v>
      </c>
    </row>
  </sheetData>
  <mergeCells count="12">
    <mergeCell ref="A58:H58"/>
    <mergeCell ref="A80:H80"/>
    <mergeCell ref="A102:H102"/>
    <mergeCell ref="A124:H124"/>
    <mergeCell ref="A146:H146"/>
    <mergeCell ref="A1:B1"/>
    <mergeCell ref="D1:E1"/>
    <mergeCell ref="A2:A8"/>
    <mergeCell ref="D11:E11"/>
    <mergeCell ref="D12:E12"/>
    <mergeCell ref="A14:H14"/>
    <mergeCell ref="A36:H3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1" t="s">
        <v>2725</v>
      </c>
    </row>
    <row r="2">
      <c r="A2" s="11" t="s">
        <v>7145</v>
      </c>
    </row>
    <row r="3">
      <c r="A3" s="14" t="s">
        <v>7146</v>
      </c>
    </row>
    <row r="4">
      <c r="A4" s="11" t="s">
        <v>19</v>
      </c>
      <c r="B4" s="11" t="s">
        <v>7147</v>
      </c>
      <c r="C4" s="11" t="s">
        <v>7148</v>
      </c>
      <c r="D4" s="11" t="s">
        <v>7149</v>
      </c>
      <c r="E4" s="11" t="s">
        <v>49</v>
      </c>
      <c r="F4" s="11" t="s">
        <v>7150</v>
      </c>
      <c r="G4" s="11" t="s">
        <v>52</v>
      </c>
    </row>
    <row r="5">
      <c r="A5" s="12" t="s">
        <v>7151</v>
      </c>
      <c r="B5" s="12" t="s">
        <v>7152</v>
      </c>
      <c r="C5" s="64" t="s">
        <v>7153</v>
      </c>
      <c r="D5" s="12" t="s">
        <v>1940</v>
      </c>
      <c r="E5" s="12" t="s">
        <v>7154</v>
      </c>
      <c r="F5" s="12" t="s">
        <v>7155</v>
      </c>
      <c r="G5" s="12" t="s">
        <v>83</v>
      </c>
    </row>
    <row r="6">
      <c r="A6" s="12" t="s">
        <v>7156</v>
      </c>
      <c r="B6" s="12" t="s">
        <v>7157</v>
      </c>
      <c r="C6" s="64" t="s">
        <v>7158</v>
      </c>
      <c r="D6" s="12" t="s">
        <v>2341</v>
      </c>
      <c r="E6" s="12" t="s">
        <v>7159</v>
      </c>
      <c r="F6" s="12" t="s">
        <v>7160</v>
      </c>
    </row>
    <row r="7">
      <c r="A7" s="12" t="s">
        <v>7161</v>
      </c>
      <c r="C7" s="64" t="s">
        <v>7162</v>
      </c>
      <c r="D7" s="12" t="s">
        <v>1982</v>
      </c>
      <c r="E7" s="12" t="s">
        <v>7163</v>
      </c>
      <c r="F7" s="12" t="s">
        <v>7164</v>
      </c>
    </row>
    <row r="8">
      <c r="A8" s="12" t="s">
        <v>7165</v>
      </c>
      <c r="C8" s="64" t="s">
        <v>7166</v>
      </c>
      <c r="D8" s="12" t="s">
        <v>516</v>
      </c>
      <c r="E8" s="12" t="s">
        <v>7167</v>
      </c>
      <c r="F8" s="12" t="s">
        <v>7168</v>
      </c>
    </row>
    <row r="9">
      <c r="A9" s="12" t="s">
        <v>7169</v>
      </c>
      <c r="F9" s="12" t="s">
        <v>7170</v>
      </c>
    </row>
    <row r="10">
      <c r="A10" s="12" t="s">
        <v>7171</v>
      </c>
      <c r="F10" s="12" t="s">
        <v>7172</v>
      </c>
    </row>
    <row r="11">
      <c r="A11" s="12" t="s">
        <v>7173</v>
      </c>
      <c r="F11" s="12" t="s">
        <v>7174</v>
      </c>
    </row>
    <row r="12">
      <c r="A12" s="12" t="s">
        <v>6179</v>
      </c>
      <c r="F12" s="12" t="s">
        <v>7175</v>
      </c>
    </row>
    <row r="13">
      <c r="A13" s="12" t="s">
        <v>7176</v>
      </c>
      <c r="F13" s="12" t="s">
        <v>7177</v>
      </c>
    </row>
    <row r="14">
      <c r="A14" s="12" t="s">
        <v>7178</v>
      </c>
      <c r="F14" s="12" t="s">
        <v>7179</v>
      </c>
    </row>
    <row r="15">
      <c r="A15" s="12" t="s">
        <v>7180</v>
      </c>
      <c r="F15" s="12" t="s">
        <v>7181</v>
      </c>
    </row>
    <row r="16">
      <c r="A16" s="12" t="s">
        <v>7182</v>
      </c>
    </row>
    <row r="17">
      <c r="A17" s="12" t="s">
        <v>7183</v>
      </c>
    </row>
    <row r="18">
      <c r="A18" s="12" t="s">
        <v>7184</v>
      </c>
    </row>
    <row r="19">
      <c r="A19" s="12" t="s">
        <v>7185</v>
      </c>
    </row>
    <row r="20">
      <c r="A20" s="12" t="s">
        <v>7186</v>
      </c>
    </row>
    <row r="21">
      <c r="A21" s="12" t="s">
        <v>7187</v>
      </c>
    </row>
    <row r="22">
      <c r="A22" s="12" t="s">
        <v>7188</v>
      </c>
    </row>
    <row r="23">
      <c r="A23" s="12" t="s">
        <v>7189</v>
      </c>
    </row>
    <row r="24">
      <c r="A24" s="12" t="s">
        <v>7190</v>
      </c>
    </row>
    <row r="28">
      <c r="A28" s="82" t="s">
        <v>7191</v>
      </c>
    </row>
    <row r="29">
      <c r="A29" s="84" t="s">
        <v>7192</v>
      </c>
    </row>
    <row r="30">
      <c r="A30" s="84">
        <v>2026.0</v>
      </c>
    </row>
    <row r="31">
      <c r="A31" s="85" t="s">
        <v>576</v>
      </c>
      <c r="B31" s="85" t="s">
        <v>577</v>
      </c>
      <c r="C31" s="85" t="s">
        <v>578</v>
      </c>
      <c r="D31" s="85" t="s">
        <v>579</v>
      </c>
      <c r="E31" s="85" t="s">
        <v>580</v>
      </c>
    </row>
    <row r="32">
      <c r="A32" s="64" t="s">
        <v>7193</v>
      </c>
      <c r="B32" s="64" t="s">
        <v>684</v>
      </c>
      <c r="C32" s="64" t="s">
        <v>1607</v>
      </c>
      <c r="D32" s="64" t="s">
        <v>599</v>
      </c>
    </row>
    <row r="33">
      <c r="A33" s="12" t="s">
        <v>7194</v>
      </c>
      <c r="B33" s="12" t="s">
        <v>3770</v>
      </c>
      <c r="C33" s="12" t="s">
        <v>863</v>
      </c>
      <c r="D33" s="12" t="s">
        <v>7195</v>
      </c>
    </row>
    <row r="34">
      <c r="A34" s="12" t="s">
        <v>826</v>
      </c>
      <c r="B34" s="12" t="s">
        <v>699</v>
      </c>
      <c r="C34" s="12" t="s">
        <v>699</v>
      </c>
      <c r="D34" s="12" t="s">
        <v>1364</v>
      </c>
    </row>
    <row r="35">
      <c r="C35" s="12" t="s">
        <v>7196</v>
      </c>
    </row>
    <row r="36">
      <c r="C36" s="12" t="s">
        <v>7197</v>
      </c>
    </row>
    <row r="37">
      <c r="C37" s="12" t="s">
        <v>820</v>
      </c>
    </row>
    <row r="42">
      <c r="A42" s="87" t="s">
        <v>7198</v>
      </c>
    </row>
    <row r="43">
      <c r="A43" s="88">
        <v>2026.0</v>
      </c>
    </row>
    <row r="44">
      <c r="A44" s="85" t="s">
        <v>592</v>
      </c>
      <c r="B44" s="85" t="s">
        <v>593</v>
      </c>
      <c r="C44" s="85" t="s">
        <v>594</v>
      </c>
      <c r="D44" s="85" t="s">
        <v>595</v>
      </c>
      <c r="E44" s="85" t="s">
        <v>596</v>
      </c>
      <c r="F44" s="85" t="s">
        <v>597</v>
      </c>
    </row>
    <row r="45">
      <c r="A45" s="64" t="s">
        <v>7199</v>
      </c>
      <c r="B45" s="64" t="s">
        <v>7200</v>
      </c>
    </row>
    <row r="46">
      <c r="A46" s="12" t="s">
        <v>1233</v>
      </c>
      <c r="B46" s="12" t="s">
        <v>7194</v>
      </c>
    </row>
    <row r="47">
      <c r="A47" s="12" t="s">
        <v>1239</v>
      </c>
      <c r="B47" s="12" t="s">
        <v>892</v>
      </c>
    </row>
    <row r="48">
      <c r="A48" s="12" t="s">
        <v>2478</v>
      </c>
    </row>
    <row r="49">
      <c r="A49" s="12" t="s">
        <v>775</v>
      </c>
    </row>
    <row r="50">
      <c r="A50" s="12" t="s">
        <v>7201</v>
      </c>
    </row>
    <row r="51">
      <c r="A51" s="12" t="s">
        <v>911</v>
      </c>
    </row>
    <row r="52">
      <c r="A52" s="12" t="s">
        <v>7165</v>
      </c>
    </row>
    <row r="53">
      <c r="A53" s="12" t="s">
        <v>605</v>
      </c>
    </row>
    <row r="54">
      <c r="A54" s="12" t="s">
        <v>7202</v>
      </c>
    </row>
    <row r="55">
      <c r="A55" s="12" t="s">
        <v>604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1" t="s">
        <v>2852</v>
      </c>
    </row>
    <row r="2">
      <c r="A2" s="11" t="s">
        <v>7203</v>
      </c>
    </row>
    <row r="3">
      <c r="A3" s="14" t="s">
        <v>7204</v>
      </c>
    </row>
    <row r="4">
      <c r="A4" s="11" t="s">
        <v>19</v>
      </c>
      <c r="B4" s="11" t="s">
        <v>7205</v>
      </c>
      <c r="C4" s="11" t="s">
        <v>7206</v>
      </c>
      <c r="D4" s="11" t="s">
        <v>7207</v>
      </c>
      <c r="E4" s="68" t="s">
        <v>7208</v>
      </c>
      <c r="F4" s="68" t="s">
        <v>7209</v>
      </c>
    </row>
    <row r="5">
      <c r="A5" s="12" t="s">
        <v>7210</v>
      </c>
      <c r="B5" s="12" t="s">
        <v>7211</v>
      </c>
      <c r="C5" s="12" t="s">
        <v>7212</v>
      </c>
      <c r="D5" s="12" t="s">
        <v>7213</v>
      </c>
      <c r="E5" s="12" t="s">
        <v>7214</v>
      </c>
      <c r="F5" s="12" t="s">
        <v>7215</v>
      </c>
    </row>
    <row r="6">
      <c r="A6" s="12" t="s">
        <v>7216</v>
      </c>
      <c r="C6" s="12" t="s">
        <v>7217</v>
      </c>
      <c r="D6" s="12" t="s">
        <v>7218</v>
      </c>
      <c r="E6" s="12" t="s">
        <v>7219</v>
      </c>
      <c r="F6" s="12" t="s">
        <v>7220</v>
      </c>
    </row>
    <row r="7">
      <c r="A7" s="12" t="s">
        <v>7221</v>
      </c>
      <c r="D7" s="12" t="s">
        <v>7222</v>
      </c>
    </row>
    <row r="8">
      <c r="A8" s="12" t="s">
        <v>7223</v>
      </c>
      <c r="D8" s="12" t="s">
        <v>7224</v>
      </c>
    </row>
    <row r="9">
      <c r="A9" s="12" t="s">
        <v>2217</v>
      </c>
    </row>
    <row r="10">
      <c r="A10" s="12" t="s">
        <v>7225</v>
      </c>
    </row>
    <row r="11">
      <c r="A11" s="12" t="s">
        <v>7226</v>
      </c>
    </row>
    <row r="12">
      <c r="A12" s="12" t="s">
        <v>7227</v>
      </c>
    </row>
    <row r="13">
      <c r="A13" s="12" t="s">
        <v>7228</v>
      </c>
    </row>
    <row r="14">
      <c r="A14" s="12" t="s">
        <v>7229</v>
      </c>
    </row>
    <row r="15">
      <c r="A15" s="12" t="s">
        <v>7230</v>
      </c>
    </row>
    <row r="16">
      <c r="A16" s="12" t="s">
        <v>3815</v>
      </c>
    </row>
    <row r="17">
      <c r="A17" s="12" t="s">
        <v>7231</v>
      </c>
    </row>
    <row r="18">
      <c r="A18" s="12" t="s">
        <v>7232</v>
      </c>
    </row>
    <row r="19">
      <c r="A19" s="12" t="s">
        <v>7233</v>
      </c>
    </row>
    <row r="26">
      <c r="A26" s="82" t="s">
        <v>7234</v>
      </c>
    </row>
    <row r="27">
      <c r="A27" s="84" t="s">
        <v>7235</v>
      </c>
    </row>
    <row r="28">
      <c r="A28" s="84">
        <v>2026.0</v>
      </c>
    </row>
    <row r="29">
      <c r="A29" s="85" t="s">
        <v>576</v>
      </c>
      <c r="B29" s="85" t="s">
        <v>577</v>
      </c>
      <c r="C29" s="85" t="s">
        <v>578</v>
      </c>
      <c r="D29" s="85" t="s">
        <v>579</v>
      </c>
      <c r="E29" s="85" t="s">
        <v>580</v>
      </c>
    </row>
    <row r="30">
      <c r="D30" s="12" t="s">
        <v>861</v>
      </c>
    </row>
    <row r="31">
      <c r="D31" s="12" t="s">
        <v>605</v>
      </c>
    </row>
    <row r="40">
      <c r="A40" s="87" t="s">
        <v>1449</v>
      </c>
    </row>
    <row r="41">
      <c r="A41" s="88">
        <v>2026.0</v>
      </c>
    </row>
    <row r="42">
      <c r="A42" s="85" t="s">
        <v>592</v>
      </c>
      <c r="B42" s="85" t="s">
        <v>593</v>
      </c>
      <c r="C42" s="85" t="s">
        <v>594</v>
      </c>
      <c r="D42" s="85" t="s">
        <v>595</v>
      </c>
      <c r="E42" s="85" t="s">
        <v>596</v>
      </c>
      <c r="F42" s="85" t="s">
        <v>597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1" t="s">
        <v>7236</v>
      </c>
    </row>
    <row r="2">
      <c r="A2" s="14" t="s">
        <v>7237</v>
      </c>
    </row>
    <row r="3">
      <c r="A3" s="14" t="s">
        <v>7238</v>
      </c>
    </row>
    <row r="4">
      <c r="A4" s="11" t="s">
        <v>19</v>
      </c>
      <c r="B4" s="11" t="s">
        <v>7147</v>
      </c>
      <c r="C4" s="11" t="s">
        <v>7239</v>
      </c>
      <c r="D4" s="11" t="s">
        <v>26</v>
      </c>
      <c r="E4" s="11" t="s">
        <v>7240</v>
      </c>
      <c r="F4" s="11" t="s">
        <v>7241</v>
      </c>
      <c r="G4" s="11" t="s">
        <v>7242</v>
      </c>
      <c r="H4" s="11" t="s">
        <v>7243</v>
      </c>
    </row>
    <row r="5">
      <c r="A5" s="12" t="s">
        <v>7244</v>
      </c>
      <c r="B5" s="12" t="s">
        <v>7245</v>
      </c>
      <c r="C5" s="12" t="s">
        <v>7246</v>
      </c>
      <c r="D5" s="12" t="s">
        <v>7247</v>
      </c>
      <c r="E5" s="12" t="s">
        <v>7248</v>
      </c>
      <c r="F5" s="12" t="s">
        <v>1622</v>
      </c>
      <c r="G5" s="12" t="s">
        <v>7249</v>
      </c>
      <c r="H5" s="12" t="s">
        <v>77</v>
      </c>
    </row>
    <row r="6">
      <c r="A6" s="12" t="s">
        <v>7250</v>
      </c>
      <c r="B6" s="12" t="s">
        <v>7251</v>
      </c>
      <c r="C6" s="12" t="s">
        <v>7252</v>
      </c>
      <c r="D6" s="12" t="s">
        <v>7253</v>
      </c>
      <c r="F6" s="12" t="s">
        <v>7217</v>
      </c>
      <c r="G6" s="12" t="s">
        <v>7254</v>
      </c>
      <c r="H6" s="12" t="s">
        <v>7255</v>
      </c>
    </row>
    <row r="7">
      <c r="A7" s="12" t="s">
        <v>7256</v>
      </c>
      <c r="C7" s="12" t="s">
        <v>7257</v>
      </c>
      <c r="D7" s="12" t="s">
        <v>7258</v>
      </c>
      <c r="F7" s="12" t="s">
        <v>1625</v>
      </c>
      <c r="G7" s="12" t="s">
        <v>7259</v>
      </c>
      <c r="H7" s="12" t="s">
        <v>7260</v>
      </c>
    </row>
    <row r="8">
      <c r="A8" s="12" t="s">
        <v>7261</v>
      </c>
      <c r="C8" s="12" t="s">
        <v>7262</v>
      </c>
      <c r="F8" s="12" t="s">
        <v>7177</v>
      </c>
      <c r="G8" s="12" t="s">
        <v>7263</v>
      </c>
      <c r="H8" s="12" t="s">
        <v>386</v>
      </c>
    </row>
    <row r="9">
      <c r="A9" s="12" t="s">
        <v>1485</v>
      </c>
      <c r="C9" s="12" t="s">
        <v>7264</v>
      </c>
      <c r="F9" s="12" t="s">
        <v>7265</v>
      </c>
      <c r="G9" s="12" t="s">
        <v>7266</v>
      </c>
      <c r="H9" s="12" t="s">
        <v>496</v>
      </c>
    </row>
    <row r="10">
      <c r="A10" s="12" t="s">
        <v>7267</v>
      </c>
      <c r="F10" s="12" t="s">
        <v>7217</v>
      </c>
      <c r="G10" s="12" t="s">
        <v>7268</v>
      </c>
      <c r="H10" s="12" t="s">
        <v>7269</v>
      </c>
    </row>
    <row r="11">
      <c r="A11" s="12" t="s">
        <v>7270</v>
      </c>
      <c r="G11" s="12" t="s">
        <v>7271</v>
      </c>
      <c r="H11" s="12" t="s">
        <v>166</v>
      </c>
    </row>
    <row r="12">
      <c r="A12" s="12" t="s">
        <v>7272</v>
      </c>
      <c r="G12" s="12" t="s">
        <v>7273</v>
      </c>
      <c r="H12" s="12" t="s">
        <v>1254</v>
      </c>
    </row>
    <row r="13">
      <c r="A13" s="12" t="s">
        <v>7274</v>
      </c>
      <c r="G13" s="12" t="s">
        <v>7275</v>
      </c>
      <c r="H13" s="12" t="s">
        <v>7276</v>
      </c>
    </row>
    <row r="14">
      <c r="A14" s="12" t="s">
        <v>7277</v>
      </c>
      <c r="G14" s="12" t="s">
        <v>7278</v>
      </c>
      <c r="H14" s="12" t="s">
        <v>7279</v>
      </c>
    </row>
    <row r="15">
      <c r="A15" s="12" t="s">
        <v>7280</v>
      </c>
      <c r="G15" s="12" t="s">
        <v>7281</v>
      </c>
      <c r="H15" s="12" t="s">
        <v>1272</v>
      </c>
    </row>
    <row r="16">
      <c r="A16" s="12" t="s">
        <v>7282</v>
      </c>
      <c r="H16" s="12" t="s">
        <v>1349</v>
      </c>
    </row>
    <row r="17">
      <c r="A17" s="12" t="s">
        <v>7283</v>
      </c>
      <c r="G17" s="11" t="s">
        <v>7284</v>
      </c>
      <c r="H17" s="12" t="s">
        <v>7285</v>
      </c>
    </row>
    <row r="18">
      <c r="A18" s="12" t="s">
        <v>7286</v>
      </c>
      <c r="G18" s="12" t="s">
        <v>7287</v>
      </c>
      <c r="H18" s="12" t="s">
        <v>166</v>
      </c>
    </row>
    <row r="19">
      <c r="A19" s="12" t="s">
        <v>4701</v>
      </c>
      <c r="G19" s="12" t="s">
        <v>7269</v>
      </c>
      <c r="H19" s="12" t="s">
        <v>1308</v>
      </c>
    </row>
    <row r="20">
      <c r="A20" s="12" t="s">
        <v>7288</v>
      </c>
      <c r="G20" s="12" t="s">
        <v>7175</v>
      </c>
      <c r="H20" s="12" t="s">
        <v>1313</v>
      </c>
    </row>
    <row r="21">
      <c r="A21" s="12" t="s">
        <v>7289</v>
      </c>
      <c r="G21" s="12" t="s">
        <v>7290</v>
      </c>
      <c r="H21" s="12" t="s">
        <v>1335</v>
      </c>
    </row>
    <row r="22">
      <c r="A22" s="12" t="s">
        <v>7291</v>
      </c>
      <c r="G22" s="12" t="s">
        <v>7292</v>
      </c>
      <c r="H22" s="12" t="s">
        <v>7293</v>
      </c>
    </row>
    <row r="23">
      <c r="A23" s="12" t="s">
        <v>7294</v>
      </c>
      <c r="G23" s="12" t="s">
        <v>7295</v>
      </c>
      <c r="H23" s="12" t="s">
        <v>3528</v>
      </c>
    </row>
    <row r="24">
      <c r="G24" s="12" t="s">
        <v>7296</v>
      </c>
      <c r="H24" s="12" t="s">
        <v>208</v>
      </c>
    </row>
    <row r="25">
      <c r="G25" s="12" t="s">
        <v>7297</v>
      </c>
      <c r="H25" s="12" t="s">
        <v>1335</v>
      </c>
    </row>
    <row r="26">
      <c r="G26" s="12" t="s">
        <v>7298</v>
      </c>
      <c r="H26" s="12" t="s">
        <v>7299</v>
      </c>
    </row>
    <row r="27">
      <c r="G27" s="12" t="s">
        <v>7300</v>
      </c>
    </row>
    <row r="29">
      <c r="G29" s="11" t="s">
        <v>7301</v>
      </c>
    </row>
    <row r="30">
      <c r="G30" s="12" t="s">
        <v>7302</v>
      </c>
    </row>
  </sheetData>
  <mergeCells count="3">
    <mergeCell ref="A1:I1"/>
    <mergeCell ref="A2:I2"/>
    <mergeCell ref="A3:I3"/>
  </mergeCells>
  <drawing r:id="rId1"/>
</worksheet>
</file>
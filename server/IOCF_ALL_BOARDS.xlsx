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England" sheetId="4" r:id="rId8"/>
    <sheet state="visible" name="India" sheetId="5" r:id="rId9"/>
    <sheet state="visible" name="Italy" sheetId="6" r:id="rId10"/>
    <sheet state="visible" name="Netherlands" sheetId="7" r:id="rId11"/>
    <sheet state="visible" name="Newzealand" sheetId="8" r:id="rId12"/>
    <sheet state="visible" name="Pakistan" sheetId="9" r:id="rId13"/>
    <sheet state="visible" name="Qatar" sheetId="10" r:id="rId14"/>
    <sheet state="visible" name="Scotland" sheetId="11" r:id="rId15"/>
    <sheet state="visible" name="SA" sheetId="12" r:id="rId16"/>
    <sheet state="visible" name="Srilanka" sheetId="13" r:id="rId17"/>
    <sheet state="visible" name="UAE" sheetId="14" r:id="rId18"/>
    <sheet state="visible" name="WestIndies" sheetId="15" r:id="rId19"/>
    <sheet state="visible" name="T20 World Cup 2026" sheetId="16" r:id="rId20"/>
    <sheet state="visible" name="Series Matches" sheetId="17" r:id="rId21"/>
    <sheet state="visible" name="WTC Matches" sheetId="18" r:id="rId22"/>
    <sheet state="visible" name="Emerging Talent League" sheetId="19" r:id="rId23"/>
    <sheet state="visible" name="IOCF Lone Warrior" sheetId="20" r:id="rId24"/>
    <sheet state="visible" name="IOCF ASIA CUP" sheetId="21" r:id="rId25"/>
    <sheet state="visible" name="IOCF EURO CUP" sheetId="22" r:id="rId26"/>
    <sheet state="visible" name="IOCF OCEANIA CUP" sheetId="23" r:id="rId27"/>
    <sheet state="visible" name="IOCF Cards" sheetId="24" r:id="rId28"/>
    <sheet state="visible" name="100 2026" sheetId="25" r:id="rId29"/>
    <sheet state="visible" name="PSL 2026" sheetId="26" r:id="rId30"/>
    <sheet state="visible" name="BBL 2026" sheetId="27" r:id="rId31"/>
    <sheet state="visible" name="KCL 2026" sheetId="28" r:id="rId32"/>
    <sheet state="visible" name="BPL 2026" sheetId="29" r:id="rId33"/>
    <sheet state="visible" name="IPL 2026" sheetId="30" r:id="rId34"/>
    <sheet state="visible" name="CPL 2026" sheetId="31" r:id="rId35"/>
    <sheet state="visible" name="SPL 2026" sheetId="32" r:id="rId36"/>
    <sheet state="hidden" name="Dismantled UAE" sheetId="33" r:id="rId37"/>
    <sheet state="hidden" name="Dismantled USA" sheetId="34" r:id="rId38"/>
    <sheet state="hidden" name="Dismantled South Africa " sheetId="35" r:id="rId39"/>
  </sheets>
  <definedNames/>
  <calcPr/>
</workbook>
</file>

<file path=xl/sharedStrings.xml><?xml version="1.0" encoding="utf-8"?>
<sst xmlns="http://schemas.openxmlformats.org/spreadsheetml/2006/main" count="13561" uniqueCount="6232">
  <si>
    <t>Credits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</si>
  <si>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</si>
  <si>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</si>
  <si>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</si>
  <si>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</si>
  <si>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</si>
  <si>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</si>
  <si>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</si>
  <si>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</si>
  <si>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</si>
  <si>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</si>
  <si>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</si>
  <si>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</si>
  <si>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</si>
  <si>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</si>
  <si>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</si>
  <si>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</si>
  <si>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</si>
  <si>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 xml:space="preserve">Melbourne Cricket Ground </t>
  </si>
  <si>
    <t>Padma - Meghna Cricket Arena</t>
  </si>
  <si>
    <t>Lords International Stadium</t>
  </si>
  <si>
    <t>Eternal Coliseum</t>
  </si>
  <si>
    <t>Vivian Richards Cricket Ground</t>
  </si>
  <si>
    <t xml:space="preserve">Maya Stadium Amsterdam </t>
  </si>
  <si>
    <t xml:space="preserve">Eden Park </t>
  </si>
  <si>
    <t>Pindi International Stadium</t>
  </si>
  <si>
    <t xml:space="preserve">West End Park 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</si>
  <si>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</si>
  <si>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</si>
  <si>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</si>
  <si>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</si>
  <si>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</si>
  <si>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 xml:space="preserve">Sydney Cricket Ground </t>
  </si>
  <si>
    <t>Hilsha Heritage Stadium | Franchise League L1 | Upgraded</t>
  </si>
  <si>
    <t>WGG International Stadium</t>
  </si>
  <si>
    <t>Sree Padmanaba Cricket Park</t>
  </si>
  <si>
    <t>Level 2 Stadiums</t>
  </si>
  <si>
    <t>Dutch Cricket Arena Hague</t>
  </si>
  <si>
    <t>Sky International Stadium</t>
  </si>
  <si>
    <t>Karachi International Stadium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</si>
  <si>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</si>
  <si>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</si>
  <si>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</si>
  <si>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</si>
  <si>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</si>
  <si>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 xml:space="preserve">Optus Stadium | Free T20 WC </t>
  </si>
  <si>
    <t>Karnaphuli Cricket Park</t>
  </si>
  <si>
    <t xml:space="preserve">The Rose Bowl </t>
  </si>
  <si>
    <t>Jannat Wadi | Franchise League L1 | Upgraded</t>
  </si>
  <si>
    <t>None</t>
  </si>
  <si>
    <t>Sovereign Crown Arena</t>
  </si>
  <si>
    <t>Gaddafi Stadium Lahore | Franchise League L1 | Upgraded</t>
  </si>
  <si>
    <t>Scotba Cricket Stadium</t>
  </si>
  <si>
    <t xml:space="preserve">Adelaide Oval </t>
  </si>
  <si>
    <t>Mango Fortress Stadium</t>
  </si>
  <si>
    <t>Trent Bridge | Franchise League L1 | Upgraded</t>
  </si>
  <si>
    <t>Level 1 Stadiums</t>
  </si>
  <si>
    <t xml:space="preserve">Thunder Dome </t>
  </si>
  <si>
    <t>Multan International Stadium</t>
  </si>
  <si>
    <t>Sydney Show Ground | Franchise League L1 | Upgraded</t>
  </si>
  <si>
    <t>Sylhet Jewel Stadium</t>
  </si>
  <si>
    <t xml:space="preserve">The Oval </t>
  </si>
  <si>
    <t xml:space="preserve">Marvel Cricket Stadium </t>
  </si>
  <si>
    <t xml:space="preserve">Old Trafford </t>
  </si>
  <si>
    <t>Inferno Bay Arena</t>
  </si>
  <si>
    <t xml:space="preserve">Bridgetown Royal Cricket Arena | Franchise League L1 </t>
  </si>
  <si>
    <t xml:space="preserve">The Gabba </t>
  </si>
  <si>
    <t>Prince's Arena</t>
  </si>
  <si>
    <t>Basseterre Patriots Cricket Ground</t>
  </si>
  <si>
    <t xml:space="preserve">Ninja Stadium Hobart </t>
  </si>
  <si>
    <t>Yorkshire Headingley</t>
  </si>
  <si>
    <t>Lion's Citadel</t>
  </si>
  <si>
    <t>Ironhold Park</t>
  </si>
  <si>
    <t>Hyder Cricket Stadium</t>
  </si>
  <si>
    <t>Kingstown Volcano Cricket Stdaium</t>
  </si>
  <si>
    <t>Somerset County Ground</t>
  </si>
  <si>
    <t>Master's Arena</t>
  </si>
  <si>
    <t>Alpine Crown Arena</t>
  </si>
  <si>
    <t>Quetta Cricket Arena</t>
  </si>
  <si>
    <t>Port of Spain Knights Arena</t>
  </si>
  <si>
    <t>Middlesex Lords County Cricket Ground</t>
  </si>
  <si>
    <t>Titan Bay Coliseum | Franchise League L1</t>
  </si>
  <si>
    <t>Kingston Kings Cricket Stadium</t>
  </si>
  <si>
    <t>Durahm Riverside Ground</t>
  </si>
  <si>
    <t>St. John's Falcon Cricket Arena</t>
  </si>
  <si>
    <t>International Tournament Updates</t>
  </si>
  <si>
    <t>Franchise League Updates</t>
  </si>
  <si>
    <t>Tournament Name</t>
  </si>
  <si>
    <t>Awards</t>
  </si>
  <si>
    <t>Award Winners</t>
  </si>
  <si>
    <t>Official Board</t>
  </si>
  <si>
    <t>League Name</t>
  </si>
  <si>
    <t>Award Name</t>
  </si>
  <si>
    <t>Award Winner</t>
  </si>
  <si>
    <t>Franchise Team</t>
  </si>
  <si>
    <t>National Board</t>
  </si>
  <si>
    <t>T20 World CUP 2026</t>
  </si>
  <si>
    <t>Most Dot Balls</t>
  </si>
  <si>
    <t>Toby Joseph</t>
  </si>
  <si>
    <t>THE HUNDRED 2026</t>
  </si>
  <si>
    <t>Emerging Player</t>
  </si>
  <si>
    <t>Vishnu CV</t>
  </si>
  <si>
    <t>Southern Brave</t>
  </si>
  <si>
    <t>Most Maidens</t>
  </si>
  <si>
    <t>Anurag Raj</t>
  </si>
  <si>
    <t>Economical Bowler</t>
  </si>
  <si>
    <t>Waleed Khan</t>
  </si>
  <si>
    <t>Afghanistan</t>
  </si>
  <si>
    <t>Best Economy</t>
  </si>
  <si>
    <t xml:space="preserve">Virendra </t>
  </si>
  <si>
    <t>Most Sixes</t>
  </si>
  <si>
    <t>Hasan Musabir</t>
  </si>
  <si>
    <t>MI London</t>
  </si>
  <si>
    <t>Best Bat Average</t>
  </si>
  <si>
    <t>Bhavin Kumar</t>
  </si>
  <si>
    <t>Best Bowler</t>
  </si>
  <si>
    <t>Safeer Babu</t>
  </si>
  <si>
    <t>Sunrisers Leeds</t>
  </si>
  <si>
    <t>Fastest Century</t>
  </si>
  <si>
    <t xml:space="preserve">Rejith Mohan </t>
  </si>
  <si>
    <t>Best Batsman</t>
  </si>
  <si>
    <t>Nirmal Baishya</t>
  </si>
  <si>
    <t>Fastest Fifty</t>
  </si>
  <si>
    <t>Diljith Das</t>
  </si>
  <si>
    <t>Player of the Tournament</t>
  </si>
  <si>
    <t>Shivaji Prakash</t>
  </si>
  <si>
    <t>Welsh Fire</t>
  </si>
  <si>
    <t>Most Fours</t>
  </si>
  <si>
    <t>Runners Up</t>
  </si>
  <si>
    <t>Hashir</t>
  </si>
  <si>
    <t>Champions</t>
  </si>
  <si>
    <t>Best Bowl Figure</t>
  </si>
  <si>
    <t>Anshad</t>
  </si>
  <si>
    <t>PAKISTAN SUPER LEAGUE 2026</t>
  </si>
  <si>
    <t>Wajdan</t>
  </si>
  <si>
    <t>Lahore Qalandars</t>
  </si>
  <si>
    <t>Highest Individual Score</t>
  </si>
  <si>
    <t>Sai Naveen</t>
  </si>
  <si>
    <t>Muhammad Usman</t>
  </si>
  <si>
    <t>Fastest Umpire</t>
  </si>
  <si>
    <t>Nasrullah Kapri</t>
  </si>
  <si>
    <t xml:space="preserve">Best Bowler </t>
  </si>
  <si>
    <t>Adithya Mahajan</t>
  </si>
  <si>
    <t>World Cup Operaions Excellence</t>
  </si>
  <si>
    <t>Yasin Iqbal</t>
  </si>
  <si>
    <t>Al Ameen</t>
  </si>
  <si>
    <t>Quetta Gladiators</t>
  </si>
  <si>
    <t>Best Captain</t>
  </si>
  <si>
    <t>Midhun Manilal</t>
  </si>
  <si>
    <t>Chappy</t>
  </si>
  <si>
    <t>Fair Play Award</t>
  </si>
  <si>
    <t>Runners up</t>
  </si>
  <si>
    <t>Hyderabad Kings</t>
  </si>
  <si>
    <t>Man of the Tournament</t>
  </si>
  <si>
    <t>BIG BASH LEAGUE 2026</t>
  </si>
  <si>
    <t>Best Young Player</t>
  </si>
  <si>
    <t>Anand Ajikumar</t>
  </si>
  <si>
    <t>Sydney Sixers</t>
  </si>
  <si>
    <t>Arnab Sarkar &amp; Nasrullah Kapri</t>
  </si>
  <si>
    <t>Australia &amp; Pakistan</t>
  </si>
  <si>
    <t>EMERGING TALENTS LEAGUE 2026</t>
  </si>
  <si>
    <t>Amjith</t>
  </si>
  <si>
    <t>Best Bowler ( Golden Arm )</t>
  </si>
  <si>
    <t>Zarnish Saira</t>
  </si>
  <si>
    <t>Melbourne Stars</t>
  </si>
  <si>
    <t>Mowglee</t>
  </si>
  <si>
    <t>Best Batsman ( Golden Bat )</t>
  </si>
  <si>
    <t xml:space="preserve">Arnab Sarkar  </t>
  </si>
  <si>
    <t>Shajahan</t>
  </si>
  <si>
    <t>Brisbane Heat</t>
  </si>
  <si>
    <t>Match of the Tournament</t>
  </si>
  <si>
    <t>England &amp; West Indies</t>
  </si>
  <si>
    <t>Best Talent Discovery Board</t>
  </si>
  <si>
    <t>All four Boards</t>
  </si>
  <si>
    <t>Fair Play</t>
  </si>
  <si>
    <t>England &amp; Scotland</t>
  </si>
  <si>
    <t>KIWI CROWN LEAGUE 2026</t>
  </si>
  <si>
    <t>Rise of the crown (Emerging Player)</t>
  </si>
  <si>
    <t>Karthik Devadiga</t>
  </si>
  <si>
    <t>Wellington Warriors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</si>
  <si>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</si>
  <si>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</si>
  <si>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</si>
  <si>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</si>
  <si>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</si>
  <si>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</si>
  <si>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</si>
  <si>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</si>
  <si>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</si>
  <si>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Scotland &amp; India</t>
  </si>
  <si>
    <t>The Golden Crown (Best Batsman)</t>
  </si>
  <si>
    <t>Runner Up</t>
  </si>
  <si>
    <t>Shamroz</t>
  </si>
  <si>
    <t>Crowned Warrior (Player of the Tournament)</t>
  </si>
  <si>
    <t xml:space="preserve">Champion </t>
  </si>
  <si>
    <t>Spirit of Crown (Fair Play Award)</t>
  </si>
  <si>
    <t>Canterbury Kings</t>
  </si>
  <si>
    <t>Board: AUSTRALIA</t>
  </si>
  <si>
    <t>Chairman: Arnab Sarkar | Ceo: Keshav Shah</t>
  </si>
  <si>
    <t xml:space="preserve">Credits left: </t>
  </si>
  <si>
    <t>Players</t>
  </si>
  <si>
    <t>Stadium:</t>
  </si>
  <si>
    <t>International Series:</t>
  </si>
  <si>
    <t>Whitewash:</t>
  </si>
  <si>
    <t>Trophy Cabinet ( International series)</t>
  </si>
  <si>
    <t>Umpires Credits :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</si>
  <si>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</si>
  <si>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</si>
  <si>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</si>
  <si>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</si>
  <si>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 🏆: ( OCEANIA )</t>
  </si>
  <si>
    <t>1. Waqas Mughal</t>
  </si>
  <si>
    <t>1. Kangaroo Protea Cup ( Home )</t>
  </si>
  <si>
    <t>2. Abrar Ali</t>
  </si>
  <si>
    <t>Level 3 Stadiums</t>
  </si>
  <si>
    <t>Home( Pakistan ): 5000 bet ( Lost )</t>
  </si>
  <si>
    <t>Against South Africa: 1</t>
  </si>
  <si>
    <t>2. Caribbean Tri Nation Series ( Away )</t>
  </si>
  <si>
    <t>1. Yasin</t>
  </si>
  <si>
    <t>1. Yasin Iqbal - 5k</t>
  </si>
  <si>
    <t>Hosting Rights: -42000</t>
  </si>
  <si>
    <t>1. 20 to 25: 10000</t>
  </si>
  <si>
    <t>Entry: -5000</t>
  </si>
  <si>
    <t>Match Bet credits: 35000</t>
  </si>
  <si>
    <t>Trophy Cabinet ( Test )</t>
  </si>
  <si>
    <t>Players &amp; Match Awards</t>
  </si>
  <si>
    <t>3. Anand Ajikumar</t>
  </si>
  <si>
    <t>Home( South Africa): 5000 bet ( Won )</t>
  </si>
  <si>
    <t>Against Afghanistan: 1</t>
  </si>
  <si>
    <t>3. Aus Afg Power series ( Home )</t>
  </si>
  <si>
    <t>International Series: 16</t>
  </si>
  <si>
    <t>2. Karan Kumar - 5k</t>
  </si>
  <si>
    <t>Player Awards: 11000</t>
  </si>
  <si>
    <t>Home(Pakistan): 5000 ( Won )</t>
  </si>
  <si>
    <t>Benaud-Qadir ( Home )</t>
  </si>
  <si>
    <t>4. Anik Dey Shanto</t>
  </si>
  <si>
    <t>Away( West Indies/ Scotland ): 5000 ( Won )</t>
  </si>
  <si>
    <t>Against England(Test): 1</t>
  </si>
  <si>
    <t>4. The Ashes( Away )</t>
  </si>
  <si>
    <t>International tournament: 7</t>
  </si>
  <si>
    <t>3. Sai Naveen - 5k</t>
  </si>
  <si>
    <t>Players Awards: 2300</t>
  </si>
  <si>
    <t>1. Rizwan</t>
  </si>
  <si>
    <t>Away(Pakistan): 5000 (Won)</t>
  </si>
  <si>
    <t>Scottish Wall (Away)</t>
  </si>
  <si>
    <t>5. Anurag Raj</t>
  </si>
  <si>
    <t>Home ( Newzealand) : 5000 bet ( Lost )</t>
  </si>
  <si>
    <t>Against Newzealand: 2</t>
  </si>
  <si>
    <t>5. Southee Cummins ( Away )</t>
  </si>
  <si>
    <t>2. Anurag</t>
  </si>
  <si>
    <t>4. Bhavesh B - 5k</t>
  </si>
  <si>
    <t>1. Sai Naveen</t>
  </si>
  <si>
    <t>Man of the match: 2 (2000)</t>
  </si>
  <si>
    <t>Away(Scotland): 5000 (Won)</t>
  </si>
  <si>
    <t>Aussie Wall (Home)</t>
  </si>
  <si>
    <t>6. Arjun Akj</t>
  </si>
  <si>
    <t>Home ( West Indies): 5000 bet ( Lost )</t>
  </si>
  <si>
    <t>6. Southern Challenge (Away)</t>
  </si>
  <si>
    <t>International Series: 6</t>
  </si>
  <si>
    <t>5. Vaibhav Batra - 5k</t>
  </si>
  <si>
    <t>Man of the match: 1</t>
  </si>
  <si>
    <t>vs Pakistan</t>
  </si>
  <si>
    <t>Home(Scotland): 5000 (Won)</t>
  </si>
  <si>
    <t>Sydney Cup</t>
  </si>
  <si>
    <t>7. Ashwini Verma</t>
  </si>
  <si>
    <t>Away( Scotland): 5000 bet ( Lost )</t>
  </si>
  <si>
    <t>7. Kiwi Kangaroo (Away)</t>
  </si>
  <si>
    <t>International tournament: 4</t>
  </si>
  <si>
    <t>6. Saketh Balne - 5k</t>
  </si>
  <si>
    <t>• vs Scotland: 500</t>
  </si>
  <si>
    <t>vs Scotland</t>
  </si>
  <si>
    <t>Home (England): 5000 (Lost)</t>
  </si>
  <si>
    <t>Poker Cup</t>
  </si>
  <si>
    <t>8. Chiranjibi Samal</t>
  </si>
  <si>
    <t>Home( Afghanistan): 7000 bet ( Won )</t>
  </si>
  <si>
    <t xml:space="preserve">Whitewash lose: </t>
  </si>
  <si>
    <t>8. Kingfisher Cup (Home)</t>
  </si>
  <si>
    <t>Franchise League(100): 1</t>
  </si>
  <si>
    <t>7. Summan Baig to Pak - 2k</t>
  </si>
  <si>
    <t>Most Sixes: 1</t>
  </si>
  <si>
    <t>Best Bowler: 1 (500)</t>
  </si>
  <si>
    <t>Away(England): 5000 (Lost)</t>
  </si>
  <si>
    <t>9. Kashif Ramzan</t>
  </si>
  <si>
    <t>Away( England ): 10000 ( Won )</t>
  </si>
  <si>
    <t>9. KFC T20 Cup (Home)</t>
  </si>
  <si>
    <t>Franchise League(BBL): 4</t>
  </si>
  <si>
    <t>8. Srinidhi (10k) - SA Chairman</t>
  </si>
  <si>
    <t>• vs Scotland: 300</t>
  </si>
  <si>
    <t>Home(Bangladesh): 5000 (Won)</t>
  </si>
  <si>
    <t>10. Muhammad Shahzad</t>
  </si>
  <si>
    <t>Away ( England ): 5000 bet ( Lost )</t>
  </si>
  <si>
    <t>Against Newzealand: 1</t>
  </si>
  <si>
    <t>10. IPL Challenger Trophy (Away)</t>
  </si>
  <si>
    <t>3. Arnab</t>
  </si>
  <si>
    <t>9. Donald (10k) - SA Chairman</t>
  </si>
  <si>
    <t>2. Bhavesh B</t>
  </si>
  <si>
    <t>2. Keshav Shah</t>
  </si>
  <si>
    <t>Away(Bangladesh): 5000 (Won)</t>
  </si>
  <si>
    <t>11. Lal Krishna</t>
  </si>
  <si>
    <t>Away ( UAE ): 5000 bet ( Lost )</t>
  </si>
  <si>
    <t>Against Scotland: 1</t>
  </si>
  <si>
    <t>International Series: 4</t>
  </si>
  <si>
    <t>10. Noor from WI - 10000</t>
  </si>
  <si>
    <t>Man of the match: 1 (1000)</t>
  </si>
  <si>
    <t>12. Malaram Patel</t>
  </si>
  <si>
    <t>Away ( Newzealand ): 5000 bet ( Won )</t>
  </si>
  <si>
    <t>International tournament: 2</t>
  </si>
  <si>
    <t>11. Mahi to SA - 2500</t>
  </si>
  <si>
    <t>• vs Afghanistan: 300</t>
  </si>
  <si>
    <t>vs Bangadesh</t>
  </si>
  <si>
    <t>13. Manish Devadiga</t>
  </si>
  <si>
    <t>Away (Pakistan): 10000 bet (Won)</t>
  </si>
  <si>
    <t>Franchise League(BBL): 8</t>
  </si>
  <si>
    <t>12. K Rakesh to SA - 2500</t>
  </si>
  <si>
    <t>3. Anurag</t>
  </si>
  <si>
    <t>Best Batsman: 2 (1000)</t>
  </si>
  <si>
    <t>14. Manish Indoria</t>
  </si>
  <si>
    <t>Away (Newzealand): 5000 bet (Won)</t>
  </si>
  <si>
    <t>KCL Final Com(1500): 1</t>
  </si>
  <si>
    <t>13. Harsh from Qatar - 60000</t>
  </si>
  <si>
    <t>15. Mohammad Noor</t>
  </si>
  <si>
    <t>Home(Srilanka): 5000 bet (Won)</t>
  </si>
  <si>
    <t>Franchise League(BPL): 2</t>
  </si>
  <si>
    <t>16. Rahul Gadia</t>
  </si>
  <si>
    <t>Home (England): 10000 bet (Won)</t>
  </si>
  <si>
    <t>International Tournament(ETL): 1000: 2</t>
  </si>
  <si>
    <t>Economical bowler: 1</t>
  </si>
  <si>
    <t>17. Rizwan Mansoori</t>
  </si>
  <si>
    <t>Home(India): 5000 bet (Lost)</t>
  </si>
  <si>
    <t>Franchise League(IPL): 2.5</t>
  </si>
  <si>
    <t>• vs West Indies: 300</t>
  </si>
  <si>
    <t>18. Rohit Patel</t>
  </si>
  <si>
    <t>Away(India): 5000 bet (Won)</t>
  </si>
  <si>
    <t>International Series(T10): 1</t>
  </si>
  <si>
    <t>4. Rizwan</t>
  </si>
  <si>
    <t>3. Saubhagya</t>
  </si>
  <si>
    <t>19. Zeeshan Yaqoob</t>
  </si>
  <si>
    <t>4. Abrar Ali</t>
  </si>
  <si>
    <t>20. Anand Kumar</t>
  </si>
  <si>
    <t>International Series: 1</t>
  </si>
  <si>
    <t>21. Harsh Dubey</t>
  </si>
  <si>
    <t>International tournament: 0.5</t>
  </si>
  <si>
    <t>5. Abrar</t>
  </si>
  <si>
    <t>22. Hur Ali</t>
  </si>
  <si>
    <t>5. Keshav Shah</t>
  </si>
  <si>
    <t>23. Syed Aqi</t>
  </si>
  <si>
    <t>International Series: 8</t>
  </si>
  <si>
    <t>4. Arnab</t>
  </si>
  <si>
    <t>International tournament: 1.5</t>
  </si>
  <si>
    <t>Eliminated in Group Stage: 10k</t>
  </si>
  <si>
    <t>International Series(T20): 2</t>
  </si>
  <si>
    <t>International tournament(Test): 6.5</t>
  </si>
  <si>
    <t xml:space="preserve">Players Awards: 15000 </t>
  </si>
  <si>
    <t>International Series(T10): 2</t>
  </si>
  <si>
    <t>1. Anurag Raj</t>
  </si>
  <si>
    <t>Best Batsman: 1 (500)</t>
  </si>
  <si>
    <t>Franchise League(BBL): 7</t>
  </si>
  <si>
    <t>Most Maidens(2): 5000</t>
  </si>
  <si>
    <t>Franchise League(KCL): 3</t>
  </si>
  <si>
    <t>2. Sai Naveen</t>
  </si>
  <si>
    <t>Best Bowler: 2 (1000)</t>
  </si>
  <si>
    <t>International Series(ODI): 3000: 2</t>
  </si>
  <si>
    <t>Highest Individual Score(140): 5000</t>
  </si>
  <si>
    <t>International Tournament(ETL): 1000: 1</t>
  </si>
  <si>
    <t>3. Yasin Iqbal</t>
  </si>
  <si>
    <t>Franchise League(BPL): 1</t>
  </si>
  <si>
    <t>World cup operations Excellence: 5000</t>
  </si>
  <si>
    <t>5. Anand</t>
  </si>
  <si>
    <t>Franchise League(IPL): 1</t>
  </si>
  <si>
    <t>6. Malaram Patel</t>
  </si>
  <si>
    <t>Hosting Nation: 30000</t>
  </si>
  <si>
    <t>6. Rahul Gadia</t>
  </si>
  <si>
    <t>7. Chiranjibi Samal</t>
  </si>
  <si>
    <t>Prediction 3rd Place: 5000</t>
  </si>
  <si>
    <t>Franchise League(BBL): 2</t>
  </si>
  <si>
    <t>Franchise League(KCL): 1</t>
  </si>
  <si>
    <t>8. K Srinidhi</t>
  </si>
  <si>
    <t>Franchise League(BBL): 3</t>
  </si>
  <si>
    <t>9. Waqas Mughal</t>
  </si>
  <si>
    <t>Franchise League(BBL): 1</t>
  </si>
  <si>
    <t>International tournament(Test): 2.5</t>
  </si>
  <si>
    <t>10. Noor</t>
  </si>
  <si>
    <t>International tournament(Test): 1</t>
  </si>
  <si>
    <t>International Series(ODI): 1</t>
  </si>
  <si>
    <t xml:space="preserve">All Franchise League Credits Updates : </t>
  </si>
  <si>
    <t>THE HUNDRED : 42400</t>
  </si>
  <si>
    <t>London Spirit</t>
  </si>
  <si>
    <t>Team Profit: 2500</t>
  </si>
  <si>
    <t>Team Profit: 4800</t>
  </si>
  <si>
    <t>Team Profit: 3000</t>
  </si>
  <si>
    <t>Team Profit: 32300</t>
  </si>
  <si>
    <t>1. Rahul Gadia</t>
  </si>
  <si>
    <t>1. Rizwan Mansoori</t>
  </si>
  <si>
    <t>1. Arnab Sarkar</t>
  </si>
  <si>
    <t>Salary: 2500</t>
  </si>
  <si>
    <t>Salary: 2800</t>
  </si>
  <si>
    <t>Salary: 3500</t>
  </si>
  <si>
    <t>2. Anand Akj</t>
  </si>
  <si>
    <t>Best Bowler:1 ( 200 )</t>
  </si>
  <si>
    <t>Best Batsman: 1 ( 200 )</t>
  </si>
  <si>
    <t>Salary: 1000</t>
  </si>
  <si>
    <t>Man of the match: 1 ( 500 )</t>
  </si>
  <si>
    <t>3. Bhavesh B</t>
  </si>
  <si>
    <t>Champions: 5300</t>
  </si>
  <si>
    <t>Best Bowler: 2 ( 400 )</t>
  </si>
  <si>
    <t>3. Chiranjibi Samal</t>
  </si>
  <si>
    <t>Salary: 1700</t>
  </si>
  <si>
    <t>Salary: 1500</t>
  </si>
  <si>
    <t xml:space="preserve">Pakistan Super League : 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</si>
  <si>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</si>
  <si>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</si>
  <si>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</si>
  <si>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</si>
  <si>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</si>
  <si>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</si>
  <si>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</si>
  <si>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</si>
  <si>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</si>
  <si>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</si>
  <si>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</si>
  <si>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</si>
  <si>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</si>
  <si>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</si>
  <si>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</si>
  <si>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Direct Signing: 5000</t>
  </si>
  <si>
    <t>Salary: 500</t>
  </si>
  <si>
    <t>Salary: 4000</t>
  </si>
  <si>
    <t>2. Anurag Raj</t>
  </si>
  <si>
    <t>Man of the match: 1 (500)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</si>
  <si>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</si>
  <si>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</si>
  <si>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</si>
  <si>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</si>
  <si>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</si>
  <si>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</si>
  <si>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</si>
  <si>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Runners up: 2480</t>
  </si>
  <si>
    <t>Salary: 3750</t>
  </si>
  <si>
    <t>2. K Rakesh</t>
  </si>
  <si>
    <t>Salary: 2850</t>
  </si>
  <si>
    <t>Best Batsman:1 (200)</t>
  </si>
  <si>
    <t>Salary: 3000</t>
  </si>
  <si>
    <t>Best Bowler: 2 (400)</t>
  </si>
  <si>
    <t>4. Rahul Gadia</t>
  </si>
  <si>
    <t>3. Waqas Mughal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</si>
  <si>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</si>
  <si>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</si>
  <si>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</si>
  <si>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</si>
  <si>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</si>
  <si>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</si>
  <si>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</si>
  <si>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Salary: 1100</t>
  </si>
  <si>
    <t>Best Batsman: 1 (200)</t>
  </si>
  <si>
    <t>Big Bash League ( Own League )</t>
  </si>
  <si>
    <t>Hosting Rights : 100000</t>
  </si>
  <si>
    <t>All Team Profit: 522300</t>
  </si>
  <si>
    <t>Adelaide Strikers</t>
  </si>
  <si>
    <t>Hobart Hurricanes</t>
  </si>
  <si>
    <t>Melbourne Renegades</t>
  </si>
  <si>
    <t>Perth Scorchers</t>
  </si>
  <si>
    <t>Sydney Thunders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</si>
  <si>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</si>
  <si>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</si>
  <si>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</si>
  <si>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</si>
  <si>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</si>
  <si>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</si>
  <si>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</si>
  <si>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</si>
  <si>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</si>
  <si>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</si>
  <si>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</si>
  <si>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Malaram Patel</t>
  </si>
  <si>
    <t>Captain Salary: 20000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</si>
  <si>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</si>
  <si>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</si>
  <si>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</si>
  <si>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</si>
  <si>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</si>
  <si>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</si>
  <si>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</si>
  <si>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</si>
  <si>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</si>
  <si>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</si>
  <si>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</si>
  <si>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</si>
  <si>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</si>
  <si>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>2. Mahi Mahendra</t>
  </si>
  <si>
    <t>Salary: 7000</t>
  </si>
  <si>
    <t>Runners up(Captain): 7000</t>
  </si>
  <si>
    <t>Salary: 6000</t>
  </si>
  <si>
    <t>Most Sixes: 10000</t>
  </si>
  <si>
    <t>Best Batsman: 1 ( 500 )</t>
  </si>
  <si>
    <t>3. Ajay</t>
  </si>
  <si>
    <t>Golden Bat( Best Batsman): 20000</t>
  </si>
  <si>
    <t>Fair Play Award: 3100</t>
  </si>
  <si>
    <t>4. Nihas</t>
  </si>
  <si>
    <t>Player of the Tournament: 40000</t>
  </si>
  <si>
    <t>3. Zeeshan</t>
  </si>
  <si>
    <t>4. Manish</t>
  </si>
  <si>
    <t>Champions(Captain): 13000</t>
  </si>
  <si>
    <t>Salary: 8000</t>
  </si>
  <si>
    <t>Salary: 1800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</si>
  <si>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</si>
  <si>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</si>
  <si>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</si>
  <si>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</si>
  <si>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</si>
  <si>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Champions: 11000</t>
  </si>
  <si>
    <t xml:space="preserve">Kiwi Crown League : </t>
  </si>
  <si>
    <t>All Team Profit: 40000</t>
  </si>
  <si>
    <t xml:space="preserve">Wellington Warriors </t>
  </si>
  <si>
    <t>Auckland Aces</t>
  </si>
  <si>
    <t>Otago Volts</t>
  </si>
  <si>
    <t>Central Stags</t>
  </si>
  <si>
    <t>Queenstown Royals</t>
  </si>
  <si>
    <t>Team Profit:</t>
  </si>
  <si>
    <t>1. Anik Dey</t>
  </si>
  <si>
    <t>1. Donald</t>
  </si>
  <si>
    <t>1. Arjun Akj</t>
  </si>
  <si>
    <t xml:space="preserve">Salary: 2000 </t>
  </si>
  <si>
    <t xml:space="preserve">Salary: 20000 </t>
  </si>
  <si>
    <t>Direct Signing: 20000</t>
  </si>
  <si>
    <t xml:space="preserve">Salary: 11000 </t>
  </si>
  <si>
    <t xml:space="preserve">Salary: 8000 </t>
  </si>
  <si>
    <t>Man of the match: 1 (1500)</t>
  </si>
  <si>
    <t>Man of the Match: 1 (1500)</t>
  </si>
  <si>
    <t>2. K Srinidhi</t>
  </si>
  <si>
    <t>Man of the match: 2 (3000)</t>
  </si>
  <si>
    <t>Best Bowler: 1 (750)</t>
  </si>
  <si>
    <t>Best Batsman: 1 (750)</t>
  </si>
  <si>
    <t xml:space="preserve">Salary: 6500 </t>
  </si>
  <si>
    <t>Salary: 6500</t>
  </si>
  <si>
    <t>Best Batsman: 2 (1500)</t>
  </si>
  <si>
    <t>Fair Play: 5555</t>
  </si>
  <si>
    <t>2. Chiranjibi Samal</t>
  </si>
  <si>
    <t>Champions: 19900</t>
  </si>
  <si>
    <t>Best Bowler of the Tournament: 40000</t>
  </si>
  <si>
    <t xml:space="preserve">Salary: 10000 </t>
  </si>
  <si>
    <t xml:space="preserve">Salary: 13000 </t>
  </si>
  <si>
    <t>Runners Up: 9950</t>
  </si>
  <si>
    <t xml:space="preserve">Salary: 15000 </t>
  </si>
  <si>
    <t xml:space="preserve">Salary: 1000 </t>
  </si>
  <si>
    <t>Salary: 10000</t>
  </si>
  <si>
    <t xml:space="preserve">Salary: 3500 </t>
  </si>
  <si>
    <t>4. Anand Ajk</t>
  </si>
  <si>
    <t xml:space="preserve">Salary: 4000 </t>
  </si>
  <si>
    <t>4. Ankan Biswas</t>
  </si>
  <si>
    <t>5. Manish Indoria</t>
  </si>
  <si>
    <t>Salary: 2000</t>
  </si>
  <si>
    <t>5. Muhammad Noor</t>
  </si>
  <si>
    <t>No Salary(Traded)</t>
  </si>
  <si>
    <t>Bangladesh Premier League :</t>
  </si>
  <si>
    <t>All Team Profit: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</si>
  <si>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</si>
  <si>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</si>
  <si>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</si>
  <si>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</si>
  <si>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</si>
  <si>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</si>
  <si>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</si>
  <si>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</si>
  <si>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</si>
  <si>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</si>
  <si>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Ankan</t>
  </si>
  <si>
    <t>1. Donald Baghwar Dkhar</t>
  </si>
  <si>
    <t>1. Zeeshan</t>
  </si>
  <si>
    <t>1. Arjun</t>
  </si>
  <si>
    <t>Salary: 5000</t>
  </si>
  <si>
    <t>Direct Signing: 25000</t>
  </si>
  <si>
    <t>Salary: 1400</t>
  </si>
  <si>
    <t>Salary: 9500</t>
  </si>
  <si>
    <t>Salary: 20000</t>
  </si>
  <si>
    <t>Captain Salary: 80000</t>
  </si>
  <si>
    <t>2. Manish</t>
  </si>
  <si>
    <t>2. Rohit</t>
  </si>
  <si>
    <t>2. Anik</t>
  </si>
  <si>
    <t>Man of the Match: 1 (2000)</t>
  </si>
  <si>
    <t>Best Bowler: 1 (1000)</t>
  </si>
  <si>
    <t>Salary: 11000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</si>
  <si>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</si>
  <si>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</si>
  <si>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</si>
  <si>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</si>
  <si>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</si>
  <si>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</si>
  <si>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</si>
  <si>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6. Waqas</t>
  </si>
  <si>
    <t>Salary: 35000</t>
  </si>
  <si>
    <t>7. Chiranjibi</t>
  </si>
  <si>
    <t>Salary: 26000</t>
  </si>
  <si>
    <t>8. Malaram</t>
  </si>
  <si>
    <t>Salary: 19000</t>
  </si>
  <si>
    <t>9. Rahul Gadia</t>
  </si>
  <si>
    <t>Best Batsman: 2 (2000)</t>
  </si>
  <si>
    <t>Tournament Cancelled</t>
  </si>
  <si>
    <t xml:space="preserve">Indian Premier League 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</si>
  <si>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</si>
  <si>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</si>
  <si>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</si>
  <si>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</si>
  <si>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</si>
  <si>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</si>
  <si>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</si>
  <si>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</si>
  <si>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</si>
  <si>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</si>
  <si>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1. Manish Indoria</t>
  </si>
  <si>
    <t>1. Harsh Dubey</t>
  </si>
  <si>
    <t>Salary: 18000</t>
  </si>
  <si>
    <t>Salary: 9000</t>
  </si>
  <si>
    <t>Marquee Salary: 50000</t>
  </si>
  <si>
    <t>2. Malaram</t>
  </si>
  <si>
    <t>Man of the match: 1 (3000)</t>
  </si>
  <si>
    <t>Best Batsman: 1 (1500)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</si>
  <si>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</si>
  <si>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</si>
  <si>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</si>
  <si>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</si>
  <si>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</si>
  <si>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</si>
  <si>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Man of the match: 2 (6000)</t>
  </si>
  <si>
    <t xml:space="preserve">3. Abrar Ali </t>
  </si>
  <si>
    <t>4. Chiranjibi</t>
  </si>
  <si>
    <t>Salary: 27000</t>
  </si>
  <si>
    <t>4. Ashwini Verma</t>
  </si>
  <si>
    <t>Salary: 4500</t>
  </si>
  <si>
    <t>Best Bowler: 2 (3000)</t>
  </si>
  <si>
    <t>5. Anand Kumar</t>
  </si>
  <si>
    <t>Best Bowler: 3 (4500)</t>
  </si>
  <si>
    <t>5. Noor</t>
  </si>
  <si>
    <t>6. Rohit Patel</t>
  </si>
  <si>
    <t>Salary: 5500</t>
  </si>
  <si>
    <t>Free Agent</t>
  </si>
  <si>
    <t>6. Zeeshan</t>
  </si>
  <si>
    <t>7. Anand Ajikumar</t>
  </si>
  <si>
    <t>Salary: 7500</t>
  </si>
  <si>
    <t>Caribbean Premier League :</t>
  </si>
  <si>
    <t>Antigua &amp; Barbuda Falcons</t>
  </si>
  <si>
    <t>Barbados Royals</t>
  </si>
  <si>
    <t>Guyana Amazon Warriors</t>
  </si>
  <si>
    <t>Jamaica Kingsmen</t>
  </si>
  <si>
    <t>St Kitts &amp; Nevis Patriots</t>
  </si>
  <si>
    <t>St Lucia Kings</t>
  </si>
  <si>
    <t>St Vincent Volcanoes</t>
  </si>
  <si>
    <t>Trinbago Knight Riders</t>
  </si>
  <si>
    <t>1. Noor</t>
  </si>
  <si>
    <t>Salary: 50000</t>
  </si>
  <si>
    <t>Marquee Salary: 60000</t>
  </si>
  <si>
    <t>2. Harsh</t>
  </si>
  <si>
    <t>Salary: 14000</t>
  </si>
  <si>
    <t>Board: Bangladesh</t>
  </si>
  <si>
    <t>Chairman: Sai Naveen | CEO: Yasin Iqbal</t>
  </si>
  <si>
    <t>Credits left:</t>
  </si>
  <si>
    <t xml:space="preserve">Stadium: </t>
  </si>
  <si>
    <t xml:space="preserve">Traded Palyers: </t>
  </si>
  <si>
    <t>Trophy Cabinet ( International Series)</t>
  </si>
  <si>
    <t>IOCF WORLD TEST CHAMPIONSHIP 🏆:</t>
  </si>
  <si>
    <t>Player limit exceeded: -10000</t>
  </si>
  <si>
    <t>CONTINENTAL CUP  🏆: ( ASIA )</t>
  </si>
  <si>
    <t>1. Abhishek Adhikary</t>
  </si>
  <si>
    <t>1. Greater Asia Cup ( Home )</t>
  </si>
  <si>
    <t>2. Princhi Pratim Bora</t>
  </si>
  <si>
    <t>1. Vaibhav Batra</t>
  </si>
  <si>
    <t>Home ( Afghanistan ): 5000 bet ( Won )</t>
  </si>
  <si>
    <t>2. Boult Taskin ( Away )</t>
  </si>
  <si>
    <t>Match Bet credits: -15000</t>
  </si>
  <si>
    <t>Hosting Amount: 60k</t>
  </si>
  <si>
    <t>3. Chintu Saikia</t>
  </si>
  <si>
    <t>International Series: 0.5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</si>
  <si>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</si>
  <si>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</si>
  <si>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</si>
  <si>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</si>
  <si>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</si>
  <si>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4. Vaibhav Batra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</si>
  <si>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</si>
  <si>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</si>
  <si>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</si>
  <si>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</si>
  <si>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</si>
  <si>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5. Abrar Ahmed</t>
  </si>
  <si>
    <t>International Series: 1.5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</si>
  <si>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</si>
  <si>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</si>
  <si>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</si>
  <si>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</si>
  <si>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</si>
  <si>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6. Ashfak Hosain</t>
  </si>
  <si>
    <t>International tournament(Test): 4.5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</si>
  <si>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</si>
  <si>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</si>
  <si>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</si>
  <si>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</si>
  <si>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</si>
  <si>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7. Partha Pratim Bora</t>
  </si>
  <si>
    <t>Home (Pakistan): 5000 bet (Lost)</t>
  </si>
  <si>
    <t>vs Pakistan: 1000</t>
  </si>
  <si>
    <t>Away (Scotland): 5000 bet (Lost)</t>
  </si>
  <si>
    <t>8. Asad KB</t>
  </si>
  <si>
    <t>Harsh  Dubey(Ban) - 20000</t>
  </si>
  <si>
    <t>Away(England): 5000 bet (Won)</t>
  </si>
  <si>
    <t>Best Batsman: 1</t>
  </si>
  <si>
    <t xml:space="preserve">9. Bhagrab Kashyap </t>
  </si>
  <si>
    <t>8. Aashutosh from ND: 15000</t>
  </si>
  <si>
    <t>Away(Pakistan): 5000 bet (Lost)</t>
  </si>
  <si>
    <t>vs West Indies: 500</t>
  </si>
  <si>
    <t>Home(Netherlands): 4000 bet (Won)</t>
  </si>
  <si>
    <t>10. Ghamshad Kapri</t>
  </si>
  <si>
    <t>9. Bhavin to SA - 2500</t>
  </si>
  <si>
    <t>International Series(T10): 1.5</t>
  </si>
  <si>
    <t>Home(South Africa): 5000 bet (Won)</t>
  </si>
  <si>
    <t>Best Bowler: 3</t>
  </si>
  <si>
    <t>Away(Newzeland): 6000 bet (Lost)</t>
  </si>
  <si>
    <t>11. Gaurav Mittal</t>
  </si>
  <si>
    <t>10. Raksh to SA - 2500</t>
  </si>
  <si>
    <t>Away(England): 5000 bet (Lost)</t>
  </si>
  <si>
    <t>vs England: 500</t>
  </si>
  <si>
    <t>Home(Newzealand): 5000 bet (Lost)</t>
  </si>
  <si>
    <t>12. Hafiz</t>
  </si>
  <si>
    <t>11. Saketh to SA - 2500</t>
  </si>
  <si>
    <t>Home(Netherlands/West Indies): 15000 (Lost)</t>
  </si>
  <si>
    <t>vs Newzealand: 500</t>
  </si>
  <si>
    <t>Away(Pakistan): 5000 bet (Won)</t>
  </si>
  <si>
    <t>13. Roshan Singh Rathore</t>
  </si>
  <si>
    <t>12. Bhavesh to SA - 2500</t>
  </si>
  <si>
    <t>Franchise League(100): 1.5</t>
  </si>
  <si>
    <t>vs Pakistan: 500</t>
  </si>
  <si>
    <t>Away(Australia): 5000 bet (Lost)</t>
  </si>
  <si>
    <t>14. Karan Kumar</t>
  </si>
  <si>
    <t>13. Ahmed to Qatar - 2000</t>
  </si>
  <si>
    <t>International Series(T20): 1</t>
  </si>
  <si>
    <t>1. Sons &amp; Daughter (Pakistan) : Home</t>
  </si>
  <si>
    <t>2. Karan Kumar</t>
  </si>
  <si>
    <t>Home(Australia): 5000 bet (Lost)</t>
  </si>
  <si>
    <t>15. Manan Irfan</t>
  </si>
  <si>
    <t>14. Ebad to Qatar - 2000</t>
  </si>
  <si>
    <t>Franchise League(PSL): 2</t>
  </si>
  <si>
    <t>Best Bowler: 2</t>
  </si>
  <si>
    <t>16. Manoj Kumar Chetry</t>
  </si>
  <si>
    <t>15. Abdul to Qatar - 2000</t>
  </si>
  <si>
    <t>International tournament(Test): 1.5</t>
  </si>
  <si>
    <t>17. Ali Khan</t>
  </si>
  <si>
    <t>16. Ashutosh to NZ- 5000</t>
  </si>
  <si>
    <t>International Series(ODI): 3</t>
  </si>
  <si>
    <t>IOCF HALL OF FAME</t>
  </si>
  <si>
    <t>vs Scotland: 500</t>
  </si>
  <si>
    <t>18. Rahees Ashiq</t>
  </si>
  <si>
    <t>17. Rao Abul to Qatar - 15000</t>
  </si>
  <si>
    <t>Franchise League(KCL): 2</t>
  </si>
  <si>
    <t>3. Harsh Dubey</t>
  </si>
  <si>
    <t>19. Rajab Baloch</t>
  </si>
  <si>
    <t>18. Harsh Dubey to Qatar - 15000</t>
  </si>
  <si>
    <t>Best Batsman: 2</t>
  </si>
  <si>
    <t>20. Hamza</t>
  </si>
  <si>
    <t>19. Adithya to RSA - 15000</t>
  </si>
  <si>
    <t>Ice in their Veins :  Top Wicket Taker</t>
  </si>
  <si>
    <t>21. Sajjad Kapri</t>
  </si>
  <si>
    <t>vs Netherlands : 500</t>
  </si>
  <si>
    <t>22. Siddiqui Ahsan</t>
  </si>
  <si>
    <t>4. Siddiqui Ahsan</t>
  </si>
  <si>
    <t>4. Harsh Dubey</t>
  </si>
  <si>
    <t>vs Scotland: 1000</t>
  </si>
  <si>
    <t>Franchise League(PSL): 0.5</t>
  </si>
  <si>
    <t>Best Bowler: 1</t>
  </si>
  <si>
    <t>Franchise League(BBL): 0.5</t>
  </si>
  <si>
    <t>5. Ahsan Siddiqui</t>
  </si>
  <si>
    <t>5. Manan</t>
  </si>
  <si>
    <t>Franchise League(BPL): 3</t>
  </si>
  <si>
    <t>6. Princhi Bora</t>
  </si>
  <si>
    <t>6. Adithya</t>
  </si>
  <si>
    <t>vs Netherlands: 1000</t>
  </si>
  <si>
    <t>vs Netherlands: 500</t>
  </si>
  <si>
    <t>7. Bhargab</t>
  </si>
  <si>
    <t>8. Ali Khan</t>
  </si>
  <si>
    <t xml:space="preserve">THE HUNDRED : </t>
  </si>
  <si>
    <t>Best Batsman:</t>
  </si>
  <si>
    <t>vs Australia: 500</t>
  </si>
  <si>
    <t>No one is playing: They're new to IOCF</t>
  </si>
  <si>
    <t>Sai Naveen, Bhavesh &amp; Siddiqui called for national duty ( Bangladesh ) for 15k</t>
  </si>
  <si>
    <t>Pakistan Super League : 51070</t>
  </si>
  <si>
    <t>Team Profit: 5490</t>
  </si>
  <si>
    <t>Team Profit: 1200</t>
  </si>
  <si>
    <t>Team Profit: 17400</t>
  </si>
  <si>
    <t>Team Profit: 21980</t>
  </si>
  <si>
    <t>1. Rajab Baloch</t>
  </si>
  <si>
    <t>Direct Signing: 3000</t>
  </si>
  <si>
    <t>Champions: 4990</t>
  </si>
  <si>
    <t>Best Bowler:1 (200)</t>
  </si>
  <si>
    <t>3. Siddiqui Ahsan</t>
  </si>
  <si>
    <t>2. Bhavesh</t>
  </si>
  <si>
    <t>Best Bowler:2 (400)</t>
  </si>
  <si>
    <t>3. Saketh</t>
  </si>
  <si>
    <t>4. Harsh</t>
  </si>
  <si>
    <t>5. Asad</t>
  </si>
  <si>
    <t>4. Sajjad Kapri</t>
  </si>
  <si>
    <t>6. Ghamshad</t>
  </si>
  <si>
    <t>5. Ahsas</t>
  </si>
  <si>
    <t>7. Rahees</t>
  </si>
  <si>
    <t>8. Ahmed</t>
  </si>
  <si>
    <t>6. Neak M</t>
  </si>
  <si>
    <t xml:space="preserve">9. Edad </t>
  </si>
  <si>
    <t>Big Bash League :</t>
  </si>
  <si>
    <t>All Team Profit: 145800</t>
  </si>
  <si>
    <t>Team Profit: 35500</t>
  </si>
  <si>
    <t>Team Profit: 29300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</si>
  <si>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</si>
  <si>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</si>
  <si>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</si>
  <si>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</si>
  <si>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</si>
  <si>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</si>
  <si>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</si>
  <si>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Man of the match: 1 ( 1000)</t>
  </si>
  <si>
    <t>Best Bowler: 4 ( 2000 )</t>
  </si>
  <si>
    <t>2. Ahmed</t>
  </si>
  <si>
    <t>Man of the Match: 1 ( 1000 )</t>
  </si>
  <si>
    <t>2. Ahsan</t>
  </si>
  <si>
    <t>3. Rahees</t>
  </si>
  <si>
    <t>3. Ghamshad</t>
  </si>
  <si>
    <t>4. Vaibhav</t>
  </si>
  <si>
    <t>4. Sajjad</t>
  </si>
  <si>
    <t>5. Princhi</t>
  </si>
  <si>
    <t>6. Bhargab</t>
  </si>
  <si>
    <t>Kiwi Crown League :</t>
  </si>
  <si>
    <t>1. Muhammad Ahmed</t>
  </si>
  <si>
    <t>1. Princhi</t>
  </si>
  <si>
    <t>1. Saketh Balne</t>
  </si>
  <si>
    <t xml:space="preserve">Salary: 3000 </t>
  </si>
  <si>
    <t>Best Bowler: 2 (1500)</t>
  </si>
  <si>
    <t xml:space="preserve">Salary: 12000 </t>
  </si>
  <si>
    <t>2. Bhavin Kumar</t>
  </si>
  <si>
    <t>3. Rakshith Raksh</t>
  </si>
  <si>
    <t xml:space="preserve">Salary: 500 </t>
  </si>
  <si>
    <t>3. Vaibhav Batra</t>
  </si>
  <si>
    <t>4. Aashutosh Jha</t>
  </si>
  <si>
    <t>No Salary (Traded)</t>
  </si>
  <si>
    <t>Bangladesh Premier League ( Own League )</t>
  </si>
  <si>
    <t>Hosting Rights : 250000</t>
  </si>
  <si>
    <t>Fine from Afghanistan of 150000 for withdrawing from league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</si>
  <si>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</si>
  <si>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</si>
  <si>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</si>
  <si>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</si>
  <si>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</si>
  <si>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</si>
  <si>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</si>
  <si>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</si>
  <si>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</si>
  <si>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</si>
  <si>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</si>
  <si>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</si>
  <si>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</si>
  <si>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</si>
  <si>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</si>
  <si>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</si>
  <si>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</si>
  <si>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</si>
  <si>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3. chintu</t>
  </si>
  <si>
    <t>3. Anu</t>
  </si>
  <si>
    <t>3. Meer</t>
  </si>
  <si>
    <t>3. Rahees Ashiq</t>
  </si>
  <si>
    <t>3. Rajab</t>
  </si>
  <si>
    <t>3. Karan Kumar</t>
  </si>
  <si>
    <t>Salary: 900</t>
  </si>
  <si>
    <t>4. M Huzaifa</t>
  </si>
  <si>
    <t>4. Asad</t>
  </si>
  <si>
    <t>5. Adithya</t>
  </si>
  <si>
    <t>Salary: 1600</t>
  </si>
  <si>
    <t>5. Alapan Das</t>
  </si>
  <si>
    <t>6. Rao Abul</t>
  </si>
  <si>
    <t>Salary: 1300</t>
  </si>
  <si>
    <t>Cancellation Fine: 125000</t>
  </si>
  <si>
    <t>1. Vaibhav</t>
  </si>
  <si>
    <t>1. Meer Kamran</t>
  </si>
  <si>
    <t>Direct Signing: 35000</t>
  </si>
  <si>
    <t>2. Adithya Mahajn</t>
  </si>
  <si>
    <t>2. Huzaifa</t>
  </si>
  <si>
    <t>Best Bowler : 1 (1500)</t>
  </si>
  <si>
    <t>Salary: 41000</t>
  </si>
  <si>
    <t>2. Bhargab</t>
  </si>
  <si>
    <t>3. Gaurav</t>
  </si>
  <si>
    <t>4. Sai Naveen</t>
  </si>
  <si>
    <t>3. Ahsan</t>
  </si>
  <si>
    <t>Salary: 30000</t>
  </si>
  <si>
    <t>Salary: 29000</t>
  </si>
  <si>
    <t>4. Princhi</t>
  </si>
  <si>
    <t>Salary: 8500</t>
  </si>
  <si>
    <t>Board: England</t>
  </si>
  <si>
    <t>Chairman: Diljith Das | CEO: Jyothish S</t>
  </si>
  <si>
    <t>Whitewash lose:</t>
  </si>
  <si>
    <t>Traded Player:</t>
  </si>
  <si>
    <t xml:space="preserve">IOCF T20 WORLD CUP 🏆 : </t>
  </si>
  <si>
    <t>EMERGING TALENTS LEAGUE:</t>
  </si>
  <si>
    <t>CONTINENTAL CUP  🏆: ( EURO )</t>
  </si>
  <si>
    <t>1. Aash Muhammad</t>
  </si>
  <si>
    <t>1. Sir Vivian Richards Trophy ( Away )</t>
  </si>
  <si>
    <t>2. Abhijith</t>
  </si>
  <si>
    <t>1. Diljith</t>
  </si>
  <si>
    <t>Away( West Indies ): 10000 bet ( Won )</t>
  </si>
  <si>
    <t>1. Anderson Tendulkar ( India )</t>
  </si>
  <si>
    <t>2. Anglo Scotish Trophy ( Home )</t>
  </si>
  <si>
    <t>1. Subaida to SA : 7000</t>
  </si>
  <si>
    <t xml:space="preserve">Players Awards: 30000 </t>
  </si>
  <si>
    <t>Match Bet credits: 19000</t>
  </si>
  <si>
    <t xml:space="preserve">Tournament Awards: </t>
  </si>
  <si>
    <t>3. Achuz Sukumaran</t>
  </si>
  <si>
    <t>International Series: 7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</si>
  <si>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</si>
  <si>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</si>
  <si>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</si>
  <si>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</si>
  <si>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</si>
  <si>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</si>
  <si>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14000</t>
  </si>
  <si>
    <t>Home(West Indies): 6000 bet (Lost)</t>
  </si>
  <si>
    <t>1. Royal Test</t>
  </si>
  <si>
    <t>Match of the Tournament:</t>
  </si>
  <si>
    <t>Eng vs WI (15000)</t>
  </si>
  <si>
    <t>4. Aneesh</t>
  </si>
  <si>
    <t>Franchise League(100): 3.5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</si>
  <si>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</si>
  <si>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</si>
  <si>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</si>
  <si>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</si>
  <si>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</si>
  <si>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</si>
  <si>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</si>
  <si>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</si>
  <si>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</si>
  <si>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</si>
  <si>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5. Gowri Madhu</t>
  </si>
  <si>
    <t>Franchise League Commentory(100) : 1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</si>
  <si>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</si>
  <si>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</si>
  <si>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</si>
  <si>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</si>
  <si>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</si>
  <si>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</si>
  <si>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</si>
  <si>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</si>
  <si>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6. Harshad Vanimal</t>
  </si>
  <si>
    <t>International Series(T20): 0.5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</si>
  <si>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</si>
  <si>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</si>
  <si>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</si>
  <si>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</si>
  <si>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</si>
  <si>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</si>
  <si>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</si>
  <si>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</si>
  <si>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</si>
  <si>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7. Karthik Verma</t>
  </si>
  <si>
    <t>2. Achuz</t>
  </si>
  <si>
    <t>Home ( Newzealand): 5000 bet ( Won )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</si>
  <si>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</si>
  <si>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</si>
  <si>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</si>
  <si>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</si>
  <si>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</si>
  <si>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</si>
  <si>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</si>
  <si>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</si>
  <si>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8. Molly Stephan</t>
  </si>
  <si>
    <t>International Series: 2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</si>
  <si>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</si>
  <si>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</si>
  <si>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</si>
  <si>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</si>
  <si>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</si>
  <si>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</si>
  <si>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</si>
  <si>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</si>
  <si>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9. Rahees</t>
  </si>
  <si>
    <t>Franchise League(100): 0.5</t>
  </si>
  <si>
    <t>Home ( Australia ): 10000 bet ( Lost )</t>
  </si>
  <si>
    <t>9. London Trophy (Home)</t>
  </si>
  <si>
    <t xml:space="preserve">Player limit exceeded: </t>
  </si>
  <si>
    <t>3. Diljith Das</t>
  </si>
  <si>
    <t>vs Italy: 1000</t>
  </si>
  <si>
    <t>Away (Australia): 5000 bet (Won)</t>
  </si>
  <si>
    <t>10. Rashid</t>
  </si>
  <si>
    <t>3. Jyothish</t>
  </si>
  <si>
    <t>Away ( India ): 10000 bet ( Won )</t>
  </si>
  <si>
    <t>10. Northwave Trophy (Away)</t>
  </si>
  <si>
    <t>• vs Newzealand: 300</t>
  </si>
  <si>
    <t>Fastest Fifty(10B): 5000</t>
  </si>
  <si>
    <t>vs India: 1000</t>
  </si>
  <si>
    <t>Home (Australia): 5000 bet (Won)</t>
  </si>
  <si>
    <t>11. Sujith Kumar</t>
  </si>
  <si>
    <t>International Series: 6.5</t>
  </si>
  <si>
    <t>Home ( Australia ): 5000 bet ( Won )</t>
  </si>
  <si>
    <t>11. The Arabian Challenge (Home)</t>
  </si>
  <si>
    <t>vs Australia: 1000</t>
  </si>
  <si>
    <t>Away(Qatar): 5000 bet (Lost)</t>
  </si>
  <si>
    <t>12. Renjish</t>
  </si>
  <si>
    <t>International tournament (T20): 4</t>
  </si>
  <si>
    <t>Away (England): 5000 bet (Won)</t>
  </si>
  <si>
    <t>12. Anz ODI Clash (Home)</t>
  </si>
  <si>
    <t>Runners Up: 40000</t>
  </si>
  <si>
    <t>Home(Netherlands): 5000 bet (Won)</t>
  </si>
  <si>
    <t>13. Sachin P</t>
  </si>
  <si>
    <t>Home ( West Indies): 6000 bet (Lost)</t>
  </si>
  <si>
    <t>13. Royal Anglo Trophy (Home)</t>
  </si>
  <si>
    <t>2. Aneesh</t>
  </si>
  <si>
    <t>14. Sadik</t>
  </si>
  <si>
    <t>Franchise League(100): 2</t>
  </si>
  <si>
    <t>Home (Italy): 5000 bet (Lost)</t>
  </si>
  <si>
    <t>Most sixes: 1</t>
  </si>
  <si>
    <t>Prediction Winners: 20000</t>
  </si>
  <si>
    <t>vs Italy: 500</t>
  </si>
  <si>
    <t>15. Safeer Babu</t>
  </si>
  <si>
    <t>Franchise League Final(100): 1</t>
  </si>
  <si>
    <t>Home (Bangladesh): 10000 bet ( Lost )</t>
  </si>
  <si>
    <t>vs India: 500</t>
  </si>
  <si>
    <t>16. Nisham</t>
  </si>
  <si>
    <t>Away (Pakistan): 5000 bet (Won)</t>
  </si>
  <si>
    <t>IOCF LONE WARRIOR</t>
  </si>
  <si>
    <t>3. Toby</t>
  </si>
  <si>
    <t>17. Sri Vishnu</t>
  </si>
  <si>
    <t>Franchise League(PSL): 4</t>
  </si>
  <si>
    <t>Home (West Indies): 5000 bet (Won)</t>
  </si>
  <si>
    <t>18. Sujith CS Ctr</t>
  </si>
  <si>
    <t>Champion: Diljith Das</t>
  </si>
  <si>
    <t>• vs Afghanistan: 500</t>
  </si>
  <si>
    <t>3. Toby Joseph</t>
  </si>
  <si>
    <t>19. Ajin P Anil</t>
  </si>
  <si>
    <t>International Series(ODI): 3000: 3</t>
  </si>
  <si>
    <t>Home(Bangladesh): 5000 bet(Lost)</t>
  </si>
  <si>
    <t>• vs South Africa: 500</t>
  </si>
  <si>
    <t>20. Shajahan</t>
  </si>
  <si>
    <t>Away (Netherlands): 5000 bet (Lost)</t>
  </si>
  <si>
    <t>21. Sunaif</t>
  </si>
  <si>
    <t>Home(Srilanka): 5000 bet (Lost)</t>
  </si>
  <si>
    <t>4. Safeer</t>
  </si>
  <si>
    <t>22. Amith</t>
  </si>
  <si>
    <t>Home(UAE): 5000 bet (Won)</t>
  </si>
  <si>
    <t>Molly Stephan</t>
  </si>
  <si>
    <t>• vs South Africa: 300</t>
  </si>
  <si>
    <t>23. Sanoop</t>
  </si>
  <si>
    <t>Franchise League(IPL): 5</t>
  </si>
  <si>
    <t>Away(Australia): 10000 bet (Lost)</t>
  </si>
  <si>
    <t>Ring of Fire :  Top Scorer</t>
  </si>
  <si>
    <t>• vs Scotland(Final): 500</t>
  </si>
  <si>
    <t>4. Arjun AKJ</t>
  </si>
  <si>
    <t>Home(Newzealand): 10000 bet (Won)</t>
  </si>
  <si>
    <t>Jyothish S</t>
  </si>
  <si>
    <t>4. Rejith</t>
  </si>
  <si>
    <t>Home(Bangladesh): 5000 bet(Won)</t>
  </si>
  <si>
    <t>Ring of Fire :  Top Wicket Taker</t>
  </si>
  <si>
    <t>5. Sujith CS Ctr</t>
  </si>
  <si>
    <t>• vs West Indies: 500</t>
  </si>
  <si>
    <t>• vs Newzealand: 500</t>
  </si>
  <si>
    <t>5. Rahees</t>
  </si>
  <si>
    <t>6. Aniket Gavit</t>
  </si>
  <si>
    <t>5. Achuz</t>
  </si>
  <si>
    <t>6. Molly</t>
  </si>
  <si>
    <t>6. Diljith</t>
  </si>
  <si>
    <t>7. Sujith Kumar</t>
  </si>
  <si>
    <t>Most Sixes:1</t>
  </si>
  <si>
    <t>7. Safeer Babu</t>
  </si>
  <si>
    <t>8. Karthik Verma</t>
  </si>
  <si>
    <t>• vs West Indies(Semis): 500</t>
  </si>
  <si>
    <t>9. Ajin</t>
  </si>
  <si>
    <t>• vs West Indies(Semis): 300</t>
  </si>
  <si>
    <t>8. Sujith CS Ctr</t>
  </si>
  <si>
    <t>vs Qatar: 500</t>
  </si>
  <si>
    <t>All Franchise League Credits Updates :</t>
  </si>
  <si>
    <t>10. Aash</t>
  </si>
  <si>
    <t xml:space="preserve">THE HUNDRED ( Own League ) </t>
  </si>
  <si>
    <t>Hosting Rights : 40000</t>
  </si>
  <si>
    <t>11. Diljith Das</t>
  </si>
  <si>
    <t>All Team Profit: 123200</t>
  </si>
  <si>
    <t>Team Profit: 14500</t>
  </si>
  <si>
    <t>Team Profit: 26600</t>
  </si>
  <si>
    <t>Team Profit: 32100</t>
  </si>
  <si>
    <t>Team Profit: 42800</t>
  </si>
  <si>
    <t>1. Shibasis</t>
  </si>
  <si>
    <t xml:space="preserve">1. Rejith Mohan </t>
  </si>
  <si>
    <t>1. Aniket Gavit</t>
  </si>
  <si>
    <t>1. Achuz Sukumaran</t>
  </si>
  <si>
    <t>Captain Salary: 8000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</si>
  <si>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</si>
  <si>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</si>
  <si>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</si>
  <si>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</si>
  <si>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</si>
  <si>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</si>
  <si>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</si>
  <si>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</si>
  <si>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</si>
  <si>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</si>
  <si>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>2. Safeer Babu</t>
  </si>
  <si>
    <t xml:space="preserve">4. Nadirsha Nachu </t>
  </si>
  <si>
    <t xml:space="preserve">4. Sreeju </t>
  </si>
  <si>
    <t>Best Bowler: 3 ( 600 )</t>
  </si>
  <si>
    <t>3. Aash Muhammad</t>
  </si>
  <si>
    <t>Man of the match: 2 (1000)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</si>
  <si>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</si>
  <si>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</si>
  <si>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</si>
  <si>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</si>
  <si>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</si>
  <si>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</si>
  <si>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</si>
  <si>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</si>
  <si>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</si>
  <si>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Suman called for National Duty ( NZ ) for 1k</t>
  </si>
  <si>
    <t>Rating By All Boards on The Hundred 2026(8 out of 10): 40000 credits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</si>
  <si>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</si>
  <si>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</si>
  <si>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</si>
  <si>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</si>
  <si>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</si>
  <si>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</si>
  <si>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2. Vishnu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</si>
  <si>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</si>
  <si>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</si>
  <si>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</si>
  <si>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</si>
  <si>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</si>
  <si>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</si>
  <si>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</si>
  <si>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</si>
  <si>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</si>
  <si>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</si>
  <si>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</si>
  <si>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</si>
  <si>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</si>
  <si>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>All Team Profit: 20000</t>
  </si>
  <si>
    <t>1. Sujith CS Ctr</t>
  </si>
  <si>
    <t>1. Jyothish S</t>
  </si>
  <si>
    <t>1. Safeer Babu</t>
  </si>
  <si>
    <t>2. Achuz Sukumaran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</si>
  <si>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</si>
  <si>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</si>
  <si>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</si>
  <si>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</si>
  <si>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</si>
  <si>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</si>
  <si>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</si>
  <si>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</si>
  <si>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</si>
  <si>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Renjish</t>
  </si>
  <si>
    <t>1. Diljith Das</t>
  </si>
  <si>
    <t>1. Shajahan</t>
  </si>
  <si>
    <t>1. Sunaif</t>
  </si>
  <si>
    <t>Salary: 22000</t>
  </si>
  <si>
    <t>Salary: 16000</t>
  </si>
  <si>
    <t>2. Rahees</t>
  </si>
  <si>
    <t>Salary: 31000</t>
  </si>
  <si>
    <t>3. Karthik Verma</t>
  </si>
  <si>
    <t>3. Sri Vishnu</t>
  </si>
  <si>
    <t>1. Amith</t>
  </si>
  <si>
    <t>Board: INDIA</t>
  </si>
  <si>
    <t>Chairman: Shivaji Prakash | CEO: Jana CP</t>
  </si>
  <si>
    <t xml:space="preserve">International Series: </t>
  </si>
  <si>
    <t xml:space="preserve">Whitewash: </t>
  </si>
  <si>
    <t>Player limit Increased:</t>
  </si>
  <si>
    <t>1. Abhishek</t>
  </si>
  <si>
    <t>2. Abin</t>
  </si>
  <si>
    <t>1. Shivaji</t>
  </si>
  <si>
    <t>Away( England ): 5000 bet ( Won )</t>
  </si>
  <si>
    <t>1. Anderson Tendulkar ( England )</t>
  </si>
  <si>
    <t>Match Bet credits: -17000</t>
  </si>
  <si>
    <t>3. Anshad P</t>
  </si>
  <si>
    <t>International Series: 18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</si>
  <si>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</si>
  <si>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</si>
  <si>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</si>
  <si>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</si>
  <si>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</si>
  <si>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4. Ashish Anandhu</t>
  </si>
  <si>
    <t>International Series(T10): 5</t>
  </si>
  <si>
    <t>Home ( England): 10000 ( Lost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</si>
  <si>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</si>
  <si>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</si>
  <si>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</si>
  <si>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</si>
  <si>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</si>
  <si>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</si>
  <si>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</si>
  <si>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6. Athif Basheer K</t>
  </si>
  <si>
    <t>International Tournament(Test): 3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</si>
  <si>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</si>
  <si>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</si>
  <si>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</si>
  <si>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</si>
  <si>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</si>
  <si>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</si>
  <si>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Franchise League(IPL): 9</t>
  </si>
  <si>
    <t>Home(Australia): 5000 (Lost)</t>
  </si>
  <si>
    <t>Economical Bowler: 2</t>
  </si>
  <si>
    <t>2. Farhan</t>
  </si>
  <si>
    <t>Away(South Africa): 5000 bet (Lost)</t>
  </si>
  <si>
    <t>8. Gopikrishnan SV</t>
  </si>
  <si>
    <t>2. Jana CP</t>
  </si>
  <si>
    <t>• vs Pakistan: 300</t>
  </si>
  <si>
    <t>1. Ajith from NZ: 10000</t>
  </si>
  <si>
    <t>Home(South Africa): 5000 bet (Lost)</t>
  </si>
  <si>
    <t>9. Harish Byndoor</t>
  </si>
  <si>
    <t>Franchise League(IPL): 0.5</t>
  </si>
  <si>
    <t>10. Ahmed Mahsoof</t>
  </si>
  <si>
    <t>3. Abhishek</t>
  </si>
  <si>
    <t>2. Raheem</t>
  </si>
  <si>
    <t>11. Peter John</t>
  </si>
  <si>
    <t>Franchise League(IPL): 8</t>
  </si>
  <si>
    <t>Trophy Cabinet</t>
  </si>
  <si>
    <t>12. Pradeesh P</t>
  </si>
  <si>
    <t>King's Fortress</t>
  </si>
  <si>
    <t>4. Athif Basheer</t>
  </si>
  <si>
    <t>1. Coca Cola Cup</t>
  </si>
  <si>
    <t>13. Raheem K</t>
  </si>
  <si>
    <t>Marusthal Arena</t>
  </si>
  <si>
    <t>Franchise League(IPL): 3</t>
  </si>
  <si>
    <t>Semifinalit: Anshad</t>
  </si>
  <si>
    <t>3. Shivaji Prakash</t>
  </si>
  <si>
    <t>3. Jana</t>
  </si>
  <si>
    <t>14. Rahman SN</t>
  </si>
  <si>
    <t>Imperial Stadium</t>
  </si>
  <si>
    <t>5. Robert John</t>
  </si>
  <si>
    <t>15. Rahul Roy</t>
  </si>
  <si>
    <t>Dwarka Coliseum</t>
  </si>
  <si>
    <t>• vs Srilanka: 500</t>
  </si>
  <si>
    <t>16. Rahul Seenu</t>
  </si>
  <si>
    <t>Royal Deccan</t>
  </si>
  <si>
    <t>6. Farhan</t>
  </si>
  <si>
    <t>Economical bowler: 2</t>
  </si>
  <si>
    <t>17. Rajeev</t>
  </si>
  <si>
    <t>Eternal Aryavarta</t>
  </si>
  <si>
    <t>18. Robert John</t>
  </si>
  <si>
    <t>Sher-E-Punjab</t>
  </si>
  <si>
    <t>• vs Scotland(Semis): 300</t>
  </si>
  <si>
    <t>19. Sanjith</t>
  </si>
  <si>
    <t>20. Ajith</t>
  </si>
  <si>
    <t>4. Asru</t>
  </si>
  <si>
    <t>4. Pradeesh</t>
  </si>
  <si>
    <t>Economical Bowler: 1</t>
  </si>
  <si>
    <t>vs South Africa: 500</t>
  </si>
  <si>
    <t>• vs Srilanka: 300</t>
  </si>
  <si>
    <t>5. Shivaji</t>
  </si>
  <si>
    <t>5. Jana</t>
  </si>
  <si>
    <t>6. Abin</t>
  </si>
  <si>
    <t>• vs England: 500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</si>
  <si>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</si>
  <si>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</si>
  <si>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</si>
  <si>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</si>
  <si>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</si>
  <si>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</si>
  <si>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Team Profit: 5400</t>
  </si>
  <si>
    <t>Team Profit: 31400</t>
  </si>
  <si>
    <t>Team Profit: 7750</t>
  </si>
  <si>
    <t>1. Gopikrishnan SV</t>
  </si>
  <si>
    <t>1. Shivaji Prakash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</si>
  <si>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</si>
  <si>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</si>
  <si>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</si>
  <si>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</si>
  <si>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</si>
  <si>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</si>
  <si>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</si>
  <si>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</si>
  <si>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</si>
  <si>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</si>
  <si>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</si>
  <si>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</si>
  <si>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</si>
  <si>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</si>
  <si>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</si>
  <si>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</si>
  <si>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</si>
  <si>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</si>
  <si>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</si>
  <si>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</si>
  <si>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</si>
  <si>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</si>
  <si>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</si>
  <si>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</si>
  <si>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</si>
  <si>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</si>
  <si>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</si>
  <si>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</si>
  <si>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</si>
  <si>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</si>
  <si>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Farhan</t>
  </si>
  <si>
    <t>Man of the match:1 (1500)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</si>
  <si>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</si>
  <si>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</si>
  <si>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</si>
  <si>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</si>
  <si>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</si>
  <si>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</si>
  <si>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</si>
  <si>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</si>
  <si>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</si>
  <si>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</si>
  <si>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</si>
  <si>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</si>
  <si>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Indian Premier League ( Own League )</t>
  </si>
  <si>
    <t>Hosting Rights : 350000</t>
  </si>
  <si>
    <t>1. Athif Basheer K</t>
  </si>
  <si>
    <t>1. Anshad P</t>
  </si>
  <si>
    <t>1. Harish Byndoor</t>
  </si>
  <si>
    <t xml:space="preserve">1. Farhan </t>
  </si>
  <si>
    <t>Captain Salary: 90000</t>
  </si>
  <si>
    <t>2. Sanjith</t>
  </si>
  <si>
    <t>Salary: 21000</t>
  </si>
  <si>
    <t>2. Peter John</t>
  </si>
  <si>
    <t>2. Gopikrishnan SV</t>
  </si>
  <si>
    <t>3. Ashish</t>
  </si>
  <si>
    <t xml:space="preserve">2. Rajeev </t>
  </si>
  <si>
    <t>Salary: 28500</t>
  </si>
  <si>
    <t xml:space="preserve">3. Robert John </t>
  </si>
  <si>
    <t>Salary: 15000</t>
  </si>
  <si>
    <t>4. Abin</t>
  </si>
  <si>
    <t>4. Mahsoof</t>
  </si>
  <si>
    <t>Salary: 17000</t>
  </si>
  <si>
    <t>5. Rahman</t>
  </si>
  <si>
    <t xml:space="preserve">5. Raheem </t>
  </si>
  <si>
    <t xml:space="preserve">6. Pradeesh </t>
  </si>
  <si>
    <t>1. Asru</t>
  </si>
  <si>
    <t>Salary: 45000</t>
  </si>
  <si>
    <t>Salary: 75000</t>
  </si>
  <si>
    <t>Direct Signing: 40000</t>
  </si>
  <si>
    <t>2. Rahman</t>
  </si>
  <si>
    <t>Salary: 25000</t>
  </si>
  <si>
    <t xml:space="preserve">3. Harish </t>
  </si>
  <si>
    <t>3. Ahmed Mahsoof</t>
  </si>
  <si>
    <t>Salary: 60000</t>
  </si>
  <si>
    <t>4. Peter</t>
  </si>
  <si>
    <t>4. Pradeesh P Nair</t>
  </si>
  <si>
    <t>4. Athif</t>
  </si>
  <si>
    <t>5. Rahul Roy</t>
  </si>
  <si>
    <t xml:space="preserve">6. Raheem </t>
  </si>
  <si>
    <t>Board: Italy</t>
  </si>
  <si>
    <t>Chairman: Rince Thomas | CEO: Akhil</t>
  </si>
  <si>
    <t>Player trade:</t>
  </si>
  <si>
    <t>1. Abhishek Anil</t>
  </si>
  <si>
    <t>1. Romo Carribbean ( Home )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</si>
  <si>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</si>
  <si>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</si>
  <si>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</si>
  <si>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</si>
  <si>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</si>
  <si>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</si>
  <si>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</si>
  <si>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</si>
  <si>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</si>
  <si>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</si>
  <si>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</si>
  <si>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</si>
  <si>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</si>
  <si>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</si>
  <si>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1. Rince</t>
  </si>
  <si>
    <t>Away (Italy): 5000 bet (Lost)</t>
  </si>
  <si>
    <t>5. Akshay</t>
  </si>
  <si>
    <t>Away (Afghanistan): 5000 bet (Lost)</t>
  </si>
  <si>
    <t>6. Albin</t>
  </si>
  <si>
    <t>vs South Africa: 1000</t>
  </si>
  <si>
    <t>7. Anandhu Reddy</t>
  </si>
  <si>
    <t>Away (South Africa): 5000 bet (Won)</t>
  </si>
  <si>
    <t>8. Appu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</si>
  <si>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</si>
  <si>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</si>
  <si>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</si>
  <si>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</si>
  <si>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</si>
  <si>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</si>
  <si>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</si>
  <si>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</si>
  <si>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</si>
  <si>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</si>
  <si>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</si>
  <si>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</si>
  <si>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</si>
  <si>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</si>
  <si>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</si>
  <si>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</si>
  <si>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</si>
  <si>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</si>
  <si>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</si>
  <si>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</si>
  <si>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</si>
  <si>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</si>
  <si>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</si>
  <si>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</si>
  <si>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</si>
  <si>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</si>
  <si>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</si>
  <si>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</si>
  <si>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</si>
  <si>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</si>
  <si>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</si>
  <si>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</si>
  <si>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</si>
  <si>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</si>
  <si>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Salary: 12000</t>
  </si>
  <si>
    <t>2. Rince Thomas</t>
  </si>
  <si>
    <t>Most Sixes: 20000</t>
  </si>
  <si>
    <t>Best Batsman of the tournament: 40000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</si>
  <si>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</si>
  <si>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</si>
  <si>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</si>
  <si>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</si>
  <si>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</si>
  <si>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</si>
  <si>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</si>
  <si>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</si>
  <si>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</si>
  <si>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</si>
  <si>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</si>
  <si>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Rince Thomas</t>
  </si>
  <si>
    <t>1. Afsal</t>
  </si>
  <si>
    <t>3. Hybi Anil</t>
  </si>
  <si>
    <t>4. Akhil</t>
  </si>
  <si>
    <t>5. Shuhaib</t>
  </si>
  <si>
    <t xml:space="preserve">1. Rince </t>
  </si>
  <si>
    <t>1. Albin</t>
  </si>
  <si>
    <t>2. Akhil</t>
  </si>
  <si>
    <t>2. Haseeb</t>
  </si>
  <si>
    <t>2. Anandhu R</t>
  </si>
  <si>
    <t>3. Akshay</t>
  </si>
  <si>
    <t xml:space="preserve">3. Vipin </t>
  </si>
  <si>
    <t>3. Subaida Subi</t>
  </si>
  <si>
    <t>4. Shuhaib</t>
  </si>
  <si>
    <t>4. Aravind</t>
  </si>
  <si>
    <t>Board: Netherlands</t>
  </si>
  <si>
    <t>Chairman: Debajit Borthakur | CEO: Nirmal</t>
  </si>
  <si>
    <t xml:space="preserve">Umpires Credits : </t>
  </si>
  <si>
    <t xml:space="preserve">Player trade: </t>
  </si>
  <si>
    <t>Player limit increased: -10000</t>
  </si>
  <si>
    <t>1. Ali Akbor Ahmed</t>
  </si>
  <si>
    <t>1. Atlantic Smash ( Home )</t>
  </si>
  <si>
    <t>2. Biki</t>
  </si>
  <si>
    <t xml:space="preserve">1. Debajit </t>
  </si>
  <si>
    <t>1. Hirak From Eng: 5000</t>
  </si>
  <si>
    <t>Home ( Afghanistan) : 5000 ( Lost )</t>
  </si>
  <si>
    <t>1. Dutch Carribbean ( Home )</t>
  </si>
  <si>
    <t>2. Zubeen Garg Rhine ODI (Home)</t>
  </si>
  <si>
    <t>Match Bet credits: -9000</t>
  </si>
  <si>
    <t>3. Bimal Baral</t>
  </si>
  <si>
    <t>International Series: 30.5</t>
  </si>
  <si>
    <t>2. Ashutoh from Eng: 5000</t>
  </si>
  <si>
    <t>Home ( UAE ): 5000 bet ( Lost )</t>
  </si>
  <si>
    <t>3. Dutch Caribbean 2 ODI (Home)</t>
  </si>
  <si>
    <t>2. 26 to 30: 10000</t>
  </si>
  <si>
    <t>Players Awards: 6500</t>
  </si>
  <si>
    <t>Home(India): 2500 bet (Lost)</t>
  </si>
  <si>
    <t>1. Zubeen Gard Rhine B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</si>
  <si>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</si>
  <si>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</si>
  <si>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</si>
  <si>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</si>
  <si>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</si>
  <si>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</si>
  <si>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</si>
  <si>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Bitupan</t>
  </si>
  <si>
    <t>International Series(T20): 3</t>
  </si>
  <si>
    <t>4. Veer to Qatar: 10000</t>
  </si>
  <si>
    <t>Home ( West Indies ): 5000 bet ( Lost )</t>
  </si>
  <si>
    <t>Home (Srilanka): 5000 bet (Lost)</t>
  </si>
  <si>
    <t>3. Tulip Desert</t>
  </si>
  <si>
    <t>6. Deepjyoti</t>
  </si>
  <si>
    <t>International Series(T10): 2.5</t>
  </si>
  <si>
    <t>Home ( USA ): 5000 bet ( Won )</t>
  </si>
  <si>
    <t>Home(Scotland): 3000 bet (Won)</t>
  </si>
  <si>
    <t>7. Devasish</t>
  </si>
  <si>
    <t>Home ( Scotland ): 5000 bet ( Lost )</t>
  </si>
  <si>
    <t>2. Nirmal</t>
  </si>
  <si>
    <t>Home(Bangladesh): 4000 bet (Won)</t>
  </si>
  <si>
    <t>8. Dhurbo</t>
  </si>
  <si>
    <t>International tournament(Test): 4</t>
  </si>
  <si>
    <t>Home ( Pakistan ): 3000 bet ( Lost )</t>
  </si>
  <si>
    <t>9. Dipankar</t>
  </si>
  <si>
    <t>Home (England): 5000 bet (Lost)</t>
  </si>
  <si>
    <t>Home (Qatar): 5000 bet (Won)</t>
  </si>
  <si>
    <t>10. Hirak</t>
  </si>
  <si>
    <t>International Tournament(ETL): 1000: 3</t>
  </si>
  <si>
    <t>Home (India): 2000 bet (Won)</t>
  </si>
  <si>
    <t>11. Jahirul</t>
  </si>
  <si>
    <t>Away (Afghanistan): 4000 bet (Lost)</t>
  </si>
  <si>
    <t>12. Jihan</t>
  </si>
  <si>
    <t>Home (West Indies): 4000 bet (Won)</t>
  </si>
  <si>
    <t>3. Rahul Sharma</t>
  </si>
  <si>
    <t>13. Kiran</t>
  </si>
  <si>
    <t>Franchise League(PSL Com): 1 ( 2000 )</t>
  </si>
  <si>
    <t>Home (Bangladesh): 4000 bet (Lost)</t>
  </si>
  <si>
    <t>14. Marami</t>
  </si>
  <si>
    <t>Home (England): 4000 bet (Lost)</t>
  </si>
  <si>
    <t>15. Mayank</t>
  </si>
  <si>
    <t>Away(West Indies): 5000 bet (Lost)</t>
  </si>
  <si>
    <t>4. Hirak</t>
  </si>
  <si>
    <t>16. Anamika</t>
  </si>
  <si>
    <t>Home (England): 5000 bet (Won)</t>
  </si>
  <si>
    <t>17. Pinku</t>
  </si>
  <si>
    <t>Away(Bangladesh/West Indies): 15000 (Lost)</t>
  </si>
  <si>
    <t>vs Srilanka: 500</t>
  </si>
  <si>
    <t>18. Prabal</t>
  </si>
  <si>
    <t>19. Rahul</t>
  </si>
  <si>
    <t>5. Debajit</t>
  </si>
  <si>
    <t>20. Rishi Raj</t>
  </si>
  <si>
    <t>21. Sagar</t>
  </si>
  <si>
    <t>22. Shabir Alam</t>
  </si>
  <si>
    <t>23. Shon</t>
  </si>
  <si>
    <t>24. Upadhyay</t>
  </si>
  <si>
    <t>25. Jack Dipu</t>
  </si>
  <si>
    <t>26. Surashri C</t>
  </si>
  <si>
    <t>27. Manuranjan Deka</t>
  </si>
  <si>
    <t>28. Kritartha Kalita</t>
  </si>
  <si>
    <t>29. Khagen Saikia</t>
  </si>
  <si>
    <t>6. Devasish</t>
  </si>
  <si>
    <t>vs Qatar: 1000</t>
  </si>
  <si>
    <t>7. Bimal</t>
  </si>
  <si>
    <t>Team Profit: 4500</t>
  </si>
  <si>
    <t>Team Profit: 24650</t>
  </si>
  <si>
    <t>1. Mayank Das ( Replacement )</t>
  </si>
  <si>
    <t>1. Hirak Jyothi</t>
  </si>
  <si>
    <t>1. Nirmal Baishya</t>
  </si>
  <si>
    <t>Best Batsman of the Tournament: 10000</t>
  </si>
  <si>
    <t>2. Marami Ahmed</t>
  </si>
  <si>
    <t>3. Debajit Borthakur</t>
  </si>
  <si>
    <t>Team Profit: 30860</t>
  </si>
  <si>
    <t>Team Profit: 2150</t>
  </si>
  <si>
    <t>Team Profit: 3680</t>
  </si>
  <si>
    <t>1. Biswajit Dutta</t>
  </si>
  <si>
    <t>1. Nirmal</t>
  </si>
  <si>
    <t>1. Rahul Sharma</t>
  </si>
  <si>
    <t>Salary: 1950</t>
  </si>
  <si>
    <t>2. Debajit</t>
  </si>
  <si>
    <t>Salary: 3900</t>
  </si>
  <si>
    <t>3. Kiran Nath</t>
  </si>
  <si>
    <t>Big Bash League : 0</t>
  </si>
  <si>
    <t>All Team Profit: 0</t>
  </si>
  <si>
    <t>1. Aashutosh Jha</t>
  </si>
  <si>
    <t>2. Hirakjyothi</t>
  </si>
  <si>
    <t>3. Mayank Das</t>
  </si>
  <si>
    <t>1. Mayank</t>
  </si>
  <si>
    <t>1. Debajit</t>
  </si>
  <si>
    <t>1. Hirak</t>
  </si>
  <si>
    <t>1. Marami</t>
  </si>
  <si>
    <t>1. Dipankar</t>
  </si>
  <si>
    <t>1. Biswajit</t>
  </si>
  <si>
    <t>2. Veer</t>
  </si>
  <si>
    <t>2. Kiran</t>
  </si>
  <si>
    <t>2. Bimal</t>
  </si>
  <si>
    <t>2. Anamika</t>
  </si>
  <si>
    <t>2. Deepjyothi</t>
  </si>
  <si>
    <t>2. Dhurbo</t>
  </si>
  <si>
    <t>3. Rahul</t>
  </si>
  <si>
    <t>3. Bimal</t>
  </si>
  <si>
    <t>3. Jiha</t>
  </si>
  <si>
    <t>4. Jahirul</t>
  </si>
  <si>
    <t>4. Pinku</t>
  </si>
  <si>
    <t>1. Deepjyoti</t>
  </si>
  <si>
    <t xml:space="preserve">2. Rahul </t>
  </si>
  <si>
    <t>3. Hirak</t>
  </si>
  <si>
    <t xml:space="preserve">1. Rahul </t>
  </si>
  <si>
    <t>2. Deepjyoti</t>
  </si>
  <si>
    <t>3. Sagar</t>
  </si>
  <si>
    <t>Board: Newzealand</t>
  </si>
  <si>
    <t>Chairman: Srajan Poojari | CEO: Aniket Gavit</t>
  </si>
  <si>
    <t>IOCF T20 WORLD CUP 🏆 :</t>
  </si>
  <si>
    <t>Player limit increased:</t>
  </si>
  <si>
    <t>1. Abu Shazan</t>
  </si>
  <si>
    <t>1. Crowe Nabi ( Home )</t>
  </si>
  <si>
    <t>2. Adarsh</t>
  </si>
  <si>
    <t>1. Srajan</t>
  </si>
  <si>
    <t>Home( Afghanistan ): 3000 bet ( Won )</t>
  </si>
  <si>
    <t>2. Silk Steel ( Home )</t>
  </si>
  <si>
    <t>1. Silk Steel ( Pakistan )</t>
  </si>
  <si>
    <t>Hosting Amount: 100k</t>
  </si>
  <si>
    <t>3. Gokul G</t>
  </si>
  <si>
    <t>International Series: 10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</si>
  <si>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</si>
  <si>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</si>
  <si>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</si>
  <si>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</si>
  <si>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</si>
  <si>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27000</t>
  </si>
  <si>
    <t>Newzealand (5000)</t>
  </si>
  <si>
    <t>4. Naveen</t>
  </si>
  <si>
    <t>International Series(T20): 4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</si>
  <si>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</si>
  <si>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</si>
  <si>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</si>
  <si>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</si>
  <si>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</si>
  <si>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</si>
  <si>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5. Yeshwanth Chinni</t>
  </si>
  <si>
    <t>Franchise League(KCL): 1.5</t>
  </si>
  <si>
    <t>Away( Australia): 5000 bet ( Won )</t>
  </si>
  <si>
    <t>5. Orange Black ( Away )</t>
  </si>
  <si>
    <t>2. Kiwi Elephant</t>
  </si>
  <si>
    <t>6. Gautam Shankara Ram</t>
  </si>
  <si>
    <t>International Series(ODI): 3000: 1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</si>
  <si>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</si>
  <si>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</si>
  <si>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</si>
  <si>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</si>
  <si>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</si>
  <si>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>7. Hasan Musabir</t>
  </si>
  <si>
    <t>2. Kishore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</si>
  <si>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</si>
  <si>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</si>
  <si>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</si>
  <si>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</si>
  <si>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</si>
  <si>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</si>
  <si>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8. Hrushikesh HD</t>
  </si>
  <si>
    <t>Away ( England): 5000 bet ( Lost )</t>
  </si>
  <si>
    <t>8. Archipelago Series (Home)</t>
  </si>
  <si>
    <t>Home(Bangladesh): 6000 bet (Won)</t>
  </si>
  <si>
    <t>5. Tasman Indus</t>
  </si>
  <si>
    <t>9. Huzaifa Kaukawala</t>
  </si>
  <si>
    <t>Away ( Netherlands ): 5000 bet ( Won )</t>
  </si>
  <si>
    <t>9. Vellas Trophy (Away)</t>
  </si>
  <si>
    <t>vs Bangladesh: 1000</t>
  </si>
  <si>
    <t>Away (Bangladesh): 5000 bet (Won)</t>
  </si>
  <si>
    <t>6. Desert Kiwis</t>
  </si>
  <si>
    <t>10. Karthik Devadiga</t>
  </si>
  <si>
    <t>International Series(T10): 0.5</t>
  </si>
  <si>
    <t>Home ( Srilanka): 5000 bet ( Won )</t>
  </si>
  <si>
    <t>Best Batsman: 3</t>
  </si>
  <si>
    <t>Away (Italy): 5000 bet (Won)</t>
  </si>
  <si>
    <t>11. Kishore Gowda</t>
  </si>
  <si>
    <t>3. Aniket Gavit</t>
  </si>
  <si>
    <t>12. Mahesh Margol</t>
  </si>
  <si>
    <t>Home ( Bangladesh ): 5000 bet ( Lost )</t>
  </si>
  <si>
    <t>2. Kishore Gowda</t>
  </si>
  <si>
    <t>vs Bangladesh: 500</t>
  </si>
  <si>
    <t>Away(Qatar): 5000 bet (Won)</t>
  </si>
  <si>
    <t>13. Nithin Poojary</t>
  </si>
  <si>
    <t>International tournament(Test): 8</t>
  </si>
  <si>
    <t>14. Pratyush Mishra</t>
  </si>
  <si>
    <t>Home ( Australia ): 5000 bet ( Lost )</t>
  </si>
  <si>
    <t>3. Ram</t>
  </si>
  <si>
    <t>15. Ram Thakkar</t>
  </si>
  <si>
    <t>BBL Final Commentator(1500)</t>
  </si>
  <si>
    <t>3. Mahesh</t>
  </si>
  <si>
    <t>16.  Ramith Acharya</t>
  </si>
  <si>
    <t>Traded Players:</t>
  </si>
  <si>
    <t>Franchise League(KCL): 10.5</t>
  </si>
  <si>
    <t>Home (Australia): 5000 bet (Lost)</t>
  </si>
  <si>
    <t>17. Salar Shah</t>
  </si>
  <si>
    <t>International Series(ODI): 5000: 2</t>
  </si>
  <si>
    <t>4. Hasan</t>
  </si>
  <si>
    <t>18. Sanan Abrar</t>
  </si>
  <si>
    <t>1. Shibasis to SA: 5000</t>
  </si>
  <si>
    <t>Franchise League(BPL): 1.5</t>
  </si>
  <si>
    <t>Away(England): 10000 bet (Lost)</t>
  </si>
  <si>
    <t>4. Gautam</t>
  </si>
  <si>
    <t>19. Toby Joseph</t>
  </si>
  <si>
    <t>2. Ashutoh from BD: 5000</t>
  </si>
  <si>
    <t>20. Tukaram Parabat</t>
  </si>
  <si>
    <t>3. Ajith to India: 10000</t>
  </si>
  <si>
    <t>21. Vikas Acharya</t>
  </si>
  <si>
    <t>22. Yashwanth Yash</t>
  </si>
  <si>
    <t>5. Toby</t>
  </si>
  <si>
    <t>23. Ashwini</t>
  </si>
  <si>
    <t>Man of the match: 3</t>
  </si>
  <si>
    <t>24. Azeem</t>
  </si>
  <si>
    <t>25. Ashutosh Sha</t>
  </si>
  <si>
    <t>5. Harish</t>
  </si>
  <si>
    <t>Most sixes: 2</t>
  </si>
  <si>
    <t>6. Yashwanth</t>
  </si>
  <si>
    <t>6. Srajan</t>
  </si>
  <si>
    <t>Eliminated in Super Six: 15000</t>
  </si>
  <si>
    <t>7. Gautam</t>
  </si>
  <si>
    <t>8. Kishore</t>
  </si>
  <si>
    <t>Best Batsman : 1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</si>
  <si>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</si>
  <si>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</si>
  <si>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</si>
  <si>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</si>
  <si>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</si>
  <si>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</si>
  <si>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</si>
  <si>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</si>
  <si>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</si>
  <si>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</si>
  <si>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</si>
  <si>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</si>
  <si>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</si>
  <si>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</si>
  <si>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</si>
  <si>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</si>
  <si>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</si>
  <si>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</si>
  <si>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</si>
  <si>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</si>
  <si>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</si>
  <si>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</si>
  <si>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</si>
  <si>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</si>
  <si>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</si>
  <si>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</si>
  <si>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</si>
  <si>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2. Tukaram Parabat</t>
  </si>
  <si>
    <t>3. Hrushikesh HD</t>
  </si>
  <si>
    <t>3. Harish</t>
  </si>
  <si>
    <t>2. Hasan</t>
  </si>
  <si>
    <t>Salary: 2600</t>
  </si>
  <si>
    <t>4. Aniket Gavi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</si>
  <si>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</si>
  <si>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</si>
  <si>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</si>
  <si>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</si>
  <si>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</si>
  <si>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</si>
  <si>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</si>
  <si>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1. Harish</t>
  </si>
  <si>
    <t>1. Hasan</t>
  </si>
  <si>
    <t>1. Mahesh</t>
  </si>
  <si>
    <t>1. Srajan Poojari</t>
  </si>
  <si>
    <t>1. Aniket</t>
  </si>
  <si>
    <t>1. Kishore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</si>
  <si>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</si>
  <si>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</si>
  <si>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</si>
  <si>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</si>
  <si>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</si>
  <si>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</si>
  <si>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</si>
  <si>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</si>
  <si>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</si>
  <si>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4. Yashwanth</t>
  </si>
  <si>
    <t>5. Salar Shah</t>
  </si>
  <si>
    <t>Kiwi Crown League ( Own League )</t>
  </si>
  <si>
    <t>Hosting Rights : 160000</t>
  </si>
  <si>
    <t>All Team Profit: 560000</t>
  </si>
  <si>
    <t>1. Gautam Shankara Ram</t>
  </si>
  <si>
    <t>1. Hrushikesh HD</t>
  </si>
  <si>
    <t>1. Shibasis Nayak</t>
  </si>
  <si>
    <t xml:space="preserve">1. Ram Thakkar </t>
  </si>
  <si>
    <t>Captain Salary: 40000</t>
  </si>
  <si>
    <t>2. Karthik Devadiga</t>
  </si>
  <si>
    <t>2. Suman Byndoor</t>
  </si>
  <si>
    <t>Fair Play(Captain): 5565</t>
  </si>
  <si>
    <t>2. Srajan Poojary</t>
  </si>
  <si>
    <t>Champions(Captain): 21500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</si>
  <si>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</si>
  <si>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</si>
  <si>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</si>
  <si>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</si>
  <si>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</si>
  <si>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</si>
  <si>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</si>
  <si>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</si>
  <si>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4. Toby Joseph</t>
  </si>
  <si>
    <t>4. Manish Poojary</t>
  </si>
  <si>
    <t>3. Vijeth Devadiga</t>
  </si>
  <si>
    <t>4. Naveen J</t>
  </si>
  <si>
    <t>4. Kavya</t>
  </si>
  <si>
    <t>5. Samir</t>
  </si>
  <si>
    <t>5. Vikas Acharya</t>
  </si>
  <si>
    <t>Rating By All Boards on The Hundred 2026(9 out of 10): 45000 credits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</si>
  <si>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</si>
  <si>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</si>
  <si>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</si>
  <si>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</si>
  <si>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</si>
  <si>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</si>
  <si>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</si>
  <si>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</si>
  <si>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</si>
  <si>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</si>
  <si>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</si>
  <si>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</si>
  <si>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Salary: 13000</t>
  </si>
  <si>
    <t>3. Hasan</t>
  </si>
  <si>
    <t>3. Karthik</t>
  </si>
  <si>
    <t>3. Nithin</t>
  </si>
  <si>
    <t xml:space="preserve">4. Naveen </t>
  </si>
  <si>
    <t xml:space="preserve">5. Yeshwanth </t>
  </si>
  <si>
    <t>1. Azeem</t>
  </si>
  <si>
    <t>1. Hasan Musabir</t>
  </si>
  <si>
    <t>Man of the Match: 1 (3000)</t>
  </si>
  <si>
    <t>Best Bowler:1 (1500)</t>
  </si>
  <si>
    <t>2. Mahesh Margol</t>
  </si>
  <si>
    <t>3. Ashutosh</t>
  </si>
  <si>
    <t xml:space="preserve">2. Ajith </t>
  </si>
  <si>
    <t>3. Hrushikesh</t>
  </si>
  <si>
    <t>3. Yeshwanth</t>
  </si>
  <si>
    <t>3. Tukaram Parabat</t>
  </si>
  <si>
    <t>Salary: 37000</t>
  </si>
  <si>
    <t>Salary: 47000</t>
  </si>
  <si>
    <t>4. Adarsh Byndoor</t>
  </si>
  <si>
    <t>4. Ashwini</t>
  </si>
  <si>
    <t>4. Nithin</t>
  </si>
  <si>
    <t>5. Karthik Devadiga</t>
  </si>
  <si>
    <t>Best Batsman: 3 (4500)</t>
  </si>
  <si>
    <t>1. Ashwini</t>
  </si>
  <si>
    <t>1. Hrushikesh</t>
  </si>
  <si>
    <t>Salary: 100000</t>
  </si>
  <si>
    <t>2. Ashutosh</t>
  </si>
  <si>
    <t>3. Kishore</t>
  </si>
  <si>
    <t xml:space="preserve">8. Tukaram </t>
  </si>
  <si>
    <t>Board: Pakistan</t>
  </si>
  <si>
    <t>Chairman: Shamroz | CEO: Nasrullah Kapri</t>
  </si>
  <si>
    <t xml:space="preserve">Whitewash win: </t>
  </si>
  <si>
    <t>Player limit exceeded:</t>
  </si>
  <si>
    <t>1. Muhammad Ahmad</t>
  </si>
  <si>
    <t>1. Pointing - Inzamam ( Away )</t>
  </si>
  <si>
    <t>2. Aaiz Khan</t>
  </si>
  <si>
    <t>Away( Australia ): 5000 bet ( Won )</t>
  </si>
  <si>
    <t>2. Thistle Shaheen ( Away )</t>
  </si>
  <si>
    <t>1. Thistle Shaheen ( Away )</t>
  </si>
  <si>
    <t>1. Nasrullah</t>
  </si>
  <si>
    <t>Match Bet credits: -10000</t>
  </si>
  <si>
    <t>3. Afaq Warraich</t>
  </si>
  <si>
    <t>Away( Srilanka ): 6000 bet ( Lost )</t>
  </si>
  <si>
    <t>3. Crecsent Carnage ( Away )</t>
  </si>
  <si>
    <t>2. Crecsent Carnage ( Away )</t>
  </si>
  <si>
    <t>International Series: 12</t>
  </si>
  <si>
    <t>Player Awards: 4500</t>
  </si>
  <si>
    <t>Away(Australia): 5000 (Lost)</t>
  </si>
  <si>
    <t>1. Mallu Pak</t>
  </si>
  <si>
    <t>4. Zarnish Saira</t>
  </si>
  <si>
    <t>Away( Newzealand): 3000 bet ( Lost )</t>
  </si>
  <si>
    <t>4. Rhine Indus ( Away )</t>
  </si>
  <si>
    <t>3. Sons &amp; Daughter (Away)</t>
  </si>
  <si>
    <t>International tournament(T20): 7</t>
  </si>
  <si>
    <t>3. 30 to 35: 10000</t>
  </si>
  <si>
    <t>Away (West Indies): 5000 (Won)</t>
  </si>
  <si>
    <t>2. Bangladesh Shaheen</t>
  </si>
  <si>
    <t>5. Ali Abbas Bangash</t>
  </si>
  <si>
    <t>Home( West Indies): 5000 bet ( Lost )</t>
  </si>
  <si>
    <t>5. Khyber Cup (Away )</t>
  </si>
  <si>
    <t>Interntional Tournament Final(T20): 1</t>
  </si>
  <si>
    <t>4. 36 to 40: 10000</t>
  </si>
  <si>
    <t>Away (Bangladesh): 5000 (Won)</t>
  </si>
  <si>
    <t>6. Arslan Ali Shani</t>
  </si>
  <si>
    <t>Away( Scotland): 5000 bet ( Won )</t>
  </si>
  <si>
    <t>6. Pollard Akhter (Away)</t>
  </si>
  <si>
    <t>International Series(Test): 3</t>
  </si>
  <si>
    <t>• vs India: 300</t>
  </si>
  <si>
    <t>vs West Indies: 1000</t>
  </si>
  <si>
    <t>Away(India): 5000 bet (Lost)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</si>
  <si>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</si>
  <si>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</si>
  <si>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</si>
  <si>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</si>
  <si>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</si>
  <si>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</si>
  <si>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8. Ayat</t>
  </si>
  <si>
    <t>Away( England): 5000 bet ( Lost)</t>
  </si>
  <si>
    <t>7. BANK AL-HABIB (Home)</t>
  </si>
  <si>
    <t>1. Silk Steel ( Newzealand)</t>
  </si>
  <si>
    <t>Franchise League(PSL): 10</t>
  </si>
  <si>
    <t>Home(Newzealand): 5000 (Lost)</t>
  </si>
  <si>
    <t>9. Daniyal Sheikh</t>
  </si>
  <si>
    <t>Away( Scotland): 10000 bet ( Won )</t>
  </si>
  <si>
    <t>8. Summer Series (Home)</t>
  </si>
  <si>
    <t>Franchise League(PSL Final): 1 ( 3000 )</t>
  </si>
  <si>
    <t>1. Summan Baig from Aus - 2k</t>
  </si>
  <si>
    <t>2. Zarnish</t>
  </si>
  <si>
    <t>10. Farhan Mohammad</t>
  </si>
  <si>
    <t>International Series(T20): 1.5</t>
  </si>
  <si>
    <t>2. Engr to Afg( Comp for Chairman): 10000</t>
  </si>
  <si>
    <t>11. Ganesh Chunduru</t>
  </si>
  <si>
    <t>Away ( Afghanistan ): 5000 bet ( Lost )</t>
  </si>
  <si>
    <t>International tournament(Test): 5</t>
  </si>
  <si>
    <t>12. Ghamshad Baloch</t>
  </si>
  <si>
    <t>Away ( Netherlands): 3000 bet ( Won )</t>
  </si>
  <si>
    <t>3. Nasrullah</t>
  </si>
  <si>
    <t>13. Haniya</t>
  </si>
  <si>
    <t>Home (Australia): 10000 bet (Lost)</t>
  </si>
  <si>
    <t>Runners Up: Shamroz</t>
  </si>
  <si>
    <t>14. Iqra Batool</t>
  </si>
  <si>
    <t>Away ( Afghanistan ): 5000 bet ( Won )</t>
  </si>
  <si>
    <t>15. Hizbullah Sahito</t>
  </si>
  <si>
    <t>Away (West Indies): 5000 bet (Won)</t>
  </si>
  <si>
    <t>4. Ans Sheikh</t>
  </si>
  <si>
    <t>16. Jalal Jalu</t>
  </si>
  <si>
    <t>Home (Afghanistan): 5000 bet (Lost)</t>
  </si>
  <si>
    <t>3. Iqra</t>
  </si>
  <si>
    <t>17. Khan Mahar</t>
  </si>
  <si>
    <t>2. Shamroz</t>
  </si>
  <si>
    <t>18. Masrifa Munni</t>
  </si>
  <si>
    <t>5. Talha</t>
  </si>
  <si>
    <t>19. Mian Bilal</t>
  </si>
  <si>
    <t>Home (Newzealand): 5000 bet (Lost)</t>
  </si>
  <si>
    <t>4. Ahmed</t>
  </si>
  <si>
    <t>20. Moiz Mohsin</t>
  </si>
  <si>
    <t>Home(Bangladesh): 5000 bet (Won)</t>
  </si>
  <si>
    <t>21. Muhammad Ali</t>
  </si>
  <si>
    <t>Home(Qatar): 5000 bet (Won)</t>
  </si>
  <si>
    <t>3. Ganesh Chunduru</t>
  </si>
  <si>
    <t>Eliminated In Group Stage: 10k</t>
  </si>
  <si>
    <t>vs Newzeland: 500</t>
  </si>
  <si>
    <t>22. Muhammad Huzaifa</t>
  </si>
  <si>
    <t>International Series: 14</t>
  </si>
  <si>
    <t>23. Wajdan</t>
  </si>
  <si>
    <t xml:space="preserve">Players Awards: 10000 </t>
  </si>
  <si>
    <t>24. Nouraiz</t>
  </si>
  <si>
    <t>International Series(T10): 6</t>
  </si>
  <si>
    <t>1. Bhavin Kumar</t>
  </si>
  <si>
    <t>25. Rima Naskar Sona</t>
  </si>
  <si>
    <t>International tournament(Test): 10.5</t>
  </si>
  <si>
    <t>Best Bat Average(65.5): 5000</t>
  </si>
  <si>
    <t>26. Sanjana</t>
  </si>
  <si>
    <t>2. Nasrullah</t>
  </si>
  <si>
    <t>27. Sheikh Arhum</t>
  </si>
  <si>
    <t>Franchise League(PSL): 12</t>
  </si>
  <si>
    <t>Fastest Host of IOCF: 5000</t>
  </si>
  <si>
    <t>28. Shumaila</t>
  </si>
  <si>
    <t>29. Sidra</t>
  </si>
  <si>
    <t>30. Summan Baig</t>
  </si>
  <si>
    <t>31. Suranja Deepal</t>
  </si>
  <si>
    <t>32. Wafa Baloch</t>
  </si>
  <si>
    <t>Franchise League(IPL): 4</t>
  </si>
  <si>
    <t>33. Talha D'Crewz</t>
  </si>
  <si>
    <t>4. Muhammad Ahmed</t>
  </si>
  <si>
    <t>34. Umar Abbas</t>
  </si>
  <si>
    <t>35. Usman</t>
  </si>
  <si>
    <t>International Series: 5</t>
  </si>
  <si>
    <t>5. Hizbullah Sahito</t>
  </si>
  <si>
    <t>Franchise League(IPL): 2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</si>
  <si>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</si>
  <si>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</si>
  <si>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</si>
  <si>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</si>
  <si>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</si>
  <si>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</si>
  <si>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</si>
  <si>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</si>
  <si>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</si>
  <si>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</si>
  <si>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</si>
  <si>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</si>
  <si>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</si>
  <si>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</si>
  <si>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</si>
  <si>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</si>
  <si>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</si>
  <si>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Engr Ans Sheikh</t>
  </si>
  <si>
    <t>1. Nasrullah Kapri</t>
  </si>
  <si>
    <t>Captain Salary: 7000</t>
  </si>
  <si>
    <t>Man of the Match: 3 ( 1500 )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</si>
  <si>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</si>
  <si>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</si>
  <si>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</si>
  <si>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</si>
  <si>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</si>
  <si>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</si>
  <si>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</si>
  <si>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</si>
  <si>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</si>
  <si>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2. Ayaan Sheikh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</si>
  <si>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</si>
  <si>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</si>
  <si>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</si>
  <si>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</si>
  <si>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</si>
  <si>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</si>
  <si>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</si>
  <si>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Ayat</t>
  </si>
  <si>
    <t>4. Ahmed Mahsoof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</si>
  <si>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</si>
  <si>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</si>
  <si>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</si>
  <si>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</si>
  <si>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</si>
  <si>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</si>
  <si>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</si>
  <si>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</si>
  <si>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</si>
  <si>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</si>
  <si>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</si>
  <si>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</si>
  <si>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</si>
  <si>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</si>
  <si>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</si>
  <si>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</si>
  <si>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</si>
  <si>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</si>
  <si>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</si>
  <si>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</si>
  <si>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</si>
  <si>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</si>
  <si>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Ganesh Chunduru</t>
  </si>
  <si>
    <t>1. Summan Baig</t>
  </si>
  <si>
    <t>1. Aaiz Khan</t>
  </si>
  <si>
    <t>2. Muhammad Usman</t>
  </si>
  <si>
    <t>2. Nouraiz</t>
  </si>
  <si>
    <t>3. Ali Abbas Bangesh</t>
  </si>
  <si>
    <t>4. Muhammad Ali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</si>
  <si>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</si>
  <si>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</si>
  <si>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</si>
  <si>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</si>
  <si>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</si>
  <si>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</si>
  <si>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</si>
  <si>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</si>
  <si>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</si>
  <si>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</si>
  <si>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Mian</t>
  </si>
  <si>
    <t>2. Ganesh</t>
  </si>
  <si>
    <t>2. Haniya</t>
  </si>
  <si>
    <t xml:space="preserve">3. Nasrullah </t>
  </si>
  <si>
    <t>2. Aaiz</t>
  </si>
  <si>
    <t>Best Bowler: 4 (6000)</t>
  </si>
  <si>
    <t>4. Sidra</t>
  </si>
  <si>
    <t>5. Farhan</t>
  </si>
  <si>
    <t>6. Ali</t>
  </si>
  <si>
    <t>1. Taniya</t>
  </si>
  <si>
    <t>2. Sidra</t>
  </si>
  <si>
    <t>2. Zarnish Saira</t>
  </si>
  <si>
    <t>Board: Qatar</t>
  </si>
  <si>
    <t>Chairman: Ans Sheikh | CEO: Ebad Malik</t>
  </si>
  <si>
    <t>Umpire credits:</t>
  </si>
  <si>
    <t>1. Adnan Khalid</t>
  </si>
  <si>
    <t>1. Freedom Trophy ( Home )</t>
  </si>
  <si>
    <t>2. Huzaifa Imran</t>
  </si>
  <si>
    <t>Away( Newzealand ): 3000 bet ( Lost )</t>
  </si>
  <si>
    <t>1. Malik Zubair</t>
  </si>
  <si>
    <t>1. Against Australia: 1</t>
  </si>
  <si>
    <t>2. Van Ghani ( Away )</t>
  </si>
  <si>
    <t>1. Jishnu to Scotland - 1000</t>
  </si>
  <si>
    <t>Match Bet credits: 37000</t>
  </si>
  <si>
    <t>3. Muzammil Zafar</t>
  </si>
  <si>
    <t>Home( Srilanka) : 5000 bet ( Lost )</t>
  </si>
  <si>
    <t>International tournament: 2.5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</si>
  <si>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</si>
  <si>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</si>
  <si>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</si>
  <si>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</si>
  <si>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</si>
  <si>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</si>
  <si>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</si>
  <si>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</si>
  <si>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</si>
  <si>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</si>
  <si>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</si>
  <si>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</si>
  <si>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</si>
  <si>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</si>
  <si>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</si>
  <si>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2. Adithya Mahajan</t>
  </si>
  <si>
    <t>5. Clash of the Neighbours  (Away)</t>
  </si>
  <si>
    <t>4. Abdul from Qatar - 2000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</si>
  <si>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</si>
  <si>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</si>
  <si>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</si>
  <si>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</si>
  <si>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</si>
  <si>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</si>
  <si>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</si>
  <si>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</si>
  <si>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</si>
  <si>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3. Saad Rizwan</t>
  </si>
  <si>
    <t>7. Desert Derby (Away)</t>
  </si>
  <si>
    <t>6. Harsh from BD - 15000</t>
  </si>
  <si>
    <t>2. Anas Asim</t>
  </si>
  <si>
    <t>Home (West Indies): 5000 bet (Lost)</t>
  </si>
  <si>
    <t>5. Dunes Cup</t>
  </si>
  <si>
    <t>8. Mudasir Ali</t>
  </si>
  <si>
    <t>Away ( West Indies): 3000 bet ( Lost )</t>
  </si>
  <si>
    <t>7. Harsh to Aus - 60000</t>
  </si>
  <si>
    <t>Home (Netherlands): 5000 bet (Won)</t>
  </si>
  <si>
    <t>9. Suman Pradhan</t>
  </si>
  <si>
    <t>Away ( Bangladesh ): 5000 bet ( Lost )</t>
  </si>
  <si>
    <t>4. Ebad Malik</t>
  </si>
  <si>
    <t>2. Malik Zubair</t>
  </si>
  <si>
    <t>8. Veer from ND: 10000</t>
  </si>
  <si>
    <t>10. SV</t>
  </si>
  <si>
    <t>Home ( Pakistan ): 5000 bet ( Won )</t>
  </si>
  <si>
    <t>Internationa Tournament(Test): 1</t>
  </si>
  <si>
    <t>• Most Sixes: 300</t>
  </si>
  <si>
    <t>3. Huzaifa</t>
  </si>
  <si>
    <t>11. Abdullah Ishtiaq</t>
  </si>
  <si>
    <t>Away ( Newzealand ): 5000 bet ( Lost )</t>
  </si>
  <si>
    <t>5. Ahmed mughal</t>
  </si>
  <si>
    <t>Eliminated in group stage: 10k</t>
  </si>
  <si>
    <t>12. Muhammad Ahmed</t>
  </si>
  <si>
    <t>vs Srilanka: 1000</t>
  </si>
  <si>
    <t>13. Saad Rizwan</t>
  </si>
  <si>
    <t>Home (Netherlands): 4000 bet (Won)</t>
  </si>
  <si>
    <t>Fantasy League Winner</t>
  </si>
  <si>
    <t>14. Abdul Haseeb</t>
  </si>
  <si>
    <t>Malik Zubair: 30000</t>
  </si>
  <si>
    <t>15. Aman Raj Singh</t>
  </si>
  <si>
    <t>Away(South Africa): 5000 bet (Won)</t>
  </si>
  <si>
    <t>4. Adithya</t>
  </si>
  <si>
    <t>16. Rao Abul</t>
  </si>
  <si>
    <t>Away(UAE): 3000 bet (Won)</t>
  </si>
  <si>
    <t>17. Suleman Haider</t>
  </si>
  <si>
    <t>18. Syed Raza</t>
  </si>
  <si>
    <t>6. Mudasir Ali</t>
  </si>
  <si>
    <t>7. Ahmed</t>
  </si>
  <si>
    <t>8. Ans Sheikh</t>
  </si>
  <si>
    <t>1. Anas Asim</t>
  </si>
  <si>
    <t>1. Dr Waleed Khan</t>
  </si>
  <si>
    <t>Economical Bowler Award: 5000</t>
  </si>
  <si>
    <t>2. Farhan Mallick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</si>
  <si>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</si>
  <si>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</si>
  <si>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</si>
  <si>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</si>
  <si>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</si>
  <si>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</si>
  <si>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3. Umar Khan</t>
  </si>
  <si>
    <t>3. Sufyan</t>
  </si>
  <si>
    <t>2. Saad Rizwan</t>
  </si>
  <si>
    <t>3. Adithya Mahajan</t>
  </si>
  <si>
    <t>Best Bowler: 3 (600)</t>
  </si>
  <si>
    <t>Best Bowler of the Tournament: 10000</t>
  </si>
  <si>
    <t>Player of the Tournament: 20000</t>
  </si>
  <si>
    <t xml:space="preserve">Big Bash League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</si>
  <si>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</si>
  <si>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</si>
  <si>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</si>
  <si>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</si>
  <si>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</si>
  <si>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</si>
  <si>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</si>
  <si>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</si>
  <si>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</si>
  <si>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</si>
  <si>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</si>
  <si>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</si>
  <si>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All Team Profit: 0000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</si>
  <si>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</si>
  <si>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</si>
  <si>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</si>
  <si>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</si>
  <si>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</si>
  <si>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</si>
  <si>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</si>
  <si>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</si>
  <si>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</si>
  <si>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</si>
  <si>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</si>
  <si>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</si>
  <si>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</si>
  <si>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</si>
  <si>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</si>
  <si>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6. Sufyan Gujjar</t>
  </si>
  <si>
    <t>7. Muzamil</t>
  </si>
  <si>
    <t>(AFG)Withdrawn from BPL: 150000 Fine</t>
  </si>
  <si>
    <t>1. Ans</t>
  </si>
  <si>
    <t>1. Mudasir Ali</t>
  </si>
  <si>
    <t>Man of the match: 3 (6000)</t>
  </si>
  <si>
    <t>Best Bowler: 3 (3000)</t>
  </si>
  <si>
    <t>2. Abdullah Ishtiaq</t>
  </si>
  <si>
    <t>3. Suman Pradhan</t>
  </si>
  <si>
    <t>4. Zohaib</t>
  </si>
  <si>
    <t>5. Muzamil</t>
  </si>
  <si>
    <t>6. Sufyan</t>
  </si>
  <si>
    <t xml:space="preserve">1. Saad </t>
  </si>
  <si>
    <t>1. Suhyl Muhammad</t>
  </si>
  <si>
    <t>1. Huzaifa</t>
  </si>
  <si>
    <t>Salary:15000</t>
  </si>
  <si>
    <t>2. Ebad</t>
  </si>
  <si>
    <t>2. Rao</t>
  </si>
  <si>
    <t>3. SV</t>
  </si>
  <si>
    <t>1. Mudasir</t>
  </si>
  <si>
    <t>1. Suhyl</t>
  </si>
  <si>
    <t xml:space="preserve">1. Ahmed Mughal </t>
  </si>
  <si>
    <t>1. Veer Gupta</t>
  </si>
  <si>
    <t>2. Ans Sheikh</t>
  </si>
  <si>
    <t>Board: Scotland</t>
  </si>
  <si>
    <t>Chairman: Ajaykumar Sajeev | CEO: Jishnu</t>
  </si>
  <si>
    <t>1. Abhinand</t>
  </si>
  <si>
    <t>1. Mccullum Graveney ( Away )</t>
  </si>
  <si>
    <t>2. Akshay Varnam</t>
  </si>
  <si>
    <t>Jishnu from Afghanistan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</si>
  <si>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</si>
  <si>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</si>
  <si>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</si>
  <si>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</si>
  <si>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</si>
  <si>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1. Jishnu</t>
  </si>
  <si>
    <t>Hosting Amount: 101k</t>
  </si>
  <si>
    <t>3. Amjith</t>
  </si>
  <si>
    <t xml:space="preserve">Player limit increased: 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</si>
  <si>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</si>
  <si>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</si>
  <si>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</si>
  <si>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</si>
  <si>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</si>
  <si>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</si>
  <si>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</si>
  <si>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</si>
  <si>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>4. Anchu Sheni</t>
  </si>
  <si>
    <t>Home ( pakistan): 5000 ( Lost )</t>
  </si>
  <si>
    <t>4. Euro Cup ( Away )</t>
  </si>
  <si>
    <t>Most Sixes(18): 5000</t>
  </si>
  <si>
    <t>1.  Irshad</t>
  </si>
  <si>
    <t>Away ( West Indies ): 5000 bet ( Won )</t>
  </si>
  <si>
    <t>2. Mediterranean Saltire</t>
  </si>
  <si>
    <t>2. Kebin</t>
  </si>
  <si>
    <t>Scotland(15000)</t>
  </si>
  <si>
    <t>5. Zuhair Mohd</t>
  </si>
  <si>
    <t>Away( Newzealand): 5000 ( Won )</t>
  </si>
  <si>
    <t>Man of the match : 1</t>
  </si>
  <si>
    <t>2. Shafi</t>
  </si>
  <si>
    <t>3. Kiwi Thistle</t>
  </si>
  <si>
    <t>Best Captain:</t>
  </si>
  <si>
    <t>Amjith (20000)</t>
  </si>
  <si>
    <t>6. Ashiqui Ashi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</si>
  <si>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</si>
  <si>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</si>
  <si>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</si>
  <si>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</si>
  <si>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</si>
  <si>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</si>
  <si>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7. Ashith S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</si>
  <si>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</si>
  <si>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</si>
  <si>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</si>
  <si>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</si>
  <si>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</si>
  <si>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</si>
  <si>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</si>
  <si>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International Tournament(Test): 1</t>
  </si>
  <si>
    <t>8. Asthu Mohammed</t>
  </si>
  <si>
    <t>Home ( Pakistan ): 10000 ( Lost )</t>
  </si>
  <si>
    <t>Away (Bangladesh): 5000 bet (Lost)</t>
  </si>
  <si>
    <t>6. Madsen Berrington</t>
  </si>
  <si>
    <t>3. Resham Das</t>
  </si>
  <si>
    <t>9. Vivek</t>
  </si>
  <si>
    <t>Away ( Srilanka ): 5000 ( Lost )</t>
  </si>
  <si>
    <t>Champions: 80000</t>
  </si>
  <si>
    <t>vs Newzealand: 1000</t>
  </si>
  <si>
    <t>Home (Bangladesh): 5000 bet (Won)</t>
  </si>
  <si>
    <t>7. The Ravana Cup</t>
  </si>
  <si>
    <t>10. Blesson Devassi</t>
  </si>
  <si>
    <t>Away ( Netherlands ): 5000 ( Won )</t>
  </si>
  <si>
    <t>Away(Scotland): 3000 bet (Lost)</t>
  </si>
  <si>
    <t>8. Latitude Clash</t>
  </si>
  <si>
    <t>4. Akshay</t>
  </si>
  <si>
    <t>11. Chappy MK</t>
  </si>
  <si>
    <t>Prediction 4th Place: 5000</t>
  </si>
  <si>
    <t>vs UAE: 1000</t>
  </si>
  <si>
    <t>9. Highland Falcons</t>
  </si>
  <si>
    <t>12. Ershad</t>
  </si>
  <si>
    <t>Semifinalit: Abhinand</t>
  </si>
  <si>
    <t>Man of the match : 4</t>
  </si>
  <si>
    <t>13. Hari M</t>
  </si>
  <si>
    <t>14. Hashir</t>
  </si>
  <si>
    <t>2. Thesbeer</t>
  </si>
  <si>
    <t>Away(Srilanka): 6000 bet  (Won)</t>
  </si>
  <si>
    <t>15. Huzain Muhammed</t>
  </si>
  <si>
    <t>Away(UAE): 5000 bet (Won)</t>
  </si>
  <si>
    <t>16. Irshad Bekal</t>
  </si>
  <si>
    <t>• vs India(Semis): 500</t>
  </si>
  <si>
    <t>17. Thebseer</t>
  </si>
  <si>
    <t>3. Hashir</t>
  </si>
  <si>
    <t>18. Kebin</t>
  </si>
  <si>
    <t>19. Resham Das</t>
  </si>
  <si>
    <t>20. Rojo</t>
  </si>
  <si>
    <t>• vs India(Semis): 300</t>
  </si>
  <si>
    <t>21. Salimax</t>
  </si>
  <si>
    <t>22. Shaheen</t>
  </si>
  <si>
    <t>Most sixes: 3</t>
  </si>
  <si>
    <t>4. Ershad</t>
  </si>
  <si>
    <t>23. Shukoor</t>
  </si>
  <si>
    <t>24. Shinu</t>
  </si>
  <si>
    <t>25. Yadhu</t>
  </si>
  <si>
    <t>5. Ashith</t>
  </si>
  <si>
    <t>26. Jasheer</t>
  </si>
  <si>
    <t>4. Shukoor</t>
  </si>
  <si>
    <t>27. Amal</t>
  </si>
  <si>
    <t>28. Sufaid</t>
  </si>
  <si>
    <t>29. Ansar</t>
  </si>
  <si>
    <t>5. Irshad Bekal</t>
  </si>
  <si>
    <t>6. Asthu</t>
  </si>
  <si>
    <t>30. Adarsh</t>
  </si>
  <si>
    <t>• vs England(Final): 500</t>
  </si>
  <si>
    <t>6. Kebin</t>
  </si>
  <si>
    <t>• vs England(Final): 1000</t>
  </si>
  <si>
    <t>7. Salimax</t>
  </si>
  <si>
    <t>8. Ajaykumar</t>
  </si>
  <si>
    <t>No one is playing: They will concetrate on series</t>
  </si>
  <si>
    <t>vs UAE: 500</t>
  </si>
  <si>
    <t>9. Jishnu</t>
  </si>
  <si>
    <t>Team Profit: 3800</t>
  </si>
  <si>
    <t>Team Profit: 9140</t>
  </si>
  <si>
    <t>1. Ashique Ashi</t>
  </si>
  <si>
    <t>1. Shafi</t>
  </si>
  <si>
    <t>Salary: 3800</t>
  </si>
  <si>
    <t>10. Hari M</t>
  </si>
  <si>
    <t>2. Shukoor</t>
  </si>
  <si>
    <t>3. Huzain</t>
  </si>
  <si>
    <t>All Team Profit: 95600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</si>
  <si>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</si>
  <si>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</si>
  <si>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</si>
  <si>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</si>
  <si>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</si>
  <si>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</si>
  <si>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</si>
  <si>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Irshad</t>
  </si>
  <si>
    <t>1. Ashiqui</t>
  </si>
  <si>
    <t>1. Rojo</t>
  </si>
  <si>
    <t>2. Jishnu</t>
  </si>
  <si>
    <t>2. Thebseer</t>
  </si>
  <si>
    <t>3. Shaheen</t>
  </si>
  <si>
    <t>4. Salimax</t>
  </si>
  <si>
    <t>5. Asthu</t>
  </si>
  <si>
    <t>1. Ajaykumar Sajeev</t>
  </si>
  <si>
    <t>1. Irshad Bekal</t>
  </si>
  <si>
    <t>1. Ashiqui Ashi</t>
  </si>
  <si>
    <t>2. Hashir</t>
  </si>
  <si>
    <t>Best Bowler: 3 (2250)</t>
  </si>
  <si>
    <t>2. Chappy</t>
  </si>
  <si>
    <t xml:space="preserve">1. Jishnu </t>
  </si>
  <si>
    <t>1. Hari</t>
  </si>
  <si>
    <t>1. Ajay</t>
  </si>
  <si>
    <t>1. Shaheen</t>
  </si>
  <si>
    <t>1. Sali</t>
  </si>
  <si>
    <t>1. Asthu</t>
  </si>
  <si>
    <t>Salary: 1900</t>
  </si>
  <si>
    <t>2. Ashi</t>
  </si>
  <si>
    <t>2. Akshay</t>
  </si>
  <si>
    <t>Best bowler: 1 (1000)</t>
  </si>
  <si>
    <t>3. Blesson</t>
  </si>
  <si>
    <t>1. Ershad</t>
  </si>
  <si>
    <t>1. Shukoor</t>
  </si>
  <si>
    <t>Salary:  1000</t>
  </si>
  <si>
    <t>2. Shinu</t>
  </si>
  <si>
    <t>3. Asthu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</si>
  <si>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</si>
  <si>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</si>
  <si>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</si>
  <si>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</si>
  <si>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</si>
  <si>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</si>
  <si>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</si>
  <si>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</si>
  <si>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</si>
  <si>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Salary: 36000</t>
  </si>
  <si>
    <t>10. Sufaid</t>
  </si>
  <si>
    <t>11. Akshay</t>
  </si>
  <si>
    <t>12. Shaheen</t>
  </si>
  <si>
    <t>13. Adarsh</t>
  </si>
  <si>
    <t>14. Yadhu</t>
  </si>
  <si>
    <t>15. Salimax</t>
  </si>
  <si>
    <t>1. Amjith</t>
  </si>
  <si>
    <t>1. Akshay</t>
  </si>
  <si>
    <t>1. Ansar</t>
  </si>
  <si>
    <t>1. Ashi</t>
  </si>
  <si>
    <t>1. Adarsh</t>
  </si>
  <si>
    <t>1. Zuhair</t>
  </si>
  <si>
    <t>2. Ashith</t>
  </si>
  <si>
    <t>2. Asthu</t>
  </si>
  <si>
    <t>2. Shaheen</t>
  </si>
  <si>
    <t>3. Jasheer</t>
  </si>
  <si>
    <t>3. Vivek</t>
  </si>
  <si>
    <t>4. Shinu</t>
  </si>
  <si>
    <t>4. Chappy</t>
  </si>
  <si>
    <t>5. Thebsheer</t>
  </si>
  <si>
    <t>5. Hari</t>
  </si>
  <si>
    <t>6. Yadhu</t>
  </si>
  <si>
    <t>6. Irshad</t>
  </si>
  <si>
    <t>7. Sufaid</t>
  </si>
  <si>
    <t>Scottish Premier League ( Own League )</t>
  </si>
  <si>
    <t>Hosting Rights : 1200000</t>
  </si>
  <si>
    <t>Board: South Africa</t>
  </si>
  <si>
    <t>Chairman: Srinidhi &amp; Donald Baghwar</t>
  </si>
  <si>
    <t>Players:</t>
  </si>
  <si>
    <t>1. Bhavin from BD - 2500</t>
  </si>
  <si>
    <t>Home(Afghanistan): 5000 bet (Lost)</t>
  </si>
  <si>
    <t>1. Srinidhi</t>
  </si>
  <si>
    <t>Match Bet credits: 15000</t>
  </si>
  <si>
    <t>2. Raksh from BD - 2500</t>
  </si>
  <si>
    <t>Away(Bangladesh): 5000 bet (Lost)</t>
  </si>
  <si>
    <t>Home(Italy): 5000 bet (Lost)</t>
  </si>
  <si>
    <t>1. Sky Bound</t>
  </si>
  <si>
    <t>4. Rakshith Raksh</t>
  </si>
  <si>
    <t>3. Saketh from BD - 2500</t>
  </si>
  <si>
    <t>1. K Rakesh</t>
  </si>
  <si>
    <t>Home(West Indies): 5000 bet (Won)</t>
  </si>
  <si>
    <t>2. Earth Bound</t>
  </si>
  <si>
    <t>5. Mahi Mahendra</t>
  </si>
  <si>
    <t>4. Bhavesh from BD - 2500</t>
  </si>
  <si>
    <t>Away(West Indies): 5000 bet (Won)</t>
  </si>
  <si>
    <t>3. Heritage Trophy</t>
  </si>
  <si>
    <t>6. K Rakesh</t>
  </si>
  <si>
    <t>5. Mahi from Aus - 2500</t>
  </si>
  <si>
    <t>Home(India): 5000 bet (Won)</t>
  </si>
  <si>
    <t>4. Bungle in The Jungle</t>
  </si>
  <si>
    <t>7. Sid V Jain</t>
  </si>
  <si>
    <t>6. K Rakesh from Aus - 2500</t>
  </si>
  <si>
    <t>8. Susheel Teja</t>
  </si>
  <si>
    <t>7. Shibasis from NZ - 5000</t>
  </si>
  <si>
    <t>9. Rahul Mahapatra</t>
  </si>
  <si>
    <t>8. Adithya from BD - 15000</t>
  </si>
  <si>
    <t>10. Shiva Teja</t>
  </si>
  <si>
    <t>11. Kaushik Kalita</t>
  </si>
  <si>
    <t>12. Girish Ranjan</t>
  </si>
  <si>
    <t>13. Manish Kumar</t>
  </si>
  <si>
    <t>14. Parth Inamdar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</si>
  <si>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</si>
  <si>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</si>
  <si>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</si>
  <si>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</si>
  <si>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</si>
  <si>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</si>
  <si>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</si>
  <si>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</si>
  <si>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All leagues Profit</t>
  </si>
  <si>
    <t>2. Saketh Balne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</si>
  <si>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</si>
  <si>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</si>
  <si>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</si>
  <si>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</si>
  <si>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</si>
  <si>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</si>
  <si>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</si>
  <si>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</si>
  <si>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</si>
  <si>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6. Manish Kumar</t>
  </si>
  <si>
    <t>7. Susheel</t>
  </si>
  <si>
    <t>9. Shibasis</t>
  </si>
  <si>
    <t>Salary: 12200</t>
  </si>
  <si>
    <t>1. Kaushik</t>
  </si>
  <si>
    <t>1. Raksh</t>
  </si>
  <si>
    <t>1. Sidharth V Jain</t>
  </si>
  <si>
    <t>Man of the match: 3 (9000)</t>
  </si>
  <si>
    <t>2. Rakesh</t>
  </si>
  <si>
    <t xml:space="preserve">2. Mahi </t>
  </si>
  <si>
    <t>2. Kamlesh</t>
  </si>
  <si>
    <t>3. Shiva</t>
  </si>
  <si>
    <t>4. Shibasis</t>
  </si>
  <si>
    <t>4. Bhavin</t>
  </si>
  <si>
    <t>5. Srinidhi</t>
  </si>
  <si>
    <t>6. Rahul</t>
  </si>
  <si>
    <t>1. Rakshith Shetty</t>
  </si>
  <si>
    <t xml:space="preserve">1. Bhavesh </t>
  </si>
  <si>
    <t>1. Rakesh</t>
  </si>
  <si>
    <t>2. Srinidhi</t>
  </si>
  <si>
    <t>Board: SRILANKA</t>
  </si>
  <si>
    <t>Chairman: Damitha Naranpanawa | CEO: Thilanga Dumindu</t>
  </si>
  <si>
    <t>01. Asiri</t>
  </si>
  <si>
    <t>1. Colombo Cup ( Home )</t>
  </si>
  <si>
    <t>02. Hasindu Rashminda</t>
  </si>
  <si>
    <t>1. Damitha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</si>
  <si>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</si>
  <si>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</si>
  <si>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</si>
  <si>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</si>
  <si>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</si>
  <si>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</si>
  <si>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</si>
  <si>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</si>
  <si>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</si>
  <si>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</si>
  <si>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>04. Rubesh Jude Daniel</t>
  </si>
  <si>
    <t>International tournament: 1</t>
  </si>
  <si>
    <t>Home( India ): 6000 bet ( Won )</t>
  </si>
  <si>
    <t>4. Emerald Isle ( Away )</t>
  </si>
  <si>
    <t>1. Virendra</t>
  </si>
  <si>
    <t>1. Damitha N</t>
  </si>
  <si>
    <t>Away (Afghanistan): 10000 bet (Lost)</t>
  </si>
  <si>
    <t xml:space="preserve">2. Island Trophy 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</si>
  <si>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</si>
  <si>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</si>
  <si>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</si>
  <si>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</si>
  <si>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</si>
  <si>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06. Hansana De Silva</t>
  </si>
  <si>
    <t>2. Thilanga</t>
  </si>
  <si>
    <t>Home( Scot,Pak,WI): 6000 bet ( Lost )</t>
  </si>
  <si>
    <t>6. Highland Lions ( Away )</t>
  </si>
  <si>
    <t>07. Sasith Jayawardena</t>
  </si>
  <si>
    <t>7. The London Cup (Away)</t>
  </si>
  <si>
    <t>2. Kavinda</t>
  </si>
  <si>
    <t>2. Rasith</t>
  </si>
  <si>
    <t>08. Damith Nandana</t>
  </si>
  <si>
    <t>3. Hasindu</t>
  </si>
  <si>
    <t>Away ( Newzealand): 5000 bet ( Lost )</t>
  </si>
  <si>
    <t>8. Kingdom Trophy ( Home)</t>
  </si>
  <si>
    <t>Home(Scotland): 6000 bet (Lost)</t>
  </si>
  <si>
    <t>09. Kavinda Gihan</t>
  </si>
  <si>
    <t>International series: 1</t>
  </si>
  <si>
    <t>Away ( Scotland ): 5000 bet ( Won )</t>
  </si>
  <si>
    <t>Away(West Indies): 6000 bet (Lost)</t>
  </si>
  <si>
    <t>10. Rasith Wijethunga</t>
  </si>
  <si>
    <t>Home (Italy): 6000 bet (Lost)</t>
  </si>
  <si>
    <t>3. Damitha N</t>
  </si>
  <si>
    <t>11. Kithmewan Gimantha</t>
  </si>
  <si>
    <t>12. Uresh Gnananga</t>
  </si>
  <si>
    <t>13. Poorna K De Silva</t>
  </si>
  <si>
    <t>4. Sasith</t>
  </si>
  <si>
    <t>14. Ruwanga Bandarawaththa</t>
  </si>
  <si>
    <t>3. Sasith</t>
  </si>
  <si>
    <t>15. Chalana Rukshan</t>
  </si>
  <si>
    <t>16. Thilina Jayarathna</t>
  </si>
  <si>
    <t>17. Binara</t>
  </si>
  <si>
    <t>18. Virendra</t>
  </si>
  <si>
    <t>4. Ruwanga</t>
  </si>
  <si>
    <t>Best Economy(2.0): 5000</t>
  </si>
  <si>
    <t>Fantasy League 4th Place</t>
  </si>
  <si>
    <t>Sasith: 5000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</si>
  <si>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</si>
  <si>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</si>
  <si>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</si>
  <si>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</si>
  <si>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</si>
  <si>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</si>
  <si>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</si>
  <si>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</si>
  <si>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</si>
  <si>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</si>
  <si>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</si>
  <si>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</si>
  <si>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</si>
  <si>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</si>
  <si>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</si>
  <si>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</si>
  <si>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</si>
  <si>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</si>
  <si>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</si>
  <si>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</si>
  <si>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</si>
  <si>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</si>
  <si>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</si>
  <si>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</si>
  <si>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</si>
  <si>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</si>
  <si>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</si>
  <si>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</si>
  <si>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</si>
  <si>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</si>
  <si>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</si>
  <si>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</si>
  <si>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</si>
  <si>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</si>
  <si>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Thilina</t>
  </si>
  <si>
    <t>3. Rasith</t>
  </si>
  <si>
    <t>4. Uresh GN</t>
  </si>
  <si>
    <t>3. Rubesh</t>
  </si>
  <si>
    <t>4. Damith N</t>
  </si>
  <si>
    <t>Salary: 300</t>
  </si>
  <si>
    <t>1. Kavinda Gihan</t>
  </si>
  <si>
    <t>1. Rasith</t>
  </si>
  <si>
    <t>2. Rubesh Jude</t>
  </si>
  <si>
    <t>3. Damith Nandana</t>
  </si>
  <si>
    <t>3. Hansana</t>
  </si>
  <si>
    <t>4. Binara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</si>
  <si>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</si>
  <si>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</si>
  <si>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</si>
  <si>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</si>
  <si>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</si>
  <si>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</si>
  <si>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</si>
  <si>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</si>
  <si>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</si>
  <si>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</si>
  <si>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 xml:space="preserve">1. Hansana </t>
  </si>
  <si>
    <t>1. Sasith</t>
  </si>
  <si>
    <t>1. Chalana</t>
  </si>
  <si>
    <t>Board: UAE</t>
  </si>
  <si>
    <t>Chairman: Antony John CTR | CEO: Hanish</t>
  </si>
  <si>
    <t>1. Athul</t>
  </si>
  <si>
    <t>3. Jafnis</t>
  </si>
  <si>
    <t>Home(Qatar): 3000 bet (Lost)</t>
  </si>
  <si>
    <t>Players Awards: 1500</t>
  </si>
  <si>
    <t>Home(Scotland): 5000 bet (Lost)</t>
  </si>
  <si>
    <t>4. Ayas</t>
  </si>
  <si>
    <t>Away(Scotland): 5000 bet (Lost)</t>
  </si>
  <si>
    <t>5. Rahul Raj</t>
  </si>
  <si>
    <t>6. Nikhil</t>
  </si>
  <si>
    <t>7. Abhijith</t>
  </si>
  <si>
    <t>8. Akhil</t>
  </si>
  <si>
    <t>9. Zaheen</t>
  </si>
  <si>
    <t>10. Tom</t>
  </si>
  <si>
    <t>3. Abhijith</t>
  </si>
  <si>
    <t>11. Varun</t>
  </si>
  <si>
    <t>12. Suhas</t>
  </si>
  <si>
    <t>13. Vaishnav</t>
  </si>
  <si>
    <t>14. Jin</t>
  </si>
  <si>
    <t>15. Monai</t>
  </si>
  <si>
    <t>16. Alan</t>
  </si>
  <si>
    <t>17. Thrived</t>
  </si>
  <si>
    <t>Board: West Indies</t>
  </si>
  <si>
    <t>Chairman: Midhun Manial | CEO: Abhilash PA</t>
  </si>
  <si>
    <t>1. Sterin</t>
  </si>
  <si>
    <t>1. Akram Curtly Trophy ( Away )</t>
  </si>
  <si>
    <t>2. Sreeraj</t>
  </si>
  <si>
    <t>Home( England ): 10000 bet ( Lost )</t>
  </si>
  <si>
    <t>2. Frank Worrel ( Away )</t>
  </si>
  <si>
    <t>1. Midhun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</si>
  <si>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</si>
  <si>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</si>
  <si>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</si>
  <si>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</si>
  <si>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</si>
  <si>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</si>
  <si>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</si>
  <si>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</si>
  <si>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4. Anadhan</t>
  </si>
  <si>
    <t>Away( Newzealand): 5000 ( Lost )</t>
  </si>
  <si>
    <t>4. Carribbean Thunder ( Home )</t>
  </si>
  <si>
    <t>2. Rahul Suresh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</si>
  <si>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</si>
  <si>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</si>
  <si>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</si>
  <si>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</si>
  <si>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</si>
  <si>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</si>
  <si>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</si>
  <si>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</si>
  <si>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</si>
  <si>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</si>
  <si>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>Player trade: 20000</t>
  </si>
  <si>
    <t xml:space="preserve">Best Bowler: </t>
  </si>
  <si>
    <t>Mowglee (20000)</t>
  </si>
  <si>
    <t>6. Rahul Suresh</t>
  </si>
  <si>
    <t>Away( pakistan): 5000 ( Won )</t>
  </si>
  <si>
    <t>6. Dutch Carribbean ( Away )</t>
  </si>
  <si>
    <t>3. Muhammad Noor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</si>
  <si>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</si>
  <si>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</si>
  <si>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</si>
  <si>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</si>
  <si>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</si>
  <si>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</si>
  <si>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</si>
  <si>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</si>
  <si>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</si>
  <si>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</si>
  <si>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</si>
  <si>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</si>
  <si>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</si>
  <si>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</si>
  <si>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</si>
  <si>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</si>
  <si>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</si>
  <si>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</si>
  <si>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</si>
  <si>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>Away(Afghanistan): 5000 bet(Won)</t>
  </si>
  <si>
    <t>10. Bibin Benny</t>
  </si>
  <si>
    <t>Home ( Afghanistan): 3000 ( Won )</t>
  </si>
  <si>
    <t>10. Pookie-Pookie Cup (Home)</t>
  </si>
  <si>
    <t>vs Afghanistan: 1000</t>
  </si>
  <si>
    <t>11. Shibili</t>
  </si>
  <si>
    <t>Home ( UAE ): 5000 ( Lost )</t>
  </si>
  <si>
    <t>11. Sky Bound ODI Series (Away)</t>
  </si>
  <si>
    <t>2. Ajmal</t>
  </si>
  <si>
    <t>Home (South Africa): 5000 bet (Lost)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</si>
  <si>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</si>
  <si>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</si>
  <si>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</si>
  <si>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</si>
  <si>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</si>
  <si>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</si>
  <si>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14. Arjun S Kumar</t>
  </si>
  <si>
    <t>Away ( Italy ): 5000 ( Lost )</t>
  </si>
  <si>
    <t>14. The Global Three (Away)</t>
  </si>
  <si>
    <t>15. Hadi Diyoof</t>
  </si>
  <si>
    <t>Away (Bangladesh): 7000 (Won)</t>
  </si>
  <si>
    <t>3. Ameen</t>
  </si>
  <si>
    <t>3. Midhun Manilal</t>
  </si>
  <si>
    <t>16. Bharath Narayana</t>
  </si>
  <si>
    <t>Away (West Indies): 6000 (Won)</t>
  </si>
  <si>
    <t>17. Akhil Vijayan</t>
  </si>
  <si>
    <t>Away (Newzealand): 5000 (Lost)</t>
  </si>
  <si>
    <t>18. Nihal</t>
  </si>
  <si>
    <t>4. Nihal</t>
  </si>
  <si>
    <t>4. Anandhan</t>
  </si>
  <si>
    <t>19. Vignesh</t>
  </si>
  <si>
    <t>Away (West Indies): 4000 bet (Lost)</t>
  </si>
  <si>
    <t>Man of the match:2</t>
  </si>
  <si>
    <t>20. Frijo Thomas</t>
  </si>
  <si>
    <t>21. Ananthu</t>
  </si>
  <si>
    <t>Home (UAE): 5000 Bet (Won)</t>
  </si>
  <si>
    <t>5. Harikrishna</t>
  </si>
  <si>
    <t>22. Ashwin Thomas</t>
  </si>
  <si>
    <t>23. Hari Krishnan</t>
  </si>
  <si>
    <t>Away (South Africa): 3000 bet (Won)</t>
  </si>
  <si>
    <t>24. Arjun Raj R</t>
  </si>
  <si>
    <t>Away(Srilanka): 5000 bet (Lost)</t>
  </si>
  <si>
    <t>Ice in their Veins :  Top Scorer</t>
  </si>
  <si>
    <t>6. Abhilash</t>
  </si>
  <si>
    <t>25. Anish Babu Koni</t>
  </si>
  <si>
    <t>26. Vipin Rajashekaran</t>
  </si>
  <si>
    <t>5. Bibin Benny</t>
  </si>
  <si>
    <t>27. Ajay</t>
  </si>
  <si>
    <t>Away(Bangladesh/Netherlands): 15000 (Won)</t>
  </si>
  <si>
    <t>7. Nihal</t>
  </si>
  <si>
    <t>28. Ananthu RG</t>
  </si>
  <si>
    <t>29. Jaseel</t>
  </si>
  <si>
    <t>30. Madhav</t>
  </si>
  <si>
    <t>31. Mowglee</t>
  </si>
  <si>
    <t>32. Nazi</t>
  </si>
  <si>
    <t>8. Ameen</t>
  </si>
  <si>
    <t>33. Sachin</t>
  </si>
  <si>
    <t>34. Abhishek</t>
  </si>
  <si>
    <t>1. Midhun Manilal</t>
  </si>
  <si>
    <t>Best Captain: 5000</t>
  </si>
  <si>
    <t>9. Mowglee</t>
  </si>
  <si>
    <t>Fantasy League 2nd Runner</t>
  </si>
  <si>
    <t>Rahul Suresh: 10000</t>
  </si>
  <si>
    <t>10. Ajay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</si>
  <si>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</si>
  <si>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</si>
  <si>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</si>
  <si>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</si>
  <si>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</si>
  <si>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</si>
  <si>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</si>
  <si>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</si>
  <si>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</si>
  <si>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</si>
  <si>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</si>
  <si>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</si>
  <si>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</si>
  <si>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</si>
  <si>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</si>
  <si>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</si>
  <si>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</si>
  <si>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</si>
  <si>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</si>
  <si>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</si>
  <si>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</si>
  <si>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</si>
  <si>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</si>
  <si>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</si>
  <si>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</si>
  <si>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</si>
  <si>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</si>
  <si>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</si>
  <si>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Muhammad Noor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</si>
  <si>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</si>
  <si>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</si>
  <si>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</si>
  <si>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</si>
  <si>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</si>
  <si>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</si>
  <si>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</si>
  <si>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</si>
  <si>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</si>
  <si>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</si>
  <si>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</si>
  <si>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</si>
  <si>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</si>
  <si>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Kannan</t>
  </si>
  <si>
    <t>2. Bibin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</si>
  <si>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</si>
  <si>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</si>
  <si>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</si>
  <si>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</si>
  <si>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</si>
  <si>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</si>
  <si>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</si>
  <si>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</si>
  <si>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Kannan Balakrishna</t>
  </si>
  <si>
    <t>2. Midhun</t>
  </si>
  <si>
    <t>2. Jaseel</t>
  </si>
  <si>
    <t>2. Diyoof</t>
  </si>
  <si>
    <t>3. Vignesh Suresh</t>
  </si>
  <si>
    <t>3. Ananthu RG</t>
  </si>
  <si>
    <t>3. Vipin R</t>
  </si>
  <si>
    <t>3. Ajay Paul</t>
  </si>
  <si>
    <t>3. Sterin Joseph</t>
  </si>
  <si>
    <t>4. Nayan</t>
  </si>
  <si>
    <t>4. Bharath</t>
  </si>
  <si>
    <t>4. Falah</t>
  </si>
  <si>
    <t xml:space="preserve">4. Josin </t>
  </si>
  <si>
    <t>4. Anandha</t>
  </si>
  <si>
    <t>Slaary: 6000</t>
  </si>
  <si>
    <t xml:space="preserve">5. Akhil </t>
  </si>
  <si>
    <t>5. Frijo</t>
  </si>
  <si>
    <t>5. Sachin</t>
  </si>
  <si>
    <t>5. Ashwin Thomas</t>
  </si>
  <si>
    <t>Salaray: 1000</t>
  </si>
  <si>
    <t>Salary: 80000</t>
  </si>
  <si>
    <t xml:space="preserve">6. Abhishek </t>
  </si>
  <si>
    <t>6. Anish Babu Koni</t>
  </si>
  <si>
    <t>Salary: 70000</t>
  </si>
  <si>
    <t xml:space="preserve">7. Ananthu U </t>
  </si>
  <si>
    <t>T20 WORLD CUP 2026 HOSTED BY AUSTRALIA</t>
  </si>
  <si>
    <t>Group A</t>
  </si>
  <si>
    <t>Group B</t>
  </si>
  <si>
    <t>Super 6</t>
  </si>
  <si>
    <t>1. India</t>
  </si>
  <si>
    <t>1. England</t>
  </si>
  <si>
    <t>2. Newzealand</t>
  </si>
  <si>
    <t>2. West Indies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</si>
  <si>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</si>
  <si>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</si>
  <si>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</si>
  <si>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</si>
  <si>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</si>
  <si>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</si>
  <si>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</si>
  <si>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</si>
  <si>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</si>
  <si>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</si>
  <si>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</si>
  <si>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</si>
  <si>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</si>
  <si>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</si>
  <si>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</si>
  <si>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</si>
  <si>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</si>
  <si>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</si>
  <si>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</si>
  <si>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</si>
  <si>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</si>
  <si>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</si>
  <si>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</si>
  <si>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</si>
  <si>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</si>
  <si>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</si>
  <si>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</si>
  <si>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</si>
  <si>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</si>
  <si>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</si>
  <si>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</si>
  <si>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</si>
  <si>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</si>
  <si>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</si>
  <si>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</si>
  <si>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</si>
  <si>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</si>
  <si>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Subaida</t>
  </si>
  <si>
    <t>Bhargab</t>
  </si>
  <si>
    <t>India vs Newzealand</t>
  </si>
  <si>
    <t>Srilanka vs Pakistan</t>
  </si>
  <si>
    <t>Jyothish</t>
  </si>
  <si>
    <t>Kosala</t>
  </si>
  <si>
    <t>Group B Matches</t>
  </si>
  <si>
    <t>Australia vs England</t>
  </si>
  <si>
    <t>Damitha</t>
  </si>
  <si>
    <t>Rahees</t>
  </si>
  <si>
    <t>Afghanistan vs West Indies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</si>
  <si>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</si>
  <si>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</si>
  <si>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</si>
  <si>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</si>
  <si>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</si>
  <si>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</si>
  <si>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</si>
  <si>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</si>
  <si>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</si>
  <si>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</si>
  <si>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</si>
  <si>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</si>
  <si>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</si>
  <si>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</si>
  <si>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</si>
  <si>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</si>
  <si>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</si>
  <si>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</si>
  <si>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</si>
  <si>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England vs Scotland</t>
  </si>
  <si>
    <t>Diljith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</si>
  <si>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</si>
  <si>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</si>
  <si>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</si>
  <si>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</si>
  <si>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</si>
  <si>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</si>
  <si>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</si>
  <si>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</si>
  <si>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</si>
  <si>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</si>
  <si>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</si>
  <si>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</si>
  <si>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</si>
  <si>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South Africa vs West Indies</t>
  </si>
  <si>
    <t>Debajit</t>
  </si>
  <si>
    <t>Bibin</t>
  </si>
  <si>
    <t xml:space="preserve">Newzealand vs Scotland </t>
  </si>
  <si>
    <t>India vs West Indies</t>
  </si>
  <si>
    <t>Semifinal</t>
  </si>
  <si>
    <t>West Indies vs England</t>
  </si>
  <si>
    <t>Safeer</t>
  </si>
  <si>
    <t xml:space="preserve">Sujith </t>
  </si>
  <si>
    <t>Shukoor</t>
  </si>
  <si>
    <t>Final</t>
  </si>
  <si>
    <t>Kebin</t>
  </si>
  <si>
    <t>Irshad</t>
  </si>
  <si>
    <t>Arjun</t>
  </si>
  <si>
    <t>Board</t>
  </si>
  <si>
    <t>Award Credits</t>
  </si>
  <si>
    <t>Fantasy League</t>
  </si>
  <si>
    <t>Malik Zubair</t>
  </si>
  <si>
    <t>Runner</t>
  </si>
  <si>
    <t>Radheshyam</t>
  </si>
  <si>
    <t>2nd Runner</t>
  </si>
  <si>
    <t>Rahul Suresh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</si>
  <si>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</si>
  <si>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</si>
  <si>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</si>
  <si>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</si>
  <si>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</si>
  <si>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</si>
  <si>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</si>
  <si>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</si>
  <si>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</si>
  <si>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</si>
  <si>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Details</t>
  </si>
  <si>
    <t>Awarded Credits</t>
  </si>
  <si>
    <t>Hosting Board</t>
  </si>
  <si>
    <t>Eliminated in Group Stage</t>
  </si>
  <si>
    <t>Eliminated in Super Six</t>
  </si>
  <si>
    <t>Completed Series</t>
  </si>
  <si>
    <t>Series Name</t>
  </si>
  <si>
    <t>Opponents</t>
  </si>
  <si>
    <t>Dates</t>
  </si>
  <si>
    <t>Winners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</si>
  <si>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</si>
  <si>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</si>
  <si>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</si>
  <si>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</si>
  <si>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</si>
  <si>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</si>
  <si>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</si>
  <si>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</si>
  <si>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</si>
  <si>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</si>
  <si>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</si>
  <si>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</si>
  <si>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</si>
  <si>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</si>
  <si>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</si>
  <si>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</si>
  <si>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</si>
  <si>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</si>
  <si>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</si>
  <si>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</si>
  <si>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</si>
  <si>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</si>
  <si>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</si>
  <si>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</si>
  <si>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</si>
  <si>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</si>
  <si>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</si>
  <si>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</si>
  <si>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</si>
  <si>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</si>
  <si>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</si>
  <si>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</si>
  <si>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</si>
  <si>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</si>
  <si>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</si>
  <si>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</si>
  <si>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</si>
  <si>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</si>
  <si>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</si>
  <si>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</si>
  <si>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</si>
  <si>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</si>
  <si>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</si>
  <si>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</si>
  <si>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</si>
  <si>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</si>
  <si>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</si>
  <si>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</si>
  <si>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</si>
  <si>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</si>
  <si>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</si>
  <si>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</si>
  <si>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</si>
  <si>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</si>
  <si>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</si>
  <si>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</si>
  <si>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</si>
  <si>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</si>
  <si>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</si>
  <si>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</si>
  <si>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</si>
  <si>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</si>
  <si>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</si>
  <si>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</si>
  <si>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</si>
  <si>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</si>
  <si>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</si>
  <si>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</si>
  <si>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USA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</si>
  <si>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</si>
  <si>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</si>
  <si>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</si>
  <si>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</si>
  <si>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</si>
  <si>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</si>
  <si>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</si>
  <si>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</si>
  <si>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</si>
  <si>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</si>
  <si>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</si>
  <si>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</si>
  <si>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</si>
  <si>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</si>
  <si>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</si>
  <si>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</si>
  <si>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</si>
  <si>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</si>
  <si>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</si>
  <si>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</si>
  <si>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</si>
  <si>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</si>
  <si>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</si>
  <si>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</si>
  <si>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</si>
  <si>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</si>
  <si>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</si>
  <si>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</si>
  <si>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</si>
  <si>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</si>
  <si>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</si>
  <si>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</si>
  <si>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</si>
  <si>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</si>
  <si>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</si>
  <si>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</si>
  <si>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</si>
  <si>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</si>
  <si>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</si>
  <si>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</si>
  <si>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</si>
  <si>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</si>
  <si>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</si>
  <si>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</si>
  <si>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</si>
  <si>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</si>
  <si>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</si>
  <si>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</si>
  <si>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</si>
  <si>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</si>
  <si>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</si>
  <si>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</si>
  <si>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</si>
  <si>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</si>
  <si>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</si>
  <si>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</si>
  <si>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</si>
  <si>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</si>
  <si>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</si>
  <si>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</si>
  <si>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</si>
  <si>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</si>
  <si>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</si>
  <si>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</si>
  <si>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</si>
  <si>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</si>
  <si>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</si>
  <si>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</si>
  <si>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</si>
  <si>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</si>
  <si>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</si>
  <si>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</si>
  <si>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16th May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</si>
  <si>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</si>
  <si>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</si>
  <si>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</si>
  <si>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</si>
  <si>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</si>
  <si>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</si>
  <si>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</si>
  <si>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</si>
  <si>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</si>
  <si>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</si>
  <si>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</si>
  <si>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</si>
  <si>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</si>
  <si>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</si>
  <si>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</si>
  <si>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</si>
  <si>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</si>
  <si>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</si>
  <si>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</si>
  <si>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</si>
  <si>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</si>
  <si>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9th June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</si>
  <si>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</si>
  <si>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</si>
  <si>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</si>
  <si>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</si>
  <si>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</si>
  <si>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</si>
  <si>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</si>
  <si>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</si>
  <si>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</si>
  <si>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</si>
  <si>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</si>
  <si>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</si>
  <si>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</si>
  <si>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</si>
  <si>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</si>
  <si>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</si>
  <si>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</si>
  <si>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</si>
  <si>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</si>
  <si>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</si>
  <si>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</si>
  <si>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</si>
  <si>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</si>
  <si>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</si>
  <si>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</si>
  <si>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</si>
  <si>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</si>
  <si>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</si>
  <si>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</si>
  <si>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</si>
  <si>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</si>
  <si>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</si>
  <si>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</si>
  <si>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</si>
  <si>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8th July</t>
  </si>
  <si>
    <t>-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</si>
  <si>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</si>
  <si>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</si>
  <si>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Upcoming Series</t>
  </si>
  <si>
    <t>Unity T20 Cup</t>
  </si>
  <si>
    <t>21st - 23rd July</t>
  </si>
  <si>
    <t>Great Southern Ducth</t>
  </si>
  <si>
    <t>21st - 25th July</t>
  </si>
  <si>
    <t>Anglo Bengal ODI Trophy</t>
  </si>
  <si>
    <t>24th - 24th July</t>
  </si>
  <si>
    <t>Legacy Cup</t>
  </si>
  <si>
    <t>1st - 5th Aug</t>
  </si>
  <si>
    <t>Upcoming IOCF World Test Championship Matches</t>
  </si>
  <si>
    <t>Test Name</t>
  </si>
  <si>
    <t xml:space="preserve">Winners </t>
  </si>
  <si>
    <t>Yellow - Orange Trophy</t>
  </si>
  <si>
    <t>26th - 28th July</t>
  </si>
  <si>
    <t>Test</t>
  </si>
  <si>
    <t>Royal WTC Clash</t>
  </si>
  <si>
    <t>27th - 29th July</t>
  </si>
  <si>
    <t>Orange - Yellow Trophy</t>
  </si>
  <si>
    <t>29th - 31st July</t>
  </si>
  <si>
    <t>Franchise Leagues</t>
  </si>
  <si>
    <t>Major Tournaments</t>
  </si>
  <si>
    <t>Start Date</t>
  </si>
  <si>
    <t>End Date</t>
  </si>
  <si>
    <t>Name</t>
  </si>
  <si>
    <t>Month</t>
  </si>
  <si>
    <t>Indian Premier League</t>
  </si>
  <si>
    <t>5th July</t>
  </si>
  <si>
    <t>20th July</t>
  </si>
  <si>
    <t>Continental Trophies</t>
  </si>
  <si>
    <t>August</t>
  </si>
  <si>
    <t>ODI-50 overs</t>
  </si>
  <si>
    <t>Caribbean Premier League</t>
  </si>
  <si>
    <t>21st July</t>
  </si>
  <si>
    <t>6th Aug</t>
  </si>
  <si>
    <t>ODI World CUP</t>
  </si>
  <si>
    <t>September</t>
  </si>
  <si>
    <t>Scottish Premier League</t>
  </si>
  <si>
    <t>15th Aug</t>
  </si>
  <si>
    <t>31st Aug</t>
  </si>
  <si>
    <t>WTC Remaining Matches</t>
  </si>
  <si>
    <t>November &amp; December</t>
  </si>
  <si>
    <t>Completed Matches</t>
  </si>
  <si>
    <t>Man of the Match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</si>
  <si>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</si>
  <si>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</si>
  <si>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</si>
  <si>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</si>
  <si>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</si>
  <si>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</si>
  <si>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</si>
  <si>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</si>
  <si>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</si>
  <si>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</si>
  <si>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</si>
  <si>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</si>
  <si>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</si>
  <si>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</si>
  <si>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</si>
  <si>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</si>
  <si>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</si>
  <si>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</si>
  <si>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</si>
  <si>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</si>
  <si>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</si>
  <si>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</si>
  <si>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</si>
  <si>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</si>
  <si>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</si>
  <si>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</si>
  <si>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</si>
  <si>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</si>
  <si>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</si>
  <si>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</si>
  <si>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</si>
  <si>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</si>
  <si>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</si>
  <si>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</si>
  <si>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</si>
  <si>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</si>
  <si>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</si>
  <si>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</si>
  <si>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</si>
  <si>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</si>
  <si>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</si>
  <si>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</si>
  <si>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</si>
  <si>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</si>
  <si>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</si>
  <si>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</si>
  <si>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</si>
  <si>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</si>
  <si>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</si>
  <si>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</si>
  <si>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</si>
  <si>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</si>
  <si>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</si>
  <si>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</si>
  <si>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</si>
  <si>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</si>
  <si>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</si>
  <si>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</si>
  <si>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</si>
  <si>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</si>
  <si>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</si>
  <si>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</si>
  <si>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</si>
  <si>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</si>
  <si>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</si>
  <si>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</si>
  <si>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</si>
  <si>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</si>
  <si>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</si>
  <si>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</si>
  <si>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</si>
  <si>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</si>
  <si>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</si>
  <si>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</si>
  <si>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</si>
  <si>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</si>
  <si>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</si>
  <si>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</si>
  <si>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</si>
  <si>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</si>
  <si>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</si>
  <si>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</si>
  <si>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</si>
  <si>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</si>
  <si>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</si>
  <si>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</si>
  <si>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</si>
  <si>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</si>
  <si>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</si>
  <si>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</si>
  <si>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</si>
  <si>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</si>
  <si>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</si>
  <si>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</si>
  <si>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</si>
  <si>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</si>
  <si>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</si>
  <si>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</si>
  <si>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</si>
  <si>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</si>
  <si>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</si>
  <si>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</si>
  <si>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</si>
  <si>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</si>
  <si>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</si>
  <si>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</si>
  <si>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</si>
  <si>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</si>
  <si>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</si>
  <si>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</si>
  <si>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</si>
  <si>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</si>
  <si>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</si>
  <si>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</si>
  <si>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</si>
  <si>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</si>
  <si>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</si>
  <si>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</si>
  <si>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</si>
  <si>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</si>
  <si>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</si>
  <si>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</si>
  <si>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</si>
  <si>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</si>
  <si>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</si>
  <si>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</si>
  <si>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</si>
  <si>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</si>
  <si>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</si>
  <si>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</si>
  <si>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</si>
  <si>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</si>
  <si>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</si>
  <si>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</si>
  <si>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</si>
  <si>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</si>
  <si>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</si>
  <si>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</si>
  <si>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</si>
  <si>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</si>
  <si>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</si>
  <si>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</si>
  <si>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</si>
  <si>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</si>
  <si>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</si>
  <si>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</si>
  <si>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</si>
  <si>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</si>
  <si>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</si>
  <si>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</si>
  <si>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</si>
  <si>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</si>
  <si>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</si>
  <si>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</si>
  <si>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</si>
  <si>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</si>
  <si>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</si>
  <si>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</si>
  <si>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</si>
  <si>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</si>
  <si>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</si>
  <si>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</si>
  <si>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</si>
  <si>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</si>
  <si>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</si>
  <si>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</si>
  <si>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</si>
  <si>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</si>
  <si>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</si>
  <si>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</si>
  <si>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</si>
  <si>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Ajay (WI)</t>
  </si>
  <si>
    <t>Desert Kiwis</t>
  </si>
  <si>
    <t>Imperial Lords</t>
  </si>
  <si>
    <t>Aash (Eng)</t>
  </si>
  <si>
    <t>Diljith (Eng)</t>
  </si>
  <si>
    <t>Bungle in The Jungle</t>
  </si>
  <si>
    <t>Farhan (Ind)</t>
  </si>
  <si>
    <t>WTC PENDING SCHEDULE</t>
  </si>
  <si>
    <t>Status</t>
  </si>
  <si>
    <t>Completed</t>
  </si>
  <si>
    <t>Pending</t>
  </si>
  <si>
    <t>21st May</t>
  </si>
  <si>
    <t>27th April</t>
  </si>
  <si>
    <t>1st April</t>
  </si>
  <si>
    <t>11th June</t>
  </si>
  <si>
    <t>21st April</t>
  </si>
  <si>
    <t>23rd June</t>
  </si>
  <si>
    <t>1st May</t>
  </si>
  <si>
    <t>24th June</t>
  </si>
  <si>
    <t xml:space="preserve">11th June  </t>
  </si>
  <si>
    <t>7th April</t>
  </si>
  <si>
    <t>24th March</t>
  </si>
  <si>
    <t>24th April</t>
  </si>
  <si>
    <t>13th April</t>
  </si>
  <si>
    <t>22nd May</t>
  </si>
  <si>
    <t>23rd April</t>
  </si>
  <si>
    <t>22nd June</t>
  </si>
  <si>
    <t>Scheduled</t>
  </si>
  <si>
    <t>12th June</t>
  </si>
  <si>
    <t>18th May</t>
  </si>
  <si>
    <t>25th May</t>
  </si>
  <si>
    <t>31st March</t>
  </si>
  <si>
    <t>25th April</t>
  </si>
  <si>
    <t>21st March</t>
  </si>
  <si>
    <t>2nd July</t>
  </si>
  <si>
    <t>27th March</t>
  </si>
  <si>
    <t>18th March</t>
  </si>
  <si>
    <t>Total WTC Matches left</t>
  </si>
  <si>
    <t>SQUADS</t>
  </si>
  <si>
    <t>SCHEDULE</t>
  </si>
  <si>
    <t>Host</t>
  </si>
  <si>
    <t xml:space="preserve">Opponent </t>
  </si>
  <si>
    <t>Date</t>
  </si>
  <si>
    <t>Venue</t>
  </si>
  <si>
    <t>1. Amjith (Exp)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</si>
  <si>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</si>
  <si>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</si>
  <si>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</si>
  <si>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</si>
  <si>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</si>
  <si>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</si>
  <si>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</si>
  <si>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Ajay</t>
  </si>
  <si>
    <t>2. Ajin P Anil</t>
  </si>
  <si>
    <t>ABD Georgetown</t>
  </si>
  <si>
    <t>Shajahan (Eng)</t>
  </si>
  <si>
    <t>3. Arshad</t>
  </si>
  <si>
    <t>3. Azeem</t>
  </si>
  <si>
    <t>3. Shajahan</t>
  </si>
  <si>
    <t>20th June</t>
  </si>
  <si>
    <t>Adarsh (Scot)</t>
  </si>
  <si>
    <t>4. Jibin</t>
  </si>
  <si>
    <t>4. Jaseel</t>
  </si>
  <si>
    <t>4. Sanoop</t>
  </si>
  <si>
    <t>Lords</t>
  </si>
  <si>
    <t>5. Yadhu</t>
  </si>
  <si>
    <t>5. Linz</t>
  </si>
  <si>
    <t>5. Madhav</t>
  </si>
  <si>
    <t>5. Sunaif</t>
  </si>
  <si>
    <t>21st June</t>
  </si>
  <si>
    <t>Amjith (Scot)</t>
  </si>
  <si>
    <t>6. Aswin</t>
  </si>
  <si>
    <t>6. Hrithik</t>
  </si>
  <si>
    <t>6. Mowglee</t>
  </si>
  <si>
    <t>6. Amith</t>
  </si>
  <si>
    <t xml:space="preserve">Newzealand </t>
  </si>
  <si>
    <t>Thunder Dome</t>
  </si>
  <si>
    <t>Vignesh (WI)</t>
  </si>
  <si>
    <t>7. Rakshith</t>
  </si>
  <si>
    <t>7. Nazi</t>
  </si>
  <si>
    <t>7. Junaid</t>
  </si>
  <si>
    <t>Jibin (NZ)</t>
  </si>
  <si>
    <t>8. Vishnu</t>
  </si>
  <si>
    <t>8. Rithesh</t>
  </si>
  <si>
    <t>8. Sachin</t>
  </si>
  <si>
    <t>8. Lilly</t>
  </si>
  <si>
    <t>Ananthu (WI)</t>
  </si>
  <si>
    <t>9. Ansar</t>
  </si>
  <si>
    <t>9. Sachin</t>
  </si>
  <si>
    <t>9. Sufaid</t>
  </si>
  <si>
    <t>9. Shafeek</t>
  </si>
  <si>
    <t xml:space="preserve">Scotland </t>
  </si>
  <si>
    <t>10. Adarsh</t>
  </si>
  <si>
    <t>10. Ashwini</t>
  </si>
  <si>
    <t>10. Vignesh</t>
  </si>
  <si>
    <t>10. Rafeek</t>
  </si>
  <si>
    <t>Sunaif (Eng)</t>
  </si>
  <si>
    <t>Abu Shazan (NZ)</t>
  </si>
  <si>
    <t>25th June</t>
  </si>
  <si>
    <t>IOCF Kiwi Crown League 2026 AWARDS</t>
  </si>
  <si>
    <t>IOCF LONE WARRIOR SEASON ONE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</si>
  <si>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</si>
  <si>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</si>
  <si>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</si>
  <si>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</si>
  <si>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</si>
  <si>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</si>
  <si>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</si>
  <si>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</si>
  <si>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Ruwanga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</si>
  <si>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</si>
  <si>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</si>
  <si>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</si>
  <si>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</si>
  <si>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</si>
  <si>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</si>
  <si>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</si>
  <si>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Quarter Finals</t>
  </si>
  <si>
    <t>23rd May</t>
  </si>
  <si>
    <t>Ruwanga vs Shamroz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</si>
  <si>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</si>
  <si>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</si>
  <si>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</si>
  <si>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</si>
  <si>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</si>
  <si>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</si>
  <si>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</si>
  <si>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</si>
  <si>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</si>
  <si>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</si>
  <si>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</si>
  <si>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</si>
  <si>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</si>
  <si>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</si>
  <si>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</si>
  <si>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</si>
  <si>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</si>
  <si>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</si>
  <si>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</si>
  <si>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</si>
  <si>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</si>
  <si>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</si>
  <si>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</si>
  <si>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</si>
  <si>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</si>
  <si>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</si>
  <si>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</si>
  <si>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</si>
  <si>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</si>
  <si>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</si>
  <si>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</si>
  <si>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</si>
  <si>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</si>
  <si>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</si>
  <si>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</si>
  <si>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</si>
  <si>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</si>
  <si>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</si>
  <si>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</si>
  <si>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</si>
  <si>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</si>
  <si>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PARTICIPATING TEAMS</t>
  </si>
  <si>
    <t>2. Pakistan</t>
  </si>
  <si>
    <t>3. Qatar</t>
  </si>
  <si>
    <t>4. Bangladesh (Host)</t>
  </si>
  <si>
    <t>6. UAE</t>
  </si>
  <si>
    <t>2. Scotland (Host)</t>
  </si>
  <si>
    <t>3. Netherlands</t>
  </si>
  <si>
    <t>4. Italy</t>
  </si>
  <si>
    <t>1. Newzealand ( HOST )</t>
  </si>
  <si>
    <t>2. Australia</t>
  </si>
  <si>
    <t>3. West Indies</t>
  </si>
  <si>
    <t>4. South Africa</t>
  </si>
  <si>
    <t>Hall of Fame Cards</t>
  </si>
  <si>
    <t>Card Name: ICE IN THEIR VEINS</t>
  </si>
  <si>
    <t>Best Players in IOCF from Jan - March 2026</t>
  </si>
  <si>
    <t>Award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</si>
  <si>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</si>
  <si>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</si>
  <si>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</si>
  <si>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</si>
  <si>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</si>
  <si>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</si>
  <si>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</si>
  <si>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</si>
  <si>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</si>
  <si>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</si>
  <si>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</si>
  <si>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2. Sreeraj R Kaimal</t>
  </si>
  <si>
    <t>2. Rashid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</si>
  <si>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</si>
  <si>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</si>
  <si>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</si>
  <si>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</si>
  <si>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</si>
  <si>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</si>
  <si>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</si>
  <si>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</si>
  <si>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</si>
  <si>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</si>
  <si>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</si>
  <si>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</si>
  <si>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</si>
  <si>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</si>
  <si>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</si>
  <si>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</si>
  <si>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</si>
  <si>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</si>
  <si>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</si>
  <si>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</si>
  <si>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</si>
  <si>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</si>
  <si>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</si>
  <si>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</si>
  <si>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</si>
  <si>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</si>
  <si>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</si>
  <si>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</si>
  <si>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</si>
  <si>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</si>
  <si>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</si>
  <si>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</si>
  <si>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</si>
  <si>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</si>
  <si>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</si>
  <si>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</si>
  <si>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</si>
  <si>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</si>
  <si>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</si>
  <si>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</si>
  <si>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</si>
  <si>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</si>
  <si>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</si>
  <si>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</si>
  <si>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</si>
  <si>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</si>
  <si>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</si>
  <si>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</si>
  <si>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</si>
  <si>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</si>
  <si>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</si>
  <si>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</si>
  <si>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</si>
  <si>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</si>
  <si>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</si>
  <si>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</si>
  <si>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</si>
  <si>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</si>
  <si>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</si>
  <si>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</si>
  <si>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</si>
  <si>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</si>
  <si>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</si>
  <si>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</si>
  <si>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</si>
  <si>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</si>
  <si>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</si>
  <si>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</si>
  <si>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</si>
  <si>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</si>
  <si>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</si>
  <si>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</si>
  <si>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</si>
  <si>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</si>
  <si>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</si>
  <si>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</si>
  <si>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</si>
  <si>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</si>
  <si>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</si>
  <si>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</si>
  <si>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</si>
  <si>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</si>
  <si>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</si>
  <si>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</si>
  <si>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</si>
  <si>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</si>
  <si>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</si>
  <si>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</si>
  <si>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</si>
  <si>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</si>
  <si>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</si>
  <si>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</si>
  <si>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</si>
  <si>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</si>
  <si>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</si>
  <si>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</si>
  <si>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</si>
  <si>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</si>
  <si>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</si>
  <si>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</si>
  <si>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</si>
  <si>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</si>
  <si>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</si>
  <si>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</si>
  <si>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</si>
  <si>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</si>
  <si>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</si>
  <si>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</si>
  <si>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</si>
  <si>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</si>
  <si>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</si>
  <si>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</si>
  <si>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</si>
  <si>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</si>
  <si>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</si>
  <si>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</si>
  <si>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</si>
  <si>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</si>
  <si>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</si>
  <si>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</si>
  <si>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</si>
  <si>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</si>
  <si>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</si>
  <si>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</si>
  <si>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</si>
  <si>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</si>
  <si>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</si>
  <si>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</si>
  <si>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</si>
  <si>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</si>
  <si>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</si>
  <si>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</si>
  <si>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</si>
  <si>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</si>
  <si>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</si>
  <si>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</si>
  <si>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</si>
  <si>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</si>
  <si>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</si>
  <si>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</si>
  <si>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</si>
  <si>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</si>
  <si>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</si>
  <si>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</si>
  <si>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</si>
  <si>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</si>
  <si>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</si>
  <si>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</si>
  <si>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</si>
  <si>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</si>
  <si>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</si>
  <si>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</si>
  <si>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</si>
  <si>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</si>
  <si>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</si>
  <si>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</si>
  <si>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</si>
  <si>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</si>
  <si>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</si>
  <si>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</si>
  <si>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</si>
  <si>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</si>
  <si>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</si>
  <si>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</si>
  <si>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</si>
  <si>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</si>
  <si>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</si>
  <si>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</si>
  <si>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Umpire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</si>
  <si>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</si>
  <si>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</si>
  <si>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</si>
  <si>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</si>
  <si>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</si>
  <si>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</si>
  <si>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</si>
  <si>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</si>
  <si>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</si>
  <si>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</si>
  <si>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</si>
  <si>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</si>
  <si>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</si>
  <si>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</si>
  <si>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</si>
  <si>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</si>
  <si>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</si>
  <si>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</si>
  <si>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</si>
  <si>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</si>
  <si>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</si>
  <si>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</si>
  <si>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</si>
  <si>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</si>
  <si>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</si>
  <si>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</si>
  <si>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</si>
  <si>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</si>
  <si>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</si>
  <si>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</si>
  <si>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</si>
  <si>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</si>
  <si>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</si>
  <si>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</si>
  <si>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</si>
  <si>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</si>
  <si>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</si>
  <si>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</si>
  <si>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</si>
  <si>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</si>
  <si>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</si>
  <si>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</si>
  <si>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</si>
  <si>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</si>
  <si>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</si>
  <si>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</si>
  <si>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</si>
  <si>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</si>
  <si>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</si>
  <si>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</si>
  <si>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</si>
  <si>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</si>
  <si>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</si>
  <si>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</si>
  <si>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</si>
  <si>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</si>
  <si>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</si>
  <si>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</si>
  <si>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</si>
  <si>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</si>
  <si>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</si>
  <si>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</si>
  <si>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</si>
  <si>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</si>
  <si>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</si>
  <si>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</si>
  <si>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</si>
  <si>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</si>
  <si>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</si>
  <si>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Arnab(MI)</t>
  </si>
  <si>
    <t>Nirmal (SL)</t>
  </si>
  <si>
    <t>IOCF THE HUNDRED 2026 AWARDS</t>
  </si>
  <si>
    <t>Franchise League PSL Registration &amp; all team Players 2026</t>
  </si>
  <si>
    <t>1. Abrar Ali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</si>
  <si>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</si>
  <si>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</si>
  <si>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</si>
  <si>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</si>
  <si>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</si>
  <si>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</si>
  <si>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</si>
  <si>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</si>
  <si>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</si>
  <si>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</si>
  <si>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</si>
  <si>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</si>
  <si>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</si>
  <si>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</si>
  <si>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</si>
  <si>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</si>
  <si>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</si>
  <si>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</si>
  <si>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</si>
  <si>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</si>
  <si>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</si>
  <si>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</si>
  <si>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</si>
  <si>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</si>
  <si>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</si>
  <si>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</si>
  <si>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</si>
  <si>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</si>
  <si>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</si>
  <si>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</si>
  <si>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</si>
  <si>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</si>
  <si>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</si>
  <si>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</si>
  <si>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</si>
  <si>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</si>
  <si>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</si>
  <si>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</si>
  <si>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</si>
  <si>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</si>
  <si>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</si>
  <si>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</si>
  <si>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</si>
  <si>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</si>
  <si>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</si>
  <si>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</si>
  <si>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</si>
  <si>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</si>
  <si>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</si>
  <si>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</si>
  <si>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</si>
  <si>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</si>
  <si>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</si>
  <si>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</si>
  <si>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</si>
  <si>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</si>
  <si>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</si>
  <si>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</si>
  <si>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</si>
  <si>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</si>
  <si>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</si>
  <si>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</si>
  <si>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</si>
  <si>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</si>
  <si>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</si>
  <si>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</si>
  <si>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</si>
  <si>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</si>
  <si>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</si>
  <si>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</si>
  <si>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</si>
  <si>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</si>
  <si>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</si>
  <si>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</si>
  <si>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</si>
  <si>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</si>
  <si>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</si>
  <si>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</si>
  <si>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</si>
  <si>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</si>
  <si>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</si>
  <si>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</si>
  <si>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</si>
  <si>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</si>
  <si>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</si>
  <si>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</si>
  <si>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</si>
  <si>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</si>
  <si>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</si>
  <si>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</si>
  <si>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</si>
  <si>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</si>
  <si>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</si>
  <si>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</si>
  <si>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</si>
  <si>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</si>
  <si>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</si>
  <si>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</si>
  <si>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</si>
  <si>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</si>
  <si>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</si>
  <si>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</si>
  <si>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</si>
  <si>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</si>
  <si>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</si>
  <si>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</si>
  <si>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</si>
  <si>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</si>
  <si>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</si>
  <si>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</si>
  <si>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</si>
  <si>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</si>
  <si>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</si>
  <si>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</si>
  <si>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</si>
  <si>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</si>
  <si>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</si>
  <si>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</si>
  <si>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</si>
  <si>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</si>
  <si>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</si>
  <si>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</si>
  <si>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</si>
  <si>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</si>
  <si>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</si>
  <si>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</si>
  <si>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</si>
  <si>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</si>
  <si>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</si>
  <si>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</si>
  <si>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</si>
  <si>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</si>
  <si>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</si>
  <si>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</si>
  <si>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</si>
  <si>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</si>
  <si>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</si>
  <si>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</si>
  <si>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</si>
  <si>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</si>
  <si>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</si>
  <si>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</si>
  <si>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</si>
  <si>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</si>
  <si>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</si>
  <si>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</si>
  <si>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</si>
  <si>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</si>
  <si>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</si>
  <si>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</si>
  <si>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</si>
  <si>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</si>
  <si>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</si>
  <si>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</si>
  <si>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</si>
  <si>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</si>
  <si>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</si>
  <si>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</si>
  <si>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</si>
  <si>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</si>
  <si>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</si>
  <si>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</si>
  <si>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</si>
  <si>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</si>
  <si>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</si>
  <si>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</si>
  <si>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</si>
  <si>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</si>
  <si>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</si>
  <si>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</si>
  <si>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</si>
  <si>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</si>
  <si>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</si>
  <si>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</si>
  <si>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</si>
  <si>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</si>
  <si>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</si>
  <si>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</si>
  <si>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</si>
  <si>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</si>
  <si>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</si>
  <si>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</si>
  <si>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</si>
  <si>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</si>
  <si>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</si>
  <si>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</si>
  <si>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</si>
  <si>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</si>
  <si>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</si>
  <si>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</si>
  <si>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</si>
  <si>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</si>
  <si>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</si>
  <si>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</si>
  <si>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</si>
  <si>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</si>
  <si>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</si>
  <si>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</si>
  <si>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</si>
  <si>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</si>
  <si>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</si>
  <si>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</si>
  <si>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</si>
  <si>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</si>
  <si>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</si>
  <si>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</si>
  <si>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</si>
  <si>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</si>
  <si>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</si>
  <si>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</si>
  <si>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</si>
  <si>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</si>
  <si>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</si>
  <si>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</si>
  <si>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</si>
  <si>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</si>
  <si>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</si>
  <si>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</si>
  <si>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</si>
  <si>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</si>
  <si>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</si>
  <si>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</si>
  <si>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</si>
  <si>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</si>
  <si>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</si>
  <si>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</si>
  <si>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</si>
  <si>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</si>
  <si>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</si>
  <si>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</si>
  <si>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</si>
  <si>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</si>
  <si>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</si>
  <si>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</si>
  <si>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</si>
  <si>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</si>
  <si>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</si>
  <si>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</si>
  <si>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</si>
  <si>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</si>
  <si>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</si>
  <si>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</si>
  <si>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</si>
  <si>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</si>
  <si>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</si>
  <si>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</si>
  <si>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</si>
  <si>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</si>
  <si>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</si>
  <si>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</si>
  <si>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</si>
  <si>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</si>
  <si>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</si>
  <si>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</si>
  <si>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</si>
  <si>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</si>
  <si>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</si>
  <si>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</si>
  <si>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</si>
  <si>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</si>
  <si>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</si>
  <si>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</si>
  <si>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</si>
  <si>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</si>
  <si>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</si>
  <si>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</si>
  <si>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</si>
  <si>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</si>
  <si>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</si>
  <si>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</si>
  <si>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</si>
  <si>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</si>
  <si>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</si>
  <si>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</si>
  <si>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</si>
  <si>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</si>
  <si>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</si>
  <si>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</si>
  <si>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</si>
  <si>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</si>
  <si>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</si>
  <si>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</si>
  <si>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</si>
  <si>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</si>
  <si>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</si>
  <si>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</si>
  <si>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</si>
  <si>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</si>
  <si>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</si>
  <si>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</si>
  <si>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</si>
  <si>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</si>
  <si>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</si>
  <si>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</si>
  <si>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</si>
  <si>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</si>
  <si>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</si>
  <si>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</si>
  <si>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</si>
  <si>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</si>
  <si>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</si>
  <si>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</si>
  <si>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</si>
  <si>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</si>
  <si>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</si>
  <si>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</si>
  <si>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</si>
  <si>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</si>
  <si>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</si>
  <si>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</si>
  <si>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</si>
  <si>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</si>
  <si>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</si>
  <si>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</si>
  <si>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</si>
  <si>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</si>
  <si>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</si>
  <si>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</si>
  <si>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</si>
  <si>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</si>
  <si>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</si>
  <si>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</si>
  <si>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</si>
  <si>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</si>
  <si>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</si>
  <si>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</si>
  <si>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</si>
  <si>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</si>
  <si>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</si>
  <si>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</si>
  <si>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</si>
  <si>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</si>
  <si>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</si>
  <si>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</si>
  <si>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</si>
  <si>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</si>
  <si>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</si>
  <si>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</si>
  <si>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</si>
  <si>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</si>
  <si>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</si>
  <si>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</si>
  <si>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</si>
  <si>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</si>
  <si>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</si>
  <si>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Mudasir Ali</t>
  </si>
  <si>
    <t>2. Vaibhav Batra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</si>
  <si>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</si>
  <si>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</si>
  <si>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</si>
  <si>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</si>
  <si>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</si>
  <si>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</si>
  <si>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</si>
  <si>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</si>
  <si>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</si>
  <si>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</si>
  <si>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</si>
  <si>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</si>
  <si>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</si>
  <si>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</si>
  <si>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</si>
  <si>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</si>
  <si>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</si>
  <si>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</si>
  <si>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</si>
  <si>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</si>
  <si>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</si>
  <si>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</si>
  <si>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</si>
  <si>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</si>
  <si>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</si>
  <si>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</si>
  <si>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</si>
  <si>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</si>
  <si>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</si>
  <si>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</si>
  <si>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</si>
  <si>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</si>
  <si>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</si>
  <si>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</si>
  <si>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</si>
  <si>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</si>
  <si>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</si>
  <si>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</si>
  <si>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</si>
  <si>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</si>
  <si>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</si>
  <si>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</si>
  <si>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</si>
  <si>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</si>
  <si>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</si>
  <si>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</si>
  <si>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</si>
  <si>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</si>
  <si>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</si>
  <si>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</si>
  <si>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</si>
  <si>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</si>
  <si>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</si>
  <si>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</si>
  <si>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</si>
  <si>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</si>
  <si>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</si>
  <si>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</si>
  <si>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</si>
  <si>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</si>
  <si>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</si>
  <si>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</si>
  <si>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</si>
  <si>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</si>
  <si>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</si>
  <si>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</si>
  <si>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</si>
  <si>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</si>
  <si>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</si>
  <si>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</si>
  <si>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</si>
  <si>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</si>
  <si>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</si>
  <si>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</si>
  <si>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</si>
  <si>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</si>
  <si>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</si>
  <si>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</si>
  <si>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</si>
  <si>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</si>
  <si>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</si>
  <si>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</si>
  <si>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</si>
  <si>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</si>
  <si>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</si>
  <si>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</si>
  <si>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</si>
  <si>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</si>
  <si>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</si>
  <si>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</si>
  <si>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</si>
  <si>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</si>
  <si>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</si>
  <si>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</si>
  <si>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</si>
  <si>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</si>
  <si>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</si>
  <si>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</si>
  <si>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</si>
  <si>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</si>
  <si>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</si>
  <si>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</si>
  <si>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</si>
  <si>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</si>
  <si>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</si>
  <si>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</si>
  <si>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</si>
  <si>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</si>
  <si>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</si>
  <si>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</si>
  <si>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</si>
  <si>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</si>
  <si>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</si>
  <si>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</si>
  <si>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</si>
  <si>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</si>
  <si>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</si>
  <si>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</si>
  <si>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</si>
  <si>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</si>
  <si>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</si>
  <si>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</si>
  <si>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</si>
  <si>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</si>
  <si>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</si>
  <si>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</si>
  <si>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</si>
  <si>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</si>
  <si>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</si>
  <si>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</si>
  <si>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</si>
  <si>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</si>
  <si>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</si>
  <si>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</si>
  <si>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</si>
  <si>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</si>
  <si>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</si>
  <si>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</si>
  <si>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</si>
  <si>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</si>
  <si>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</si>
  <si>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</si>
  <si>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</si>
  <si>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</si>
  <si>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</si>
  <si>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</si>
  <si>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</si>
  <si>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</si>
  <si>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</si>
  <si>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</si>
  <si>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</si>
  <si>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</si>
  <si>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</si>
  <si>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</si>
  <si>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</si>
  <si>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</si>
  <si>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</si>
  <si>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</si>
  <si>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</si>
  <si>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</si>
  <si>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</si>
  <si>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</si>
  <si>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</si>
  <si>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</si>
  <si>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</si>
  <si>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</si>
  <si>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</si>
  <si>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</si>
  <si>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</si>
  <si>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</si>
  <si>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</si>
  <si>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</si>
  <si>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</si>
  <si>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</si>
  <si>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</si>
  <si>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</si>
  <si>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</si>
  <si>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</si>
  <si>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</si>
  <si>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</si>
  <si>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</si>
  <si>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</si>
  <si>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</si>
  <si>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</si>
  <si>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</si>
  <si>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</si>
  <si>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</si>
  <si>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</si>
  <si>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</si>
  <si>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</si>
  <si>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</si>
  <si>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</si>
  <si>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</si>
  <si>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</si>
  <si>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</si>
  <si>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</si>
  <si>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</si>
  <si>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</si>
  <si>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</si>
  <si>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</si>
  <si>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</si>
  <si>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</si>
  <si>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</si>
  <si>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</si>
  <si>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</si>
  <si>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</si>
  <si>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</si>
  <si>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</si>
  <si>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</si>
  <si>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</si>
  <si>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</si>
  <si>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</si>
  <si>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</si>
  <si>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</si>
  <si>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</si>
  <si>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</si>
  <si>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</si>
  <si>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</si>
  <si>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</si>
  <si>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</si>
  <si>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</si>
  <si>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</si>
  <si>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</si>
  <si>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</si>
  <si>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</si>
  <si>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</si>
  <si>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</si>
  <si>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</si>
  <si>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</si>
  <si>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</si>
  <si>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</si>
  <si>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</si>
  <si>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</si>
  <si>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</si>
  <si>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</si>
  <si>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</si>
  <si>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</si>
  <si>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</si>
  <si>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</si>
  <si>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</si>
  <si>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</si>
  <si>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</si>
  <si>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</si>
  <si>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</si>
  <si>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</si>
  <si>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</si>
  <si>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</si>
  <si>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</si>
  <si>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</si>
  <si>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</si>
  <si>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</si>
  <si>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</si>
  <si>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</si>
  <si>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</si>
  <si>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</si>
  <si>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</si>
  <si>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</si>
  <si>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</si>
  <si>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</si>
  <si>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</si>
  <si>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</si>
  <si>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</si>
  <si>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</si>
  <si>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</si>
  <si>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</si>
  <si>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</si>
  <si>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</si>
  <si>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</si>
  <si>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</si>
  <si>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</si>
  <si>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</si>
  <si>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</si>
  <si>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</si>
  <si>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</si>
  <si>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</si>
  <si>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</si>
  <si>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</si>
  <si>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</si>
  <si>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</si>
  <si>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</si>
  <si>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</si>
  <si>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</si>
  <si>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</si>
  <si>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</si>
  <si>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</si>
  <si>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</si>
  <si>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</si>
  <si>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</si>
  <si>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</si>
  <si>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</si>
  <si>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</si>
  <si>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</si>
  <si>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</si>
  <si>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</si>
  <si>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</si>
  <si>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</si>
  <si>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</si>
  <si>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</si>
  <si>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</si>
  <si>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</si>
  <si>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</si>
  <si>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</si>
  <si>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</si>
  <si>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</si>
  <si>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</si>
  <si>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</si>
  <si>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</si>
  <si>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</si>
  <si>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</si>
  <si>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</si>
  <si>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</si>
  <si>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</si>
  <si>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</si>
  <si>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</si>
  <si>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</si>
  <si>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</si>
  <si>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</si>
  <si>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</si>
  <si>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</si>
  <si>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</si>
  <si>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</si>
  <si>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</si>
  <si>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</si>
  <si>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</si>
  <si>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</si>
  <si>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</si>
  <si>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</si>
  <si>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</si>
  <si>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</si>
  <si>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</si>
  <si>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</si>
  <si>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</si>
  <si>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</si>
  <si>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</si>
  <si>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</si>
  <si>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</si>
  <si>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</si>
  <si>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</si>
  <si>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</si>
  <si>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</si>
  <si>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</si>
  <si>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</si>
  <si>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</si>
  <si>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</si>
  <si>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</si>
  <si>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</si>
  <si>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</si>
  <si>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</si>
  <si>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</si>
  <si>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</si>
  <si>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</si>
  <si>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</si>
  <si>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</si>
  <si>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</si>
  <si>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</si>
  <si>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</si>
  <si>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</si>
  <si>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</si>
  <si>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</si>
  <si>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</si>
  <si>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</si>
  <si>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</si>
  <si>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</si>
  <si>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</si>
  <si>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</si>
  <si>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</si>
  <si>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</si>
  <si>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</si>
  <si>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</si>
  <si>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</si>
  <si>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</si>
  <si>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</si>
  <si>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</si>
  <si>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</si>
  <si>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</si>
  <si>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</si>
  <si>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</si>
  <si>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</si>
  <si>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</si>
  <si>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</si>
  <si>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</si>
  <si>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</si>
  <si>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</si>
  <si>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</si>
  <si>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</si>
  <si>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</si>
  <si>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</si>
  <si>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</si>
  <si>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</si>
  <si>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</si>
  <si>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</si>
  <si>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</si>
  <si>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</si>
  <si>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</si>
  <si>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</si>
  <si>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</si>
  <si>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</si>
  <si>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</si>
  <si>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</si>
  <si>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</si>
  <si>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</si>
  <si>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</si>
  <si>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</si>
  <si>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</si>
  <si>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</si>
  <si>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</si>
  <si>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</si>
  <si>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</si>
  <si>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</si>
  <si>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</si>
  <si>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</si>
  <si>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</si>
  <si>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</si>
  <si>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</si>
  <si>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</si>
  <si>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</si>
  <si>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</si>
  <si>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</si>
  <si>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</si>
  <si>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</si>
  <si>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</si>
  <si>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</si>
  <si>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</si>
  <si>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</si>
  <si>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</si>
  <si>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</si>
  <si>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</si>
  <si>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</si>
  <si>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</si>
  <si>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</si>
  <si>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</si>
  <si>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</si>
  <si>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</si>
  <si>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</si>
  <si>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</si>
  <si>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</si>
  <si>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</si>
  <si>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</si>
  <si>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</si>
  <si>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</si>
  <si>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</si>
  <si>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</si>
  <si>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</si>
  <si>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</si>
  <si>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</si>
  <si>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</si>
  <si>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</si>
  <si>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</si>
  <si>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</si>
  <si>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</si>
  <si>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</si>
  <si>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</si>
  <si>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</si>
  <si>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</si>
  <si>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</si>
  <si>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</si>
  <si>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</si>
  <si>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</si>
  <si>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</si>
  <si>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</si>
  <si>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</si>
  <si>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</si>
  <si>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</si>
  <si>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</si>
  <si>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</si>
  <si>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</si>
  <si>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</si>
  <si>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</si>
  <si>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</si>
  <si>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</si>
  <si>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</si>
  <si>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</si>
  <si>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</si>
  <si>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</si>
  <si>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</si>
  <si>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</si>
  <si>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</si>
  <si>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</si>
  <si>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</si>
  <si>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</si>
  <si>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</si>
  <si>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</si>
  <si>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</si>
  <si>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</si>
  <si>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</si>
  <si>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</si>
  <si>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</si>
  <si>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</si>
  <si>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</si>
  <si>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</si>
  <si>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</si>
  <si>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</si>
  <si>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</si>
  <si>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</si>
  <si>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</si>
  <si>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</si>
  <si>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</si>
  <si>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</si>
  <si>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</si>
  <si>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</si>
  <si>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</si>
  <si>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</si>
  <si>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</si>
  <si>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</si>
  <si>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</si>
  <si>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</si>
  <si>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</si>
  <si>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</si>
  <si>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</si>
  <si>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</si>
  <si>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</si>
  <si>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</si>
  <si>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</si>
  <si>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</si>
  <si>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</si>
  <si>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</si>
  <si>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</si>
  <si>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</si>
  <si>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</si>
  <si>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</si>
  <si>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</si>
  <si>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</si>
  <si>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</si>
  <si>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</si>
  <si>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</si>
  <si>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</si>
  <si>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</si>
  <si>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</si>
  <si>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</si>
  <si>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</si>
  <si>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</si>
  <si>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</si>
  <si>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</si>
  <si>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</si>
  <si>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</si>
  <si>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</si>
  <si>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</si>
  <si>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</si>
  <si>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</si>
  <si>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</si>
  <si>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</si>
  <si>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</si>
  <si>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</si>
  <si>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</si>
  <si>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</si>
  <si>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</si>
  <si>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</si>
  <si>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</si>
  <si>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</si>
  <si>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</si>
  <si>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</si>
  <si>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</si>
  <si>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</si>
  <si>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</si>
  <si>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</si>
  <si>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</si>
  <si>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</si>
  <si>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</si>
  <si>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</si>
  <si>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</si>
  <si>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</si>
  <si>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</si>
  <si>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</si>
  <si>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</si>
  <si>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</si>
  <si>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</si>
  <si>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</si>
  <si>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</si>
  <si>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</si>
  <si>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</si>
  <si>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</si>
  <si>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</si>
  <si>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</si>
  <si>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</si>
  <si>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</si>
  <si>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</si>
  <si>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</si>
  <si>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</si>
  <si>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</si>
  <si>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</si>
  <si>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</si>
  <si>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</si>
  <si>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</si>
  <si>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</si>
  <si>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</si>
  <si>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</si>
  <si>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</si>
  <si>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</si>
  <si>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</si>
  <si>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</si>
  <si>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</si>
  <si>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</si>
  <si>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</si>
  <si>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</si>
  <si>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</si>
  <si>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</si>
  <si>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</si>
  <si>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</si>
  <si>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</si>
  <si>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</si>
  <si>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</si>
  <si>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</si>
  <si>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</si>
  <si>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</si>
  <si>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</si>
  <si>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</si>
  <si>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</si>
  <si>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</si>
  <si>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</si>
  <si>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</si>
  <si>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</si>
  <si>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</si>
  <si>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</si>
  <si>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</si>
  <si>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</si>
  <si>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</si>
  <si>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</si>
  <si>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</si>
  <si>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</si>
  <si>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</si>
  <si>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</si>
  <si>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</si>
  <si>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</si>
  <si>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</si>
  <si>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</si>
  <si>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</si>
  <si>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</si>
  <si>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</si>
  <si>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</si>
  <si>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</si>
  <si>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</si>
  <si>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</si>
  <si>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</si>
  <si>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</si>
  <si>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</si>
  <si>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</si>
  <si>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</si>
  <si>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</si>
  <si>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</si>
  <si>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</si>
  <si>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</si>
  <si>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</si>
  <si>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</si>
  <si>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</si>
  <si>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</si>
  <si>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</si>
  <si>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</si>
  <si>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</si>
  <si>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</si>
  <si>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</si>
  <si>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</si>
  <si>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</si>
  <si>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</si>
  <si>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</si>
  <si>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</si>
  <si>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</si>
  <si>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</si>
  <si>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</si>
  <si>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</si>
  <si>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</si>
  <si>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</si>
  <si>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</si>
  <si>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</si>
  <si>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</si>
  <si>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</si>
  <si>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</si>
  <si>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</si>
  <si>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</si>
  <si>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</si>
  <si>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</si>
  <si>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</si>
  <si>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</si>
  <si>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</si>
  <si>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</si>
  <si>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</si>
  <si>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</si>
  <si>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</si>
  <si>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</si>
  <si>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</si>
  <si>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</si>
  <si>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</si>
  <si>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</si>
  <si>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</si>
  <si>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</si>
  <si>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</si>
  <si>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</si>
  <si>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</si>
  <si>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</si>
  <si>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</si>
  <si>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</si>
  <si>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</si>
  <si>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</si>
  <si>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</si>
  <si>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</si>
  <si>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</si>
  <si>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</si>
  <si>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</si>
  <si>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</si>
  <si>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</si>
  <si>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</si>
  <si>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</si>
  <si>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</si>
  <si>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</si>
  <si>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</si>
  <si>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</si>
  <si>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</si>
  <si>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</si>
  <si>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</si>
  <si>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</si>
  <si>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</si>
  <si>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</si>
  <si>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</si>
  <si>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</si>
  <si>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</si>
  <si>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</si>
  <si>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</si>
  <si>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</si>
  <si>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</si>
  <si>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</si>
  <si>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</si>
  <si>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</si>
  <si>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</si>
  <si>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</si>
  <si>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</si>
  <si>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</si>
  <si>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</si>
  <si>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</si>
  <si>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</si>
  <si>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</si>
  <si>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</si>
  <si>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</si>
  <si>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</si>
  <si>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</si>
  <si>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</si>
  <si>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</si>
  <si>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</si>
  <si>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</si>
  <si>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</si>
  <si>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</si>
  <si>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</si>
  <si>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</si>
  <si>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</si>
  <si>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</si>
  <si>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</si>
  <si>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</si>
  <si>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</si>
  <si>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</si>
  <si>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</si>
  <si>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</si>
  <si>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</si>
  <si>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</si>
  <si>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</si>
  <si>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</si>
  <si>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</si>
  <si>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</si>
  <si>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</si>
  <si>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</si>
  <si>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</si>
  <si>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</si>
  <si>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</si>
  <si>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</si>
  <si>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</si>
  <si>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</si>
  <si>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</si>
  <si>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</si>
  <si>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</si>
  <si>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</si>
  <si>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</si>
  <si>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</si>
  <si>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</si>
  <si>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</si>
  <si>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</si>
  <si>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</si>
  <si>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</si>
  <si>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</si>
  <si>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</si>
  <si>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</si>
  <si>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</si>
  <si>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</si>
  <si>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</si>
  <si>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</si>
  <si>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</si>
  <si>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</si>
  <si>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</si>
  <si>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</si>
  <si>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</si>
  <si>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</si>
  <si>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</si>
  <si>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</si>
  <si>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</si>
  <si>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</si>
  <si>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</si>
  <si>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</si>
  <si>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</si>
  <si>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</si>
  <si>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</si>
  <si>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</si>
  <si>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</si>
  <si>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</si>
  <si>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</si>
  <si>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</si>
  <si>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</si>
  <si>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</si>
  <si>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</si>
  <si>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</si>
  <si>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</si>
  <si>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</si>
  <si>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</si>
  <si>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</si>
  <si>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</si>
  <si>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</si>
  <si>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</si>
  <si>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</si>
  <si>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</si>
  <si>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</si>
  <si>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</si>
  <si>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</si>
  <si>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</si>
  <si>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</si>
  <si>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</si>
  <si>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</si>
  <si>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</si>
  <si>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</si>
  <si>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</si>
  <si>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</si>
  <si>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</si>
  <si>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</si>
  <si>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</si>
  <si>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</si>
  <si>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</si>
  <si>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</si>
  <si>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</si>
  <si>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</si>
  <si>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</si>
  <si>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</si>
  <si>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</si>
  <si>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</si>
  <si>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</si>
  <si>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</si>
  <si>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</si>
  <si>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</si>
  <si>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</si>
  <si>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</si>
  <si>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</si>
  <si>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</si>
  <si>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</si>
  <si>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</si>
  <si>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</si>
  <si>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</si>
  <si>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</si>
  <si>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</si>
  <si>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</si>
  <si>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</si>
  <si>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</si>
  <si>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</si>
  <si>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</si>
  <si>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</si>
  <si>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</si>
  <si>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</si>
  <si>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</si>
  <si>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</si>
  <si>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</si>
  <si>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</si>
  <si>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</si>
  <si>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</si>
  <si>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</si>
  <si>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</si>
  <si>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</si>
  <si>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</si>
  <si>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</si>
  <si>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</si>
  <si>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</si>
  <si>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</si>
  <si>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</si>
  <si>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</si>
  <si>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</si>
  <si>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</si>
  <si>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</si>
  <si>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</si>
  <si>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</si>
  <si>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</si>
  <si>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</si>
  <si>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</si>
  <si>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</si>
  <si>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</si>
  <si>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</si>
  <si>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</si>
  <si>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</si>
  <si>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</si>
  <si>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</si>
  <si>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</si>
  <si>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</si>
  <si>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</si>
  <si>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</si>
  <si>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</si>
  <si>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</si>
  <si>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</si>
  <si>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</si>
  <si>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</si>
  <si>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</si>
  <si>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</si>
  <si>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</si>
  <si>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</si>
  <si>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</si>
  <si>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</si>
  <si>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</si>
  <si>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</si>
  <si>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</si>
  <si>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</si>
  <si>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</si>
  <si>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</si>
  <si>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</si>
  <si>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</si>
  <si>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</si>
  <si>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</si>
  <si>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</si>
  <si>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</si>
  <si>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</si>
  <si>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</si>
  <si>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</si>
  <si>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</si>
  <si>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</si>
  <si>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</si>
  <si>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</si>
  <si>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</si>
  <si>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</si>
  <si>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</si>
  <si>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</si>
  <si>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</si>
  <si>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</si>
  <si>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</si>
  <si>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</si>
  <si>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</si>
  <si>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</si>
  <si>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</si>
  <si>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</si>
  <si>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</si>
  <si>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</si>
  <si>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</si>
  <si>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</si>
  <si>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</si>
  <si>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</si>
  <si>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</si>
  <si>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</si>
  <si>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</si>
  <si>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</si>
  <si>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</si>
  <si>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</si>
  <si>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</si>
  <si>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</si>
  <si>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</si>
  <si>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</si>
  <si>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</si>
  <si>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</si>
  <si>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</si>
  <si>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</si>
  <si>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</si>
  <si>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</si>
  <si>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</si>
  <si>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</si>
  <si>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</si>
  <si>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</si>
  <si>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</si>
  <si>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</si>
  <si>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</si>
  <si>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</si>
  <si>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</si>
  <si>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</si>
  <si>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</si>
  <si>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</si>
  <si>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</si>
  <si>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</si>
  <si>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</si>
  <si>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</si>
  <si>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</si>
  <si>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</si>
  <si>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</si>
  <si>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</si>
  <si>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</si>
  <si>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</si>
  <si>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</si>
  <si>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</si>
  <si>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</si>
  <si>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</si>
  <si>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</si>
  <si>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</si>
  <si>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</si>
  <si>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</si>
  <si>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</si>
  <si>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</si>
  <si>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</si>
  <si>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</si>
  <si>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</si>
  <si>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</si>
  <si>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</si>
  <si>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</si>
  <si>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</si>
  <si>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</si>
  <si>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</si>
  <si>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</si>
  <si>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</si>
  <si>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</si>
  <si>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</si>
  <si>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</si>
  <si>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</si>
  <si>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</si>
  <si>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</si>
  <si>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</si>
  <si>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</si>
  <si>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</si>
  <si>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</si>
  <si>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</si>
  <si>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</si>
  <si>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</si>
  <si>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</si>
  <si>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</si>
  <si>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</si>
  <si>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</si>
  <si>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</si>
  <si>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</si>
  <si>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</si>
  <si>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</si>
  <si>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</si>
  <si>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</si>
  <si>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</si>
  <si>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</si>
  <si>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</si>
  <si>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</si>
  <si>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</si>
  <si>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</si>
  <si>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</si>
  <si>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</si>
  <si>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</si>
  <si>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</si>
  <si>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</si>
  <si>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</si>
  <si>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</si>
  <si>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</si>
  <si>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</si>
  <si>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</si>
  <si>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</si>
  <si>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</si>
  <si>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</si>
  <si>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</si>
  <si>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</si>
  <si>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</si>
  <si>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</si>
  <si>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</si>
  <si>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</si>
  <si>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</si>
  <si>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</si>
  <si>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</si>
  <si>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</si>
  <si>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</si>
  <si>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</si>
  <si>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</si>
  <si>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</si>
  <si>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</si>
  <si>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</si>
  <si>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</si>
  <si>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</si>
  <si>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</si>
  <si>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</si>
  <si>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</si>
  <si>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</si>
  <si>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</si>
  <si>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</si>
  <si>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</si>
  <si>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</si>
  <si>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</si>
  <si>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</si>
  <si>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</si>
  <si>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</si>
  <si>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</si>
  <si>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</si>
  <si>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</si>
  <si>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</si>
  <si>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</si>
  <si>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</si>
  <si>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</si>
  <si>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</si>
  <si>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</si>
  <si>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</si>
  <si>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</si>
  <si>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</si>
  <si>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</si>
  <si>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</si>
  <si>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</si>
  <si>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</si>
  <si>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</si>
  <si>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</si>
  <si>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</si>
  <si>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</si>
  <si>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</si>
  <si>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</si>
  <si>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</si>
  <si>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</si>
  <si>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</si>
  <si>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</si>
  <si>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</si>
  <si>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</si>
  <si>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</si>
  <si>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</si>
  <si>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</si>
  <si>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</si>
  <si>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</si>
  <si>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</si>
  <si>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</si>
  <si>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</si>
  <si>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</si>
  <si>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</si>
  <si>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</si>
  <si>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</si>
  <si>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</si>
  <si>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</si>
  <si>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</si>
  <si>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</si>
  <si>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</si>
  <si>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</si>
  <si>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</si>
  <si>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</si>
  <si>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</si>
  <si>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</si>
  <si>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</si>
  <si>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</si>
  <si>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</si>
  <si>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</si>
  <si>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</si>
  <si>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</si>
  <si>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Arnab Sarkar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</si>
  <si>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</si>
  <si>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</si>
  <si>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</si>
  <si>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</si>
  <si>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</si>
  <si>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</si>
  <si>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</si>
  <si>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</si>
  <si>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</si>
  <si>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</si>
  <si>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</si>
  <si>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</si>
  <si>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</si>
  <si>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</si>
  <si>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</si>
  <si>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</si>
  <si>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</si>
  <si>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</si>
  <si>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</si>
  <si>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</si>
  <si>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</si>
  <si>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</si>
  <si>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</si>
  <si>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</si>
  <si>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</si>
  <si>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</si>
  <si>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</si>
  <si>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</si>
  <si>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</si>
  <si>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</si>
  <si>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</si>
  <si>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</si>
  <si>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</si>
  <si>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</si>
  <si>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</si>
  <si>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</si>
  <si>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</si>
  <si>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</si>
  <si>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</si>
  <si>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</si>
  <si>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</si>
  <si>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</si>
  <si>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</si>
  <si>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</si>
  <si>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</si>
  <si>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</si>
  <si>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</si>
  <si>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</si>
  <si>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</si>
  <si>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</si>
  <si>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</si>
  <si>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</si>
  <si>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</si>
  <si>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</si>
  <si>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</si>
  <si>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</si>
  <si>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</si>
  <si>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</si>
  <si>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</si>
  <si>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</si>
  <si>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</si>
  <si>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</si>
  <si>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</si>
  <si>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</si>
  <si>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</si>
  <si>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</si>
  <si>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</si>
  <si>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</si>
  <si>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</si>
  <si>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</si>
  <si>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</si>
  <si>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</si>
  <si>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</si>
  <si>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</si>
  <si>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</si>
  <si>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</si>
  <si>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</si>
  <si>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</si>
  <si>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</si>
  <si>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</si>
  <si>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</si>
  <si>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</si>
  <si>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</si>
  <si>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</si>
  <si>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</si>
  <si>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</si>
  <si>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</si>
  <si>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</si>
  <si>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</si>
  <si>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</si>
  <si>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</si>
  <si>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</si>
  <si>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</si>
  <si>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</si>
  <si>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</si>
  <si>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</si>
  <si>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</si>
  <si>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</si>
  <si>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</si>
  <si>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</si>
  <si>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</si>
  <si>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</si>
  <si>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</si>
  <si>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</si>
  <si>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</si>
  <si>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</si>
  <si>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</si>
  <si>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</si>
  <si>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</si>
  <si>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</si>
  <si>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</si>
  <si>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</si>
  <si>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</si>
  <si>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</si>
  <si>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</si>
  <si>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</si>
  <si>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</si>
  <si>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</si>
  <si>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</si>
  <si>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</si>
  <si>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</si>
  <si>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</si>
  <si>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</si>
  <si>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</si>
  <si>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</si>
  <si>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</si>
  <si>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</si>
  <si>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</si>
  <si>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</si>
  <si>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</si>
  <si>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</si>
  <si>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</si>
  <si>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</si>
  <si>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</si>
  <si>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</si>
  <si>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</si>
  <si>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</si>
  <si>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</si>
  <si>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</si>
  <si>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</si>
  <si>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</si>
  <si>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</si>
  <si>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</si>
  <si>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</si>
  <si>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</si>
  <si>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</si>
  <si>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</si>
  <si>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</si>
  <si>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</si>
  <si>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</si>
  <si>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</si>
  <si>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</si>
  <si>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</si>
  <si>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</si>
  <si>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</si>
  <si>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</si>
  <si>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</si>
  <si>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</si>
  <si>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</si>
  <si>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</si>
  <si>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</si>
  <si>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</si>
  <si>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</si>
  <si>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</si>
  <si>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</si>
  <si>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</si>
  <si>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</si>
  <si>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</si>
  <si>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</si>
  <si>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</si>
  <si>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</si>
  <si>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</si>
  <si>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</si>
  <si>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</si>
  <si>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</si>
  <si>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</si>
  <si>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</si>
  <si>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</si>
  <si>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3. Ansar</t>
  </si>
  <si>
    <t>18. Anik dey shanto</t>
  </si>
  <si>
    <t>3. Sunaif</t>
  </si>
  <si>
    <t>18. Moiz Mohsin</t>
  </si>
  <si>
    <t>1. Ajay Paul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</si>
  <si>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</si>
  <si>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</si>
  <si>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</si>
  <si>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</si>
  <si>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</si>
  <si>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</si>
  <si>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</si>
  <si>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</si>
  <si>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</si>
  <si>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1. Jibin Altaf</t>
  </si>
  <si>
    <t>3. Jaseel</t>
  </si>
  <si>
    <t>6. Sufaid</t>
  </si>
  <si>
    <t>2. Rakshith Shetty</t>
  </si>
  <si>
    <t>4. Vignhesh Suresh</t>
  </si>
  <si>
    <t>7. Yadhu</t>
  </si>
  <si>
    <t>23. Vaibhav Batra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</si>
  <si>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</si>
  <si>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</si>
  <si>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</si>
  <si>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</si>
  <si>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</si>
  <si>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</si>
  <si>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</si>
  <si>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</si>
  <si>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</si>
  <si>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</si>
  <si>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</si>
  <si>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</si>
  <si>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</si>
  <si>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</si>
  <si>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</si>
  <si>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</si>
  <si>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</si>
  <si>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</si>
  <si>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</si>
  <si>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</si>
  <si>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</si>
  <si>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</si>
  <si>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</si>
  <si>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</si>
  <si>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</si>
  <si>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</si>
  <si>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</si>
  <si>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</si>
  <si>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</si>
  <si>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</si>
  <si>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</si>
  <si>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</si>
  <si>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</si>
  <si>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</si>
  <si>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</si>
  <si>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</si>
  <si>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</si>
  <si>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</si>
  <si>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</si>
  <si>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</si>
  <si>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</si>
  <si>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</si>
  <si>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</si>
  <si>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</si>
  <si>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</si>
  <si>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</si>
  <si>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</si>
  <si>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</si>
  <si>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</si>
  <si>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</si>
  <si>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</si>
  <si>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</si>
  <si>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</si>
  <si>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</si>
  <si>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</si>
  <si>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</si>
  <si>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</si>
  <si>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</si>
  <si>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</si>
  <si>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</si>
  <si>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</si>
  <si>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</si>
  <si>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</si>
  <si>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</si>
  <si>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</si>
  <si>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</si>
  <si>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</si>
  <si>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</si>
  <si>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</si>
  <si>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</si>
  <si>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</si>
  <si>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</si>
  <si>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</si>
  <si>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</si>
  <si>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</si>
  <si>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</si>
  <si>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</si>
  <si>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</si>
  <si>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</si>
  <si>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</si>
  <si>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</si>
  <si>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</si>
  <si>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</si>
  <si>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</si>
  <si>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</si>
  <si>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</si>
  <si>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</si>
  <si>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</si>
  <si>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</si>
  <si>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</si>
  <si>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</si>
  <si>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</si>
  <si>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</si>
  <si>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</si>
  <si>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</si>
  <si>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</si>
  <si>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</si>
  <si>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</si>
  <si>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</si>
  <si>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</si>
  <si>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</si>
  <si>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</si>
  <si>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</si>
  <si>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</si>
  <si>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</si>
  <si>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</si>
  <si>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</si>
  <si>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</si>
  <si>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</si>
  <si>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</si>
  <si>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</si>
  <si>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</si>
  <si>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</si>
  <si>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</si>
  <si>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</si>
  <si>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</si>
  <si>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</si>
  <si>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</si>
  <si>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</si>
  <si>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</si>
  <si>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</si>
  <si>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</si>
  <si>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</si>
  <si>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</si>
  <si>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</si>
  <si>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</si>
  <si>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</si>
  <si>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</si>
  <si>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</si>
  <si>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</si>
  <si>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</si>
  <si>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</si>
  <si>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</si>
  <si>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</si>
  <si>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</si>
  <si>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</si>
  <si>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</si>
  <si>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</si>
  <si>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</si>
  <si>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</si>
  <si>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</si>
  <si>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</si>
  <si>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</si>
  <si>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</si>
  <si>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</si>
  <si>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</si>
  <si>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</si>
  <si>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</si>
  <si>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</si>
  <si>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</si>
  <si>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</si>
  <si>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</si>
  <si>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</si>
  <si>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</si>
  <si>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</si>
  <si>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</si>
  <si>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</si>
  <si>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</si>
  <si>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</si>
  <si>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</si>
  <si>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</si>
  <si>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</si>
  <si>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</si>
  <si>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</si>
  <si>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</si>
  <si>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</si>
  <si>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</si>
  <si>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</si>
  <si>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</si>
  <si>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</si>
  <si>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</si>
  <si>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</si>
  <si>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</si>
  <si>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</si>
  <si>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</si>
  <si>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</si>
  <si>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</si>
  <si>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</si>
  <si>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</si>
  <si>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</si>
  <si>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</si>
  <si>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</si>
  <si>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</si>
  <si>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</si>
  <si>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</si>
  <si>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</si>
  <si>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</si>
  <si>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</si>
  <si>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</si>
  <si>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</si>
  <si>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</si>
  <si>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</si>
  <si>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</si>
  <si>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</si>
  <si>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</si>
  <si>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</si>
  <si>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Ahmed Mughal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</si>
  <si>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</si>
  <si>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</si>
  <si>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</si>
  <si>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</si>
  <si>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</si>
  <si>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</si>
  <si>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</si>
  <si>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</si>
  <si>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</si>
  <si>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</si>
  <si>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</si>
  <si>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</si>
  <si>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</si>
  <si>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</si>
  <si>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</si>
  <si>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</si>
  <si>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</si>
  <si>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</si>
  <si>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</si>
  <si>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</si>
  <si>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</si>
  <si>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</si>
  <si>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</si>
  <si>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</si>
  <si>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</si>
  <si>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</si>
  <si>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</si>
  <si>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</si>
  <si>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</si>
  <si>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</si>
  <si>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</si>
  <si>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</si>
  <si>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</si>
  <si>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</si>
  <si>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</si>
  <si>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</si>
  <si>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</si>
  <si>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</si>
  <si>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</si>
  <si>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</si>
  <si>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</si>
  <si>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</si>
  <si>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</si>
  <si>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</si>
  <si>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</si>
  <si>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</si>
  <si>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</si>
  <si>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</si>
  <si>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</si>
  <si>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</si>
  <si>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</si>
  <si>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</si>
  <si>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</si>
  <si>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</si>
  <si>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</si>
  <si>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</si>
  <si>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</si>
  <si>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</si>
  <si>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</si>
  <si>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</si>
  <si>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</si>
  <si>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</si>
  <si>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</si>
  <si>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</si>
  <si>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</si>
  <si>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</si>
  <si>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</si>
  <si>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</si>
  <si>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</si>
  <si>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</si>
  <si>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</si>
  <si>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</si>
  <si>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</si>
  <si>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</si>
  <si>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</si>
  <si>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</si>
  <si>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</si>
  <si>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</si>
  <si>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</si>
  <si>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</si>
  <si>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</si>
  <si>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</si>
  <si>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</si>
  <si>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</si>
  <si>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</si>
  <si>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</si>
  <si>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</si>
  <si>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</si>
  <si>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</si>
  <si>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</si>
  <si>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</si>
  <si>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</si>
  <si>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</si>
  <si>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</si>
  <si>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</si>
  <si>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</si>
  <si>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</si>
  <si>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</si>
  <si>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</si>
  <si>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</si>
  <si>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</si>
  <si>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</si>
  <si>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Ahmed Mughal (CSK)</t>
  </si>
  <si>
    <t>CSK vs LSG</t>
  </si>
  <si>
    <t>Aash Muhammad (RR)</t>
  </si>
  <si>
    <t>Sujith CS Ctr (GT)</t>
  </si>
  <si>
    <t>Ashish Anandhu (GT)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</si>
  <si>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</si>
  <si>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</si>
  <si>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</si>
  <si>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</si>
  <si>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</si>
  <si>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</si>
  <si>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</si>
  <si>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</si>
  <si>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</si>
  <si>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</si>
  <si>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</si>
  <si>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</si>
  <si>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</si>
  <si>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</si>
  <si>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</si>
  <si>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</si>
  <si>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</si>
  <si>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</si>
  <si>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</si>
  <si>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</si>
  <si>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</si>
  <si>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</si>
  <si>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</si>
  <si>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</si>
  <si>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</si>
  <si>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</si>
  <si>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</si>
  <si>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</si>
  <si>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</si>
  <si>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</si>
  <si>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</si>
  <si>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</si>
  <si>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</si>
  <si>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</si>
  <si>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</si>
  <si>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</si>
  <si>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</si>
  <si>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</si>
  <si>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</si>
  <si>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</si>
  <si>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</si>
  <si>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</si>
  <si>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</si>
  <si>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</si>
  <si>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</si>
  <si>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</si>
  <si>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</si>
  <si>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</si>
  <si>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3. Amal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</si>
  <si>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</si>
  <si>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</si>
  <si>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</si>
  <si>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</si>
  <si>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</si>
  <si>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</si>
  <si>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</si>
  <si>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</si>
  <si>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</si>
  <si>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</si>
  <si>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</si>
  <si>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</si>
  <si>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</si>
  <si>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</si>
  <si>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</si>
  <si>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</si>
  <si>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</si>
  <si>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Aman Raj Singh</t>
  </si>
  <si>
    <t>6. Kashif Ramzan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</si>
  <si>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</si>
  <si>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</si>
  <si>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</si>
  <si>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</si>
  <si>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</si>
  <si>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</si>
  <si>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</si>
  <si>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</si>
  <si>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</si>
  <si>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</si>
  <si>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</si>
  <si>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</si>
  <si>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</si>
  <si>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</si>
  <si>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</si>
  <si>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</si>
  <si>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</si>
  <si>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</si>
  <si>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</si>
  <si>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</si>
  <si>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</si>
  <si>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</si>
  <si>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</si>
  <si>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</si>
  <si>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</si>
  <si>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</si>
  <si>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</si>
  <si>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</si>
  <si>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</si>
  <si>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</si>
  <si>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</si>
  <si>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</si>
  <si>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</si>
  <si>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</si>
  <si>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</si>
  <si>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</si>
  <si>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</si>
  <si>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</si>
  <si>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</si>
  <si>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</si>
  <si>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</si>
  <si>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</si>
  <si>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</si>
  <si>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</si>
  <si>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</si>
  <si>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</si>
  <si>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</si>
  <si>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</si>
  <si>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</si>
  <si>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</si>
  <si>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</si>
  <si>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</si>
  <si>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</si>
  <si>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</si>
  <si>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</si>
  <si>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</si>
  <si>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</si>
  <si>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</si>
  <si>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</si>
  <si>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</si>
  <si>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</si>
  <si>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</si>
  <si>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</si>
  <si>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</si>
  <si>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</si>
  <si>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</si>
  <si>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</si>
  <si>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</si>
  <si>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</si>
  <si>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</si>
  <si>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</si>
  <si>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</si>
  <si>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</si>
  <si>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</si>
  <si>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</si>
  <si>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</si>
  <si>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</si>
  <si>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</si>
  <si>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</si>
  <si>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</si>
  <si>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</si>
  <si>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</si>
  <si>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</si>
  <si>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</si>
  <si>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</si>
  <si>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</si>
  <si>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</si>
  <si>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</si>
  <si>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</si>
  <si>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</si>
  <si>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</si>
  <si>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</si>
  <si>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</si>
  <si>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</si>
  <si>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</si>
  <si>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</si>
  <si>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</si>
  <si>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</si>
  <si>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</si>
  <si>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</si>
  <si>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</si>
  <si>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</si>
  <si>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</si>
  <si>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</si>
  <si>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</si>
  <si>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</si>
  <si>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</si>
  <si>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</si>
  <si>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</si>
  <si>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</si>
  <si>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</si>
  <si>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</si>
  <si>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</si>
  <si>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</si>
  <si>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</si>
  <si>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</si>
  <si>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</si>
  <si>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</si>
  <si>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</si>
  <si>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</si>
  <si>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</si>
  <si>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</si>
  <si>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</si>
  <si>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</si>
  <si>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</si>
  <si>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</si>
  <si>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</si>
  <si>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</si>
  <si>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</si>
  <si>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</si>
  <si>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</si>
  <si>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</si>
  <si>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</si>
  <si>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</si>
  <si>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</si>
  <si>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</si>
  <si>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</si>
  <si>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</si>
  <si>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</si>
  <si>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</si>
  <si>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</si>
  <si>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</si>
  <si>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</si>
  <si>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</si>
  <si>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</si>
  <si>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</si>
  <si>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</si>
  <si>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</si>
  <si>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</si>
  <si>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</si>
  <si>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</si>
  <si>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</si>
  <si>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</si>
  <si>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</si>
  <si>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</si>
  <si>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</si>
  <si>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</si>
  <si>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</si>
  <si>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</si>
  <si>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</si>
  <si>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</si>
  <si>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</si>
  <si>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</si>
  <si>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</si>
  <si>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</si>
  <si>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</si>
  <si>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</si>
  <si>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</si>
  <si>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</si>
  <si>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</si>
  <si>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Taniya (Pak)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</si>
  <si>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</si>
  <si>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</si>
  <si>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</si>
  <si>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</si>
  <si>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</si>
  <si>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</si>
  <si>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</si>
  <si>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Sidra (Pak)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</si>
  <si>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</si>
  <si>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</si>
  <si>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</si>
  <si>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</si>
  <si>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</si>
  <si>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</si>
  <si>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</si>
  <si>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</si>
  <si>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</si>
  <si>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</si>
  <si>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</si>
  <si>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</si>
  <si>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</si>
  <si>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</si>
  <si>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</si>
  <si>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</si>
  <si>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</si>
  <si>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</si>
  <si>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</si>
  <si>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</si>
  <si>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</si>
  <si>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</si>
  <si>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</si>
  <si>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</si>
  <si>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</si>
  <si>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</si>
  <si>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</si>
  <si>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</si>
  <si>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</si>
  <si>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</si>
  <si>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</si>
  <si>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Vivek (Scot)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</si>
  <si>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</si>
  <si>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</si>
  <si>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</si>
  <si>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</si>
  <si>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</si>
  <si>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</si>
  <si>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</si>
  <si>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</si>
  <si>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</si>
  <si>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</si>
  <si>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</si>
  <si>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</si>
  <si>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</si>
  <si>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</si>
  <si>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</si>
  <si>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</si>
  <si>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</si>
  <si>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</si>
  <si>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</si>
  <si>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</si>
  <si>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</si>
  <si>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</si>
  <si>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</si>
  <si>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</si>
  <si>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</si>
  <si>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</si>
  <si>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Franchise League Scottish Premier League Registration &amp; all team Players 2026</t>
  </si>
  <si>
    <t>1. Abhilash P. A.</t>
  </si>
  <si>
    <t>4. Anandha Krishnan (Anandhan)</t>
  </si>
  <si>
    <t>5. Ajmal Sunaif BP</t>
  </si>
  <si>
    <t>7. Falah Mancheri</t>
  </si>
  <si>
    <t>8. Georgekutty Abraham</t>
  </si>
  <si>
    <t>9. Al Ameen</t>
  </si>
  <si>
    <t>11. Muhammed Shibili M</t>
  </si>
  <si>
    <t>13. Nayan S. Kurup</t>
  </si>
  <si>
    <t>14. Arjun S. Kumar</t>
  </si>
  <si>
    <t>16. Bharath Narayanan</t>
  </si>
  <si>
    <t>18. Nihal Maxk</t>
  </si>
  <si>
    <t>19. Sterin Joseph</t>
  </si>
  <si>
    <t>21. Ananthu Mohan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</si>
  <si>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</si>
  <si>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</si>
  <si>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</si>
  <si>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</si>
  <si>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</si>
  <si>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</si>
  <si>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</si>
  <si>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</si>
  <si>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</si>
  <si>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</si>
  <si>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</si>
  <si>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</si>
  <si>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</si>
  <si>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</si>
  <si>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</si>
  <si>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</si>
  <si>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</si>
  <si>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</si>
  <si>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</si>
  <si>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</si>
  <si>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</si>
  <si>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</si>
  <si>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</si>
  <si>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</si>
  <si>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</si>
  <si>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</si>
  <si>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</si>
  <si>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</si>
  <si>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</si>
  <si>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</si>
  <si>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</si>
  <si>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</si>
  <si>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</si>
  <si>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</si>
  <si>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</si>
  <si>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</si>
  <si>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</si>
  <si>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</si>
  <si>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</si>
  <si>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</si>
  <si>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</si>
  <si>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5. Kamlesh Choudhary</t>
  </si>
  <si>
    <t>2. Arvind</t>
  </si>
  <si>
    <t>6. Naveen Gupta</t>
  </si>
  <si>
    <t>7. Pawan kothari</t>
  </si>
  <si>
    <t>8. Siddharth V Jain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</si>
  <si>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</si>
  <si>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</si>
  <si>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</si>
  <si>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</si>
  <si>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</si>
  <si>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</si>
  <si>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</si>
  <si>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</si>
  <si>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</si>
  <si>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</si>
  <si>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</si>
  <si>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</si>
  <si>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</si>
  <si>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</si>
  <si>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</si>
  <si>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</si>
  <si>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</si>
  <si>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</si>
  <si>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</si>
  <si>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</si>
  <si>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</si>
  <si>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</si>
  <si>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</si>
  <si>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</si>
  <si>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</si>
  <si>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2. Ashutosh Jha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</si>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</sst>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-d"/>
    <numFmt numFmtId="165" formatCode="h:mm am/pm"/>
  </numFmts>
  <fonts count="47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</font>
    <font>
      <color theme="1"/>
      <name val="Arial"/>
    </font>
    <font>
      <b/>
      <i/>
      <color rgb="FFFFFFFF"/>
      <name val="Arial"/>
      <scheme val="minor"/>
    </font>
    <font>
      <b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theme="1"/>
      <name val="Arial"/>
    </font>
    <font>
      <color rgb="FFB7B7B7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  <font>
      <color rgb="FFEFEFEF"/>
      <name val="Arial"/>
      <scheme val="minor"/>
    </font>
    <font>
      <b/>
      <i/>
      <color rgb="FF000000"/>
      <name val="Arial"/>
      <scheme val="minor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F3F3F3"/>
      <name val="Arial"/>
      <scheme val="minor"/>
    </font>
    <font>
      <b/>
      <color rgb="FFB7B7B7"/>
      <name val="Arial"/>
    </font>
    <font>
      <color rgb="FFCCCCCC"/>
      <name val="Arial"/>
      <scheme val="minor"/>
    </font>
    <font>
      <sz val="10.0"/>
      <color rgb="FF0C1014"/>
      <name val="Arial"/>
      <scheme val="minor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3F3F3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sz val="10.0"/>
      <color rgb="FF000000"/>
      <name val="Arial"/>
    </font>
    <font>
      <sz val="10.0"/>
      <color rgb="FF000000"/>
      <name val="-apple-system-font"/>
    </font>
    <font>
      <b/>
      <i/>
      <color rgb="FF000000"/>
      <name val="Arial"/>
    </font>
    <font>
      <sz val="10.0"/>
      <color theme="1"/>
      <name val="Arial"/>
    </font>
  </fonts>
  <fills count="54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7F6000"/>
        <bgColor rgb="FF7F6000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274E13"/>
        <bgColor rgb="FF274E13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CFE2F3"/>
        <bgColor rgb="FFCFE2F3"/>
      </patternFill>
    </fill>
    <fill>
      <patternFill patternType="solid">
        <fgColor rgb="FF0000FF"/>
        <bgColor rgb="FF0000FF"/>
      </patternFill>
    </fill>
    <fill>
      <patternFill patternType="solid">
        <fgColor rgb="FF6AA84F"/>
        <bgColor rgb="FF6AA84F"/>
      </patternFill>
    </fill>
    <fill>
      <patternFill patternType="solid">
        <fgColor rgb="FF9FC5E8"/>
        <bgColor rgb="FF9FC5E8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F6B26B"/>
        <bgColor rgb="FFF6B26B"/>
      </patternFill>
    </fill>
    <fill>
      <patternFill patternType="solid">
        <fgColor rgb="FFD9D2E9"/>
        <bgColor rgb="FFD9D2E9"/>
      </patternFill>
    </fill>
    <fill>
      <patternFill patternType="solid">
        <fgColor rgb="FF741B47"/>
        <bgColor rgb="FF741B47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5" fontId="4" numFmtId="0" xfId="0" applyAlignment="1" applyFill="1" applyFont="1">
      <alignment horizontal="center"/>
    </xf>
    <xf borderId="0" fillId="6" fontId="3" numFmtId="0" xfId="0" applyAlignment="1" applyFill="1" applyFont="1">
      <alignment horizontal="center"/>
    </xf>
    <xf borderId="0" fillId="7" fontId="4" numFmtId="0" xfId="0" applyAlignment="1" applyFill="1" applyFont="1">
      <alignment horizontal="center"/>
    </xf>
    <xf borderId="0" fillId="8" fontId="4" numFmtId="0" xfId="0" applyAlignment="1" applyFill="1" applyFont="1">
      <alignment horizontal="center"/>
    </xf>
    <xf borderId="0" fillId="0" fontId="3" numFmtId="0" xfId="0" applyFont="1"/>
    <xf borderId="0" fillId="9" fontId="1" numFmtId="0" xfId="0" applyAlignment="1" applyFill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0" fillId="10" fontId="5" numFmtId="0" xfId="0" applyAlignment="1" applyFill="1" applyFon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 vertical="center"/>
    </xf>
    <xf borderId="0" fillId="12" fontId="3" numFmtId="0" xfId="0" applyAlignment="1" applyFill="1" applyFont="1">
      <alignment horizontal="center" readingOrder="0" vertical="center"/>
    </xf>
    <xf borderId="0" fillId="12" fontId="3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12" fontId="4" numFmtId="0" xfId="0" applyAlignment="1" applyFont="1">
      <alignment horizontal="center" readingOrder="0" vertical="center"/>
    </xf>
    <xf borderId="0" fillId="13" fontId="3" numFmtId="0" xfId="0" applyAlignment="1" applyFill="1" applyFont="1">
      <alignment horizontal="center" readingOrder="0"/>
    </xf>
    <xf borderId="0" fillId="13" fontId="4" numFmtId="0" xfId="0" applyAlignment="1" applyFont="1">
      <alignment horizontal="center" readingOrder="0"/>
    </xf>
    <xf borderId="0" fillId="13" fontId="4" numFmtId="0" xfId="0" applyAlignment="1" applyFont="1">
      <alignment horizontal="center" readingOrder="0" vertical="center"/>
    </xf>
    <xf borderId="0" fillId="12" fontId="4" numFmtId="0" xfId="0" applyAlignment="1" applyFont="1">
      <alignment readingOrder="0" vertical="center"/>
    </xf>
    <xf borderId="0" fillId="14" fontId="6" numFmtId="0" xfId="0" applyAlignment="1" applyFill="1" applyFont="1">
      <alignment horizontal="center"/>
    </xf>
    <xf borderId="0" fillId="0" fontId="7" numFmtId="0" xfId="0" applyAlignment="1" applyFont="1">
      <alignment horizontal="center" readingOrder="0" vertical="bottom"/>
    </xf>
    <xf borderId="0" fillId="0" fontId="3" numFmtId="0" xfId="0" applyAlignment="1" applyFont="1">
      <alignment readingOrder="0"/>
    </xf>
    <xf borderId="0" fillId="14" fontId="6" numFmtId="0" xfId="0" applyAlignment="1" applyFont="1">
      <alignment horizontal="center" readingOrder="0"/>
    </xf>
    <xf borderId="0" fillId="14" fontId="8" numFmtId="0" xfId="0" applyAlignment="1" applyFont="1">
      <alignment horizontal="center" vertical="bottom"/>
    </xf>
    <xf borderId="0" fillId="13" fontId="3" numFmtId="0" xfId="0" applyAlignment="1" applyFont="1">
      <alignment readingOrder="0"/>
    </xf>
    <xf borderId="0" fillId="0" fontId="7" numFmtId="0" xfId="0" applyAlignment="1" applyFont="1">
      <alignment horizontal="center" vertical="bottom"/>
    </xf>
    <xf borderId="0" fillId="12" fontId="9" numFmtId="0" xfId="0" applyAlignment="1" applyFont="1">
      <alignment horizontal="center" vertical="bottom"/>
    </xf>
    <xf borderId="0" fillId="13" fontId="3" numFmtId="0" xfId="0" applyFont="1"/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13" fontId="5" numFmtId="0" xfId="0" applyAlignment="1" applyFont="1">
      <alignment readingOrder="0"/>
    </xf>
    <xf borderId="0" fillId="10" fontId="4" numFmtId="0" xfId="0" applyAlignment="1" applyFont="1">
      <alignment horizontal="center" readingOrder="0"/>
    </xf>
    <xf borderId="0" fillId="15" fontId="4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16" fontId="3" numFmtId="0" xfId="0" applyFill="1" applyFont="1"/>
    <xf borderId="0" fillId="17" fontId="4" numFmtId="0" xfId="0" applyAlignment="1" applyFill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19" fontId="10" numFmtId="0" xfId="0" applyAlignment="1" applyFill="1" applyFont="1">
      <alignment horizontal="center" readingOrder="0"/>
    </xf>
    <xf borderId="0" fillId="20" fontId="11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21" fontId="3" numFmtId="0" xfId="0" applyAlignment="1" applyFill="1" applyFont="1">
      <alignment readingOrder="0"/>
    </xf>
    <xf borderId="0" fillId="22" fontId="11" numFmtId="0" xfId="0" applyAlignment="1" applyFill="1" applyFont="1">
      <alignment horizontal="center" readingOrder="0"/>
    </xf>
    <xf borderId="0" fillId="23" fontId="12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16" fontId="14" numFmtId="0" xfId="0" applyAlignment="1" applyFont="1">
      <alignment horizontal="center" readingOrder="0"/>
    </xf>
    <xf borderId="0" fillId="24" fontId="11" numFmtId="0" xfId="0" applyAlignment="1" applyFill="1" applyFont="1">
      <alignment horizontal="center" readingOrder="0"/>
    </xf>
    <xf borderId="0" fillId="25" fontId="15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 vertical="bottom"/>
    </xf>
    <xf borderId="0" fillId="26" fontId="11" numFmtId="0" xfId="0" applyAlignment="1" applyFill="1" applyFont="1">
      <alignment horizontal="center" readingOrder="0"/>
    </xf>
    <xf borderId="0" fillId="22" fontId="4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23" fontId="17" numFmtId="0" xfId="0" applyAlignment="1" applyFont="1">
      <alignment horizontal="center" readingOrder="0"/>
    </xf>
    <xf borderId="0" fillId="27" fontId="4" numFmtId="0" xfId="0" applyAlignment="1" applyFill="1" applyFont="1">
      <alignment horizontal="center" readingOrder="0"/>
    </xf>
    <xf borderId="0" fillId="27" fontId="4" numFmtId="0" xfId="0" applyAlignment="1" applyFont="1">
      <alignment readingOrder="0"/>
    </xf>
    <xf borderId="0" fillId="27" fontId="3" numFmtId="0" xfId="0" applyAlignment="1" applyFont="1">
      <alignment readingOrder="0"/>
    </xf>
    <xf borderId="0" fillId="23" fontId="18" numFmtId="0" xfId="0" applyAlignment="1" applyFont="1">
      <alignment horizontal="center" readingOrder="0"/>
    </xf>
    <xf borderId="0" fillId="6" fontId="3" numFmtId="0" xfId="0" applyAlignment="1" applyFont="1">
      <alignment readingOrder="0"/>
    </xf>
    <xf borderId="0" fillId="27" fontId="3" numFmtId="0" xfId="0" applyAlignment="1" applyFont="1">
      <alignment horizontal="center" readingOrder="0"/>
    </xf>
    <xf borderId="0" fillId="27" fontId="19" numFmtId="0" xfId="0" applyAlignment="1" applyFont="1">
      <alignment horizontal="center" readingOrder="0"/>
    </xf>
    <xf borderId="0" fillId="28" fontId="17" numFmtId="0" xfId="0" applyAlignment="1" applyFill="1" applyFont="1">
      <alignment horizontal="center" readingOrder="0"/>
    </xf>
    <xf borderId="0" fillId="28" fontId="20" numFmtId="0" xfId="0" applyAlignment="1" applyFont="1">
      <alignment horizontal="center" readingOrder="0"/>
    </xf>
    <xf borderId="0" fillId="10" fontId="4" numFmtId="0" xfId="0" applyAlignment="1" applyFont="1">
      <alignment horizontal="center"/>
    </xf>
    <xf borderId="0" fillId="22" fontId="21" numFmtId="0" xfId="0" applyAlignment="1" applyFont="1">
      <alignment horizontal="center" readingOrder="0"/>
    </xf>
    <xf borderId="0" fillId="28" fontId="12" numFmtId="0" xfId="0" applyAlignment="1" applyFont="1">
      <alignment horizontal="center" readingOrder="0"/>
    </xf>
    <xf borderId="0" fillId="0" fontId="16" numFmtId="0" xfId="0" applyAlignment="1" applyFont="1">
      <alignment horizontal="center" vertical="bottom"/>
    </xf>
    <xf borderId="0" fillId="0" fontId="16" numFmtId="0" xfId="0" applyAlignment="1" applyFont="1">
      <alignment vertical="bottom"/>
    </xf>
    <xf borderId="0" fillId="29" fontId="4" numFmtId="0" xfId="0" applyAlignment="1" applyFill="1" applyFont="1">
      <alignment horizontal="center" readingOrder="0"/>
    </xf>
    <xf borderId="0" fillId="29" fontId="3" numFmtId="0" xfId="0" applyAlignment="1" applyFont="1">
      <alignment horizontal="center" readingOrder="0"/>
    </xf>
    <xf borderId="0" fillId="30" fontId="20" numFmtId="0" xfId="0" applyAlignment="1" applyFill="1" applyFont="1">
      <alignment horizontal="center" readingOrder="0"/>
    </xf>
    <xf borderId="0" fillId="30" fontId="8" numFmtId="0" xfId="0" applyAlignment="1" applyFont="1">
      <alignment horizontal="center" vertical="bottom"/>
    </xf>
    <xf borderId="0" fillId="31" fontId="4" numFmtId="0" xfId="0" applyAlignment="1" applyFill="1" applyFont="1">
      <alignment horizontal="center" readingOrder="0"/>
    </xf>
    <xf borderId="0" fillId="32" fontId="9" numFmtId="0" xfId="0" applyAlignment="1" applyFill="1" applyFont="1">
      <alignment horizontal="center" vertical="bottom"/>
    </xf>
    <xf borderId="0" fillId="30" fontId="18" numFmtId="0" xfId="0" applyAlignment="1" applyFont="1">
      <alignment horizontal="center" readingOrder="0"/>
    </xf>
    <xf borderId="0" fillId="15" fontId="5" numFmtId="0" xfId="0" applyAlignment="1" applyFont="1">
      <alignment horizontal="center" readingOrder="0"/>
    </xf>
    <xf borderId="0" fillId="26" fontId="3" numFmtId="0" xfId="0" applyAlignment="1" applyFont="1">
      <alignment readingOrder="0"/>
    </xf>
    <xf borderId="0" fillId="6" fontId="4" numFmtId="0" xfId="0" applyAlignment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33" fontId="3" numFmtId="0" xfId="0" applyAlignment="1" applyFill="1" applyFont="1">
      <alignment horizontal="center" readingOrder="0"/>
    </xf>
    <xf borderId="0" fillId="25" fontId="23" numFmtId="0" xfId="0" applyAlignment="1" applyFont="1">
      <alignment horizontal="center" readingOrder="0"/>
    </xf>
    <xf borderId="0" fillId="25" fontId="18" numFmtId="0" xfId="0" applyAlignment="1" applyFont="1">
      <alignment horizontal="center" readingOrder="0"/>
    </xf>
    <xf borderId="0" fillId="15" fontId="19" numFmtId="0" xfId="0" applyAlignment="1" applyFont="1">
      <alignment horizontal="center" readingOrder="0"/>
    </xf>
    <xf borderId="0" fillId="25" fontId="24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 vertical="bottom"/>
    </xf>
    <xf borderId="0" fillId="24" fontId="21" numFmtId="0" xfId="0" applyAlignment="1" applyFont="1">
      <alignment horizontal="center" readingOrder="0"/>
    </xf>
    <xf borderId="0" fillId="34" fontId="4" numFmtId="0" xfId="0" applyAlignment="1" applyFill="1" applyFont="1">
      <alignment horizontal="center" readingOrder="0"/>
    </xf>
    <xf borderId="0" fillId="34" fontId="3" numFmtId="0" xfId="0" applyAlignment="1" applyFont="1">
      <alignment horizontal="center" readingOrder="0"/>
    </xf>
    <xf borderId="0" fillId="2" fontId="18" numFmtId="0" xfId="0" applyAlignment="1" applyFont="1">
      <alignment horizontal="center" readingOrder="0"/>
    </xf>
    <xf borderId="0" fillId="2" fontId="8" numFmtId="0" xfId="0" applyAlignment="1" applyFont="1">
      <alignment horizontal="center" vertical="bottom"/>
    </xf>
    <xf borderId="0" fillId="3" fontId="9" numFmtId="0" xfId="0" applyAlignment="1" applyFont="1">
      <alignment horizontal="center" vertical="bottom"/>
    </xf>
    <xf borderId="0" fillId="35" fontId="4" numFmtId="0" xfId="0" applyAlignment="1" applyFill="1" applyFont="1">
      <alignment horizontal="center" readingOrder="0"/>
    </xf>
    <xf borderId="0" fillId="35" fontId="3" numFmtId="0" xfId="0" applyAlignment="1" applyFont="1">
      <alignment horizontal="center" readingOrder="0"/>
    </xf>
    <xf borderId="0" fillId="36" fontId="25" numFmtId="0" xfId="0" applyAlignment="1" applyFill="1" applyFont="1">
      <alignment horizontal="center" readingOrder="0"/>
    </xf>
    <xf borderId="0" fillId="36" fontId="8" numFmtId="0" xfId="0" applyAlignment="1" applyFont="1">
      <alignment horizontal="center" vertical="bottom"/>
    </xf>
    <xf borderId="0" fillId="37" fontId="9" numFmtId="0" xfId="0" applyAlignment="1" applyFill="1" applyFont="1">
      <alignment horizontal="center" vertical="bottom"/>
    </xf>
    <xf borderId="0" fillId="20" fontId="3" numFmtId="0" xfId="0" applyAlignment="1" applyFont="1">
      <alignment horizontal="center" readingOrder="0"/>
    </xf>
    <xf borderId="0" fillId="20" fontId="4" numFmtId="0" xfId="0" applyAlignment="1" applyFont="1">
      <alignment horizontal="center" readingOrder="0"/>
    </xf>
    <xf borderId="0" fillId="16" fontId="18" numFmtId="0" xfId="0" applyAlignment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6" fontId="20" numFmtId="0" xfId="0" applyAlignment="1" applyFont="1">
      <alignment horizontal="center" readingOrder="0"/>
    </xf>
    <xf borderId="0" fillId="6" fontId="5" numFmtId="0" xfId="0" applyAlignment="1" applyFont="1">
      <alignment horizontal="center" readingOrder="0"/>
    </xf>
    <xf borderId="0" fillId="16" fontId="1" numFmtId="0" xfId="0" applyAlignment="1" applyFont="1">
      <alignment horizontal="center" readingOrder="0"/>
    </xf>
    <xf borderId="0" fillId="38" fontId="3" numFmtId="0" xfId="0" applyAlignment="1" applyFill="1" applyFont="1">
      <alignment readingOrder="0"/>
    </xf>
    <xf borderId="0" fillId="20" fontId="21" numFmtId="0" xfId="0" applyAlignment="1" applyFont="1">
      <alignment horizontal="center" readingOrder="0"/>
    </xf>
    <xf borderId="0" fillId="0" fontId="26" numFmtId="0" xfId="0" applyAlignment="1" applyFont="1">
      <alignment horizontal="left" readingOrder="0" shrinkToFit="0" vertical="bottom" wrapText="0"/>
    </xf>
    <xf borderId="0" fillId="28" fontId="18" numFmtId="0" xfId="0" applyAlignment="1" applyFont="1">
      <alignment horizontal="center" readingOrder="0"/>
    </xf>
    <xf borderId="0" fillId="18" fontId="5" numFmtId="0" xfId="0" applyAlignment="1" applyFont="1">
      <alignment horizontal="center" readingOrder="0"/>
    </xf>
    <xf borderId="0" fillId="36" fontId="20" numFmtId="0" xfId="0" applyAlignment="1" applyFont="1">
      <alignment horizontal="center" readingOrder="0"/>
    </xf>
    <xf borderId="0" fillId="36" fontId="23" numFmtId="0" xfId="0" applyAlignment="1" applyFont="1">
      <alignment horizontal="center" readingOrder="0"/>
    </xf>
    <xf borderId="0" fillId="36" fontId="18" numFmtId="0" xfId="0" applyAlignment="1" applyFont="1">
      <alignment horizontal="center" readingOrder="0"/>
    </xf>
    <xf borderId="0" fillId="37" fontId="19" numFmtId="0" xfId="0" applyAlignment="1" applyFont="1">
      <alignment horizontal="center" readingOrder="0"/>
    </xf>
    <xf borderId="0" fillId="0" fontId="22" numFmtId="0" xfId="0" applyAlignment="1" applyFont="1">
      <alignment readingOrder="0"/>
    </xf>
    <xf borderId="0" fillId="6" fontId="11" numFmtId="0" xfId="0" applyAlignment="1" applyFont="1">
      <alignment horizontal="center" readingOrder="0"/>
    </xf>
    <xf borderId="0" fillId="22" fontId="5" numFmtId="0" xfId="0" applyAlignment="1" applyFont="1">
      <alignment horizontal="center" readingOrder="0"/>
    </xf>
    <xf borderId="0" fillId="6" fontId="3" numFmtId="0" xfId="0" applyFont="1"/>
    <xf borderId="0" fillId="6" fontId="3" numFmtId="0" xfId="0" applyAlignment="1" applyFont="1">
      <alignment horizontal="left" readingOrder="0"/>
    </xf>
    <xf borderId="0" fillId="6" fontId="27" numFmtId="0" xfId="0" applyAlignment="1" applyFont="1">
      <alignment horizontal="center" readingOrder="0"/>
    </xf>
    <xf borderId="0" fillId="39" fontId="3" numFmtId="0" xfId="0" applyAlignment="1" applyFill="1" applyFont="1">
      <alignment horizontal="center" readingOrder="0"/>
    </xf>
    <xf borderId="0" fillId="39" fontId="4" numFmtId="0" xfId="0" applyAlignment="1" applyFont="1">
      <alignment horizontal="center" readingOrder="0"/>
    </xf>
    <xf borderId="0" fillId="40" fontId="28" numFmtId="0" xfId="0" applyAlignment="1" applyFill="1" applyFont="1">
      <alignment horizontal="center" readingOrder="0"/>
    </xf>
    <xf borderId="0" fillId="40" fontId="20" numFmtId="0" xfId="0" applyAlignment="1" applyFont="1">
      <alignment horizontal="center" readingOrder="0"/>
    </xf>
    <xf borderId="0" fillId="40" fontId="18" numFmtId="0" xfId="0" applyAlignment="1" applyFont="1">
      <alignment horizontal="center" readingOrder="0"/>
    </xf>
    <xf borderId="0" fillId="40" fontId="24" numFmtId="0" xfId="0" applyAlignment="1" applyFont="1">
      <alignment horizontal="center" readingOrder="0" vertical="bottom"/>
    </xf>
    <xf borderId="0" fillId="20" fontId="7" numFmtId="0" xfId="0" applyAlignment="1" applyFont="1">
      <alignment horizontal="center" vertical="bottom"/>
    </xf>
    <xf borderId="0" fillId="41" fontId="11" numFmtId="0" xfId="0" applyAlignment="1" applyFill="1" applyFont="1">
      <alignment horizontal="center" readingOrder="0"/>
    </xf>
    <xf borderId="0" fillId="41" fontId="21" numFmtId="0" xfId="0" applyAlignment="1" applyFont="1">
      <alignment horizontal="center" readingOrder="0"/>
    </xf>
    <xf borderId="0" fillId="42" fontId="15" numFmtId="0" xfId="0" applyAlignment="1" applyFill="1" applyFont="1">
      <alignment horizontal="center" readingOrder="0"/>
    </xf>
    <xf borderId="0" fillId="43" fontId="3" numFmtId="0" xfId="0" applyAlignment="1" applyFill="1" applyFont="1">
      <alignment horizontal="center" readingOrder="0"/>
    </xf>
    <xf borderId="0" fillId="23" fontId="8" numFmtId="0" xfId="0" applyAlignment="1" applyFont="1">
      <alignment horizontal="center" vertical="bottom"/>
    </xf>
    <xf borderId="0" fillId="18" fontId="9" numFmtId="0" xfId="0" applyAlignment="1" applyFont="1">
      <alignment horizontal="center" vertical="bottom"/>
    </xf>
    <xf borderId="0" fillId="10" fontId="5" numFmtId="0" xfId="0" applyAlignment="1" applyFont="1">
      <alignment horizontal="center"/>
    </xf>
    <xf borderId="0" fillId="0" fontId="16" numFmtId="0" xfId="0" applyAlignment="1" applyFont="1">
      <alignment horizontal="center" vertical="bottom"/>
    </xf>
    <xf borderId="0" fillId="22" fontId="7" numFmtId="0" xfId="0" applyAlignment="1" applyFont="1">
      <alignment horizontal="center" vertical="bottom"/>
    </xf>
    <xf borderId="0" fillId="23" fontId="29" numFmtId="0" xfId="0" applyAlignment="1" applyFont="1">
      <alignment horizontal="center" vertical="bottom"/>
    </xf>
    <xf borderId="0" fillId="44" fontId="4" numFmtId="0" xfId="0" applyAlignment="1" applyFill="1" applyFont="1">
      <alignment horizontal="center" readingOrder="0"/>
    </xf>
    <xf borderId="0" fillId="44" fontId="3" numFmtId="0" xfId="0" applyAlignment="1" applyFont="1">
      <alignment horizontal="center" readingOrder="0"/>
    </xf>
    <xf borderId="0" fillId="19" fontId="30" numFmtId="0" xfId="0" applyAlignment="1" applyFont="1">
      <alignment horizontal="center" readingOrder="0"/>
    </xf>
    <xf borderId="0" fillId="19" fontId="18" numFmtId="0" xfId="0" applyAlignment="1" applyFont="1">
      <alignment horizontal="center" readingOrder="0"/>
    </xf>
    <xf borderId="0" fillId="32" fontId="19" numFmtId="0" xfId="0" applyAlignment="1" applyFont="1">
      <alignment horizontal="center" readingOrder="0"/>
    </xf>
    <xf borderId="0" fillId="22" fontId="7" numFmtId="0" xfId="0" applyAlignment="1" applyFont="1">
      <alignment horizontal="center" vertical="bottom"/>
    </xf>
    <xf borderId="0" fillId="23" fontId="29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45" fontId="3" numFmtId="0" xfId="0" applyAlignment="1" applyFill="1" applyFont="1">
      <alignment horizontal="center" readingOrder="0"/>
    </xf>
    <xf borderId="0" fillId="45" fontId="4" numFmtId="0" xfId="0" applyAlignment="1" applyFont="1">
      <alignment horizontal="center" readingOrder="0"/>
    </xf>
    <xf borderId="0" fillId="19" fontId="17" numFmtId="0" xfId="0" applyAlignment="1" applyFont="1">
      <alignment horizontal="center" readingOrder="0"/>
    </xf>
    <xf borderId="0" fillId="19" fontId="28" numFmtId="0" xfId="0" applyAlignment="1" applyFont="1">
      <alignment horizontal="center" readingOrder="0"/>
    </xf>
    <xf borderId="0" fillId="19" fontId="8" numFmtId="0" xfId="0" applyAlignment="1" applyFont="1">
      <alignment horizontal="center" vertical="bottom"/>
    </xf>
    <xf borderId="0" fillId="26" fontId="3" numFmtId="0" xfId="0" applyAlignment="1" applyFont="1">
      <alignment horizontal="center" readingOrder="0"/>
    </xf>
    <xf borderId="0" fillId="46" fontId="3" numFmtId="0" xfId="0" applyAlignment="1" applyFill="1" applyFont="1">
      <alignment readingOrder="0"/>
    </xf>
    <xf borderId="0" fillId="26" fontId="21" numFmtId="0" xfId="0" applyAlignment="1" applyFont="1">
      <alignment horizontal="center" readingOrder="0"/>
    </xf>
    <xf borderId="0" fillId="3" fontId="22" numFmtId="0" xfId="0" applyAlignment="1" applyFont="1">
      <alignment horizontal="center" readingOrder="0"/>
    </xf>
    <xf borderId="0" fillId="47" fontId="3" numFmtId="0" xfId="0" applyAlignment="1" applyFill="1" applyFont="1">
      <alignment horizontal="center"/>
    </xf>
    <xf borderId="0" fillId="48" fontId="4" numFmtId="0" xfId="0" applyAlignment="1" applyFill="1" applyFont="1">
      <alignment horizontal="center" readingOrder="0"/>
    </xf>
    <xf borderId="0" fillId="49" fontId="4" numFmtId="0" xfId="0" applyAlignment="1" applyFill="1" applyFont="1">
      <alignment horizontal="center" readingOrder="0"/>
    </xf>
    <xf borderId="0" fillId="50" fontId="4" numFmtId="0" xfId="0" applyAlignment="1" applyFill="1" applyFont="1">
      <alignment horizontal="center" readingOrder="0"/>
    </xf>
    <xf borderId="0" fillId="41" fontId="4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6" fontId="31" numFmtId="0" xfId="0" applyAlignment="1" applyFont="1">
      <alignment horizontal="center" readingOrder="0"/>
    </xf>
    <xf borderId="0" fillId="51" fontId="32" numFmtId="0" xfId="0" applyAlignment="1" applyFill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43" fontId="3" numFmtId="0" xfId="0" applyAlignment="1" applyFont="1">
      <alignment readingOrder="0"/>
    </xf>
    <xf borderId="0" fillId="6" fontId="19" numFmtId="0" xfId="0" applyAlignment="1" applyFont="1">
      <alignment horizontal="center" readingOrder="0"/>
    </xf>
    <xf borderId="0" fillId="51" fontId="33" numFmtId="0" xfId="0" applyAlignment="1" applyFont="1">
      <alignment horizontal="center" readingOrder="0"/>
    </xf>
    <xf borderId="0" fillId="3" fontId="34" numFmtId="0" xfId="0" applyAlignment="1" applyFont="1">
      <alignment horizontal="center" readingOrder="0"/>
    </xf>
    <xf borderId="0" fillId="46" fontId="3" numFmtId="0" xfId="0" applyAlignment="1" applyFon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3" numFmtId="165" xfId="0" applyAlignment="1" applyFont="1" applyNumberFormat="1">
      <alignment horizontal="center" readingOrder="0"/>
    </xf>
    <xf borderId="0" fillId="40" fontId="35" numFmtId="0" xfId="0" applyAlignment="1" applyFont="1">
      <alignment horizontal="center" readingOrder="0"/>
    </xf>
    <xf borderId="0" fillId="16" fontId="36" numFmtId="0" xfId="0" applyAlignment="1" applyFont="1">
      <alignment horizontal="center" readingOrder="0"/>
    </xf>
    <xf borderId="0" fillId="16" fontId="37" numFmtId="0" xfId="0" applyAlignment="1" applyFont="1">
      <alignment horizontal="center" readingOrder="0"/>
    </xf>
    <xf borderId="0" fillId="52" fontId="4" numFmtId="0" xfId="0" applyAlignment="1" applyFill="1" applyFont="1">
      <alignment horizontal="center" readingOrder="0"/>
    </xf>
    <xf borderId="0" fillId="35" fontId="3" numFmtId="0" xfId="0" applyAlignment="1" applyFont="1">
      <alignment readingOrder="0"/>
    </xf>
    <xf borderId="0" fillId="32" fontId="4" numFmtId="0" xfId="0" applyAlignment="1" applyFont="1">
      <alignment horizontal="center" readingOrder="0"/>
    </xf>
    <xf borderId="0" fillId="16" fontId="38" numFmtId="0" xfId="0" applyAlignment="1" applyFont="1">
      <alignment horizontal="center" readingOrder="0"/>
    </xf>
    <xf borderId="0" fillId="53" fontId="4" numFmtId="0" xfId="0" applyAlignment="1" applyFill="1" applyFont="1">
      <alignment horizontal="center" readingOrder="0"/>
    </xf>
    <xf borderId="0" fillId="43" fontId="4" numFmtId="0" xfId="0" applyAlignment="1" applyFont="1">
      <alignment horizontal="center" readingOrder="0"/>
    </xf>
    <xf borderId="0" fillId="6" fontId="39" numFmtId="0" xfId="0" applyAlignment="1" applyFont="1">
      <alignment readingOrder="0"/>
    </xf>
    <xf borderId="0" fillId="6" fontId="40" numFmtId="0" xfId="0" applyAlignment="1" applyFont="1">
      <alignment readingOrder="0"/>
    </xf>
    <xf borderId="0" fillId="27" fontId="41" numFmtId="0" xfId="0" applyAlignment="1" applyFont="1">
      <alignment horizontal="center" readingOrder="0" shrinkToFit="0" vertical="bottom" wrapText="0"/>
    </xf>
    <xf borderId="0" fillId="0" fontId="26" numFmtId="0" xfId="0" applyAlignment="1" applyFont="1">
      <alignment horizontal="left" shrinkToFit="0" vertical="bottom" wrapText="0"/>
    </xf>
    <xf borderId="0" fillId="0" fontId="41" numFmtId="0" xfId="0" applyAlignment="1" applyFont="1">
      <alignment horizontal="center" readingOrder="0" shrinkToFit="0" vertical="bottom" wrapText="0"/>
    </xf>
    <xf borderId="0" fillId="6" fontId="0" numFmtId="0" xfId="0" applyAlignment="1" applyFont="1">
      <alignment horizontal="left" readingOrder="0" shrinkToFit="0" vertical="bottom" wrapText="0"/>
    </xf>
    <xf borderId="0" fillId="6" fontId="0" numFmtId="0" xfId="0" applyAlignment="1" applyFont="1">
      <alignment horizontal="left" readingOrder="0"/>
    </xf>
    <xf borderId="0" fillId="0" fontId="9" numFmtId="0" xfId="0" applyAlignment="1" applyFont="1">
      <alignment readingOrder="0" vertical="bottom"/>
    </xf>
    <xf borderId="0" fillId="0" fontId="26" numFmtId="0" xfId="0" applyAlignment="1" applyFont="1">
      <alignment horizontal="center" readingOrder="0" shrinkToFit="0" vertical="bottom" wrapText="0"/>
    </xf>
    <xf borderId="0" fillId="0" fontId="26" numFmtId="0" xfId="0" applyAlignment="1" applyFont="1">
      <alignment horizontal="center" shrinkToFit="0" vertical="bottom" wrapText="0"/>
    </xf>
    <xf borderId="0" fillId="0" fontId="42" numFmtId="0" xfId="0" applyAlignment="1" applyFont="1">
      <alignment horizontal="center" readingOrder="0"/>
    </xf>
    <xf borderId="0" fillId="0" fontId="43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4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/>
    </xf>
    <xf borderId="0" fillId="0" fontId="43" numFmtId="0" xfId="0" applyAlignment="1" applyFont="1">
      <alignment horizontal="center"/>
    </xf>
    <xf borderId="0" fillId="0" fontId="45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15" fontId="41" numFmtId="0" xfId="0" applyAlignment="1" applyFont="1">
      <alignment horizontal="center" readingOrder="0" shrinkToFit="0" vertical="bottom" wrapText="0"/>
    </xf>
    <xf borderId="0" fillId="6" fontId="43" numFmtId="0" xfId="0" applyAlignment="1" applyFont="1">
      <alignment readingOrder="0"/>
    </xf>
    <xf borderId="0" fillId="0" fontId="46" numFmtId="0" xfId="0" applyAlignment="1" applyFont="1">
      <alignment readingOrder="0"/>
    </xf>
    <xf borderId="0" fillId="0" fontId="2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41.38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>
      <c r="A3" s="4" t="s">
        <v>4</v>
      </c>
      <c r="B3" s="5">
        <f>Australia!A4</f>
        <v>1976135</v>
      </c>
      <c r="D3" s="6" t="str">
        <f t="array" ref="D3:D15">Australia!B7:B19</f>
        <v>Level 3 Stadiums</v>
      </c>
      <c r="E3" s="6" t="str">
        <f t="array" ref="E3:E12">Bangladesh!B7:B16</f>
        <v>Level 3 Stadiums</v>
      </c>
      <c r="F3" s="6" t="str">
        <f t="array" ref="F3:F21">England!B7:B25</f>
        <v>Level 3 Stadiums</v>
      </c>
      <c r="G3" s="6" t="str">
        <f t="array" ref="G3:G12">India!B7:B16</f>
        <v>Level 3 Stadiums</v>
      </c>
      <c r="H3" s="6" t="str">
        <f t="array" ref="H3:H11">Italy!B7:B15</f>
        <v>Level 3 Stadiums</v>
      </c>
      <c r="I3" s="6" t="str">
        <f t="array" ref="I3:I13">Netherlands!B7:B17</f>
        <v>Level 3 Stadiums</v>
      </c>
      <c r="J3" s="6" t="str">
        <f t="array" ref="J3:J14">Newzealand!B7:B18</f>
        <v>Level 3 Stadiums</v>
      </c>
      <c r="K3" s="6" t="str">
        <f t="array" ref="K3:K14">Pakistan!B7:B18</f>
        <v>Level 3 Stadiums</v>
      </c>
      <c r="L3" s="6" t="str">
        <f t="array" ref="L3:L14">Qatar!B7:B18</f>
        <v>Level 3 Stadiums</v>
      </c>
      <c r="M3" s="6" t="str">
        <f t="array" ref="M3:M14">Scotland!C7:C18</f>
        <v>Level 3 Stadiums</v>
      </c>
      <c r="N3" s="6" t="str">
        <f t="array" ref="N3:N14">SA!B7:B18</f>
        <v>Level 3 Stadiums</v>
      </c>
      <c r="O3" s="6" t="str">
        <f t="array" ref="O3:O14">Srilanka!B7:B18</f>
        <v>Level 3 Stadiums</v>
      </c>
      <c r="P3" s="6" t="str">
        <f t="array" ref="P3:P14">UAE!B7:B18</f>
        <v>Level 3 Stadiums</v>
      </c>
      <c r="Q3" s="6" t="str">
        <f t="array" ref="Q3:Q14">WestIndies!B7:B18</f>
        <v>Level 3 Stadiums</v>
      </c>
    </row>
    <row r="4">
      <c r="A4" s="4" t="s">
        <v>10</v>
      </c>
      <c r="B4" s="5">
        <f>Newzealand!A4</f>
        <v>1788635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  <c r="O4" s="5" t="s">
        <v>29</v>
      </c>
      <c r="P4" s="5" t="s">
        <v>30</v>
      </c>
      <c r="Q4" s="5" t="s">
        <v>31</v>
      </c>
    </row>
    <row r="5">
      <c r="A5" s="4" t="s">
        <v>5</v>
      </c>
      <c r="B5" s="5">
        <f>Bangladesh!A4</f>
        <v>1413370</v>
      </c>
      <c r="D5" s="5" t="s">
        <v>32</v>
      </c>
      <c r="E5" s="5" t="s">
        <v>33</v>
      </c>
      <c r="F5" s="5" t="s">
        <v>34</v>
      </c>
      <c r="G5" s="5" t="s">
        <v>35</v>
      </c>
      <c r="H5" s="6" t="s">
        <v>36</v>
      </c>
      <c r="I5" s="5" t="s">
        <v>37</v>
      </c>
      <c r="J5" s="5" t="s">
        <v>38</v>
      </c>
      <c r="K5" s="5" t="s">
        <v>39</v>
      </c>
      <c r="L5" s="5" t="s">
        <v>40</v>
      </c>
      <c r="M5" s="7" t="s">
        <v>41</v>
      </c>
      <c r="N5" s="5" t="s">
        <v>42</v>
      </c>
      <c r="O5" s="5" t="s">
        <v>43</v>
      </c>
      <c r="P5" s="6" t="s">
        <v>36</v>
      </c>
      <c r="Q5" s="5" t="s">
        <v>44</v>
      </c>
    </row>
    <row r="6">
      <c r="A6" s="4" t="s">
        <v>13</v>
      </c>
      <c r="B6" s="5">
        <f>Scotland!A4</f>
        <v>84540</v>
      </c>
      <c r="D6" s="5" t="s">
        <v>45</v>
      </c>
      <c r="E6" s="5" t="s">
        <v>46</v>
      </c>
      <c r="F6" s="5" t="s">
        <v>47</v>
      </c>
      <c r="G6" s="7" t="s">
        <v>48</v>
      </c>
      <c r="H6" s="5" t="s">
        <v>49</v>
      </c>
      <c r="I6" s="6" t="s">
        <v>36</v>
      </c>
      <c r="J6" s="5" t="s">
        <v>50</v>
      </c>
      <c r="K6" s="5" t="s">
        <v>51</v>
      </c>
      <c r="L6" s="6" t="s">
        <v>36</v>
      </c>
      <c r="M6" s="5" t="s">
        <v>52</v>
      </c>
      <c r="N6" s="6" t="s">
        <v>36</v>
      </c>
      <c r="O6" s="6" t="s">
        <v>36</v>
      </c>
      <c r="P6" s="5" t="s">
        <v>49</v>
      </c>
      <c r="Q6" s="6" t="s">
        <v>36</v>
      </c>
    </row>
    <row r="7">
      <c r="A7" s="4" t="s">
        <v>11</v>
      </c>
      <c r="B7" s="5">
        <f>Pakistan!A4</f>
        <v>1129200</v>
      </c>
      <c r="D7" s="5" t="s">
        <v>53</v>
      </c>
      <c r="E7" s="5" t="s">
        <v>54</v>
      </c>
      <c r="F7" s="5" t="s">
        <v>55</v>
      </c>
      <c r="G7" s="8" t="s">
        <v>36</v>
      </c>
      <c r="H7" s="6" t="s">
        <v>56</v>
      </c>
      <c r="I7" s="5" t="s">
        <v>49</v>
      </c>
      <c r="J7" s="5" t="s">
        <v>57</v>
      </c>
      <c r="K7" s="5" t="s">
        <v>58</v>
      </c>
      <c r="L7" s="5" t="s">
        <v>49</v>
      </c>
      <c r="M7" s="6" t="s">
        <v>36</v>
      </c>
      <c r="N7" s="5" t="s">
        <v>49</v>
      </c>
      <c r="O7" s="5" t="s">
        <v>49</v>
      </c>
      <c r="P7" s="6" t="s">
        <v>56</v>
      </c>
      <c r="Q7" s="5" t="s">
        <v>49</v>
      </c>
    </row>
    <row r="8">
      <c r="A8" s="4" t="s">
        <v>7</v>
      </c>
      <c r="B8" s="5">
        <f>India!A4</f>
        <v>1278060</v>
      </c>
      <c r="D8" s="5" t="s">
        <v>59</v>
      </c>
      <c r="E8" s="5" t="s">
        <v>60</v>
      </c>
      <c r="F8" s="5" t="s">
        <v>61</v>
      </c>
      <c r="G8" s="7" t="s">
        <v>49</v>
      </c>
      <c r="H8" s="5" t="s">
        <v>49</v>
      </c>
      <c r="I8" s="6" t="s">
        <v>56</v>
      </c>
      <c r="J8" s="6" t="s">
        <v>36</v>
      </c>
      <c r="K8" s="6" t="s">
        <v>36</v>
      </c>
      <c r="L8" s="6" t="s">
        <v>56</v>
      </c>
      <c r="M8" s="5" t="s">
        <v>49</v>
      </c>
      <c r="N8" s="6" t="s">
        <v>56</v>
      </c>
      <c r="O8" s="6" t="s">
        <v>56</v>
      </c>
      <c r="P8" s="5" t="s">
        <v>49</v>
      </c>
      <c r="Q8" s="6" t="s">
        <v>56</v>
      </c>
    </row>
    <row r="9">
      <c r="A9" s="4" t="s">
        <v>6</v>
      </c>
      <c r="B9" s="5">
        <f>England!A4</f>
        <v>922985</v>
      </c>
      <c r="D9" s="5" t="s">
        <v>62</v>
      </c>
      <c r="E9" s="8" t="s">
        <v>36</v>
      </c>
      <c r="F9" s="5" t="s">
        <v>63</v>
      </c>
      <c r="G9" s="8" t="s">
        <v>56</v>
      </c>
      <c r="H9" s="5"/>
      <c r="I9" s="5" t="s">
        <v>49</v>
      </c>
      <c r="J9" s="5" t="s">
        <v>64</v>
      </c>
      <c r="K9" s="5" t="s">
        <v>49</v>
      </c>
      <c r="L9" s="5" t="s">
        <v>49</v>
      </c>
      <c r="M9" s="8" t="s">
        <v>56</v>
      </c>
      <c r="N9" s="5" t="s">
        <v>49</v>
      </c>
      <c r="O9" s="5" t="s">
        <v>49</v>
      </c>
      <c r="P9" s="5"/>
      <c r="Q9" s="5" t="s">
        <v>65</v>
      </c>
    </row>
    <row r="10">
      <c r="A10" s="4" t="s">
        <v>15</v>
      </c>
      <c r="B10" s="5">
        <f>Srilanka!A4</f>
        <v>489600</v>
      </c>
      <c r="D10" s="5" t="s">
        <v>66</v>
      </c>
      <c r="E10" s="5" t="s">
        <v>49</v>
      </c>
      <c r="F10" s="6" t="s">
        <v>36</v>
      </c>
      <c r="G10" s="5" t="s">
        <v>67</v>
      </c>
      <c r="H10" s="5"/>
      <c r="I10" s="5"/>
      <c r="J10" s="6" t="s">
        <v>56</v>
      </c>
      <c r="K10" s="6" t="s">
        <v>56</v>
      </c>
      <c r="L10" s="5"/>
      <c r="M10" s="5" t="s">
        <v>49</v>
      </c>
      <c r="N10" s="5"/>
      <c r="O10" s="5"/>
      <c r="P10" s="5"/>
      <c r="Q10" s="5" t="s">
        <v>68</v>
      </c>
    </row>
    <row r="11">
      <c r="A11" s="4" t="s">
        <v>12</v>
      </c>
      <c r="B11" s="5">
        <f>Qatar!A4</f>
        <v>568385</v>
      </c>
      <c r="D11" s="5" t="s">
        <v>69</v>
      </c>
      <c r="E11" s="8" t="s">
        <v>56</v>
      </c>
      <c r="F11" s="5" t="s">
        <v>70</v>
      </c>
      <c r="G11" s="5" t="s">
        <v>71</v>
      </c>
      <c r="H11" s="5"/>
      <c r="I11" s="5"/>
      <c r="J11" s="5" t="s">
        <v>72</v>
      </c>
      <c r="K11" s="5" t="s">
        <v>73</v>
      </c>
      <c r="L11" s="5"/>
      <c r="M11" s="5"/>
      <c r="N11" s="5"/>
      <c r="O11" s="5"/>
      <c r="P11" s="5"/>
      <c r="Q11" s="5" t="s">
        <v>74</v>
      </c>
    </row>
    <row r="12">
      <c r="A12" s="4" t="s">
        <v>17</v>
      </c>
      <c r="B12" s="5">
        <f>WestIndies!A4</f>
        <v>1798800</v>
      </c>
      <c r="D12" s="8" t="s">
        <v>36</v>
      </c>
      <c r="E12" s="5" t="s">
        <v>49</v>
      </c>
      <c r="F12" s="7" t="s">
        <v>75</v>
      </c>
      <c r="G12" s="5" t="s">
        <v>76</v>
      </c>
      <c r="H12" s="5"/>
      <c r="I12" s="5"/>
      <c r="J12" s="5" t="s">
        <v>77</v>
      </c>
      <c r="K12" s="5" t="s">
        <v>78</v>
      </c>
      <c r="L12" s="5"/>
      <c r="M12" s="5"/>
      <c r="N12" s="5"/>
      <c r="O12" s="5"/>
      <c r="P12" s="5"/>
      <c r="Q12" s="5" t="s">
        <v>79</v>
      </c>
    </row>
    <row r="13">
      <c r="A13" s="4" t="s">
        <v>8</v>
      </c>
      <c r="B13" s="5">
        <f>Italy!A4</f>
        <v>427850</v>
      </c>
      <c r="D13" s="5" t="s">
        <v>49</v>
      </c>
      <c r="E13" s="5"/>
      <c r="F13" s="5" t="s">
        <v>80</v>
      </c>
      <c r="G13" s="5"/>
      <c r="H13" s="5"/>
      <c r="I13" s="5"/>
      <c r="J13" s="5" t="s">
        <v>81</v>
      </c>
      <c r="K13" s="5"/>
      <c r="L13" s="5"/>
      <c r="M13" s="5"/>
      <c r="N13" s="5"/>
      <c r="O13" s="5"/>
      <c r="P13" s="5"/>
      <c r="Q13" s="5" t="s">
        <v>82</v>
      </c>
    </row>
    <row r="14">
      <c r="A14" s="4" t="s">
        <v>9</v>
      </c>
      <c r="B14" s="5">
        <f>Netherlands!A4</f>
        <v>271240</v>
      </c>
      <c r="D14" s="8" t="s">
        <v>56</v>
      </c>
      <c r="E14" s="5"/>
      <c r="F14" s="5" t="s">
        <v>83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 t="s">
        <v>84</v>
      </c>
    </row>
    <row r="15">
      <c r="A15" s="4" t="s">
        <v>14</v>
      </c>
      <c r="B15" s="5">
        <f>SA!A4</f>
        <v>392350</v>
      </c>
      <c r="D15" s="5" t="s">
        <v>49</v>
      </c>
      <c r="E15" s="5"/>
      <c r="F15" s="9" t="s">
        <v>56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4" t="s">
        <v>16</v>
      </c>
      <c r="B16" s="5">
        <f>UAE!A4</f>
        <v>43500</v>
      </c>
      <c r="D16" s="5"/>
      <c r="E16" s="5"/>
      <c r="F16" s="5" t="s">
        <v>49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>
      <c r="F17" s="10"/>
      <c r="K17" s="5"/>
      <c r="L17" s="5"/>
      <c r="M17" s="5"/>
      <c r="N17" s="5"/>
      <c r="O17" s="5"/>
      <c r="P17" s="5"/>
      <c r="Q17" s="5"/>
    </row>
    <row r="18">
      <c r="F18" s="10"/>
      <c r="K18" s="5"/>
      <c r="L18" s="5"/>
      <c r="M18" s="5"/>
      <c r="N18" s="5"/>
      <c r="O18" s="5"/>
      <c r="P18" s="5"/>
      <c r="Q18" s="5"/>
    </row>
    <row r="19">
      <c r="F19" s="10"/>
      <c r="K19" s="5"/>
      <c r="L19" s="5"/>
      <c r="M19" s="5"/>
      <c r="N19" s="5"/>
      <c r="O19" s="5"/>
      <c r="P19" s="5"/>
      <c r="Q19" s="5"/>
    </row>
    <row r="20">
      <c r="F20" s="10"/>
      <c r="K20" s="5"/>
      <c r="L20" s="5"/>
      <c r="M20" s="5"/>
      <c r="N20" s="5"/>
      <c r="O20" s="5"/>
      <c r="P20" s="5"/>
      <c r="Q20" s="5"/>
    </row>
    <row r="21">
      <c r="F21" s="10"/>
      <c r="K21" s="5"/>
      <c r="L21" s="5"/>
      <c r="M21" s="5"/>
      <c r="N21" s="5"/>
      <c r="O21" s="5"/>
      <c r="P21" s="5"/>
      <c r="Q21" s="5"/>
    </row>
    <row r="22">
      <c r="A22" s="5"/>
      <c r="B22" s="5"/>
      <c r="D22" s="5"/>
      <c r="E22" s="5"/>
      <c r="F22" s="5"/>
      <c r="G22" s="5"/>
      <c r="H22" s="5"/>
      <c r="I22" s="5"/>
      <c r="J22" s="5"/>
      <c r="L22" s="5"/>
      <c r="M22" s="5"/>
      <c r="N22" s="5"/>
      <c r="O22" s="5"/>
      <c r="P22" s="5"/>
      <c r="Q22" s="5"/>
    </row>
    <row r="23">
      <c r="A23" s="11" t="s">
        <v>85</v>
      </c>
      <c r="E23" s="12"/>
      <c r="F23" s="11" t="s">
        <v>86</v>
      </c>
      <c r="L23" s="5"/>
      <c r="M23" s="5"/>
      <c r="N23" s="5"/>
      <c r="O23" s="5"/>
      <c r="P23" s="5"/>
      <c r="Q23" s="5"/>
    </row>
    <row r="24">
      <c r="A24" s="13" t="s">
        <v>87</v>
      </c>
      <c r="B24" s="13" t="s">
        <v>88</v>
      </c>
      <c r="C24" s="13" t="s">
        <v>89</v>
      </c>
      <c r="D24" s="13" t="s">
        <v>90</v>
      </c>
      <c r="F24" s="13" t="s">
        <v>91</v>
      </c>
      <c r="G24" s="14" t="s">
        <v>92</v>
      </c>
      <c r="H24" s="14" t="s">
        <v>93</v>
      </c>
      <c r="I24" s="14" t="s">
        <v>94</v>
      </c>
      <c r="J24" s="14" t="s">
        <v>95</v>
      </c>
      <c r="L24" s="5"/>
      <c r="M24" s="5"/>
      <c r="N24" s="5"/>
      <c r="O24" s="5"/>
      <c r="P24" s="5"/>
      <c r="Q24" s="5"/>
    </row>
    <row r="25">
      <c r="A25" s="15" t="s">
        <v>96</v>
      </c>
      <c r="B25" s="16" t="s">
        <v>97</v>
      </c>
      <c r="C25" s="16" t="s">
        <v>98</v>
      </c>
      <c r="D25" s="16" t="s">
        <v>6</v>
      </c>
      <c r="F25" s="15" t="s">
        <v>99</v>
      </c>
      <c r="G25" s="17" t="s">
        <v>100</v>
      </c>
      <c r="H25" s="17" t="s">
        <v>101</v>
      </c>
      <c r="I25" s="17" t="s">
        <v>102</v>
      </c>
      <c r="J25" s="17" t="s">
        <v>6</v>
      </c>
      <c r="L25" s="5"/>
      <c r="M25" s="5"/>
      <c r="N25" s="5"/>
      <c r="O25" s="5"/>
      <c r="P25" s="5"/>
      <c r="Q25" s="5"/>
    </row>
    <row r="26">
      <c r="B26" s="16" t="s">
        <v>103</v>
      </c>
      <c r="C26" s="16" t="s">
        <v>104</v>
      </c>
      <c r="D26" s="16" t="s">
        <v>4</v>
      </c>
      <c r="G26" s="17" t="s">
        <v>105</v>
      </c>
      <c r="H26" s="17" t="s">
        <v>106</v>
      </c>
      <c r="I26" s="17" t="s">
        <v>102</v>
      </c>
      <c r="J26" s="17" t="s">
        <v>107</v>
      </c>
      <c r="L26" s="5"/>
      <c r="M26" s="5"/>
      <c r="N26" s="5"/>
      <c r="O26" s="5"/>
      <c r="P26" s="5"/>
      <c r="Q26" s="5"/>
    </row>
    <row r="27">
      <c r="B27" s="16" t="s">
        <v>108</v>
      </c>
      <c r="C27" s="16" t="s">
        <v>109</v>
      </c>
      <c r="D27" s="16" t="s">
        <v>15</v>
      </c>
      <c r="G27" s="17" t="s">
        <v>110</v>
      </c>
      <c r="H27" s="17" t="s">
        <v>111</v>
      </c>
      <c r="I27" s="17" t="s">
        <v>112</v>
      </c>
      <c r="J27" s="17" t="s">
        <v>10</v>
      </c>
      <c r="L27" s="5"/>
      <c r="M27" s="5"/>
      <c r="N27" s="5"/>
      <c r="O27" s="5"/>
      <c r="P27" s="5"/>
      <c r="Q27" s="5"/>
    </row>
    <row r="28">
      <c r="B28" s="16" t="s">
        <v>113</v>
      </c>
      <c r="C28" s="16" t="s">
        <v>114</v>
      </c>
      <c r="D28" s="16" t="s">
        <v>11</v>
      </c>
      <c r="G28" s="17" t="s">
        <v>115</v>
      </c>
      <c r="H28" s="17" t="s">
        <v>116</v>
      </c>
      <c r="I28" s="17" t="s">
        <v>117</v>
      </c>
      <c r="J28" s="17" t="s">
        <v>6</v>
      </c>
    </row>
    <row r="29">
      <c r="B29" s="16" t="s">
        <v>118</v>
      </c>
      <c r="C29" s="16" t="s">
        <v>119</v>
      </c>
      <c r="D29" s="16" t="s">
        <v>6</v>
      </c>
      <c r="G29" s="17" t="s">
        <v>120</v>
      </c>
      <c r="H29" s="17" t="s">
        <v>121</v>
      </c>
      <c r="I29" s="17" t="s">
        <v>117</v>
      </c>
      <c r="J29" s="17" t="s">
        <v>9</v>
      </c>
    </row>
    <row r="30">
      <c r="B30" s="16" t="s">
        <v>122</v>
      </c>
      <c r="C30" s="16" t="s">
        <v>123</v>
      </c>
      <c r="D30" s="16" t="s">
        <v>6</v>
      </c>
      <c r="G30" s="17" t="s">
        <v>124</v>
      </c>
      <c r="H30" s="17" t="s">
        <v>125</v>
      </c>
      <c r="I30" s="17" t="s">
        <v>126</v>
      </c>
      <c r="J30" s="17" t="s">
        <v>7</v>
      </c>
    </row>
    <row r="31">
      <c r="B31" s="16" t="s">
        <v>127</v>
      </c>
      <c r="C31" s="16" t="s">
        <v>119</v>
      </c>
      <c r="D31" s="16" t="s">
        <v>6</v>
      </c>
      <c r="G31" s="18" t="s">
        <v>128</v>
      </c>
      <c r="H31" s="18" t="s">
        <v>117</v>
      </c>
    </row>
    <row r="32">
      <c r="B32" s="16" t="s">
        <v>110</v>
      </c>
      <c r="C32" s="16" t="s">
        <v>129</v>
      </c>
      <c r="D32" s="16" t="s">
        <v>13</v>
      </c>
      <c r="G32" s="18" t="s">
        <v>130</v>
      </c>
      <c r="H32" s="18" t="s">
        <v>112</v>
      </c>
    </row>
    <row r="33">
      <c r="B33" s="16" t="s">
        <v>131</v>
      </c>
      <c r="C33" s="16" t="s">
        <v>132</v>
      </c>
      <c r="D33" s="16" t="s">
        <v>13</v>
      </c>
      <c r="F33" s="19" t="s">
        <v>133</v>
      </c>
      <c r="G33" s="20" t="s">
        <v>100</v>
      </c>
      <c r="H33" s="20" t="s">
        <v>134</v>
      </c>
      <c r="I33" s="20" t="s">
        <v>135</v>
      </c>
      <c r="J33" s="20" t="s">
        <v>11</v>
      </c>
    </row>
    <row r="34">
      <c r="B34" s="16" t="s">
        <v>136</v>
      </c>
      <c r="C34" s="16" t="s">
        <v>137</v>
      </c>
      <c r="D34" s="16" t="s">
        <v>4</v>
      </c>
      <c r="G34" s="20" t="s">
        <v>110</v>
      </c>
      <c r="H34" s="20" t="s">
        <v>138</v>
      </c>
      <c r="I34" s="20" t="s">
        <v>135</v>
      </c>
      <c r="J34" s="20" t="s">
        <v>11</v>
      </c>
    </row>
    <row r="35">
      <c r="B35" s="16" t="s">
        <v>139</v>
      </c>
      <c r="C35" s="16" t="s">
        <v>140</v>
      </c>
      <c r="D35" s="16" t="s">
        <v>11</v>
      </c>
      <c r="G35" s="20" t="s">
        <v>141</v>
      </c>
      <c r="H35" s="20" t="s">
        <v>142</v>
      </c>
      <c r="I35" s="20" t="s">
        <v>135</v>
      </c>
      <c r="J35" s="20" t="s">
        <v>107</v>
      </c>
    </row>
    <row r="36">
      <c r="B36" s="16" t="s">
        <v>143</v>
      </c>
      <c r="C36" s="16" t="s">
        <v>144</v>
      </c>
      <c r="D36" s="16" t="s">
        <v>4</v>
      </c>
      <c r="G36" s="20" t="s">
        <v>120</v>
      </c>
      <c r="H36" s="20" t="s">
        <v>145</v>
      </c>
      <c r="I36" s="20" t="s">
        <v>146</v>
      </c>
      <c r="J36" s="20" t="s">
        <v>17</v>
      </c>
    </row>
    <row r="37">
      <c r="B37" s="16" t="s">
        <v>147</v>
      </c>
      <c r="C37" s="16" t="s">
        <v>148</v>
      </c>
      <c r="D37" s="16" t="s">
        <v>17</v>
      </c>
      <c r="G37" s="20" t="s">
        <v>124</v>
      </c>
      <c r="H37" s="20" t="s">
        <v>142</v>
      </c>
      <c r="I37" s="20" t="s">
        <v>135</v>
      </c>
      <c r="J37" s="20" t="s">
        <v>107</v>
      </c>
    </row>
    <row r="38">
      <c r="B38" s="16" t="s">
        <v>141</v>
      </c>
      <c r="C38" s="16" t="s">
        <v>149</v>
      </c>
      <c r="D38" s="16" t="s">
        <v>13</v>
      </c>
      <c r="G38" s="20" t="s">
        <v>150</v>
      </c>
      <c r="H38" s="20" t="s">
        <v>146</v>
      </c>
    </row>
    <row r="39">
      <c r="B39" s="16" t="s">
        <v>120</v>
      </c>
      <c r="C39" s="16" t="s">
        <v>119</v>
      </c>
      <c r="D39" s="16" t="s">
        <v>6</v>
      </c>
      <c r="G39" s="21" t="s">
        <v>151</v>
      </c>
      <c r="H39" s="21" t="s">
        <v>152</v>
      </c>
    </row>
    <row r="40">
      <c r="B40" s="16" t="s">
        <v>153</v>
      </c>
      <c r="C40" s="16" t="s">
        <v>149</v>
      </c>
      <c r="D40" s="16" t="s">
        <v>13</v>
      </c>
      <c r="G40" s="21" t="s">
        <v>130</v>
      </c>
      <c r="H40" s="21" t="s">
        <v>135</v>
      </c>
    </row>
    <row r="41">
      <c r="B41" s="19" t="s">
        <v>128</v>
      </c>
      <c r="D41" s="19" t="s">
        <v>6</v>
      </c>
      <c r="F41" s="22" t="s">
        <v>154</v>
      </c>
      <c r="G41" s="17" t="s">
        <v>155</v>
      </c>
      <c r="H41" s="17" t="s">
        <v>156</v>
      </c>
      <c r="I41" s="17" t="s">
        <v>157</v>
      </c>
      <c r="J41" s="17" t="s">
        <v>4</v>
      </c>
    </row>
    <row r="42">
      <c r="B42" s="19" t="s">
        <v>130</v>
      </c>
      <c r="D42" s="19" t="s">
        <v>13</v>
      </c>
      <c r="G42" s="17" t="s">
        <v>110</v>
      </c>
      <c r="H42" s="17" t="s">
        <v>158</v>
      </c>
      <c r="I42" s="17" t="s">
        <v>157</v>
      </c>
      <c r="J42" s="17" t="s">
        <v>159</v>
      </c>
    </row>
    <row r="43">
      <c r="A43" s="23" t="s">
        <v>160</v>
      </c>
      <c r="B43" s="20" t="s">
        <v>147</v>
      </c>
      <c r="C43" s="20" t="s">
        <v>161</v>
      </c>
      <c r="D43" s="20" t="s">
        <v>13</v>
      </c>
      <c r="G43" s="17" t="s">
        <v>162</v>
      </c>
      <c r="H43" s="17" t="s">
        <v>163</v>
      </c>
      <c r="I43" s="17" t="s">
        <v>164</v>
      </c>
      <c r="J43" s="17" t="s">
        <v>11</v>
      </c>
    </row>
    <row r="44">
      <c r="B44" s="20" t="s">
        <v>115</v>
      </c>
      <c r="C44" s="20" t="s">
        <v>165</v>
      </c>
      <c r="D44" s="20" t="s">
        <v>17</v>
      </c>
      <c r="G44" s="17" t="s">
        <v>166</v>
      </c>
      <c r="H44" s="17" t="s">
        <v>167</v>
      </c>
      <c r="I44" s="17" t="s">
        <v>157</v>
      </c>
      <c r="J44" s="17" t="s">
        <v>4</v>
      </c>
    </row>
    <row r="45">
      <c r="B45" s="20" t="s">
        <v>120</v>
      </c>
      <c r="C45" s="20" t="s">
        <v>168</v>
      </c>
      <c r="D45" s="20" t="s">
        <v>6</v>
      </c>
      <c r="G45" s="17" t="s">
        <v>124</v>
      </c>
      <c r="H45" s="17" t="s">
        <v>167</v>
      </c>
      <c r="I45" s="17" t="s">
        <v>157</v>
      </c>
      <c r="J45" s="17" t="s">
        <v>4</v>
      </c>
    </row>
    <row r="46">
      <c r="B46" s="20" t="s">
        <v>124</v>
      </c>
      <c r="C46" s="20" t="s">
        <v>168</v>
      </c>
      <c r="D46" s="20" t="s">
        <v>6</v>
      </c>
      <c r="G46" s="17" t="s">
        <v>150</v>
      </c>
      <c r="H46" s="17" t="s">
        <v>169</v>
      </c>
    </row>
    <row r="47">
      <c r="B47" s="20" t="s">
        <v>170</v>
      </c>
      <c r="C47" s="20" t="s">
        <v>171</v>
      </c>
      <c r="G47" s="18" t="s">
        <v>151</v>
      </c>
      <c r="H47" s="18" t="s">
        <v>164</v>
      </c>
    </row>
    <row r="48">
      <c r="B48" s="20" t="s">
        <v>172</v>
      </c>
      <c r="C48" s="20" t="s">
        <v>173</v>
      </c>
      <c r="G48" s="18" t="s">
        <v>130</v>
      </c>
      <c r="H48" s="18" t="s">
        <v>157</v>
      </c>
    </row>
    <row r="49">
      <c r="B49" s="20" t="s">
        <v>174</v>
      </c>
      <c r="C49" s="20" t="s">
        <v>175</v>
      </c>
      <c r="F49" s="19" t="s">
        <v>176</v>
      </c>
      <c r="G49" s="20" t="s">
        <v>177</v>
      </c>
      <c r="H49" s="20" t="s">
        <v>178</v>
      </c>
      <c r="I49" s="20" t="s">
        <v>179</v>
      </c>
      <c r="J49" s="20" t="s">
        <v>10</v>
      </c>
    </row>
    <row r="50">
      <c r="B50" s="21" t="s">
        <v>128</v>
      </c>
      <c r="C50" s="21" t="s">
        <v>6</v>
      </c>
      <c r="G50" s="20" t="s">
        <v>180</v>
      </c>
      <c r="H50" s="20" t="s">
        <v>181</v>
      </c>
      <c r="I50" s="20" t="s">
        <v>182</v>
      </c>
      <c r="J50" s="20" t="s">
        <v>8</v>
      </c>
    </row>
    <row r="51">
      <c r="B51" s="21" t="s">
        <v>130</v>
      </c>
      <c r="C51" s="21" t="s">
        <v>13</v>
      </c>
      <c r="G51" s="20" t="s">
        <v>183</v>
      </c>
      <c r="H51" s="20" t="s">
        <v>184</v>
      </c>
      <c r="I51" s="20" t="s">
        <v>185</v>
      </c>
      <c r="J51" s="20" t="s">
        <v>4</v>
      </c>
    </row>
    <row r="52">
      <c r="A52" s="22" t="s">
        <v>186</v>
      </c>
      <c r="B52" s="17" t="s">
        <v>187</v>
      </c>
      <c r="C52" s="17" t="s">
        <v>188</v>
      </c>
      <c r="D52" s="17" t="s">
        <v>189</v>
      </c>
      <c r="G52" s="20" t="s">
        <v>190</v>
      </c>
      <c r="H52" s="20" t="s">
        <v>181</v>
      </c>
      <c r="I52" s="20" t="s">
        <v>182</v>
      </c>
      <c r="J52" s="20" t="s">
        <v>8</v>
      </c>
    </row>
    <row r="53">
      <c r="B53" s="18" t="s">
        <v>191</v>
      </c>
      <c r="C53" s="18" t="s">
        <v>192</v>
      </c>
      <c r="D53" s="18" t="s">
        <v>11</v>
      </c>
      <c r="G53" s="20" t="s">
        <v>193</v>
      </c>
      <c r="H53" s="20" t="s">
        <v>142</v>
      </c>
      <c r="I53" s="20" t="s">
        <v>182</v>
      </c>
      <c r="J53" s="20" t="s">
        <v>107</v>
      </c>
    </row>
    <row r="54">
      <c r="B54" s="18" t="s">
        <v>194</v>
      </c>
      <c r="C54" s="18" t="s">
        <v>123</v>
      </c>
      <c r="D54" s="18" t="s">
        <v>6</v>
      </c>
      <c r="G54" s="20" t="s">
        <v>195</v>
      </c>
      <c r="H54" s="20" t="s">
        <v>196</v>
      </c>
    </row>
    <row r="55">
      <c r="G55" s="21" t="s">
        <v>151</v>
      </c>
      <c r="H55" s="21" t="s">
        <v>185</v>
      </c>
    </row>
    <row r="56">
      <c r="G56" s="21" t="s">
        <v>130</v>
      </c>
      <c r="H56" s="21" t="s">
        <v>182</v>
      </c>
    </row>
    <row r="57">
      <c r="F57" s="5"/>
      <c r="G57" s="5"/>
      <c r="H57" s="5"/>
      <c r="I57" s="5"/>
      <c r="J57" s="5"/>
    </row>
    <row r="74">
      <c r="F74" s="5"/>
      <c r="G74" s="5"/>
      <c r="H74" s="5"/>
      <c r="I74" s="5"/>
      <c r="J74" s="5"/>
    </row>
    <row r="75">
      <c r="F75" s="5"/>
      <c r="G75" s="5"/>
      <c r="H75" s="5"/>
      <c r="I75" s="5"/>
      <c r="J75" s="5"/>
    </row>
    <row r="76">
      <c r="F76" s="5"/>
      <c r="G76" s="5"/>
      <c r="H76" s="5"/>
      <c r="I76" s="5"/>
      <c r="J76" s="5"/>
    </row>
    <row r="77">
      <c r="F77" s="5"/>
      <c r="G77" s="5"/>
      <c r="H77" s="5"/>
      <c r="I77" s="5"/>
      <c r="J77" s="5"/>
    </row>
    <row r="78">
      <c r="F78" s="5"/>
      <c r="G78" s="5"/>
      <c r="H78" s="5"/>
      <c r="I78" s="5"/>
      <c r="J78" s="5"/>
    </row>
    <row r="79">
      <c r="F79" s="5"/>
      <c r="G79" s="5"/>
      <c r="H79" s="5"/>
      <c r="I79" s="5"/>
      <c r="J79" s="5"/>
    </row>
    <row r="80">
      <c r="F80" s="5"/>
      <c r="G80" s="5"/>
      <c r="H80" s="5"/>
      <c r="I80" s="5"/>
      <c r="J80" s="5"/>
    </row>
    <row r="81">
      <c r="F81" s="5"/>
      <c r="G81" s="5"/>
      <c r="H81" s="5"/>
      <c r="I81" s="5"/>
      <c r="J81" s="5"/>
    </row>
    <row r="82">
      <c r="F82" s="5"/>
      <c r="G82" s="5"/>
      <c r="H82" s="5"/>
      <c r="I82" s="5"/>
      <c r="J82" s="5"/>
    </row>
    <row r="83">
      <c r="F83" s="5"/>
      <c r="G83" s="5"/>
      <c r="H83" s="5"/>
      <c r="I83" s="5"/>
      <c r="J83" s="5"/>
    </row>
    <row r="84">
      <c r="F84" s="5"/>
      <c r="G84" s="5"/>
      <c r="H84" s="5"/>
      <c r="I84" s="5"/>
      <c r="J84" s="5"/>
    </row>
    <row r="85">
      <c r="F85" s="5"/>
      <c r="G85" s="5"/>
      <c r="H85" s="5"/>
      <c r="I85" s="5"/>
      <c r="J85" s="5"/>
    </row>
    <row r="86">
      <c r="F86" s="5"/>
      <c r="G86" s="5"/>
      <c r="H86" s="5"/>
      <c r="I86" s="5"/>
      <c r="J86" s="5"/>
    </row>
    <row r="87">
      <c r="F87" s="5"/>
      <c r="G87" s="5"/>
      <c r="H87" s="5"/>
      <c r="I87" s="5"/>
      <c r="J87" s="5"/>
    </row>
    <row r="88">
      <c r="F88" s="5"/>
      <c r="G88" s="5"/>
      <c r="H88" s="5"/>
      <c r="I88" s="5"/>
      <c r="J88" s="5"/>
    </row>
    <row r="89">
      <c r="F89" s="5"/>
      <c r="G89" s="5"/>
      <c r="H89" s="5"/>
      <c r="I89" s="5"/>
      <c r="J89" s="5"/>
    </row>
    <row r="90">
      <c r="F90" s="5"/>
      <c r="G90" s="5"/>
      <c r="H90" s="5"/>
      <c r="I90" s="5"/>
      <c r="J90" s="5"/>
    </row>
    <row r="91">
      <c r="F91" s="5"/>
      <c r="G91" s="5"/>
      <c r="H91" s="5"/>
      <c r="I91" s="5"/>
      <c r="J91" s="5"/>
    </row>
    <row r="92">
      <c r="F92" s="5"/>
      <c r="G92" s="5"/>
      <c r="H92" s="5"/>
      <c r="I92" s="5"/>
      <c r="J92" s="5"/>
    </row>
    <row r="93">
      <c r="F93" s="5"/>
      <c r="G93" s="5"/>
      <c r="H93" s="5"/>
      <c r="I93" s="5"/>
      <c r="J93" s="5"/>
    </row>
    <row r="94">
      <c r="F94" s="5"/>
      <c r="G94" s="5"/>
      <c r="H94" s="5"/>
      <c r="I94" s="5"/>
      <c r="J94" s="5"/>
    </row>
    <row r="95">
      <c r="F95" s="5"/>
      <c r="G95" s="5"/>
      <c r="H95" s="5"/>
      <c r="I95" s="5"/>
      <c r="J95" s="5"/>
    </row>
    <row r="96">
      <c r="F96" s="5"/>
      <c r="G96" s="5"/>
      <c r="H96" s="5"/>
      <c r="I96" s="5"/>
      <c r="J96" s="5"/>
    </row>
    <row r="97">
      <c r="F97" s="5"/>
      <c r="G97" s="5"/>
      <c r="H97" s="5"/>
      <c r="I97" s="5"/>
      <c r="J97" s="5"/>
    </row>
  </sheetData>
  <mergeCells count="29">
    <mergeCell ref="F25:F32"/>
    <mergeCell ref="F33:F40"/>
    <mergeCell ref="F41:F48"/>
    <mergeCell ref="F49:F56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2.0"/>
    <col customWidth="1" min="11" max="11" width="25.38"/>
    <col customWidth="1" min="12" max="12" width="22.25"/>
  </cols>
  <sheetData>
    <row r="1">
      <c r="A1" s="21" t="s">
        <v>197</v>
      </c>
    </row>
    <row r="2">
      <c r="A2" s="21" t="s">
        <v>198</v>
      </c>
    </row>
    <row r="3">
      <c r="A3" s="20" t="s">
        <v>199</v>
      </c>
    </row>
    <row r="4">
      <c r="A4" s="24">
        <f>100000+B6+C6+D6+D14+F6+G6+H6+I6+J6+A65+M6</f>
        <v>1976135</v>
      </c>
    </row>
    <row r="5">
      <c r="A5" s="21" t="s">
        <v>200</v>
      </c>
      <c r="B5" s="21" t="s">
        <v>201</v>
      </c>
      <c r="C5" s="21" t="s">
        <v>202</v>
      </c>
      <c r="D5" s="21" t="s">
        <v>203</v>
      </c>
      <c r="E5" s="21" t="s">
        <v>204</v>
      </c>
      <c r="F5" s="21" t="s">
        <v>205</v>
      </c>
      <c r="G5" s="21" t="s">
        <v>206</v>
      </c>
      <c r="H5" s="21" t="s">
        <v>207</v>
      </c>
      <c r="I5" s="21" t="s">
        <v>208</v>
      </c>
      <c r="J5" s="21" t="s">
        <v>209</v>
      </c>
      <c r="M5" s="25" t="s">
        <v>210</v>
      </c>
    </row>
    <row r="6">
      <c r="A6" s="26" t="s">
        <v>211</v>
      </c>
      <c r="B6" s="27">
        <v>-190000.0</v>
      </c>
      <c r="C6" s="27">
        <v>74000.0</v>
      </c>
      <c r="D6" s="27">
        <v>6000.0</v>
      </c>
      <c r="E6" s="26" t="s">
        <v>212</v>
      </c>
      <c r="F6" s="27">
        <v>171250.0</v>
      </c>
      <c r="G6" s="27">
        <v>-13000.0</v>
      </c>
      <c r="H6" s="27">
        <v>15300.0</v>
      </c>
      <c r="I6" s="27">
        <v>-10000.0</v>
      </c>
      <c r="J6" s="27">
        <v>36000.0</v>
      </c>
      <c r="M6" s="28">
        <f>M8</f>
        <v>0</v>
      </c>
    </row>
    <row r="7">
      <c r="A7" s="26" t="s">
        <v>213</v>
      </c>
      <c r="B7" s="21" t="s">
        <v>214</v>
      </c>
      <c r="C7" s="26" t="s">
        <v>215</v>
      </c>
      <c r="D7" s="29" t="s">
        <v>216</v>
      </c>
      <c r="E7" s="26" t="s">
        <v>217</v>
      </c>
      <c r="F7" s="29" t="s">
        <v>218</v>
      </c>
      <c r="G7" s="26" t="s">
        <v>219</v>
      </c>
      <c r="H7" s="29" t="s">
        <v>220</v>
      </c>
      <c r="I7" s="26" t="s">
        <v>221</v>
      </c>
      <c r="J7" s="29" t="s">
        <v>222</v>
      </c>
      <c r="K7" s="29" t="s">
        <v>223</v>
      </c>
      <c r="L7" s="29" t="s">
        <v>224</v>
      </c>
      <c r="M7" s="30" t="s">
        <v>225</v>
      </c>
    </row>
    <row r="8">
      <c r="A8" s="26" t="s">
        <v>226</v>
      </c>
      <c r="B8" s="20" t="s">
        <v>18</v>
      </c>
      <c r="C8" s="26" t="s">
        <v>227</v>
      </c>
      <c r="D8" s="29" t="s">
        <v>228</v>
      </c>
      <c r="E8" s="26" t="s">
        <v>229</v>
      </c>
      <c r="F8" s="29" t="s">
        <v>230</v>
      </c>
      <c r="G8" s="26" t="s">
        <v>231</v>
      </c>
      <c r="H8" s="29" t="s">
        <v>222</v>
      </c>
      <c r="J8" s="29" t="s">
        <v>232</v>
      </c>
      <c r="K8" s="29" t="s">
        <v>233</v>
      </c>
      <c r="L8" s="20" t="s">
        <v>234</v>
      </c>
      <c r="M8" s="31">
        <v>0.0</v>
      </c>
    </row>
    <row r="9">
      <c r="A9" s="26" t="s">
        <v>235</v>
      </c>
      <c r="B9" s="20" t="s">
        <v>32</v>
      </c>
      <c r="C9" s="26" t="s">
        <v>236</v>
      </c>
      <c r="D9" s="29" t="s">
        <v>237</v>
      </c>
      <c r="E9" s="26" t="s">
        <v>238</v>
      </c>
      <c r="F9" s="29" t="s">
        <v>239</v>
      </c>
      <c r="G9" s="26" t="s">
        <v>240</v>
      </c>
      <c r="H9" s="29" t="s">
        <v>241</v>
      </c>
      <c r="J9" s="29" t="s">
        <v>242</v>
      </c>
      <c r="K9" s="29" t="s">
        <v>243</v>
      </c>
      <c r="L9" s="29" t="s">
        <v>244</v>
      </c>
    </row>
    <row r="10">
      <c r="A10" s="26" t="s">
        <v>245</v>
      </c>
      <c r="B10" s="20" t="s">
        <v>45</v>
      </c>
      <c r="C10" s="26" t="s">
        <v>246</v>
      </c>
      <c r="D10" s="29" t="s">
        <v>247</v>
      </c>
      <c r="E10" s="26" t="s">
        <v>248</v>
      </c>
      <c r="F10" s="29" t="s">
        <v>249</v>
      </c>
      <c r="G10" s="26" t="s">
        <v>250</v>
      </c>
      <c r="H10" s="29" t="s">
        <v>251</v>
      </c>
      <c r="J10" s="29" t="s">
        <v>252</v>
      </c>
      <c r="K10" s="29" t="s">
        <v>253</v>
      </c>
      <c r="L10" s="29" t="s">
        <v>254</v>
      </c>
    </row>
    <row r="11">
      <c r="A11" s="26" t="s">
        <v>255</v>
      </c>
      <c r="B11" s="20" t="s">
        <v>53</v>
      </c>
      <c r="C11" s="26" t="s">
        <v>256</v>
      </c>
      <c r="E11" s="26" t="s">
        <v>257</v>
      </c>
      <c r="F11" s="29" t="s">
        <v>258</v>
      </c>
      <c r="G11" s="26" t="s">
        <v>259</v>
      </c>
      <c r="H11" s="29" t="s">
        <v>260</v>
      </c>
      <c r="J11" s="29" t="s">
        <v>261</v>
      </c>
      <c r="K11" s="29" t="s">
        <v>262</v>
      </c>
      <c r="L11" s="29" t="s">
        <v>263</v>
      </c>
    </row>
    <row r="12">
      <c r="A12" s="26" t="s">
        <v>264</v>
      </c>
      <c r="B12" s="20" t="s">
        <v>59</v>
      </c>
      <c r="C12" s="26" t="s">
        <v>265</v>
      </c>
      <c r="E12" s="26" t="s">
        <v>266</v>
      </c>
      <c r="F12" s="29" t="s">
        <v>267</v>
      </c>
      <c r="G12" s="26" t="s">
        <v>268</v>
      </c>
      <c r="H12" s="29" t="s">
        <v>269</v>
      </c>
      <c r="J12" s="29" t="s">
        <v>270</v>
      </c>
      <c r="K12" s="29" t="s">
        <v>271</v>
      </c>
      <c r="L12" s="29" t="s">
        <v>272</v>
      </c>
    </row>
    <row r="13">
      <c r="A13" s="26" t="s">
        <v>273</v>
      </c>
      <c r="B13" s="20" t="s">
        <v>62</v>
      </c>
      <c r="C13" s="26" t="s">
        <v>274</v>
      </c>
      <c r="D13" s="21" t="s">
        <v>275</v>
      </c>
      <c r="E13" s="26" t="s">
        <v>276</v>
      </c>
      <c r="F13" s="29" t="s">
        <v>277</v>
      </c>
      <c r="G13" s="26" t="s">
        <v>278</v>
      </c>
      <c r="H13" s="29" t="s">
        <v>279</v>
      </c>
      <c r="J13" s="29" t="s">
        <v>280</v>
      </c>
      <c r="K13" s="29" t="s">
        <v>281</v>
      </c>
      <c r="L13" s="32"/>
    </row>
    <row r="14">
      <c r="A14" s="26" t="s">
        <v>282</v>
      </c>
      <c r="B14" s="20" t="s">
        <v>66</v>
      </c>
      <c r="C14" s="26" t="s">
        <v>283</v>
      </c>
      <c r="D14" s="27">
        <v>-1000.0</v>
      </c>
      <c r="E14" s="26" t="s">
        <v>284</v>
      </c>
      <c r="F14" s="29" t="s">
        <v>285</v>
      </c>
      <c r="G14" s="33" t="s">
        <v>286</v>
      </c>
      <c r="H14" s="29" t="s">
        <v>287</v>
      </c>
      <c r="J14" s="29" t="s">
        <v>261</v>
      </c>
      <c r="K14" s="29" t="s">
        <v>288</v>
      </c>
      <c r="L14" s="32"/>
    </row>
    <row r="15">
      <c r="A15" s="26" t="s">
        <v>289</v>
      </c>
      <c r="B15" s="20" t="s">
        <v>69</v>
      </c>
      <c r="C15" s="26" t="s">
        <v>290</v>
      </c>
      <c r="D15" s="29" t="s">
        <v>291</v>
      </c>
      <c r="E15" s="26" t="s">
        <v>292</v>
      </c>
      <c r="F15" s="29" t="s">
        <v>293</v>
      </c>
      <c r="G15" s="33" t="s">
        <v>294</v>
      </c>
      <c r="H15" s="29" t="s">
        <v>295</v>
      </c>
      <c r="J15" s="29" t="s">
        <v>296</v>
      </c>
      <c r="K15" s="29" t="s">
        <v>297</v>
      </c>
      <c r="L15" s="32"/>
    </row>
    <row r="16">
      <c r="A16" s="26" t="s">
        <v>298</v>
      </c>
      <c r="B16" s="21" t="s">
        <v>36</v>
      </c>
      <c r="C16" s="26" t="s">
        <v>299</v>
      </c>
      <c r="D16" s="29" t="s">
        <v>300</v>
      </c>
      <c r="F16" s="29" t="s">
        <v>301</v>
      </c>
      <c r="G16" s="33" t="s">
        <v>302</v>
      </c>
      <c r="H16" s="29" t="s">
        <v>279</v>
      </c>
      <c r="J16" s="29" t="s">
        <v>303</v>
      </c>
      <c r="K16" s="32"/>
      <c r="L16" s="32"/>
    </row>
    <row r="17">
      <c r="A17" s="26" t="s">
        <v>304</v>
      </c>
      <c r="B17" s="20" t="s">
        <v>49</v>
      </c>
      <c r="C17" s="26" t="s">
        <v>305</v>
      </c>
      <c r="F17" s="29" t="s">
        <v>306</v>
      </c>
      <c r="G17" s="33" t="s">
        <v>307</v>
      </c>
      <c r="H17" s="29" t="s">
        <v>308</v>
      </c>
      <c r="J17" s="29" t="s">
        <v>309</v>
      </c>
      <c r="K17" s="32"/>
      <c r="L17" s="32"/>
    </row>
    <row r="18">
      <c r="A18" s="26" t="s">
        <v>310</v>
      </c>
      <c r="B18" s="21" t="s">
        <v>56</v>
      </c>
      <c r="C18" s="26" t="s">
        <v>311</v>
      </c>
      <c r="F18" s="29" t="s">
        <v>312</v>
      </c>
      <c r="G18" s="33" t="s">
        <v>313</v>
      </c>
      <c r="H18" s="29" t="s">
        <v>314</v>
      </c>
      <c r="J18" s="29" t="s">
        <v>315</v>
      </c>
      <c r="K18" s="32"/>
      <c r="L18" s="32"/>
    </row>
    <row r="19">
      <c r="A19" s="26" t="s">
        <v>316</v>
      </c>
      <c r="B19" s="20" t="s">
        <v>49</v>
      </c>
      <c r="C19" s="26" t="s">
        <v>317</v>
      </c>
      <c r="F19" s="29" t="s">
        <v>318</v>
      </c>
      <c r="G19" s="33" t="s">
        <v>319</v>
      </c>
      <c r="H19" s="29" t="s">
        <v>279</v>
      </c>
      <c r="J19" s="29" t="s">
        <v>261</v>
      </c>
      <c r="K19" s="32"/>
      <c r="L19" s="32"/>
    </row>
    <row r="20">
      <c r="A20" s="26" t="s">
        <v>320</v>
      </c>
      <c r="C20" s="26" t="s">
        <v>321</v>
      </c>
      <c r="F20" s="29" t="s">
        <v>322</v>
      </c>
      <c r="H20" s="29" t="s">
        <v>308</v>
      </c>
      <c r="J20" s="29" t="s">
        <v>309</v>
      </c>
      <c r="K20" s="32"/>
      <c r="L20" s="32"/>
    </row>
    <row r="21">
      <c r="A21" s="26" t="s">
        <v>323</v>
      </c>
      <c r="C21" s="26" t="s">
        <v>324</v>
      </c>
      <c r="F21" s="29" t="s">
        <v>325</v>
      </c>
      <c r="G21" s="34"/>
      <c r="H21" s="29" t="s">
        <v>326</v>
      </c>
      <c r="J21" s="29" t="s">
        <v>280</v>
      </c>
      <c r="K21" s="32"/>
      <c r="L21" s="32"/>
    </row>
    <row r="22">
      <c r="A22" s="26" t="s">
        <v>327</v>
      </c>
      <c r="C22" s="26" t="s">
        <v>328</v>
      </c>
      <c r="F22" s="29" t="s">
        <v>329</v>
      </c>
      <c r="H22" s="29" t="s">
        <v>330</v>
      </c>
      <c r="J22" s="29" t="s">
        <v>309</v>
      </c>
      <c r="K22" s="32"/>
      <c r="L22" s="32"/>
    </row>
    <row r="23">
      <c r="A23" s="26" t="s">
        <v>331</v>
      </c>
      <c r="C23" s="26" t="s">
        <v>332</v>
      </c>
      <c r="F23" s="29" t="s">
        <v>333</v>
      </c>
      <c r="H23" s="29" t="s">
        <v>334</v>
      </c>
      <c r="J23" s="29" t="s">
        <v>335</v>
      </c>
      <c r="K23" s="32"/>
      <c r="L23" s="32"/>
    </row>
    <row r="24">
      <c r="A24" s="26" t="s">
        <v>336</v>
      </c>
      <c r="F24" s="29" t="s">
        <v>337</v>
      </c>
      <c r="H24" s="29" t="s">
        <v>326</v>
      </c>
      <c r="J24" s="29" t="s">
        <v>303</v>
      </c>
      <c r="K24" s="32"/>
      <c r="L24" s="32"/>
    </row>
    <row r="25">
      <c r="A25" s="26" t="s">
        <v>338</v>
      </c>
      <c r="F25" s="29" t="s">
        <v>339</v>
      </c>
      <c r="H25" s="29" t="s">
        <v>308</v>
      </c>
      <c r="J25" s="29" t="s">
        <v>261</v>
      </c>
      <c r="K25" s="32"/>
      <c r="L25" s="32"/>
    </row>
    <row r="26">
      <c r="A26" s="26" t="s">
        <v>340</v>
      </c>
      <c r="F26" s="29" t="s">
        <v>341</v>
      </c>
      <c r="H26" s="29" t="s">
        <v>342</v>
      </c>
      <c r="J26" s="29" t="s">
        <v>280</v>
      </c>
      <c r="K26" s="32"/>
      <c r="L26" s="32"/>
    </row>
    <row r="27">
      <c r="A27" s="26" t="s">
        <v>343</v>
      </c>
      <c r="F27" s="29" t="s">
        <v>344</v>
      </c>
      <c r="H27" s="29" t="s">
        <v>279</v>
      </c>
      <c r="J27" s="29" t="s">
        <v>261</v>
      </c>
      <c r="K27" s="32"/>
      <c r="L27" s="32"/>
    </row>
    <row r="28">
      <c r="A28" s="26" t="s">
        <v>345</v>
      </c>
      <c r="F28" s="29" t="s">
        <v>346</v>
      </c>
      <c r="H28" s="29" t="s">
        <v>330</v>
      </c>
      <c r="J28" s="29" t="s">
        <v>347</v>
      </c>
      <c r="K28" s="32"/>
      <c r="L28" s="32"/>
    </row>
    <row r="29">
      <c r="F29" s="29" t="s">
        <v>348</v>
      </c>
      <c r="H29" s="29" t="s">
        <v>349</v>
      </c>
      <c r="J29" s="29" t="s">
        <v>252</v>
      </c>
      <c r="K29" s="32"/>
      <c r="L29" s="32"/>
    </row>
    <row r="30">
      <c r="F30" s="29" t="s">
        <v>350</v>
      </c>
      <c r="H30" s="32"/>
      <c r="J30" s="29" t="s">
        <v>270</v>
      </c>
      <c r="K30" s="32"/>
      <c r="L30" s="32"/>
    </row>
    <row r="31">
      <c r="F31" s="29" t="s">
        <v>351</v>
      </c>
      <c r="H31" s="35" t="s">
        <v>352</v>
      </c>
      <c r="J31" s="29" t="s">
        <v>309</v>
      </c>
      <c r="K31" s="32"/>
      <c r="L31" s="32"/>
    </row>
    <row r="32">
      <c r="F32" s="29" t="s">
        <v>353</v>
      </c>
      <c r="H32" s="29" t="s">
        <v>354</v>
      </c>
      <c r="J32" s="29" t="s">
        <v>355</v>
      </c>
      <c r="K32" s="32"/>
      <c r="L32" s="32"/>
    </row>
    <row r="33">
      <c r="F33" s="29" t="s">
        <v>356</v>
      </c>
      <c r="H33" s="29" t="s">
        <v>357</v>
      </c>
      <c r="J33" s="29" t="s">
        <v>261</v>
      </c>
      <c r="K33" s="32"/>
      <c r="L33" s="32"/>
    </row>
    <row r="34">
      <c r="F34" s="29" t="s">
        <v>358</v>
      </c>
      <c r="H34" s="29" t="s">
        <v>359</v>
      </c>
      <c r="J34" s="29" t="s">
        <v>360</v>
      </c>
      <c r="K34" s="32"/>
      <c r="L34" s="32"/>
    </row>
    <row r="35">
      <c r="F35" s="29" t="s">
        <v>361</v>
      </c>
      <c r="H35" s="29" t="s">
        <v>362</v>
      </c>
      <c r="J35" s="29" t="s">
        <v>270</v>
      </c>
      <c r="K35" s="32"/>
      <c r="L35" s="32"/>
    </row>
    <row r="36">
      <c r="F36" s="29" t="s">
        <v>363</v>
      </c>
      <c r="H36" s="29" t="s">
        <v>364</v>
      </c>
      <c r="J36" s="29" t="s">
        <v>309</v>
      </c>
      <c r="K36" s="32"/>
      <c r="L36" s="32"/>
    </row>
    <row r="37">
      <c r="F37" s="29" t="s">
        <v>365</v>
      </c>
      <c r="H37" s="29" t="s">
        <v>366</v>
      </c>
      <c r="J37" s="29" t="s">
        <v>367</v>
      </c>
      <c r="K37" s="32"/>
      <c r="L37" s="32"/>
    </row>
    <row r="38">
      <c r="F38" s="29" t="s">
        <v>368</v>
      </c>
      <c r="H38" s="32"/>
      <c r="J38" s="29" t="s">
        <v>355</v>
      </c>
      <c r="K38" s="32"/>
      <c r="L38" s="32"/>
    </row>
    <row r="39">
      <c r="F39" s="29" t="s">
        <v>369</v>
      </c>
      <c r="H39" s="35" t="s">
        <v>370</v>
      </c>
      <c r="J39" s="29" t="s">
        <v>270</v>
      </c>
      <c r="K39" s="32"/>
      <c r="L39" s="32"/>
    </row>
    <row r="40">
      <c r="F40" s="29" t="s">
        <v>341</v>
      </c>
      <c r="H40" s="32"/>
      <c r="J40" s="29" t="s">
        <v>371</v>
      </c>
      <c r="K40" s="32"/>
      <c r="L40" s="32"/>
    </row>
    <row r="41">
      <c r="F41" s="29" t="s">
        <v>372</v>
      </c>
      <c r="H41" s="35" t="s">
        <v>373</v>
      </c>
      <c r="J41" s="29" t="s">
        <v>355</v>
      </c>
      <c r="K41" s="32"/>
      <c r="L41" s="32"/>
    </row>
    <row r="42">
      <c r="F42" s="29" t="s">
        <v>374</v>
      </c>
      <c r="J42" s="29" t="s">
        <v>270</v>
      </c>
      <c r="K42" s="32"/>
      <c r="L42" s="32"/>
    </row>
    <row r="43">
      <c r="F43" s="29" t="s">
        <v>375</v>
      </c>
    </row>
    <row r="44">
      <c r="F44" s="29" t="s">
        <v>318</v>
      </c>
    </row>
    <row r="45">
      <c r="F45" s="29" t="s">
        <v>376</v>
      </c>
    </row>
    <row r="46">
      <c r="F46" s="29" t="s">
        <v>377</v>
      </c>
    </row>
    <row r="47">
      <c r="F47" s="29" t="s">
        <v>378</v>
      </c>
    </row>
    <row r="48">
      <c r="F48" s="29" t="s">
        <v>379</v>
      </c>
    </row>
    <row r="49">
      <c r="F49" s="29" t="s">
        <v>380</v>
      </c>
    </row>
    <row r="50">
      <c r="F50" s="29" t="s">
        <v>333</v>
      </c>
    </row>
    <row r="51">
      <c r="F51" s="29" t="s">
        <v>368</v>
      </c>
    </row>
    <row r="52">
      <c r="F52" s="29" t="s">
        <v>381</v>
      </c>
    </row>
    <row r="53">
      <c r="F53" s="29" t="s">
        <v>382</v>
      </c>
    </row>
    <row r="54">
      <c r="F54" s="29" t="s">
        <v>383</v>
      </c>
    </row>
    <row r="64">
      <c r="A64" s="36" t="s">
        <v>384</v>
      </c>
    </row>
    <row r="65">
      <c r="A65" s="36">
        <f>A67+A89+A115+A137+A165+A196+A229</f>
        <v>1787585</v>
      </c>
    </row>
    <row r="66">
      <c r="A66" s="37" t="s">
        <v>385</v>
      </c>
    </row>
    <row r="67">
      <c r="A67" s="37">
        <v>42400.0</v>
      </c>
    </row>
    <row r="68">
      <c r="A68" s="37">
        <v>2026.0</v>
      </c>
    </row>
    <row r="69">
      <c r="A69" s="38" t="s">
        <v>386</v>
      </c>
      <c r="B69" s="38" t="s">
        <v>102</v>
      </c>
      <c r="C69" s="38" t="s">
        <v>126</v>
      </c>
      <c r="D69" s="38" t="s">
        <v>112</v>
      </c>
      <c r="E69" s="38" t="s">
        <v>117</v>
      </c>
    </row>
    <row r="70">
      <c r="A70" s="39" t="s">
        <v>387</v>
      </c>
      <c r="B70" s="39" t="s">
        <v>388</v>
      </c>
      <c r="C70" s="39" t="s">
        <v>389</v>
      </c>
      <c r="D70" s="39" t="s">
        <v>390</v>
      </c>
    </row>
    <row r="71">
      <c r="A71" s="26" t="s">
        <v>391</v>
      </c>
      <c r="B71" s="26" t="s">
        <v>251</v>
      </c>
      <c r="C71" s="26" t="s">
        <v>392</v>
      </c>
      <c r="D71" s="26" t="s">
        <v>393</v>
      </c>
    </row>
    <row r="72">
      <c r="A72" s="26" t="s">
        <v>394</v>
      </c>
      <c r="B72" s="26" t="s">
        <v>395</v>
      </c>
      <c r="C72" s="26" t="s">
        <v>395</v>
      </c>
      <c r="D72" s="26" t="s">
        <v>396</v>
      </c>
    </row>
    <row r="73">
      <c r="B73" s="26" t="s">
        <v>397</v>
      </c>
      <c r="C73" s="26" t="s">
        <v>398</v>
      </c>
      <c r="D73" s="26" t="s">
        <v>399</v>
      </c>
    </row>
    <row r="74">
      <c r="B74" s="26" t="s">
        <v>400</v>
      </c>
      <c r="D74" s="26" t="s">
        <v>401</v>
      </c>
    </row>
    <row r="75">
      <c r="B75" s="26" t="s">
        <v>402</v>
      </c>
      <c r="D75" s="26" t="s">
        <v>403</v>
      </c>
    </row>
    <row r="76">
      <c r="B76" s="26" t="s">
        <v>400</v>
      </c>
      <c r="D76" s="26" t="s">
        <v>296</v>
      </c>
    </row>
    <row r="77">
      <c r="D77" s="26" t="s">
        <v>395</v>
      </c>
    </row>
    <row r="78">
      <c r="D78" s="26" t="s">
        <v>404</v>
      </c>
    </row>
    <row r="79">
      <c r="D79" s="26" t="s">
        <v>401</v>
      </c>
    </row>
    <row r="80">
      <c r="D80" s="26" t="s">
        <v>403</v>
      </c>
    </row>
    <row r="81">
      <c r="D81" s="26" t="s">
        <v>405</v>
      </c>
    </row>
    <row r="82">
      <c r="D82" s="26" t="s">
        <v>406</v>
      </c>
    </row>
    <row r="83">
      <c r="D83" s="26" t="s">
        <v>403</v>
      </c>
    </row>
    <row r="84">
      <c r="D84" s="26" t="s">
        <v>337</v>
      </c>
    </row>
    <row r="85">
      <c r="D85" s="26" t="s">
        <v>407</v>
      </c>
    </row>
    <row r="86">
      <c r="D86" s="26" t="s">
        <v>403</v>
      </c>
    </row>
    <row r="87">
      <c r="A87" s="40"/>
      <c r="B87" s="40"/>
      <c r="C87" s="40"/>
      <c r="D87" s="40"/>
      <c r="E87" s="40"/>
      <c r="F87" s="40"/>
    </row>
    <row r="88">
      <c r="A88" s="41" t="s">
        <v>408</v>
      </c>
    </row>
    <row r="89">
      <c r="A89" s="41">
        <v>47360.0</v>
      </c>
    </row>
    <row r="90">
      <c r="A90" s="42">
        <v>2026.0</v>
      </c>
    </row>
    <row r="91">
      <c r="A91" s="38" t="s">
        <v>409</v>
      </c>
      <c r="B91" s="38" t="s">
        <v>410</v>
      </c>
      <c r="C91" s="38" t="s">
        <v>411</v>
      </c>
      <c r="D91" s="38" t="s">
        <v>412</v>
      </c>
      <c r="E91" s="38" t="s">
        <v>413</v>
      </c>
      <c r="F91" s="38" t="s">
        <v>414</v>
      </c>
    </row>
    <row r="92">
      <c r="A92" s="39" t="s">
        <v>415</v>
      </c>
      <c r="B92" s="39" t="s">
        <v>416</v>
      </c>
      <c r="C92" s="39" t="s">
        <v>417</v>
      </c>
      <c r="D92" s="39" t="s">
        <v>418</v>
      </c>
      <c r="E92" s="39" t="s">
        <v>415</v>
      </c>
      <c r="F92" s="39" t="s">
        <v>419</v>
      </c>
    </row>
    <row r="93">
      <c r="B93" s="26" t="s">
        <v>420</v>
      </c>
      <c r="C93" s="26" t="s">
        <v>393</v>
      </c>
      <c r="D93" s="26" t="s">
        <v>421</v>
      </c>
      <c r="F93" s="26" t="s">
        <v>422</v>
      </c>
    </row>
    <row r="94">
      <c r="B94" s="26" t="s">
        <v>423</v>
      </c>
      <c r="C94" s="26" t="s">
        <v>424</v>
      </c>
      <c r="D94" s="26" t="s">
        <v>425</v>
      </c>
      <c r="F94" s="26" t="s">
        <v>426</v>
      </c>
    </row>
    <row r="95">
      <c r="B95" s="26" t="s">
        <v>427</v>
      </c>
      <c r="C95" s="26" t="s">
        <v>428</v>
      </c>
      <c r="D95" s="26" t="s">
        <v>429</v>
      </c>
      <c r="F95" s="26" t="s">
        <v>428</v>
      </c>
    </row>
    <row r="96">
      <c r="B96" s="26" t="s">
        <v>430</v>
      </c>
      <c r="C96" s="26" t="s">
        <v>431</v>
      </c>
      <c r="D96" s="26" t="s">
        <v>432</v>
      </c>
      <c r="F96" s="26" t="s">
        <v>433</v>
      </c>
    </row>
    <row r="97">
      <c r="B97" s="26" t="s">
        <v>434</v>
      </c>
      <c r="C97" s="26" t="s">
        <v>433</v>
      </c>
      <c r="D97" s="26" t="s">
        <v>435</v>
      </c>
      <c r="F97" s="26" t="s">
        <v>436</v>
      </c>
    </row>
    <row r="98">
      <c r="B98" s="26" t="s">
        <v>437</v>
      </c>
      <c r="C98" s="26" t="s">
        <v>296</v>
      </c>
      <c r="D98" s="26" t="s">
        <v>428</v>
      </c>
      <c r="F98" s="26" t="s">
        <v>438</v>
      </c>
    </row>
    <row r="99">
      <c r="B99" s="26" t="s">
        <v>428</v>
      </c>
      <c r="C99" s="26" t="s">
        <v>439</v>
      </c>
      <c r="D99" s="26" t="s">
        <v>440</v>
      </c>
      <c r="F99" s="26" t="s">
        <v>441</v>
      </c>
    </row>
    <row r="100">
      <c r="B100" s="26" t="s">
        <v>442</v>
      </c>
      <c r="C100" s="26" t="s">
        <v>428</v>
      </c>
      <c r="D100" s="26" t="s">
        <v>433</v>
      </c>
      <c r="F100" s="26" t="s">
        <v>428</v>
      </c>
    </row>
    <row r="101">
      <c r="B101" s="26" t="s">
        <v>443</v>
      </c>
      <c r="C101" s="26" t="s">
        <v>433</v>
      </c>
      <c r="D101" s="26" t="s">
        <v>444</v>
      </c>
      <c r="F101" s="26" t="s">
        <v>429</v>
      </c>
    </row>
    <row r="102">
      <c r="B102" s="26" t="s">
        <v>400</v>
      </c>
      <c r="C102" s="26" t="s">
        <v>445</v>
      </c>
      <c r="D102" s="26" t="s">
        <v>423</v>
      </c>
      <c r="F102" s="26" t="s">
        <v>433</v>
      </c>
    </row>
    <row r="103">
      <c r="C103" s="26" t="s">
        <v>446</v>
      </c>
      <c r="F103" s="26" t="s">
        <v>436</v>
      </c>
    </row>
    <row r="104">
      <c r="C104" s="26" t="s">
        <v>447</v>
      </c>
    </row>
    <row r="105">
      <c r="C105" s="26" t="s">
        <v>425</v>
      </c>
    </row>
    <row r="106">
      <c r="C106" s="26" t="s">
        <v>448</v>
      </c>
    </row>
    <row r="107">
      <c r="C107" s="26" t="s">
        <v>425</v>
      </c>
    </row>
    <row r="108">
      <c r="C108" s="26" t="s">
        <v>449</v>
      </c>
    </row>
    <row r="109">
      <c r="C109" s="26" t="s">
        <v>450</v>
      </c>
    </row>
    <row r="110">
      <c r="C110" s="26" t="s">
        <v>451</v>
      </c>
    </row>
    <row r="111">
      <c r="C111" s="26" t="s">
        <v>452</v>
      </c>
    </row>
    <row r="112">
      <c r="C112" s="26" t="s">
        <v>453</v>
      </c>
    </row>
    <row r="113">
      <c r="A113" s="40"/>
    </row>
    <row r="114">
      <c r="A114" s="21" t="s">
        <v>454</v>
      </c>
    </row>
    <row r="115">
      <c r="A115" s="21">
        <v>467300.0</v>
      </c>
    </row>
    <row r="116">
      <c r="A116" s="18">
        <v>2026.0</v>
      </c>
    </row>
    <row r="117">
      <c r="A117" s="43" t="s">
        <v>455</v>
      </c>
    </row>
    <row r="118">
      <c r="A118" s="18" t="s">
        <v>456</v>
      </c>
    </row>
    <row r="119">
      <c r="A119" s="38" t="s">
        <v>457</v>
      </c>
      <c r="B119" s="38" t="s">
        <v>169</v>
      </c>
      <c r="C119" s="38" t="s">
        <v>458</v>
      </c>
      <c r="D119" s="38" t="s">
        <v>459</v>
      </c>
      <c r="E119" s="38" t="s">
        <v>164</v>
      </c>
      <c r="F119" s="38" t="s">
        <v>460</v>
      </c>
      <c r="G119" s="38" t="s">
        <v>157</v>
      </c>
      <c r="H119" s="38" t="s">
        <v>461</v>
      </c>
    </row>
    <row r="120">
      <c r="A120" s="44" t="s">
        <v>462</v>
      </c>
      <c r="B120" s="44" t="s">
        <v>463</v>
      </c>
      <c r="C120" s="44" t="s">
        <v>464</v>
      </c>
      <c r="D120" s="44" t="s">
        <v>465</v>
      </c>
      <c r="E120" s="44" t="s">
        <v>466</v>
      </c>
      <c r="F120" s="44" t="s">
        <v>467</v>
      </c>
      <c r="G120" s="44" t="s">
        <v>468</v>
      </c>
      <c r="H120" s="44" t="s">
        <v>469</v>
      </c>
    </row>
    <row r="121">
      <c r="A121" s="26" t="s">
        <v>470</v>
      </c>
      <c r="B121" s="26" t="s">
        <v>471</v>
      </c>
      <c r="C121" s="26" t="s">
        <v>472</v>
      </c>
      <c r="D121" s="26" t="s">
        <v>422</v>
      </c>
      <c r="E121" s="26" t="s">
        <v>211</v>
      </c>
      <c r="F121" s="26" t="s">
        <v>473</v>
      </c>
      <c r="G121" s="26" t="s">
        <v>393</v>
      </c>
      <c r="H121" s="26" t="s">
        <v>392</v>
      </c>
    </row>
    <row r="122">
      <c r="A122" s="26" t="s">
        <v>474</v>
      </c>
      <c r="B122" s="26" t="s">
        <v>474</v>
      </c>
      <c r="C122" s="26" t="s">
        <v>474</v>
      </c>
      <c r="D122" s="26" t="s">
        <v>474</v>
      </c>
      <c r="E122" s="26" t="s">
        <v>474</v>
      </c>
      <c r="F122" s="26" t="s">
        <v>474</v>
      </c>
      <c r="G122" s="26" t="s">
        <v>474</v>
      </c>
      <c r="H122" s="26" t="s">
        <v>474</v>
      </c>
    </row>
    <row r="123">
      <c r="A123" s="26" t="s">
        <v>355</v>
      </c>
      <c r="B123" s="26" t="s">
        <v>475</v>
      </c>
      <c r="C123" s="26" t="s">
        <v>476</v>
      </c>
      <c r="D123" s="26" t="s">
        <v>427</v>
      </c>
      <c r="E123" s="26" t="s">
        <v>477</v>
      </c>
      <c r="F123" s="26" t="s">
        <v>478</v>
      </c>
      <c r="G123" s="26" t="s">
        <v>479</v>
      </c>
      <c r="H123" s="26" t="s">
        <v>480</v>
      </c>
    </row>
    <row r="124">
      <c r="A124" s="26" t="s">
        <v>481</v>
      </c>
      <c r="B124" s="26" t="s">
        <v>360</v>
      </c>
      <c r="C124" s="26" t="s">
        <v>482</v>
      </c>
      <c r="D124" s="26" t="s">
        <v>482</v>
      </c>
      <c r="E124" s="26" t="s">
        <v>355</v>
      </c>
      <c r="F124" s="26" t="s">
        <v>482</v>
      </c>
      <c r="G124" s="26" t="s">
        <v>483</v>
      </c>
      <c r="H124" s="26" t="s">
        <v>482</v>
      </c>
    </row>
    <row r="125">
      <c r="A125" s="26" t="s">
        <v>482</v>
      </c>
      <c r="B125" s="26" t="s">
        <v>484</v>
      </c>
      <c r="C125" s="26" t="s">
        <v>485</v>
      </c>
      <c r="D125" s="26" t="s">
        <v>475</v>
      </c>
      <c r="E125" s="26" t="s">
        <v>280</v>
      </c>
      <c r="F125" s="26" t="s">
        <v>486</v>
      </c>
      <c r="G125" s="26" t="s">
        <v>280</v>
      </c>
    </row>
    <row r="126">
      <c r="A126" s="26" t="s">
        <v>487</v>
      </c>
      <c r="B126" s="26" t="s">
        <v>488</v>
      </c>
      <c r="C126" s="26" t="s">
        <v>489</v>
      </c>
      <c r="D126" s="26" t="s">
        <v>280</v>
      </c>
      <c r="E126" s="26" t="s">
        <v>490</v>
      </c>
      <c r="F126" s="26" t="s">
        <v>491</v>
      </c>
      <c r="G126" s="26" t="s">
        <v>492</v>
      </c>
    </row>
    <row r="127">
      <c r="A127" s="26" t="s">
        <v>394</v>
      </c>
      <c r="B127" s="26" t="s">
        <v>482</v>
      </c>
      <c r="C127" s="26" t="s">
        <v>493</v>
      </c>
      <c r="D127" s="26" t="s">
        <v>494</v>
      </c>
      <c r="E127" s="26" t="s">
        <v>213</v>
      </c>
      <c r="G127" s="26" t="s">
        <v>495</v>
      </c>
    </row>
    <row r="128">
      <c r="B128" s="26" t="s">
        <v>496</v>
      </c>
      <c r="C128" s="26" t="s">
        <v>497</v>
      </c>
      <c r="D128" s="26" t="s">
        <v>400</v>
      </c>
      <c r="E128" s="26" t="s">
        <v>482</v>
      </c>
      <c r="G128" s="26" t="s">
        <v>498</v>
      </c>
    </row>
    <row r="129">
      <c r="B129" s="26" t="s">
        <v>499</v>
      </c>
      <c r="C129" s="26" t="s">
        <v>396</v>
      </c>
      <c r="D129" s="26" t="s">
        <v>500</v>
      </c>
      <c r="E129" s="26" t="s">
        <v>475</v>
      </c>
      <c r="G129" s="26" t="s">
        <v>501</v>
      </c>
    </row>
    <row r="130">
      <c r="B130" s="26" t="s">
        <v>502</v>
      </c>
      <c r="D130" s="26" t="s">
        <v>503</v>
      </c>
      <c r="E130" s="26" t="s">
        <v>355</v>
      </c>
      <c r="G130" s="26" t="s">
        <v>504</v>
      </c>
    </row>
    <row r="131">
      <c r="B131" s="26" t="s">
        <v>496</v>
      </c>
      <c r="E131" s="26" t="s">
        <v>505</v>
      </c>
      <c r="G131" s="26" t="s">
        <v>482</v>
      </c>
    </row>
    <row r="132">
      <c r="B132" s="26" t="s">
        <v>506</v>
      </c>
      <c r="G132" s="26" t="s">
        <v>475</v>
      </c>
    </row>
    <row r="133">
      <c r="B133" s="26" t="s">
        <v>426</v>
      </c>
      <c r="G133" s="26" t="s">
        <v>355</v>
      </c>
    </row>
    <row r="134">
      <c r="B134" s="26" t="s">
        <v>496</v>
      </c>
      <c r="G134" s="26" t="s">
        <v>507</v>
      </c>
    </row>
    <row r="135">
      <c r="A135" s="45" t="s">
        <v>508</v>
      </c>
      <c r="G135" s="26" t="s">
        <v>509</v>
      </c>
    </row>
    <row r="136">
      <c r="A136" s="46" t="s">
        <v>510</v>
      </c>
    </row>
    <row r="137">
      <c r="A137" s="46">
        <f>A140</f>
        <v>316025</v>
      </c>
    </row>
    <row r="138">
      <c r="A138" s="46">
        <v>2026.0</v>
      </c>
    </row>
    <row r="139">
      <c r="A139" s="46" t="s">
        <v>511</v>
      </c>
    </row>
    <row r="140">
      <c r="A140" s="46">
        <f>A143+B143+C143+D143+E143+F143+G143+H143</f>
        <v>316025</v>
      </c>
    </row>
    <row r="141">
      <c r="A141" s="38" t="s">
        <v>512</v>
      </c>
      <c r="B141" s="38" t="s">
        <v>513</v>
      </c>
      <c r="C141" s="38" t="s">
        <v>196</v>
      </c>
      <c r="D141" s="38" t="s">
        <v>514</v>
      </c>
      <c r="E141" s="38" t="s">
        <v>182</v>
      </c>
      <c r="F141" s="38" t="s">
        <v>515</v>
      </c>
      <c r="G141" s="38" t="s">
        <v>516</v>
      </c>
      <c r="H141" s="38" t="s">
        <v>185</v>
      </c>
    </row>
    <row r="142">
      <c r="A142" s="47" t="s">
        <v>517</v>
      </c>
      <c r="B142" s="47" t="s">
        <v>517</v>
      </c>
      <c r="C142" s="47" t="s">
        <v>517</v>
      </c>
      <c r="D142" s="47" t="s">
        <v>415</v>
      </c>
      <c r="E142" s="47" t="s">
        <v>517</v>
      </c>
      <c r="F142" s="47" t="s">
        <v>517</v>
      </c>
      <c r="G142" s="47" t="s">
        <v>415</v>
      </c>
      <c r="H142" s="47" t="s">
        <v>517</v>
      </c>
    </row>
    <row r="143">
      <c r="A143" s="38">
        <v>0.0</v>
      </c>
      <c r="B143" s="38">
        <v>2000.0</v>
      </c>
      <c r="C143" s="38">
        <v>66275.0</v>
      </c>
      <c r="D143" s="38">
        <v>74250.0</v>
      </c>
      <c r="E143" s="38">
        <v>69550.0</v>
      </c>
      <c r="F143" s="38">
        <v>18250.0</v>
      </c>
      <c r="G143" s="38">
        <v>26500.0</v>
      </c>
      <c r="H143" s="38">
        <v>59200.0</v>
      </c>
    </row>
    <row r="144">
      <c r="B144" s="26" t="s">
        <v>518</v>
      </c>
      <c r="C144" s="26" t="s">
        <v>420</v>
      </c>
      <c r="D144" s="26" t="s">
        <v>393</v>
      </c>
      <c r="E144" s="26" t="s">
        <v>392</v>
      </c>
      <c r="F144" s="48" t="s">
        <v>519</v>
      </c>
      <c r="G144" s="26" t="s">
        <v>520</v>
      </c>
      <c r="H144" s="26" t="s">
        <v>211</v>
      </c>
    </row>
    <row r="145">
      <c r="B145" s="26" t="s">
        <v>521</v>
      </c>
      <c r="C145" s="26" t="s">
        <v>522</v>
      </c>
      <c r="D145" s="26" t="s">
        <v>523</v>
      </c>
      <c r="E145" s="26" t="s">
        <v>524</v>
      </c>
      <c r="F145" s="48" t="s">
        <v>525</v>
      </c>
      <c r="G145" s="26" t="s">
        <v>523</v>
      </c>
      <c r="H145" s="26" t="s">
        <v>426</v>
      </c>
    </row>
    <row r="146">
      <c r="C146" s="26" t="s">
        <v>526</v>
      </c>
      <c r="D146" s="26" t="s">
        <v>527</v>
      </c>
      <c r="E146" s="26" t="s">
        <v>527</v>
      </c>
      <c r="F146" s="26" t="s">
        <v>438</v>
      </c>
      <c r="G146" s="48" t="s">
        <v>528</v>
      </c>
      <c r="H146" s="26" t="s">
        <v>529</v>
      </c>
    </row>
    <row r="147">
      <c r="C147" s="26" t="s">
        <v>530</v>
      </c>
      <c r="D147" s="26" t="s">
        <v>531</v>
      </c>
      <c r="E147" s="26" t="s">
        <v>531</v>
      </c>
      <c r="F147" s="26" t="s">
        <v>532</v>
      </c>
      <c r="G147" s="48" t="s">
        <v>533</v>
      </c>
      <c r="H147" s="26" t="s">
        <v>534</v>
      </c>
    </row>
    <row r="148">
      <c r="C148" s="26" t="s">
        <v>535</v>
      </c>
      <c r="D148" s="26" t="s">
        <v>530</v>
      </c>
      <c r="E148" s="26" t="s">
        <v>530</v>
      </c>
      <c r="F148" s="26" t="s">
        <v>526</v>
      </c>
      <c r="H148" s="26" t="s">
        <v>530</v>
      </c>
    </row>
    <row r="149">
      <c r="C149" s="26" t="s">
        <v>536</v>
      </c>
      <c r="D149" s="26" t="s">
        <v>296</v>
      </c>
      <c r="E149" s="26" t="s">
        <v>537</v>
      </c>
      <c r="F149" s="26" t="s">
        <v>531</v>
      </c>
      <c r="H149" s="26" t="s">
        <v>538</v>
      </c>
    </row>
    <row r="150">
      <c r="C150" s="26" t="s">
        <v>539</v>
      </c>
      <c r="D150" s="26" t="s">
        <v>540</v>
      </c>
      <c r="E150" s="26" t="s">
        <v>427</v>
      </c>
      <c r="F150" s="26" t="s">
        <v>499</v>
      </c>
      <c r="H150" s="26" t="s">
        <v>541</v>
      </c>
    </row>
    <row r="151">
      <c r="C151" s="26" t="s">
        <v>526</v>
      </c>
      <c r="D151" s="26" t="s">
        <v>527</v>
      </c>
      <c r="E151" s="26" t="s">
        <v>542</v>
      </c>
      <c r="F151" s="26" t="s">
        <v>543</v>
      </c>
    </row>
    <row r="152">
      <c r="C152" s="26" t="s">
        <v>531</v>
      </c>
      <c r="D152" s="26" t="s">
        <v>434</v>
      </c>
      <c r="E152" s="26" t="s">
        <v>531</v>
      </c>
      <c r="F152" s="26" t="s">
        <v>531</v>
      </c>
    </row>
    <row r="153">
      <c r="C153" s="26" t="s">
        <v>535</v>
      </c>
      <c r="D153" s="26" t="s">
        <v>544</v>
      </c>
      <c r="E153" s="26" t="s">
        <v>537</v>
      </c>
    </row>
    <row r="154">
      <c r="C154" s="26" t="s">
        <v>445</v>
      </c>
      <c r="D154" s="26" t="s">
        <v>531</v>
      </c>
    </row>
    <row r="155">
      <c r="C155" s="26" t="s">
        <v>545</v>
      </c>
      <c r="D155" s="26" t="s">
        <v>546</v>
      </c>
    </row>
    <row r="156">
      <c r="C156" s="26" t="s">
        <v>535</v>
      </c>
      <c r="D156" s="26" t="s">
        <v>547</v>
      </c>
    </row>
    <row r="157">
      <c r="C157" s="26" t="s">
        <v>548</v>
      </c>
      <c r="D157" s="26" t="s">
        <v>549</v>
      </c>
    </row>
    <row r="158">
      <c r="C158" s="26" t="s">
        <v>425</v>
      </c>
      <c r="D158" s="26" t="s">
        <v>550</v>
      </c>
    </row>
    <row r="159">
      <c r="C159" s="26" t="s">
        <v>535</v>
      </c>
    </row>
    <row r="160">
      <c r="C160" s="26" t="s">
        <v>551</v>
      </c>
    </row>
    <row r="161">
      <c r="C161" s="26" t="s">
        <v>552</v>
      </c>
    </row>
    <row r="162">
      <c r="C162" s="26" t="s">
        <v>535</v>
      </c>
    </row>
    <row r="164">
      <c r="A164" s="49" t="s">
        <v>553</v>
      </c>
    </row>
    <row r="165">
      <c r="A165" s="49">
        <f>A168</f>
        <v>360000</v>
      </c>
    </row>
    <row r="166">
      <c r="A166" s="49">
        <v>2026.0</v>
      </c>
    </row>
    <row r="167">
      <c r="A167" s="49" t="s">
        <v>554</v>
      </c>
    </row>
    <row r="168">
      <c r="A168" s="50">
        <f>A171+B171+C171+D171+E171+F171+G171+H171+I171+J171</f>
        <v>360000</v>
      </c>
    </row>
    <row r="169">
      <c r="A169" s="51" t="s">
        <v>555</v>
      </c>
      <c r="B169" s="51" t="s">
        <v>556</v>
      </c>
      <c r="C169" s="51" t="s">
        <v>557</v>
      </c>
      <c r="D169" s="51" t="s">
        <v>558</v>
      </c>
      <c r="E169" s="51" t="s">
        <v>559</v>
      </c>
      <c r="F169" s="51" t="s">
        <v>560</v>
      </c>
      <c r="G169" s="51" t="s">
        <v>561</v>
      </c>
      <c r="H169" s="51" t="s">
        <v>562</v>
      </c>
      <c r="I169" s="52" t="s">
        <v>563</v>
      </c>
      <c r="J169" s="52" t="s">
        <v>564</v>
      </c>
    </row>
    <row r="170">
      <c r="A170" s="47" t="s">
        <v>517</v>
      </c>
      <c r="B170" s="47" t="s">
        <v>517</v>
      </c>
      <c r="C170" s="47" t="s">
        <v>517</v>
      </c>
      <c r="D170" s="47" t="s">
        <v>517</v>
      </c>
      <c r="E170" s="47" t="s">
        <v>517</v>
      </c>
      <c r="F170" s="47" t="s">
        <v>517</v>
      </c>
      <c r="G170" s="47" t="s">
        <v>517</v>
      </c>
      <c r="H170" s="47" t="s">
        <v>517</v>
      </c>
      <c r="I170" s="47" t="s">
        <v>517</v>
      </c>
      <c r="J170" s="47" t="s">
        <v>517</v>
      </c>
    </row>
    <row r="171">
      <c r="A171" s="38">
        <v>5000.0</v>
      </c>
      <c r="B171" s="38">
        <v>36000.0</v>
      </c>
      <c r="C171" s="38">
        <v>0.0</v>
      </c>
      <c r="D171" s="38">
        <v>26100.0</v>
      </c>
      <c r="E171" s="38">
        <v>6400.0</v>
      </c>
      <c r="F171" s="38">
        <v>0.0</v>
      </c>
      <c r="G171" s="38">
        <v>9500.0</v>
      </c>
      <c r="H171" s="38">
        <v>0.0</v>
      </c>
      <c r="I171" s="38">
        <v>42000.0</v>
      </c>
      <c r="J171" s="38">
        <v>235000.0</v>
      </c>
    </row>
    <row r="172">
      <c r="A172" s="26" t="s">
        <v>565</v>
      </c>
      <c r="B172" s="48" t="s">
        <v>566</v>
      </c>
      <c r="D172" s="26" t="s">
        <v>471</v>
      </c>
      <c r="E172" s="26" t="s">
        <v>567</v>
      </c>
      <c r="G172" s="26" t="s">
        <v>568</v>
      </c>
      <c r="I172" s="26" t="s">
        <v>242</v>
      </c>
      <c r="J172" s="26" t="s">
        <v>393</v>
      </c>
    </row>
    <row r="173">
      <c r="A173" s="26" t="s">
        <v>569</v>
      </c>
      <c r="B173" s="48" t="s">
        <v>570</v>
      </c>
      <c r="D173" s="26" t="s">
        <v>570</v>
      </c>
      <c r="E173" s="26" t="s">
        <v>571</v>
      </c>
      <c r="G173" s="26" t="s">
        <v>572</v>
      </c>
      <c r="I173" s="26" t="s">
        <v>573</v>
      </c>
      <c r="J173" s="26" t="s">
        <v>574</v>
      </c>
    </row>
    <row r="174">
      <c r="B174" s="26" t="s">
        <v>575</v>
      </c>
      <c r="D174" s="26" t="s">
        <v>576</v>
      </c>
      <c r="E174" s="26" t="s">
        <v>577</v>
      </c>
      <c r="I174" s="26" t="s">
        <v>578</v>
      </c>
      <c r="J174" s="26" t="s">
        <v>579</v>
      </c>
    </row>
    <row r="175">
      <c r="B175" s="26" t="s">
        <v>580</v>
      </c>
      <c r="D175" s="26" t="s">
        <v>425</v>
      </c>
      <c r="E175" s="26" t="s">
        <v>569</v>
      </c>
      <c r="I175" s="26" t="s">
        <v>581</v>
      </c>
      <c r="J175" s="26" t="s">
        <v>213</v>
      </c>
    </row>
    <row r="176">
      <c r="D176" s="26" t="s">
        <v>582</v>
      </c>
      <c r="I176" s="26" t="s">
        <v>573</v>
      </c>
      <c r="J176" s="26" t="s">
        <v>583</v>
      </c>
    </row>
    <row r="177">
      <c r="D177" s="26" t="s">
        <v>584</v>
      </c>
      <c r="J177" s="26" t="s">
        <v>585</v>
      </c>
    </row>
    <row r="178">
      <c r="J178" s="26" t="s">
        <v>570</v>
      </c>
    </row>
    <row r="179">
      <c r="J179" s="26" t="s">
        <v>586</v>
      </c>
    </row>
    <row r="180">
      <c r="J180" s="26" t="s">
        <v>544</v>
      </c>
    </row>
    <row r="181">
      <c r="J181" s="26" t="s">
        <v>587</v>
      </c>
    </row>
    <row r="182">
      <c r="J182" s="26" t="s">
        <v>550</v>
      </c>
    </row>
    <row r="183">
      <c r="J183" s="26" t="s">
        <v>579</v>
      </c>
    </row>
    <row r="184">
      <c r="J184" s="26" t="s">
        <v>588</v>
      </c>
    </row>
    <row r="185">
      <c r="J185" s="26" t="s">
        <v>589</v>
      </c>
    </row>
    <row r="186">
      <c r="J186" s="26" t="s">
        <v>590</v>
      </c>
    </row>
    <row r="187">
      <c r="J187" s="26" t="s">
        <v>591</v>
      </c>
    </row>
    <row r="188">
      <c r="J188" s="26" t="s">
        <v>592</v>
      </c>
    </row>
    <row r="189">
      <c r="J189" s="26" t="s">
        <v>593</v>
      </c>
    </row>
    <row r="190">
      <c r="J190" s="26" t="s">
        <v>594</v>
      </c>
    </row>
    <row r="191">
      <c r="J191" s="26" t="s">
        <v>550</v>
      </c>
    </row>
    <row r="192">
      <c r="J192" s="26" t="s">
        <v>578</v>
      </c>
    </row>
    <row r="193">
      <c r="J193" s="26" t="s">
        <v>595</v>
      </c>
    </row>
    <row r="194">
      <c r="A194" s="53" t="s">
        <v>596</v>
      </c>
    </row>
    <row r="195">
      <c r="A195" s="54" t="s">
        <v>597</v>
      </c>
    </row>
    <row r="196">
      <c r="A196" s="54">
        <f>A199</f>
        <v>423500</v>
      </c>
    </row>
    <row r="197">
      <c r="A197" s="54">
        <v>2026.0</v>
      </c>
    </row>
    <row r="198">
      <c r="A198" s="54" t="s">
        <v>554</v>
      </c>
    </row>
    <row r="199">
      <c r="A199" s="55">
        <f>A202+B202+C202+D202+E202+F202+G202+H202+I202+J202</f>
        <v>423500</v>
      </c>
    </row>
    <row r="200">
      <c r="A200" s="38" t="s">
        <v>598</v>
      </c>
      <c r="B200" s="38" t="s">
        <v>599</v>
      </c>
      <c r="C200" s="38" t="s">
        <v>600</v>
      </c>
      <c r="D200" s="38" t="s">
        <v>601</v>
      </c>
      <c r="E200" s="38" t="s">
        <v>602</v>
      </c>
      <c r="F200" s="38" t="s">
        <v>603</v>
      </c>
      <c r="G200" s="51" t="s">
        <v>604</v>
      </c>
      <c r="H200" s="56" t="s">
        <v>605</v>
      </c>
      <c r="I200" s="56" t="s">
        <v>606</v>
      </c>
      <c r="J200" s="56" t="s">
        <v>607</v>
      </c>
    </row>
    <row r="201">
      <c r="A201" s="47" t="s">
        <v>517</v>
      </c>
      <c r="B201" s="47" t="s">
        <v>517</v>
      </c>
      <c r="C201" s="47" t="s">
        <v>517</v>
      </c>
      <c r="D201" s="47" t="s">
        <v>517</v>
      </c>
      <c r="E201" s="47" t="s">
        <v>517</v>
      </c>
      <c r="F201" s="47" t="s">
        <v>517</v>
      </c>
      <c r="G201" s="47" t="s">
        <v>517</v>
      </c>
      <c r="H201" s="30" t="s">
        <v>517</v>
      </c>
      <c r="I201" s="30" t="s">
        <v>517</v>
      </c>
      <c r="J201" s="30" t="s">
        <v>517</v>
      </c>
    </row>
    <row r="202">
      <c r="A202" s="38">
        <v>6000.0</v>
      </c>
      <c r="B202" s="38">
        <v>101000.0</v>
      </c>
      <c r="C202" s="38">
        <v>20000.0</v>
      </c>
      <c r="D202" s="38"/>
      <c r="E202" s="38">
        <v>41000.0</v>
      </c>
      <c r="F202" s="38">
        <v>22500.0</v>
      </c>
      <c r="G202" s="38">
        <v>62500.0</v>
      </c>
      <c r="H202" s="38">
        <v>170500.0</v>
      </c>
      <c r="I202" s="38"/>
      <c r="J202" s="38"/>
    </row>
    <row r="203">
      <c r="A203" s="33" t="s">
        <v>565</v>
      </c>
      <c r="B203" s="33" t="s">
        <v>520</v>
      </c>
      <c r="C203" s="26" t="s">
        <v>608</v>
      </c>
      <c r="E203" s="26" t="s">
        <v>518</v>
      </c>
      <c r="F203" s="26" t="s">
        <v>609</v>
      </c>
      <c r="G203" s="26" t="s">
        <v>354</v>
      </c>
      <c r="H203" s="26" t="s">
        <v>393</v>
      </c>
    </row>
    <row r="204">
      <c r="A204" s="26" t="s">
        <v>491</v>
      </c>
      <c r="B204" s="26" t="s">
        <v>580</v>
      </c>
      <c r="C204" s="26" t="s">
        <v>573</v>
      </c>
      <c r="E204" s="26" t="s">
        <v>400</v>
      </c>
      <c r="F204" s="26" t="s">
        <v>610</v>
      </c>
      <c r="G204" s="26" t="s">
        <v>611</v>
      </c>
      <c r="H204" s="26" t="s">
        <v>612</v>
      </c>
    </row>
    <row r="205">
      <c r="B205" s="33" t="s">
        <v>613</v>
      </c>
      <c r="E205" s="26" t="s">
        <v>432</v>
      </c>
      <c r="F205" s="26" t="s">
        <v>614</v>
      </c>
      <c r="G205" s="26" t="s">
        <v>614</v>
      </c>
      <c r="H205" s="26" t="s">
        <v>615</v>
      </c>
    </row>
    <row r="206">
      <c r="B206" s="26" t="s">
        <v>591</v>
      </c>
      <c r="E206" s="26" t="s">
        <v>616</v>
      </c>
      <c r="F206" s="26" t="s">
        <v>617</v>
      </c>
      <c r="G206" s="26" t="s">
        <v>618</v>
      </c>
      <c r="H206" s="26" t="s">
        <v>480</v>
      </c>
    </row>
    <row r="207">
      <c r="B207" s="33" t="s">
        <v>619</v>
      </c>
      <c r="G207" s="26" t="s">
        <v>620</v>
      </c>
      <c r="H207" s="26" t="s">
        <v>616</v>
      </c>
    </row>
    <row r="208">
      <c r="B208" s="26" t="s">
        <v>573</v>
      </c>
      <c r="G208" s="26" t="s">
        <v>621</v>
      </c>
      <c r="H208" s="26" t="s">
        <v>622</v>
      </c>
    </row>
    <row r="209">
      <c r="B209" s="26" t="s">
        <v>614</v>
      </c>
      <c r="H209" s="26" t="s">
        <v>623</v>
      </c>
    </row>
    <row r="210">
      <c r="B210" s="26" t="s">
        <v>615</v>
      </c>
      <c r="H210" s="26" t="s">
        <v>589</v>
      </c>
    </row>
    <row r="211">
      <c r="B211" s="33" t="s">
        <v>624</v>
      </c>
      <c r="H211" s="26" t="s">
        <v>614</v>
      </c>
    </row>
    <row r="212">
      <c r="B212" s="26" t="s">
        <v>625</v>
      </c>
      <c r="H212" s="26" t="s">
        <v>626</v>
      </c>
    </row>
    <row r="213">
      <c r="B213" s="26" t="s">
        <v>615</v>
      </c>
      <c r="H213" s="26" t="s">
        <v>627</v>
      </c>
    </row>
    <row r="214">
      <c r="B214" s="26" t="s">
        <v>628</v>
      </c>
      <c r="H214" s="26" t="s">
        <v>622</v>
      </c>
    </row>
    <row r="215">
      <c r="B215" s="33" t="s">
        <v>629</v>
      </c>
      <c r="H215" s="26" t="s">
        <v>630</v>
      </c>
    </row>
    <row r="216">
      <c r="B216" s="26" t="s">
        <v>502</v>
      </c>
      <c r="H216" s="26" t="s">
        <v>631</v>
      </c>
    </row>
    <row r="217">
      <c r="B217" s="26" t="s">
        <v>632</v>
      </c>
      <c r="H217" s="26" t="s">
        <v>633</v>
      </c>
    </row>
    <row r="218">
      <c r="B218" s="26" t="s">
        <v>634</v>
      </c>
      <c r="H218" s="26" t="s">
        <v>635</v>
      </c>
    </row>
    <row r="219">
      <c r="H219" s="26" t="s">
        <v>400</v>
      </c>
    </row>
    <row r="220">
      <c r="H220" s="26" t="s">
        <v>636</v>
      </c>
    </row>
    <row r="221">
      <c r="H221" s="26" t="s">
        <v>637</v>
      </c>
    </row>
    <row r="222">
      <c r="H222" s="26" t="s">
        <v>614</v>
      </c>
    </row>
    <row r="223">
      <c r="H223" s="26" t="s">
        <v>617</v>
      </c>
    </row>
    <row r="228">
      <c r="A228" s="57" t="s">
        <v>638</v>
      </c>
    </row>
    <row r="229">
      <c r="A229" s="57">
        <f>A232</f>
        <v>131000</v>
      </c>
    </row>
    <row r="230">
      <c r="A230" s="57">
        <v>2026.0</v>
      </c>
    </row>
    <row r="231">
      <c r="A231" s="57" t="s">
        <v>554</v>
      </c>
    </row>
    <row r="232">
      <c r="A232" s="57">
        <f>A235+B235+C235+D235+E235+F235+G235+H235</f>
        <v>131000</v>
      </c>
    </row>
    <row r="233">
      <c r="A233" s="38" t="s">
        <v>639</v>
      </c>
      <c r="B233" s="38" t="s">
        <v>640</v>
      </c>
      <c r="C233" s="38" t="s">
        <v>641</v>
      </c>
      <c r="D233" s="38" t="s">
        <v>642</v>
      </c>
      <c r="E233" s="38" t="s">
        <v>643</v>
      </c>
      <c r="F233" s="38" t="s">
        <v>644</v>
      </c>
      <c r="G233" s="38" t="s">
        <v>645</v>
      </c>
      <c r="H233" s="38" t="s">
        <v>646</v>
      </c>
    </row>
    <row r="234">
      <c r="A234" s="47" t="s">
        <v>517</v>
      </c>
      <c r="B234" s="47" t="s">
        <v>517</v>
      </c>
      <c r="C234" s="47" t="s">
        <v>517</v>
      </c>
      <c r="D234" s="47" t="s">
        <v>517</v>
      </c>
      <c r="E234" s="47" t="s">
        <v>517</v>
      </c>
      <c r="F234" s="47" t="s">
        <v>517</v>
      </c>
      <c r="G234" s="47" t="s">
        <v>517</v>
      </c>
      <c r="H234" s="47" t="s">
        <v>517</v>
      </c>
    </row>
    <row r="235">
      <c r="A235" s="38">
        <v>0.0</v>
      </c>
      <c r="B235" s="38">
        <v>0.0</v>
      </c>
      <c r="C235" s="38">
        <v>0.0</v>
      </c>
      <c r="D235" s="38">
        <v>0.0</v>
      </c>
      <c r="E235" s="38">
        <v>0.0</v>
      </c>
      <c r="F235" s="38">
        <v>50000.0</v>
      </c>
      <c r="G235" s="38">
        <v>74000.0</v>
      </c>
      <c r="H235" s="38">
        <v>7000.0</v>
      </c>
    </row>
    <row r="236">
      <c r="F236" s="26" t="s">
        <v>647</v>
      </c>
      <c r="G236" s="26" t="s">
        <v>211</v>
      </c>
      <c r="H236" s="26" t="s">
        <v>520</v>
      </c>
    </row>
    <row r="237">
      <c r="F237" s="26" t="s">
        <v>648</v>
      </c>
      <c r="G237" s="26" t="s">
        <v>649</v>
      </c>
      <c r="H237" s="26" t="s">
        <v>489</v>
      </c>
    </row>
    <row r="238">
      <c r="G238" s="26" t="s">
        <v>650</v>
      </c>
    </row>
    <row r="239">
      <c r="G239" s="26" t="s">
        <v>651</v>
      </c>
    </row>
  </sheetData>
  <mergeCells count="46"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98:J198"/>
    <mergeCell ref="A199:J199"/>
    <mergeCell ref="A228:H228"/>
    <mergeCell ref="A229:H229"/>
    <mergeCell ref="A230:H230"/>
    <mergeCell ref="A231:H231"/>
    <mergeCell ref="A232:H232"/>
    <mergeCell ref="A166:J166"/>
    <mergeCell ref="A167:J167"/>
    <mergeCell ref="A168:J168"/>
    <mergeCell ref="A194:J194"/>
    <mergeCell ref="A195:J195"/>
    <mergeCell ref="A196:J196"/>
    <mergeCell ref="A197:J197"/>
    <mergeCell ref="M6:O6"/>
    <mergeCell ref="M7:O7"/>
    <mergeCell ref="M8:O8"/>
    <mergeCell ref="M5:O5"/>
    <mergeCell ref="A1:O1"/>
    <mergeCell ref="A2:O2"/>
    <mergeCell ref="A3:O3"/>
    <mergeCell ref="A4:O4"/>
    <mergeCell ref="J5:L5"/>
    <mergeCell ref="J6:L6"/>
    <mergeCell ref="A64:E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23.5"/>
    <col customWidth="1" min="8" max="8" width="31.63"/>
    <col customWidth="1" min="9" max="9" width="22.75"/>
    <col customWidth="1" min="10" max="10" width="28.5"/>
  </cols>
  <sheetData>
    <row r="1">
      <c r="A1" s="58" t="s">
        <v>652</v>
      </c>
    </row>
    <row r="2">
      <c r="A2" s="58" t="s">
        <v>653</v>
      </c>
    </row>
    <row r="3">
      <c r="A3" s="59" t="s">
        <v>654</v>
      </c>
    </row>
    <row r="4">
      <c r="A4" s="60">
        <f>100000+B6+C6+D6+E6+G6+J6+A43+F18+E23+K6</f>
        <v>1413370</v>
      </c>
    </row>
    <row r="5">
      <c r="A5" s="61" t="s">
        <v>200</v>
      </c>
      <c r="B5" s="61" t="s">
        <v>655</v>
      </c>
      <c r="C5" s="62" t="s">
        <v>656</v>
      </c>
      <c r="D5" s="61" t="s">
        <v>205</v>
      </c>
      <c r="E5" s="61" t="s">
        <v>202</v>
      </c>
      <c r="F5" s="61" t="s">
        <v>657</v>
      </c>
      <c r="G5" s="61" t="s">
        <v>658</v>
      </c>
      <c r="J5" s="61" t="s">
        <v>659</v>
      </c>
      <c r="K5" s="47" t="s">
        <v>660</v>
      </c>
    </row>
    <row r="6">
      <c r="A6" s="26" t="s">
        <v>661</v>
      </c>
      <c r="B6" s="60">
        <v>-140000.0</v>
      </c>
      <c r="C6" s="60">
        <v>-14000.0</v>
      </c>
      <c r="D6" s="60">
        <v>74250.0</v>
      </c>
      <c r="E6" s="60">
        <v>18000.0</v>
      </c>
      <c r="F6" s="63" t="s">
        <v>662</v>
      </c>
      <c r="G6" s="60">
        <v>-9500.0</v>
      </c>
      <c r="J6" s="60">
        <v>-20000.0</v>
      </c>
      <c r="K6" s="64">
        <f>-60000+K9</f>
        <v>-60000</v>
      </c>
    </row>
    <row r="7">
      <c r="A7" s="26" t="s">
        <v>663</v>
      </c>
      <c r="B7" s="61" t="s">
        <v>214</v>
      </c>
      <c r="C7" s="26" t="s">
        <v>219</v>
      </c>
      <c r="D7" s="63" t="s">
        <v>664</v>
      </c>
      <c r="E7" s="26" t="s">
        <v>665</v>
      </c>
      <c r="F7" s="63" t="s">
        <v>666</v>
      </c>
      <c r="G7" s="26" t="s">
        <v>222</v>
      </c>
      <c r="H7" s="65" t="s">
        <v>667</v>
      </c>
      <c r="I7" s="26" t="s">
        <v>224</v>
      </c>
      <c r="J7" s="63" t="s">
        <v>221</v>
      </c>
      <c r="K7" s="47" t="s">
        <v>668</v>
      </c>
    </row>
    <row r="8">
      <c r="A8" s="26" t="s">
        <v>669</v>
      </c>
      <c r="B8" s="66" t="s">
        <v>19</v>
      </c>
      <c r="C8" s="26" t="s">
        <v>231</v>
      </c>
      <c r="D8" s="63" t="s">
        <v>670</v>
      </c>
      <c r="E8" s="26" t="s">
        <v>305</v>
      </c>
      <c r="F8" s="63" t="s">
        <v>671</v>
      </c>
      <c r="G8" s="26" t="s">
        <v>672</v>
      </c>
      <c r="H8" s="65" t="s">
        <v>673</v>
      </c>
      <c r="I8" s="26" t="s">
        <v>674</v>
      </c>
      <c r="J8" s="63" t="s">
        <v>675</v>
      </c>
      <c r="K8" s="47" t="s">
        <v>225</v>
      </c>
    </row>
    <row r="9">
      <c r="A9" s="26" t="s">
        <v>676</v>
      </c>
      <c r="B9" s="66" t="s">
        <v>33</v>
      </c>
      <c r="C9" s="26" t="s">
        <v>240</v>
      </c>
      <c r="D9" s="63" t="s">
        <v>359</v>
      </c>
      <c r="E9" s="26" t="s">
        <v>677</v>
      </c>
      <c r="F9" s="63" t="s">
        <v>678</v>
      </c>
      <c r="G9" s="26" t="s">
        <v>679</v>
      </c>
      <c r="H9" s="65" t="s">
        <v>680</v>
      </c>
      <c r="I9" s="26" t="s">
        <v>681</v>
      </c>
      <c r="K9" s="67">
        <v>0.0</v>
      </c>
    </row>
    <row r="10">
      <c r="A10" s="26" t="s">
        <v>682</v>
      </c>
      <c r="B10" s="66" t="s">
        <v>46</v>
      </c>
      <c r="C10" s="26" t="s">
        <v>250</v>
      </c>
      <c r="D10" s="63" t="s">
        <v>683</v>
      </c>
      <c r="E10" s="26" t="s">
        <v>684</v>
      </c>
      <c r="F10" s="63" t="s">
        <v>685</v>
      </c>
      <c r="G10" s="26" t="s">
        <v>686</v>
      </c>
      <c r="H10" s="65" t="s">
        <v>687</v>
      </c>
      <c r="I10" s="26" t="s">
        <v>688</v>
      </c>
    </row>
    <row r="11">
      <c r="A11" s="26" t="s">
        <v>689</v>
      </c>
      <c r="B11" s="66" t="s">
        <v>54</v>
      </c>
      <c r="C11" s="26" t="s">
        <v>259</v>
      </c>
      <c r="D11" s="63" t="s">
        <v>690</v>
      </c>
      <c r="E11" s="26" t="s">
        <v>691</v>
      </c>
      <c r="F11" s="63" t="s">
        <v>692</v>
      </c>
      <c r="G11" s="26" t="s">
        <v>693</v>
      </c>
      <c r="H11" s="65" t="s">
        <v>694</v>
      </c>
      <c r="I11" s="26" t="s">
        <v>695</v>
      </c>
    </row>
    <row r="12">
      <c r="A12" s="26" t="s">
        <v>696</v>
      </c>
      <c r="B12" s="66" t="s">
        <v>60</v>
      </c>
      <c r="C12" s="26" t="s">
        <v>268</v>
      </c>
      <c r="D12" s="63" t="s">
        <v>375</v>
      </c>
      <c r="E12" s="26" t="s">
        <v>697</v>
      </c>
      <c r="G12" s="26" t="s">
        <v>698</v>
      </c>
      <c r="H12" s="65" t="s">
        <v>699</v>
      </c>
    </row>
    <row r="13">
      <c r="A13" s="26" t="s">
        <v>700</v>
      </c>
      <c r="B13" s="61" t="s">
        <v>36</v>
      </c>
      <c r="C13" s="48" t="s">
        <v>701</v>
      </c>
      <c r="D13" s="63" t="s">
        <v>322</v>
      </c>
      <c r="E13" s="26" t="s">
        <v>702</v>
      </c>
      <c r="G13" s="26" t="s">
        <v>703</v>
      </c>
      <c r="H13" s="65" t="s">
        <v>697</v>
      </c>
    </row>
    <row r="14">
      <c r="A14" s="26" t="s">
        <v>704</v>
      </c>
      <c r="B14" s="66" t="s">
        <v>49</v>
      </c>
      <c r="C14" s="26" t="s">
        <v>705</v>
      </c>
      <c r="D14" s="63" t="s">
        <v>368</v>
      </c>
      <c r="E14" s="26" t="s">
        <v>706</v>
      </c>
      <c r="G14" s="26" t="s">
        <v>707</v>
      </c>
      <c r="H14" s="65" t="s">
        <v>708</v>
      </c>
    </row>
    <row r="15">
      <c r="A15" s="26" t="s">
        <v>709</v>
      </c>
      <c r="B15" s="61" t="s">
        <v>56</v>
      </c>
      <c r="C15" s="26" t="s">
        <v>710</v>
      </c>
      <c r="D15" s="63" t="s">
        <v>711</v>
      </c>
      <c r="E15" s="26" t="s">
        <v>712</v>
      </c>
      <c r="G15" s="26" t="s">
        <v>713</v>
      </c>
      <c r="H15" s="65" t="s">
        <v>714</v>
      </c>
    </row>
    <row r="16">
      <c r="A16" s="26" t="s">
        <v>715</v>
      </c>
      <c r="B16" s="66" t="s">
        <v>49</v>
      </c>
      <c r="C16" s="26" t="s">
        <v>716</v>
      </c>
      <c r="D16" s="63" t="s">
        <v>364</v>
      </c>
      <c r="E16" s="26" t="s">
        <v>717</v>
      </c>
      <c r="G16" s="26" t="s">
        <v>718</v>
      </c>
      <c r="H16" s="65" t="s">
        <v>719</v>
      </c>
    </row>
    <row r="17">
      <c r="A17" s="26" t="s">
        <v>720</v>
      </c>
      <c r="B17" s="5"/>
      <c r="C17" s="26" t="s">
        <v>721</v>
      </c>
      <c r="D17" s="63" t="s">
        <v>339</v>
      </c>
      <c r="E17" s="26" t="s">
        <v>722</v>
      </c>
      <c r="F17" s="61" t="s">
        <v>275</v>
      </c>
      <c r="G17" s="26" t="s">
        <v>723</v>
      </c>
      <c r="H17" s="65" t="s">
        <v>724</v>
      </c>
    </row>
    <row r="18">
      <c r="A18" s="26" t="s">
        <v>725</v>
      </c>
      <c r="B18" s="5"/>
      <c r="C18" s="26" t="s">
        <v>726</v>
      </c>
      <c r="D18" s="63" t="s">
        <v>727</v>
      </c>
      <c r="F18" s="68">
        <v>-500.0</v>
      </c>
      <c r="G18" s="26" t="s">
        <v>728</v>
      </c>
      <c r="H18" s="65" t="s">
        <v>729</v>
      </c>
    </row>
    <row r="19">
      <c r="A19" s="26" t="s">
        <v>730</v>
      </c>
      <c r="C19" s="26" t="s">
        <v>731</v>
      </c>
      <c r="D19" s="63" t="s">
        <v>732</v>
      </c>
      <c r="F19" s="63" t="s">
        <v>733</v>
      </c>
      <c r="G19" s="26" t="s">
        <v>734</v>
      </c>
      <c r="H19" s="65" t="s">
        <v>735</v>
      </c>
    </row>
    <row r="20">
      <c r="A20" s="26" t="s">
        <v>736</v>
      </c>
      <c r="C20" s="26" t="s">
        <v>737</v>
      </c>
      <c r="D20" s="63" t="s">
        <v>738</v>
      </c>
      <c r="G20" s="26" t="s">
        <v>739</v>
      </c>
    </row>
    <row r="21">
      <c r="A21" s="26" t="s">
        <v>740</v>
      </c>
      <c r="C21" s="26" t="s">
        <v>741</v>
      </c>
      <c r="D21" s="63" t="s">
        <v>742</v>
      </c>
      <c r="G21" s="26" t="s">
        <v>707</v>
      </c>
    </row>
    <row r="22">
      <c r="A22" s="26" t="s">
        <v>743</v>
      </c>
      <c r="C22" s="26" t="s">
        <v>744</v>
      </c>
      <c r="D22" s="63" t="s">
        <v>745</v>
      </c>
      <c r="E22" s="61" t="s">
        <v>746</v>
      </c>
      <c r="G22" s="26" t="s">
        <v>747</v>
      </c>
    </row>
    <row r="23">
      <c r="A23" s="26" t="s">
        <v>748</v>
      </c>
      <c r="C23" s="26" t="s">
        <v>749</v>
      </c>
      <c r="D23" s="63" t="s">
        <v>750</v>
      </c>
      <c r="E23" s="69">
        <v>50000.0</v>
      </c>
      <c r="G23" s="26" t="s">
        <v>751</v>
      </c>
    </row>
    <row r="24">
      <c r="A24" s="26" t="s">
        <v>752</v>
      </c>
      <c r="C24" s="26" t="s">
        <v>753</v>
      </c>
      <c r="D24" s="63" t="s">
        <v>365</v>
      </c>
      <c r="E24" s="4" t="s">
        <v>144</v>
      </c>
      <c r="G24" s="26" t="s">
        <v>754</v>
      </c>
    </row>
    <row r="25">
      <c r="A25" s="26" t="s">
        <v>755</v>
      </c>
      <c r="C25" s="26" t="s">
        <v>756</v>
      </c>
      <c r="D25" s="63" t="s">
        <v>363</v>
      </c>
      <c r="E25" s="4" t="s">
        <v>757</v>
      </c>
      <c r="G25" s="26" t="s">
        <v>718</v>
      </c>
    </row>
    <row r="26">
      <c r="A26" s="26" t="s">
        <v>758</v>
      </c>
      <c r="D26" s="63" t="s">
        <v>333</v>
      </c>
      <c r="G26" s="26" t="s">
        <v>759</v>
      </c>
    </row>
    <row r="27">
      <c r="A27" s="26" t="s">
        <v>760</v>
      </c>
      <c r="D27" s="63" t="s">
        <v>368</v>
      </c>
      <c r="G27" s="26" t="s">
        <v>761</v>
      </c>
    </row>
    <row r="28">
      <c r="D28" s="63" t="s">
        <v>762</v>
      </c>
      <c r="G28" s="26" t="s">
        <v>260</v>
      </c>
    </row>
    <row r="29">
      <c r="D29" s="63" t="s">
        <v>732</v>
      </c>
      <c r="G29" s="26" t="s">
        <v>763</v>
      </c>
    </row>
    <row r="30">
      <c r="D30" s="63" t="s">
        <v>764</v>
      </c>
      <c r="G30" s="26" t="s">
        <v>765</v>
      </c>
    </row>
    <row r="31">
      <c r="D31" s="63" t="s">
        <v>766</v>
      </c>
      <c r="G31" s="26" t="s">
        <v>747</v>
      </c>
    </row>
    <row r="32">
      <c r="D32" s="63" t="s">
        <v>767</v>
      </c>
      <c r="G32" s="26" t="s">
        <v>768</v>
      </c>
    </row>
    <row r="33">
      <c r="D33" s="63" t="s">
        <v>769</v>
      </c>
      <c r="G33" s="26" t="s">
        <v>703</v>
      </c>
    </row>
    <row r="34">
      <c r="D34" s="63" t="s">
        <v>770</v>
      </c>
      <c r="G34" s="26" t="s">
        <v>747</v>
      </c>
    </row>
    <row r="35">
      <c r="D35" s="63" t="s">
        <v>769</v>
      </c>
      <c r="G35" s="26" t="s">
        <v>771</v>
      </c>
    </row>
    <row r="36">
      <c r="D36" s="63" t="s">
        <v>382</v>
      </c>
      <c r="G36" s="26" t="s">
        <v>260</v>
      </c>
    </row>
    <row r="37">
      <c r="D37" s="63" t="s">
        <v>368</v>
      </c>
      <c r="G37" s="26" t="s">
        <v>772</v>
      </c>
    </row>
    <row r="38">
      <c r="D38" s="63" t="s">
        <v>353</v>
      </c>
      <c r="G38" s="26" t="s">
        <v>765</v>
      </c>
    </row>
    <row r="39">
      <c r="G39" s="26" t="s">
        <v>773</v>
      </c>
    </row>
    <row r="40">
      <c r="G40" s="26" t="s">
        <v>774</v>
      </c>
    </row>
    <row r="41">
      <c r="G41" s="26" t="s">
        <v>703</v>
      </c>
    </row>
    <row r="42">
      <c r="A42" s="36" t="s">
        <v>384</v>
      </c>
      <c r="G42" s="26" t="s">
        <v>728</v>
      </c>
    </row>
    <row r="43">
      <c r="A43" s="70">
        <f>A45+A52+A81+A110+A132+A158</f>
        <v>1415120</v>
      </c>
      <c r="G43" s="26" t="s">
        <v>775</v>
      </c>
    </row>
    <row r="44">
      <c r="A44" s="37" t="s">
        <v>776</v>
      </c>
      <c r="G44" s="26" t="s">
        <v>777</v>
      </c>
    </row>
    <row r="45">
      <c r="A45" s="37">
        <v>-15000.0</v>
      </c>
      <c r="G45" s="26" t="s">
        <v>778</v>
      </c>
    </row>
    <row r="46">
      <c r="A46" s="37">
        <v>2026.0</v>
      </c>
    </row>
    <row r="47">
      <c r="A47" s="38" t="s">
        <v>386</v>
      </c>
      <c r="B47" s="38" t="s">
        <v>102</v>
      </c>
      <c r="C47" s="38" t="s">
        <v>126</v>
      </c>
      <c r="D47" s="38" t="s">
        <v>112</v>
      </c>
      <c r="E47" s="38" t="s">
        <v>117</v>
      </c>
    </row>
    <row r="48">
      <c r="A48" s="47" t="s">
        <v>779</v>
      </c>
    </row>
    <row r="49">
      <c r="A49" s="4" t="s">
        <v>780</v>
      </c>
    </row>
    <row r="50">
      <c r="A50" s="40"/>
    </row>
    <row r="51">
      <c r="A51" s="41" t="s">
        <v>781</v>
      </c>
    </row>
    <row r="52">
      <c r="A52" s="41">
        <v>51070.0</v>
      </c>
    </row>
    <row r="53">
      <c r="A53" s="42">
        <v>2026.0</v>
      </c>
    </row>
    <row r="54">
      <c r="A54" s="38" t="s">
        <v>409</v>
      </c>
      <c r="B54" s="38" t="s">
        <v>410</v>
      </c>
      <c r="C54" s="38" t="s">
        <v>411</v>
      </c>
      <c r="D54" s="38" t="s">
        <v>412</v>
      </c>
      <c r="E54" s="38" t="s">
        <v>413</v>
      </c>
      <c r="F54" s="38" t="s">
        <v>414</v>
      </c>
    </row>
    <row r="55">
      <c r="A55" s="39" t="s">
        <v>782</v>
      </c>
      <c r="B55" s="39" t="s">
        <v>783</v>
      </c>
      <c r="D55" s="39" t="s">
        <v>784</v>
      </c>
      <c r="F55" s="39" t="s">
        <v>785</v>
      </c>
    </row>
    <row r="56">
      <c r="A56" s="26" t="s">
        <v>786</v>
      </c>
      <c r="B56" s="26" t="s">
        <v>664</v>
      </c>
      <c r="D56" s="26" t="s">
        <v>679</v>
      </c>
      <c r="F56" s="26" t="s">
        <v>251</v>
      </c>
    </row>
    <row r="57">
      <c r="A57" s="26" t="s">
        <v>425</v>
      </c>
      <c r="B57" s="26" t="s">
        <v>400</v>
      </c>
      <c r="D57" s="26" t="s">
        <v>424</v>
      </c>
      <c r="F57" s="26" t="s">
        <v>787</v>
      </c>
    </row>
    <row r="58">
      <c r="A58" s="26" t="s">
        <v>788</v>
      </c>
      <c r="B58" s="26" t="s">
        <v>453</v>
      </c>
      <c r="D58" s="26" t="s">
        <v>428</v>
      </c>
      <c r="F58" s="26" t="s">
        <v>428</v>
      </c>
    </row>
    <row r="59">
      <c r="D59" s="26" t="s">
        <v>789</v>
      </c>
      <c r="F59" s="26" t="s">
        <v>453</v>
      </c>
    </row>
    <row r="60">
      <c r="D60" s="26" t="s">
        <v>734</v>
      </c>
      <c r="F60" s="26" t="s">
        <v>442</v>
      </c>
    </row>
    <row r="61">
      <c r="D61" s="26" t="s">
        <v>441</v>
      </c>
      <c r="F61" s="26" t="s">
        <v>436</v>
      </c>
    </row>
    <row r="62">
      <c r="D62" s="26" t="s">
        <v>790</v>
      </c>
      <c r="F62" s="26" t="s">
        <v>791</v>
      </c>
    </row>
    <row r="63">
      <c r="D63" s="26" t="s">
        <v>503</v>
      </c>
      <c r="F63" s="26" t="s">
        <v>400</v>
      </c>
    </row>
    <row r="64">
      <c r="D64" s="26" t="s">
        <v>428</v>
      </c>
      <c r="F64" s="26" t="s">
        <v>436</v>
      </c>
    </row>
    <row r="65">
      <c r="D65" s="26" t="s">
        <v>792</v>
      </c>
      <c r="F65" s="26" t="s">
        <v>793</v>
      </c>
    </row>
    <row r="66">
      <c r="D66" s="26" t="s">
        <v>794</v>
      </c>
      <c r="F66" s="26" t="s">
        <v>425</v>
      </c>
    </row>
    <row r="67">
      <c r="D67" s="26" t="s">
        <v>407</v>
      </c>
      <c r="F67" s="26" t="s">
        <v>436</v>
      </c>
    </row>
    <row r="68">
      <c r="D68" s="26" t="s">
        <v>795</v>
      </c>
      <c r="F68" s="26" t="s">
        <v>796</v>
      </c>
    </row>
    <row r="69">
      <c r="D69" s="26" t="s">
        <v>425</v>
      </c>
      <c r="F69" s="26" t="s">
        <v>425</v>
      </c>
    </row>
    <row r="70">
      <c r="D70" s="26" t="s">
        <v>797</v>
      </c>
      <c r="F70" s="26" t="s">
        <v>436</v>
      </c>
    </row>
    <row r="71">
      <c r="D71" s="26" t="s">
        <v>425</v>
      </c>
      <c r="F71" s="26" t="s">
        <v>798</v>
      </c>
    </row>
    <row r="72">
      <c r="D72" s="26" t="s">
        <v>799</v>
      </c>
      <c r="F72" s="26" t="s">
        <v>425</v>
      </c>
    </row>
    <row r="73">
      <c r="D73" s="26" t="s">
        <v>425</v>
      </c>
      <c r="F73" s="26" t="s">
        <v>436</v>
      </c>
    </row>
    <row r="74">
      <c r="D74" s="26" t="s">
        <v>800</v>
      </c>
      <c r="F74" s="26" t="s">
        <v>801</v>
      </c>
    </row>
    <row r="75">
      <c r="D75" s="26" t="s">
        <v>550</v>
      </c>
      <c r="F75" s="26" t="s">
        <v>425</v>
      </c>
    </row>
    <row r="76">
      <c r="D76" s="26" t="s">
        <v>802</v>
      </c>
      <c r="F76" s="26" t="s">
        <v>436</v>
      </c>
    </row>
    <row r="77">
      <c r="D77" s="26" t="s">
        <v>425</v>
      </c>
    </row>
    <row r="78">
      <c r="D78" s="26" t="s">
        <v>428</v>
      </c>
    </row>
    <row r="79">
      <c r="A79" s="40"/>
    </row>
    <row r="80">
      <c r="A80" s="21" t="s">
        <v>803</v>
      </c>
    </row>
    <row r="81">
      <c r="A81" s="21">
        <v>145800.0</v>
      </c>
    </row>
    <row r="82">
      <c r="A82" s="18">
        <v>2026.0</v>
      </c>
    </row>
    <row r="83">
      <c r="A83" s="43" t="s">
        <v>804</v>
      </c>
    </row>
    <row r="84">
      <c r="A84" s="38" t="s">
        <v>457</v>
      </c>
      <c r="B84" s="38" t="s">
        <v>169</v>
      </c>
      <c r="C84" s="38" t="s">
        <v>458</v>
      </c>
      <c r="D84" s="38" t="s">
        <v>459</v>
      </c>
      <c r="E84" s="38" t="s">
        <v>164</v>
      </c>
      <c r="F84" s="38" t="s">
        <v>460</v>
      </c>
      <c r="G84" s="38" t="s">
        <v>157</v>
      </c>
      <c r="H84" s="38" t="s">
        <v>461</v>
      </c>
    </row>
    <row r="85">
      <c r="A85" s="44" t="s">
        <v>805</v>
      </c>
      <c r="B85" s="44" t="s">
        <v>806</v>
      </c>
      <c r="C85" s="44" t="s">
        <v>517</v>
      </c>
      <c r="D85" s="44" t="s">
        <v>387</v>
      </c>
      <c r="E85" s="44" t="s">
        <v>517</v>
      </c>
      <c r="F85" s="44" t="s">
        <v>807</v>
      </c>
      <c r="G85" s="44" t="s">
        <v>808</v>
      </c>
      <c r="H85" s="44" t="s">
        <v>809</v>
      </c>
    </row>
    <row r="86">
      <c r="A86" s="26" t="s">
        <v>810</v>
      </c>
      <c r="B86" s="26" t="s">
        <v>251</v>
      </c>
      <c r="D86" s="26" t="s">
        <v>811</v>
      </c>
      <c r="F86" s="26" t="s">
        <v>812</v>
      </c>
      <c r="G86" s="26" t="s">
        <v>679</v>
      </c>
      <c r="H86" s="26" t="s">
        <v>813</v>
      </c>
    </row>
    <row r="87">
      <c r="A87" s="26" t="s">
        <v>424</v>
      </c>
      <c r="B87" s="26" t="s">
        <v>651</v>
      </c>
      <c r="D87" s="26" t="s">
        <v>394</v>
      </c>
      <c r="F87" s="26" t="s">
        <v>489</v>
      </c>
      <c r="G87" s="26" t="s">
        <v>424</v>
      </c>
      <c r="H87" s="26" t="s">
        <v>550</v>
      </c>
    </row>
    <row r="88">
      <c r="A88" s="26" t="s">
        <v>493</v>
      </c>
      <c r="B88" s="26" t="s">
        <v>493</v>
      </c>
      <c r="F88" s="26" t="s">
        <v>303</v>
      </c>
      <c r="G88" s="26" t="s">
        <v>814</v>
      </c>
    </row>
    <row r="89">
      <c r="A89" s="26" t="s">
        <v>650</v>
      </c>
      <c r="B89" s="26" t="s">
        <v>496</v>
      </c>
      <c r="F89" s="26" t="s">
        <v>315</v>
      </c>
      <c r="G89" s="26" t="s">
        <v>815</v>
      </c>
    </row>
    <row r="90">
      <c r="A90" s="26" t="s">
        <v>544</v>
      </c>
      <c r="B90" s="26" t="s">
        <v>816</v>
      </c>
      <c r="G90" s="26" t="s">
        <v>509</v>
      </c>
    </row>
    <row r="91">
      <c r="A91" s="26" t="s">
        <v>817</v>
      </c>
      <c r="B91" s="26" t="s">
        <v>627</v>
      </c>
      <c r="G91" s="26" t="s">
        <v>818</v>
      </c>
    </row>
    <row r="92">
      <c r="A92" s="26" t="s">
        <v>360</v>
      </c>
      <c r="B92" s="26" t="s">
        <v>355</v>
      </c>
      <c r="G92" s="26" t="s">
        <v>651</v>
      </c>
    </row>
    <row r="93">
      <c r="A93" s="26" t="s">
        <v>793</v>
      </c>
      <c r="B93" s="26" t="s">
        <v>496</v>
      </c>
      <c r="G93" s="26" t="s">
        <v>509</v>
      </c>
    </row>
    <row r="94">
      <c r="A94" s="26" t="s">
        <v>544</v>
      </c>
      <c r="B94" s="26" t="s">
        <v>819</v>
      </c>
      <c r="G94" s="26" t="s">
        <v>820</v>
      </c>
    </row>
    <row r="95">
      <c r="A95" s="26" t="s">
        <v>280</v>
      </c>
      <c r="B95" s="26" t="s">
        <v>425</v>
      </c>
      <c r="G95" s="26" t="s">
        <v>400</v>
      </c>
    </row>
    <row r="96">
      <c r="A96" s="26" t="s">
        <v>821</v>
      </c>
      <c r="B96" s="26" t="s">
        <v>496</v>
      </c>
      <c r="G96" s="26" t="s">
        <v>509</v>
      </c>
    </row>
    <row r="97">
      <c r="A97" s="26" t="s">
        <v>569</v>
      </c>
      <c r="G97" s="26" t="s">
        <v>822</v>
      </c>
    </row>
    <row r="98">
      <c r="A98" s="26" t="s">
        <v>823</v>
      </c>
      <c r="G98" s="26" t="s">
        <v>425</v>
      </c>
    </row>
    <row r="99">
      <c r="A99" s="26" t="s">
        <v>550</v>
      </c>
      <c r="G99" s="26" t="s">
        <v>509</v>
      </c>
    </row>
    <row r="100">
      <c r="A100" s="26" t="s">
        <v>824</v>
      </c>
    </row>
    <row r="101">
      <c r="A101" s="26" t="s">
        <v>425</v>
      </c>
    </row>
    <row r="109">
      <c r="A109" s="46" t="s">
        <v>825</v>
      </c>
    </row>
    <row r="110">
      <c r="A110" s="46">
        <f>A113</f>
        <v>143450</v>
      </c>
    </row>
    <row r="111">
      <c r="A111" s="46">
        <v>2026.0</v>
      </c>
    </row>
    <row r="112">
      <c r="A112" s="46" t="s">
        <v>554</v>
      </c>
    </row>
    <row r="113">
      <c r="A113" s="46">
        <f>A116+B116+C116+D116+E116+F116+G116+H116</f>
        <v>143450</v>
      </c>
    </row>
    <row r="114">
      <c r="A114" s="38" t="s">
        <v>512</v>
      </c>
      <c r="B114" s="38" t="s">
        <v>513</v>
      </c>
      <c r="C114" s="38" t="s">
        <v>196</v>
      </c>
      <c r="D114" s="38" t="s">
        <v>514</v>
      </c>
      <c r="E114" s="38" t="s">
        <v>182</v>
      </c>
      <c r="F114" s="38" t="s">
        <v>515</v>
      </c>
      <c r="G114" s="38" t="s">
        <v>516</v>
      </c>
      <c r="H114" s="38" t="s">
        <v>185</v>
      </c>
    </row>
    <row r="115">
      <c r="A115" s="47" t="s">
        <v>517</v>
      </c>
      <c r="B115" s="47" t="s">
        <v>517</v>
      </c>
      <c r="C115" s="47" t="s">
        <v>517</v>
      </c>
      <c r="D115" s="47" t="s">
        <v>415</v>
      </c>
      <c r="E115" s="47" t="s">
        <v>517</v>
      </c>
      <c r="F115" s="47" t="s">
        <v>517</v>
      </c>
      <c r="G115" s="47" t="s">
        <v>415</v>
      </c>
      <c r="H115" s="47" t="s">
        <v>517</v>
      </c>
    </row>
    <row r="116">
      <c r="A116" s="38">
        <v>0.0</v>
      </c>
      <c r="B116" s="38">
        <v>5000.0</v>
      </c>
      <c r="C116" s="38">
        <v>0.0</v>
      </c>
      <c r="D116" s="38">
        <v>3000.0</v>
      </c>
      <c r="E116" s="38">
        <v>55650.0</v>
      </c>
      <c r="F116" s="38">
        <v>13500.0</v>
      </c>
      <c r="G116" s="38">
        <v>0.0</v>
      </c>
      <c r="H116" s="38">
        <v>66300.0</v>
      </c>
    </row>
    <row r="117">
      <c r="B117" s="26" t="s">
        <v>826</v>
      </c>
      <c r="D117" s="26" t="s">
        <v>827</v>
      </c>
      <c r="E117" s="26" t="s">
        <v>251</v>
      </c>
      <c r="F117" s="48" t="s">
        <v>828</v>
      </c>
      <c r="H117" s="26" t="s">
        <v>679</v>
      </c>
    </row>
    <row r="118">
      <c r="B118" s="26" t="s">
        <v>521</v>
      </c>
      <c r="D118" s="26" t="s">
        <v>829</v>
      </c>
      <c r="E118" s="26" t="s">
        <v>523</v>
      </c>
      <c r="F118" s="48" t="s">
        <v>543</v>
      </c>
      <c r="H118" s="26" t="s">
        <v>523</v>
      </c>
    </row>
    <row r="119">
      <c r="B119" s="26" t="s">
        <v>526</v>
      </c>
      <c r="E119" s="26" t="s">
        <v>530</v>
      </c>
      <c r="F119" s="48" t="s">
        <v>295</v>
      </c>
      <c r="H119" s="26" t="s">
        <v>830</v>
      </c>
    </row>
    <row r="120">
      <c r="B120" s="26" t="s">
        <v>830</v>
      </c>
      <c r="E120" s="26" t="s">
        <v>537</v>
      </c>
      <c r="F120" s="48" t="s">
        <v>831</v>
      </c>
      <c r="H120" s="26" t="s">
        <v>541</v>
      </c>
    </row>
    <row r="121">
      <c r="E121" s="48" t="s">
        <v>832</v>
      </c>
      <c r="F121" s="48" t="s">
        <v>833</v>
      </c>
      <c r="H121" s="26" t="s">
        <v>734</v>
      </c>
    </row>
    <row r="122">
      <c r="E122" s="48" t="s">
        <v>542</v>
      </c>
      <c r="F122" s="48" t="s">
        <v>834</v>
      </c>
      <c r="H122" s="26" t="s">
        <v>550</v>
      </c>
    </row>
    <row r="123">
      <c r="H123" s="26" t="s">
        <v>541</v>
      </c>
    </row>
    <row r="124">
      <c r="H124" s="26" t="s">
        <v>835</v>
      </c>
    </row>
    <row r="125">
      <c r="H125" s="26" t="s">
        <v>829</v>
      </c>
    </row>
    <row r="126">
      <c r="H126" s="26" t="s">
        <v>541</v>
      </c>
    </row>
    <row r="127">
      <c r="H127" s="26" t="s">
        <v>836</v>
      </c>
    </row>
    <row r="128">
      <c r="H128" s="26" t="s">
        <v>837</v>
      </c>
    </row>
    <row r="129">
      <c r="H129" s="26" t="s">
        <v>541</v>
      </c>
    </row>
    <row r="131">
      <c r="A131" s="49" t="s">
        <v>838</v>
      </c>
    </row>
    <row r="132">
      <c r="A132" s="49">
        <f>-250000+A137+150000-125000</f>
        <v>877800</v>
      </c>
    </row>
    <row r="133">
      <c r="A133" s="49">
        <v>2026.0</v>
      </c>
    </row>
    <row r="134">
      <c r="A134" s="71" t="s">
        <v>839</v>
      </c>
    </row>
    <row r="135">
      <c r="A135" s="49" t="s">
        <v>554</v>
      </c>
    </row>
    <row r="136">
      <c r="A136" s="49" t="s">
        <v>840</v>
      </c>
    </row>
    <row r="137">
      <c r="A137" s="72">
        <f>A140+B140+C140+D140+E140+F140+G140+H140+I140+J140</f>
        <v>1102800</v>
      </c>
    </row>
    <row r="138">
      <c r="A138" s="38" t="s">
        <v>555</v>
      </c>
      <c r="B138" s="38" t="s">
        <v>556</v>
      </c>
      <c r="C138" s="38" t="s">
        <v>557</v>
      </c>
      <c r="D138" s="38" t="s">
        <v>558</v>
      </c>
      <c r="E138" s="38" t="s">
        <v>559</v>
      </c>
      <c r="F138" s="38" t="s">
        <v>560</v>
      </c>
      <c r="G138" s="52" t="s">
        <v>561</v>
      </c>
      <c r="H138" s="73" t="s">
        <v>562</v>
      </c>
      <c r="I138" s="74" t="s">
        <v>563</v>
      </c>
      <c r="J138" s="73" t="s">
        <v>564</v>
      </c>
    </row>
    <row r="139">
      <c r="A139" s="47" t="s">
        <v>517</v>
      </c>
      <c r="B139" s="47" t="s">
        <v>517</v>
      </c>
      <c r="C139" s="47" t="s">
        <v>517</v>
      </c>
      <c r="D139" s="47" t="s">
        <v>517</v>
      </c>
      <c r="E139" s="47" t="s">
        <v>517</v>
      </c>
      <c r="F139" s="47" t="s">
        <v>517</v>
      </c>
      <c r="G139" s="47" t="s">
        <v>517</v>
      </c>
      <c r="H139" s="30" t="s">
        <v>517</v>
      </c>
      <c r="I139" s="30" t="s">
        <v>517</v>
      </c>
      <c r="J139" s="30" t="s">
        <v>517</v>
      </c>
    </row>
    <row r="140">
      <c r="A140" s="38">
        <v>113000.0</v>
      </c>
      <c r="B140" s="38">
        <v>110000.0</v>
      </c>
      <c r="C140" s="38">
        <v>110000.0</v>
      </c>
      <c r="D140" s="38">
        <v>112000.0</v>
      </c>
      <c r="E140" s="38">
        <v>150600.0</v>
      </c>
      <c r="F140" s="38">
        <v>117100.0</v>
      </c>
      <c r="G140" s="38">
        <v>136900.0</v>
      </c>
      <c r="H140" s="38">
        <v>112900.0</v>
      </c>
      <c r="I140" s="56">
        <v>140300.0</v>
      </c>
      <c r="J140" s="73">
        <v>0.0</v>
      </c>
    </row>
    <row r="141">
      <c r="A141" s="26" t="s">
        <v>841</v>
      </c>
      <c r="B141" s="26" t="s">
        <v>842</v>
      </c>
      <c r="C141" s="26" t="s">
        <v>843</v>
      </c>
      <c r="D141" s="26" t="s">
        <v>844</v>
      </c>
      <c r="E141" s="26" t="s">
        <v>845</v>
      </c>
      <c r="F141" s="26" t="s">
        <v>846</v>
      </c>
      <c r="G141" s="26" t="s">
        <v>679</v>
      </c>
      <c r="H141" s="26" t="s">
        <v>847</v>
      </c>
      <c r="I141" s="26" t="s">
        <v>609</v>
      </c>
    </row>
    <row r="142">
      <c r="A142" s="26" t="s">
        <v>574</v>
      </c>
      <c r="B142" s="26" t="s">
        <v>574</v>
      </c>
      <c r="C142" s="26" t="s">
        <v>574</v>
      </c>
      <c r="D142" s="26" t="s">
        <v>574</v>
      </c>
      <c r="E142" s="26" t="s">
        <v>574</v>
      </c>
      <c r="F142" s="26" t="s">
        <v>574</v>
      </c>
      <c r="G142" s="26" t="s">
        <v>574</v>
      </c>
      <c r="H142" s="26" t="s">
        <v>574</v>
      </c>
      <c r="I142" s="26" t="s">
        <v>574</v>
      </c>
    </row>
    <row r="143">
      <c r="A143" s="26" t="s">
        <v>848</v>
      </c>
      <c r="B143" s="48" t="s">
        <v>849</v>
      </c>
      <c r="C143" s="26" t="s">
        <v>850</v>
      </c>
      <c r="D143" s="48" t="s">
        <v>295</v>
      </c>
      <c r="E143" s="26" t="s">
        <v>851</v>
      </c>
      <c r="F143" s="26" t="s">
        <v>848</v>
      </c>
      <c r="G143" s="26" t="s">
        <v>852</v>
      </c>
      <c r="H143" s="26" t="s">
        <v>853</v>
      </c>
      <c r="I143" s="26" t="s">
        <v>854</v>
      </c>
    </row>
    <row r="144">
      <c r="A144" s="26" t="s">
        <v>852</v>
      </c>
      <c r="B144" s="48" t="s">
        <v>855</v>
      </c>
      <c r="C144" s="26" t="s">
        <v>855</v>
      </c>
      <c r="D144" s="48" t="s">
        <v>855</v>
      </c>
      <c r="E144" s="26" t="s">
        <v>855</v>
      </c>
      <c r="F144" s="26" t="s">
        <v>856</v>
      </c>
      <c r="G144" s="65" t="s">
        <v>857</v>
      </c>
      <c r="H144" s="26" t="s">
        <v>858</v>
      </c>
      <c r="I144" s="26" t="s">
        <v>855</v>
      </c>
    </row>
    <row r="145">
      <c r="A145" s="48" t="s">
        <v>832</v>
      </c>
      <c r="D145" s="26" t="s">
        <v>859</v>
      </c>
      <c r="E145" s="26" t="s">
        <v>848</v>
      </c>
      <c r="F145" s="26" t="s">
        <v>855</v>
      </c>
      <c r="G145" s="65" t="s">
        <v>855</v>
      </c>
      <c r="H145" s="26" t="s">
        <v>855</v>
      </c>
      <c r="I145" s="26" t="s">
        <v>860</v>
      </c>
    </row>
    <row r="146">
      <c r="A146" s="48" t="s">
        <v>855</v>
      </c>
      <c r="D146" s="26" t="s">
        <v>550</v>
      </c>
      <c r="E146" s="26" t="s">
        <v>579</v>
      </c>
      <c r="F146" s="26" t="s">
        <v>861</v>
      </c>
      <c r="G146" s="26" t="s">
        <v>862</v>
      </c>
      <c r="H146" s="26" t="s">
        <v>863</v>
      </c>
      <c r="I146" s="26" t="s">
        <v>425</v>
      </c>
    </row>
    <row r="147">
      <c r="E147" s="26" t="s">
        <v>864</v>
      </c>
      <c r="F147" s="26" t="s">
        <v>452</v>
      </c>
      <c r="G147" s="26" t="s">
        <v>570</v>
      </c>
      <c r="H147" s="26" t="s">
        <v>865</v>
      </c>
      <c r="I147" s="26" t="s">
        <v>866</v>
      </c>
    </row>
    <row r="148">
      <c r="E148" s="26" t="s">
        <v>570</v>
      </c>
      <c r="F148" s="26" t="s">
        <v>848</v>
      </c>
      <c r="G148" s="26" t="s">
        <v>867</v>
      </c>
      <c r="I148" s="26" t="s">
        <v>425</v>
      </c>
    </row>
    <row r="149">
      <c r="E149" s="26" t="s">
        <v>822</v>
      </c>
      <c r="F149" s="26" t="s">
        <v>852</v>
      </c>
      <c r="G149" s="26" t="s">
        <v>865</v>
      </c>
      <c r="I149" s="26" t="s">
        <v>868</v>
      </c>
    </row>
    <row r="150">
      <c r="E150" s="26" t="s">
        <v>869</v>
      </c>
      <c r="F150" s="26" t="s">
        <v>579</v>
      </c>
      <c r="I150" s="26" t="s">
        <v>570</v>
      </c>
    </row>
    <row r="151">
      <c r="E151" s="26" t="s">
        <v>870</v>
      </c>
      <c r="I151" s="26" t="s">
        <v>848</v>
      </c>
    </row>
    <row r="152">
      <c r="E152" s="26" t="s">
        <v>580</v>
      </c>
      <c r="I152" s="26" t="s">
        <v>579</v>
      </c>
    </row>
    <row r="153">
      <c r="I153" s="26" t="s">
        <v>871</v>
      </c>
    </row>
    <row r="154">
      <c r="I154" s="26" t="s">
        <v>872</v>
      </c>
    </row>
    <row r="155">
      <c r="A155" s="47" t="s">
        <v>873</v>
      </c>
    </row>
    <row r="156">
      <c r="A156" s="53" t="s">
        <v>596</v>
      </c>
    </row>
    <row r="157">
      <c r="A157" s="54" t="s">
        <v>597</v>
      </c>
    </row>
    <row r="158">
      <c r="A158" s="54">
        <f>A161</f>
        <v>212000</v>
      </c>
    </row>
    <row r="159">
      <c r="A159" s="54">
        <v>2026.0</v>
      </c>
    </row>
    <row r="160">
      <c r="A160" s="54" t="s">
        <v>554</v>
      </c>
    </row>
    <row r="161">
      <c r="A161" s="55">
        <f>A164+B164+C164+D164+E164+F164+G164+H164+I164+J164</f>
        <v>212000</v>
      </c>
    </row>
    <row r="162">
      <c r="A162" s="38" t="s">
        <v>598</v>
      </c>
      <c r="B162" s="38" t="s">
        <v>599</v>
      </c>
      <c r="C162" s="38" t="s">
        <v>600</v>
      </c>
      <c r="D162" s="38" t="s">
        <v>601</v>
      </c>
      <c r="E162" s="38" t="s">
        <v>602</v>
      </c>
      <c r="F162" s="38" t="s">
        <v>603</v>
      </c>
      <c r="G162" s="51" t="s">
        <v>604</v>
      </c>
      <c r="H162" s="56" t="s">
        <v>605</v>
      </c>
      <c r="I162" s="56" t="s">
        <v>606</v>
      </c>
      <c r="J162" s="56" t="s">
        <v>607</v>
      </c>
    </row>
    <row r="163">
      <c r="A163" s="47" t="s">
        <v>517</v>
      </c>
      <c r="B163" s="47" t="s">
        <v>517</v>
      </c>
      <c r="C163" s="47" t="s">
        <v>517</v>
      </c>
      <c r="D163" s="47" t="s">
        <v>517</v>
      </c>
      <c r="E163" s="47" t="s">
        <v>517</v>
      </c>
      <c r="F163" s="47" t="s">
        <v>517</v>
      </c>
      <c r="G163" s="47" t="s">
        <v>517</v>
      </c>
      <c r="H163" s="30" t="s">
        <v>517</v>
      </c>
      <c r="I163" s="30" t="s">
        <v>517</v>
      </c>
      <c r="J163" s="30" t="s">
        <v>517</v>
      </c>
    </row>
    <row r="164">
      <c r="A164" s="38"/>
      <c r="B164" s="38"/>
      <c r="C164" s="38">
        <v>82500.0</v>
      </c>
      <c r="D164" s="38"/>
      <c r="E164" s="38">
        <v>114500.0</v>
      </c>
      <c r="F164" s="38"/>
      <c r="G164" s="38">
        <v>15000.0</v>
      </c>
      <c r="H164" s="38"/>
      <c r="I164" s="38"/>
      <c r="J164" s="38"/>
    </row>
    <row r="165">
      <c r="C165" s="26" t="s">
        <v>679</v>
      </c>
      <c r="E165" s="48" t="s">
        <v>847</v>
      </c>
      <c r="G165" s="26" t="s">
        <v>874</v>
      </c>
      <c r="I165" s="26" t="s">
        <v>875</v>
      </c>
    </row>
    <row r="166">
      <c r="C166" s="26" t="s">
        <v>876</v>
      </c>
      <c r="E166" s="48" t="s">
        <v>876</v>
      </c>
      <c r="G166" s="26" t="s">
        <v>544</v>
      </c>
      <c r="I166" s="26" t="s">
        <v>634</v>
      </c>
    </row>
    <row r="167">
      <c r="C167" s="26" t="s">
        <v>614</v>
      </c>
      <c r="E167" s="48" t="s">
        <v>877</v>
      </c>
      <c r="G167" s="26" t="s">
        <v>878</v>
      </c>
    </row>
    <row r="168">
      <c r="C168" s="26" t="s">
        <v>879</v>
      </c>
      <c r="E168" s="48" t="s">
        <v>880</v>
      </c>
      <c r="G168" s="26" t="s">
        <v>569</v>
      </c>
    </row>
    <row r="169">
      <c r="C169" s="26" t="s">
        <v>881</v>
      </c>
      <c r="E169" s="26" t="s">
        <v>882</v>
      </c>
    </row>
    <row r="170">
      <c r="C170" s="26" t="s">
        <v>400</v>
      </c>
      <c r="E170" s="26" t="s">
        <v>400</v>
      </c>
    </row>
    <row r="171">
      <c r="C171" s="26" t="s">
        <v>615</v>
      </c>
      <c r="E171" s="26" t="s">
        <v>883</v>
      </c>
    </row>
    <row r="172">
      <c r="C172" s="26" t="s">
        <v>884</v>
      </c>
      <c r="E172" s="26" t="s">
        <v>885</v>
      </c>
    </row>
    <row r="173">
      <c r="C173" s="26" t="s">
        <v>886</v>
      </c>
      <c r="E173" s="26" t="s">
        <v>622</v>
      </c>
    </row>
    <row r="174">
      <c r="C174" s="26" t="s">
        <v>628</v>
      </c>
      <c r="E174" s="26" t="s">
        <v>879</v>
      </c>
    </row>
    <row r="175">
      <c r="C175" s="26" t="s">
        <v>887</v>
      </c>
    </row>
    <row r="176">
      <c r="C176" s="26" t="s">
        <v>888</v>
      </c>
    </row>
    <row r="178">
      <c r="A178" s="57" t="s">
        <v>638</v>
      </c>
    </row>
    <row r="179">
      <c r="A179" s="57">
        <f>A182</f>
        <v>0</v>
      </c>
    </row>
    <row r="180">
      <c r="A180" s="57">
        <v>2026.0</v>
      </c>
    </row>
    <row r="181">
      <c r="A181" s="57" t="s">
        <v>554</v>
      </c>
    </row>
    <row r="182">
      <c r="A182" s="57">
        <f>A185+B185+C185+D185+E185+F185+G185+H185</f>
        <v>0</v>
      </c>
    </row>
    <row r="183">
      <c r="A183" s="38" t="s">
        <v>639</v>
      </c>
      <c r="B183" s="38" t="s">
        <v>640</v>
      </c>
      <c r="C183" s="38" t="s">
        <v>641</v>
      </c>
      <c r="D183" s="38" t="s">
        <v>642</v>
      </c>
      <c r="E183" s="38" t="s">
        <v>643</v>
      </c>
      <c r="F183" s="38" t="s">
        <v>644</v>
      </c>
      <c r="G183" s="38" t="s">
        <v>645</v>
      </c>
      <c r="H183" s="38" t="s">
        <v>646</v>
      </c>
    </row>
    <row r="184">
      <c r="A184" s="47" t="s">
        <v>517</v>
      </c>
      <c r="B184" s="47" t="s">
        <v>517</v>
      </c>
      <c r="C184" s="47" t="s">
        <v>517</v>
      </c>
      <c r="D184" s="47" t="s">
        <v>517</v>
      </c>
      <c r="E184" s="47" t="s">
        <v>517</v>
      </c>
      <c r="F184" s="47" t="s">
        <v>517</v>
      </c>
      <c r="G184" s="47" t="s">
        <v>517</v>
      </c>
      <c r="H184" s="47" t="s">
        <v>517</v>
      </c>
    </row>
    <row r="185">
      <c r="A185" s="38">
        <v>0.0</v>
      </c>
      <c r="B185" s="38">
        <v>0.0</v>
      </c>
      <c r="C185" s="38">
        <v>0.0</v>
      </c>
      <c r="D185" s="38">
        <v>0.0</v>
      </c>
      <c r="E185" s="38">
        <v>0.0</v>
      </c>
      <c r="F185" s="38">
        <v>0.0</v>
      </c>
      <c r="G185" s="38">
        <v>0.0</v>
      </c>
      <c r="H185" s="38">
        <v>0.0</v>
      </c>
    </row>
  </sheetData>
  <mergeCells count="51">
    <mergeCell ref="K6:M6"/>
    <mergeCell ref="K7:M7"/>
    <mergeCell ref="K8:M8"/>
    <mergeCell ref="K9:M9"/>
    <mergeCell ref="A1:M1"/>
    <mergeCell ref="A2:M2"/>
    <mergeCell ref="A3:M3"/>
    <mergeCell ref="A4:M4"/>
    <mergeCell ref="G5:I5"/>
    <mergeCell ref="K5:M5"/>
    <mergeCell ref="G6:I6"/>
    <mergeCell ref="A42:E42"/>
    <mergeCell ref="A43:E43"/>
    <mergeCell ref="A44:E44"/>
    <mergeCell ref="A45:E45"/>
    <mergeCell ref="A46:E46"/>
    <mergeCell ref="A48:E48"/>
    <mergeCell ref="A49:E49"/>
    <mergeCell ref="A50:F50"/>
    <mergeCell ref="A51:F51"/>
    <mergeCell ref="A52:F52"/>
    <mergeCell ref="A53:F53"/>
    <mergeCell ref="A79:H79"/>
    <mergeCell ref="A80:H80"/>
    <mergeCell ref="A81:H81"/>
    <mergeCell ref="A82:H82"/>
    <mergeCell ref="A83:H83"/>
    <mergeCell ref="A109:H109"/>
    <mergeCell ref="A110:H110"/>
    <mergeCell ref="A111:H111"/>
    <mergeCell ref="A112:H112"/>
    <mergeCell ref="A113:H113"/>
    <mergeCell ref="A131:J131"/>
    <mergeCell ref="A132:J132"/>
    <mergeCell ref="A133:J133"/>
    <mergeCell ref="A134:J134"/>
    <mergeCell ref="A135:J135"/>
    <mergeCell ref="A136:J136"/>
    <mergeCell ref="A137:J137"/>
    <mergeCell ref="A178:H178"/>
    <mergeCell ref="A179:H179"/>
    <mergeCell ref="A180:H180"/>
    <mergeCell ref="A181:H181"/>
    <mergeCell ref="A182:H182"/>
    <mergeCell ref="A155:J155"/>
    <mergeCell ref="A156:J156"/>
    <mergeCell ref="A157:J157"/>
    <mergeCell ref="A158:J158"/>
    <mergeCell ref="A159:J159"/>
    <mergeCell ref="A160:J160"/>
    <mergeCell ref="A161:J16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17.75"/>
    <col customWidth="1" min="11" max="11" width="30.88"/>
    <col customWidth="1" min="12" max="12" width="24.63"/>
    <col customWidth="1" min="13" max="13" width="22.63"/>
    <col customWidth="1" min="14" max="14" width="16.88"/>
  </cols>
  <sheetData>
    <row r="1">
      <c r="A1" s="75" t="s">
        <v>889</v>
      </c>
    </row>
    <row r="2">
      <c r="A2" s="75" t="s">
        <v>890</v>
      </c>
    </row>
    <row r="3">
      <c r="A3" s="76" t="s">
        <v>654</v>
      </c>
    </row>
    <row r="4">
      <c r="A4" s="77">
        <f>100000+B6+C6+D6+E6+G6+H6+J6+A49+F22+M6+G15+F26+O6</f>
        <v>922985</v>
      </c>
    </row>
    <row r="5">
      <c r="A5" s="47" t="s">
        <v>200</v>
      </c>
      <c r="B5" s="47" t="s">
        <v>201</v>
      </c>
      <c r="C5" s="47" t="s">
        <v>205</v>
      </c>
      <c r="D5" s="47" t="s">
        <v>202</v>
      </c>
      <c r="E5" s="47" t="s">
        <v>891</v>
      </c>
      <c r="F5" s="47" t="s">
        <v>204</v>
      </c>
      <c r="G5" s="47" t="s">
        <v>892</v>
      </c>
      <c r="H5" s="47" t="s">
        <v>893</v>
      </c>
      <c r="J5" s="47" t="s">
        <v>209</v>
      </c>
      <c r="M5" s="47" t="s">
        <v>894</v>
      </c>
      <c r="O5" s="25" t="s">
        <v>895</v>
      </c>
    </row>
    <row r="6">
      <c r="A6" s="26" t="s">
        <v>896</v>
      </c>
      <c r="B6" s="77">
        <v>-260000.0</v>
      </c>
      <c r="C6" s="77">
        <v>97750.0</v>
      </c>
      <c r="D6" s="77">
        <v>55000.0</v>
      </c>
      <c r="E6" s="77">
        <v>-1500.0</v>
      </c>
      <c r="F6" s="26" t="s">
        <v>897</v>
      </c>
      <c r="G6" s="77">
        <v>17000.0</v>
      </c>
      <c r="H6" s="77">
        <v>92600.0</v>
      </c>
      <c r="J6" s="77">
        <v>18000.0</v>
      </c>
      <c r="M6" s="77">
        <v>135000.0</v>
      </c>
      <c r="O6" s="78">
        <f>O8</f>
        <v>0</v>
      </c>
    </row>
    <row r="7">
      <c r="A7" s="26" t="s">
        <v>898</v>
      </c>
      <c r="B7" s="79" t="s">
        <v>214</v>
      </c>
      <c r="C7" s="26" t="s">
        <v>899</v>
      </c>
      <c r="D7" s="26" t="s">
        <v>900</v>
      </c>
      <c r="E7" s="26" t="s">
        <v>901</v>
      </c>
      <c r="F7" s="26" t="s">
        <v>902</v>
      </c>
      <c r="G7" s="26" t="s">
        <v>903</v>
      </c>
      <c r="H7" s="26" t="s">
        <v>222</v>
      </c>
      <c r="I7" s="39" t="s">
        <v>904</v>
      </c>
      <c r="J7" s="26" t="s">
        <v>222</v>
      </c>
      <c r="K7" s="26" t="s">
        <v>905</v>
      </c>
      <c r="L7" s="26" t="s">
        <v>224</v>
      </c>
      <c r="M7" s="39" t="s">
        <v>906</v>
      </c>
      <c r="N7" s="39" t="s">
        <v>89</v>
      </c>
      <c r="O7" s="30" t="s">
        <v>225</v>
      </c>
    </row>
    <row r="8">
      <c r="A8" s="26" t="s">
        <v>907</v>
      </c>
      <c r="B8" s="4" t="s">
        <v>20</v>
      </c>
      <c r="C8" s="26" t="s">
        <v>908</v>
      </c>
      <c r="D8" s="26" t="s">
        <v>909</v>
      </c>
      <c r="E8" s="26" t="s">
        <v>910</v>
      </c>
      <c r="F8" s="26" t="s">
        <v>911</v>
      </c>
      <c r="G8" s="26" t="s">
        <v>912</v>
      </c>
      <c r="H8" s="26" t="s">
        <v>913</v>
      </c>
      <c r="I8" s="26" t="s">
        <v>914</v>
      </c>
      <c r="J8" s="26" t="s">
        <v>915</v>
      </c>
      <c r="K8" s="26" t="s">
        <v>916</v>
      </c>
      <c r="L8" s="26" t="s">
        <v>917</v>
      </c>
      <c r="M8" s="26" t="s">
        <v>918</v>
      </c>
      <c r="N8" s="26" t="s">
        <v>919</v>
      </c>
      <c r="O8" s="80">
        <v>0.0</v>
      </c>
    </row>
    <row r="9">
      <c r="A9" s="26" t="s">
        <v>920</v>
      </c>
      <c r="B9" s="4" t="s">
        <v>34</v>
      </c>
      <c r="C9" s="26" t="s">
        <v>921</v>
      </c>
      <c r="D9" s="26" t="s">
        <v>922</v>
      </c>
      <c r="F9" s="26" t="s">
        <v>923</v>
      </c>
      <c r="G9" s="26" t="s">
        <v>924</v>
      </c>
      <c r="H9" s="26" t="s">
        <v>925</v>
      </c>
      <c r="I9" s="26" t="s">
        <v>926</v>
      </c>
      <c r="J9" s="26" t="s">
        <v>927</v>
      </c>
      <c r="K9" s="26" t="s">
        <v>928</v>
      </c>
      <c r="L9" s="26" t="s">
        <v>929</v>
      </c>
      <c r="M9" s="26" t="s">
        <v>930</v>
      </c>
      <c r="N9" s="26" t="s">
        <v>931</v>
      </c>
    </row>
    <row r="10">
      <c r="A10" s="26" t="s">
        <v>932</v>
      </c>
      <c r="B10" s="4" t="s">
        <v>47</v>
      </c>
      <c r="C10" s="26" t="s">
        <v>933</v>
      </c>
      <c r="D10" s="26" t="s">
        <v>934</v>
      </c>
      <c r="F10" s="26" t="s">
        <v>935</v>
      </c>
      <c r="G10" s="26" t="s">
        <v>936</v>
      </c>
      <c r="H10" s="26" t="s">
        <v>260</v>
      </c>
      <c r="I10" s="26" t="s">
        <v>937</v>
      </c>
      <c r="J10" s="26" t="s">
        <v>703</v>
      </c>
      <c r="K10" s="26" t="s">
        <v>938</v>
      </c>
      <c r="L10" s="26" t="s">
        <v>939</v>
      </c>
      <c r="M10" s="26" t="s">
        <v>940</v>
      </c>
      <c r="N10" s="26" t="s">
        <v>941</v>
      </c>
    </row>
    <row r="11">
      <c r="A11" s="26" t="s">
        <v>942</v>
      </c>
      <c r="B11" s="4" t="s">
        <v>55</v>
      </c>
      <c r="C11" s="26" t="s">
        <v>943</v>
      </c>
      <c r="D11" s="26" t="s">
        <v>944</v>
      </c>
      <c r="F11" s="26" t="s">
        <v>945</v>
      </c>
      <c r="G11" s="47" t="s">
        <v>946</v>
      </c>
      <c r="H11" s="26" t="s">
        <v>947</v>
      </c>
      <c r="I11" s="26" t="s">
        <v>948</v>
      </c>
      <c r="J11" s="26" t="s">
        <v>707</v>
      </c>
      <c r="K11" s="26" t="s">
        <v>949</v>
      </c>
      <c r="L11" s="26" t="s">
        <v>950</v>
      </c>
      <c r="M11" s="26" t="s">
        <v>951</v>
      </c>
      <c r="N11" s="26" t="s">
        <v>952</v>
      </c>
    </row>
    <row r="12">
      <c r="A12" s="26" t="s">
        <v>953</v>
      </c>
      <c r="B12" s="4" t="s">
        <v>61</v>
      </c>
      <c r="C12" s="26" t="s">
        <v>954</v>
      </c>
      <c r="D12" s="26" t="s">
        <v>955</v>
      </c>
      <c r="F12" s="26" t="s">
        <v>956</v>
      </c>
      <c r="H12" s="26" t="s">
        <v>957</v>
      </c>
      <c r="I12" s="26" t="s">
        <v>958</v>
      </c>
      <c r="J12" s="26" t="s">
        <v>959</v>
      </c>
      <c r="K12" s="26" t="s">
        <v>960</v>
      </c>
      <c r="L12" s="26" t="s">
        <v>961</v>
      </c>
      <c r="M12" s="26" t="s">
        <v>962</v>
      </c>
      <c r="N12" s="26" t="s">
        <v>963</v>
      </c>
    </row>
    <row r="13">
      <c r="A13" s="26" t="s">
        <v>964</v>
      </c>
      <c r="B13" s="4" t="s">
        <v>63</v>
      </c>
      <c r="C13" s="26" t="s">
        <v>965</v>
      </c>
      <c r="D13" s="26" t="s">
        <v>966</v>
      </c>
      <c r="F13" s="26" t="s">
        <v>967</v>
      </c>
      <c r="H13" s="26" t="s">
        <v>968</v>
      </c>
      <c r="I13" s="26" t="s">
        <v>969</v>
      </c>
      <c r="J13" s="26" t="s">
        <v>970</v>
      </c>
      <c r="K13" s="26" t="s">
        <v>971</v>
      </c>
      <c r="L13" s="26" t="s">
        <v>972</v>
      </c>
      <c r="M13" s="26" t="s">
        <v>973</v>
      </c>
      <c r="N13" s="26">
        <v>50000.0</v>
      </c>
    </row>
    <row r="14">
      <c r="A14" s="26" t="s">
        <v>974</v>
      </c>
      <c r="B14" s="79" t="s">
        <v>36</v>
      </c>
      <c r="C14" s="26" t="s">
        <v>975</v>
      </c>
      <c r="D14" s="26" t="s">
        <v>976</v>
      </c>
      <c r="F14" s="26" t="s">
        <v>977</v>
      </c>
      <c r="G14" s="47" t="s">
        <v>978</v>
      </c>
      <c r="H14" s="26" t="s">
        <v>330</v>
      </c>
      <c r="I14" s="26" t="s">
        <v>979</v>
      </c>
      <c r="J14" s="26" t="s">
        <v>980</v>
      </c>
      <c r="K14" s="26" t="s">
        <v>981</v>
      </c>
    </row>
    <row r="15">
      <c r="A15" s="26" t="s">
        <v>982</v>
      </c>
      <c r="B15" s="4" t="s">
        <v>70</v>
      </c>
      <c r="C15" s="26" t="s">
        <v>983</v>
      </c>
      <c r="D15" s="26" t="s">
        <v>984</v>
      </c>
      <c r="F15" s="26" t="s">
        <v>985</v>
      </c>
      <c r="G15" s="81">
        <v>-10000.0</v>
      </c>
      <c r="H15" s="26" t="s">
        <v>986</v>
      </c>
      <c r="I15" s="26" t="s">
        <v>987</v>
      </c>
      <c r="J15" s="26" t="s">
        <v>988</v>
      </c>
      <c r="K15" s="26" t="s">
        <v>989</v>
      </c>
    </row>
    <row r="16">
      <c r="A16" s="26" t="s">
        <v>990</v>
      </c>
      <c r="B16" s="4" t="s">
        <v>75</v>
      </c>
      <c r="C16" s="26" t="s">
        <v>991</v>
      </c>
      <c r="D16" s="26" t="s">
        <v>992</v>
      </c>
      <c r="F16" s="26" t="s">
        <v>993</v>
      </c>
      <c r="G16" s="26" t="s">
        <v>221</v>
      </c>
      <c r="H16" s="26" t="s">
        <v>279</v>
      </c>
      <c r="J16" s="26" t="s">
        <v>994</v>
      </c>
      <c r="K16" s="26" t="s">
        <v>995</v>
      </c>
    </row>
    <row r="17">
      <c r="A17" s="26" t="s">
        <v>996</v>
      </c>
      <c r="B17" s="4" t="s">
        <v>80</v>
      </c>
      <c r="C17" s="26" t="s">
        <v>997</v>
      </c>
      <c r="D17" s="26" t="s">
        <v>998</v>
      </c>
      <c r="F17" s="26" t="s">
        <v>999</v>
      </c>
      <c r="H17" s="26" t="s">
        <v>308</v>
      </c>
      <c r="I17" s="39" t="s">
        <v>1000</v>
      </c>
      <c r="J17" s="26" t="s">
        <v>994</v>
      </c>
      <c r="K17" s="26" t="s">
        <v>1001</v>
      </c>
    </row>
    <row r="18">
      <c r="A18" s="26" t="s">
        <v>1002</v>
      </c>
      <c r="B18" s="4" t="s">
        <v>83</v>
      </c>
      <c r="C18" s="26" t="s">
        <v>711</v>
      </c>
      <c r="D18" s="26" t="s">
        <v>1003</v>
      </c>
      <c r="F18" s="26" t="s">
        <v>1004</v>
      </c>
      <c r="G18" s="44"/>
      <c r="H18" s="26" t="s">
        <v>1005</v>
      </c>
      <c r="J18" s="26" t="s">
        <v>713</v>
      </c>
    </row>
    <row r="19">
      <c r="A19" s="26" t="s">
        <v>1006</v>
      </c>
      <c r="B19" s="79" t="s">
        <v>56</v>
      </c>
      <c r="C19" s="26" t="s">
        <v>1007</v>
      </c>
      <c r="D19" s="26" t="s">
        <v>1008</v>
      </c>
      <c r="G19" s="26"/>
      <c r="H19" s="26" t="s">
        <v>1009</v>
      </c>
      <c r="I19" s="39" t="s">
        <v>1010</v>
      </c>
      <c r="J19" s="26" t="s">
        <v>1011</v>
      </c>
    </row>
    <row r="20">
      <c r="A20" s="26" t="s">
        <v>1012</v>
      </c>
      <c r="B20" s="4" t="s">
        <v>49</v>
      </c>
      <c r="C20" s="26" t="s">
        <v>1013</v>
      </c>
      <c r="D20" s="26" t="s">
        <v>1014</v>
      </c>
      <c r="H20" s="26" t="s">
        <v>968</v>
      </c>
      <c r="J20" s="26" t="s">
        <v>1015</v>
      </c>
    </row>
    <row r="21">
      <c r="A21" s="26" t="s">
        <v>1016</v>
      </c>
      <c r="C21" s="26" t="s">
        <v>732</v>
      </c>
      <c r="D21" s="26" t="s">
        <v>1017</v>
      </c>
      <c r="F21" s="47" t="s">
        <v>1018</v>
      </c>
      <c r="H21" s="26" t="s">
        <v>1019</v>
      </c>
      <c r="J21" s="26" t="s">
        <v>778</v>
      </c>
    </row>
    <row r="22">
      <c r="A22" s="26" t="s">
        <v>1020</v>
      </c>
      <c r="C22" s="26" t="s">
        <v>1021</v>
      </c>
      <c r="D22" s="26" t="s">
        <v>1022</v>
      </c>
      <c r="F22" s="77">
        <v>40000.0</v>
      </c>
      <c r="H22" s="26" t="s">
        <v>686</v>
      </c>
      <c r="J22" s="26" t="s">
        <v>778</v>
      </c>
    </row>
    <row r="23">
      <c r="A23" s="26" t="s">
        <v>1023</v>
      </c>
      <c r="C23" s="26" t="s">
        <v>351</v>
      </c>
      <c r="D23" s="26" t="s">
        <v>691</v>
      </c>
      <c r="F23" s="4" t="s">
        <v>1024</v>
      </c>
      <c r="H23" s="26" t="s">
        <v>1025</v>
      </c>
      <c r="J23" s="26" t="s">
        <v>1026</v>
      </c>
    </row>
    <row r="24">
      <c r="A24" s="65" t="s">
        <v>1027</v>
      </c>
      <c r="C24" s="26" t="s">
        <v>1028</v>
      </c>
      <c r="D24" s="26" t="s">
        <v>1029</v>
      </c>
      <c r="H24" s="26" t="s">
        <v>1030</v>
      </c>
      <c r="J24" s="26" t="s">
        <v>703</v>
      </c>
    </row>
    <row r="25">
      <c r="A25" s="65" t="s">
        <v>1031</v>
      </c>
      <c r="C25" s="26" t="s">
        <v>374</v>
      </c>
      <c r="D25" s="26" t="s">
        <v>1032</v>
      </c>
      <c r="F25" s="47" t="s">
        <v>746</v>
      </c>
      <c r="H25" s="26" t="s">
        <v>957</v>
      </c>
      <c r="J25" s="26" t="s">
        <v>1011</v>
      </c>
    </row>
    <row r="26">
      <c r="A26" s="65" t="s">
        <v>1033</v>
      </c>
      <c r="C26" s="26" t="s">
        <v>358</v>
      </c>
      <c r="D26" s="26" t="s">
        <v>1034</v>
      </c>
      <c r="F26" s="77">
        <v>100000.0</v>
      </c>
      <c r="H26" s="26" t="s">
        <v>287</v>
      </c>
      <c r="J26" s="26" t="s">
        <v>1035</v>
      </c>
    </row>
    <row r="27">
      <c r="A27" s="65" t="s">
        <v>1036</v>
      </c>
      <c r="C27" s="26" t="s">
        <v>363</v>
      </c>
      <c r="D27" s="26" t="s">
        <v>1037</v>
      </c>
      <c r="F27" s="4" t="s">
        <v>1038</v>
      </c>
      <c r="H27" s="26" t="s">
        <v>1039</v>
      </c>
      <c r="J27" s="26" t="s">
        <v>260</v>
      </c>
    </row>
    <row r="28">
      <c r="A28" s="26" t="s">
        <v>1040</v>
      </c>
      <c r="C28" s="26" t="s">
        <v>1041</v>
      </c>
      <c r="D28" s="26" t="s">
        <v>1042</v>
      </c>
      <c r="F28" s="4" t="s">
        <v>1043</v>
      </c>
      <c r="H28" s="26" t="s">
        <v>1044</v>
      </c>
      <c r="J28" s="26" t="s">
        <v>698</v>
      </c>
    </row>
    <row r="29">
      <c r="C29" s="26" t="s">
        <v>1045</v>
      </c>
      <c r="D29" s="26" t="s">
        <v>1046</v>
      </c>
      <c r="F29" s="4" t="s">
        <v>1047</v>
      </c>
      <c r="H29" s="26" t="s">
        <v>1048</v>
      </c>
      <c r="J29" s="26" t="s">
        <v>739</v>
      </c>
    </row>
    <row r="30">
      <c r="C30" s="26" t="s">
        <v>975</v>
      </c>
      <c r="D30" s="26" t="s">
        <v>1049</v>
      </c>
      <c r="F30" s="4" t="s">
        <v>1050</v>
      </c>
      <c r="H30" s="26" t="s">
        <v>686</v>
      </c>
      <c r="J30" s="26" t="s">
        <v>728</v>
      </c>
    </row>
    <row r="31">
      <c r="C31" s="26" t="s">
        <v>1051</v>
      </c>
      <c r="H31" s="26" t="s">
        <v>1052</v>
      </c>
      <c r="J31" s="26" t="s">
        <v>723</v>
      </c>
    </row>
    <row r="32">
      <c r="C32" s="26" t="s">
        <v>975</v>
      </c>
      <c r="H32" s="26" t="s">
        <v>1053</v>
      </c>
      <c r="J32" s="26" t="s">
        <v>1054</v>
      </c>
    </row>
    <row r="33">
      <c r="C33" s="26" t="s">
        <v>1055</v>
      </c>
      <c r="H33" s="26" t="s">
        <v>1009</v>
      </c>
      <c r="J33" s="26" t="s">
        <v>754</v>
      </c>
    </row>
    <row r="34">
      <c r="C34" s="26" t="s">
        <v>1007</v>
      </c>
      <c r="H34" s="26" t="s">
        <v>330</v>
      </c>
      <c r="J34" s="26" t="s">
        <v>728</v>
      </c>
    </row>
    <row r="35">
      <c r="C35" s="26" t="s">
        <v>799</v>
      </c>
      <c r="H35" s="26" t="s">
        <v>986</v>
      </c>
      <c r="J35" s="26" t="s">
        <v>1015</v>
      </c>
    </row>
    <row r="36">
      <c r="C36" s="26" t="s">
        <v>933</v>
      </c>
      <c r="H36" s="26" t="s">
        <v>1056</v>
      </c>
      <c r="J36" s="26" t="s">
        <v>1057</v>
      </c>
    </row>
    <row r="37">
      <c r="H37" s="26" t="s">
        <v>260</v>
      </c>
      <c r="J37" s="26" t="s">
        <v>703</v>
      </c>
    </row>
    <row r="38">
      <c r="H38" s="26" t="s">
        <v>269</v>
      </c>
      <c r="J38" s="26" t="s">
        <v>723</v>
      </c>
    </row>
    <row r="39">
      <c r="H39" s="26" t="s">
        <v>1058</v>
      </c>
      <c r="J39" s="26" t="s">
        <v>1059</v>
      </c>
    </row>
    <row r="40">
      <c r="H40" s="26" t="s">
        <v>1060</v>
      </c>
      <c r="J40" s="26" t="s">
        <v>703</v>
      </c>
    </row>
    <row r="41">
      <c r="H41" s="26" t="s">
        <v>287</v>
      </c>
      <c r="J41" s="26" t="s">
        <v>778</v>
      </c>
    </row>
    <row r="42">
      <c r="H42" s="26" t="s">
        <v>1061</v>
      </c>
      <c r="J42" s="26" t="s">
        <v>1062</v>
      </c>
    </row>
    <row r="43">
      <c r="H43" s="26" t="s">
        <v>260</v>
      </c>
      <c r="J43" s="26" t="s">
        <v>703</v>
      </c>
    </row>
    <row r="44">
      <c r="H44" s="26" t="s">
        <v>1063</v>
      </c>
      <c r="J44" s="26" t="s">
        <v>778</v>
      </c>
    </row>
    <row r="45">
      <c r="H45" s="26" t="s">
        <v>326</v>
      </c>
      <c r="J45" s="26" t="s">
        <v>1064</v>
      </c>
    </row>
    <row r="46">
      <c r="H46" s="26" t="s">
        <v>1065</v>
      </c>
      <c r="J46" s="26" t="s">
        <v>703</v>
      </c>
    </row>
    <row r="47">
      <c r="H47" s="26" t="s">
        <v>1066</v>
      </c>
      <c r="J47" s="26" t="s">
        <v>1067</v>
      </c>
    </row>
    <row r="48">
      <c r="A48" s="36" t="s">
        <v>1068</v>
      </c>
      <c r="F48" s="34"/>
      <c r="H48" s="26" t="s">
        <v>1060</v>
      </c>
      <c r="J48" s="26" t="s">
        <v>1069</v>
      </c>
    </row>
    <row r="49">
      <c r="A49" s="36">
        <f>A113+A92+A78+A51+A129+A144+A162</f>
        <v>539135</v>
      </c>
      <c r="F49" s="34"/>
      <c r="H49" s="26" t="s">
        <v>1065</v>
      </c>
      <c r="J49" s="26" t="s">
        <v>260</v>
      </c>
    </row>
    <row r="50">
      <c r="A50" s="37" t="s">
        <v>1070</v>
      </c>
      <c r="F50" s="34"/>
      <c r="J50" s="26" t="s">
        <v>772</v>
      </c>
    </row>
    <row r="51">
      <c r="A51" s="37">
        <v>145500.0</v>
      </c>
      <c r="F51" s="34"/>
      <c r="J51" s="26" t="s">
        <v>765</v>
      </c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37">
        <v>2026.0</v>
      </c>
      <c r="F52" s="34"/>
      <c r="J52" s="26" t="s">
        <v>773</v>
      </c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82" t="s">
        <v>1071</v>
      </c>
      <c r="F53" s="34"/>
      <c r="J53" s="26" t="s">
        <v>1072</v>
      </c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37" t="s">
        <v>1073</v>
      </c>
      <c r="F54" s="34"/>
      <c r="J54" s="26" t="s">
        <v>703</v>
      </c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38" t="s">
        <v>386</v>
      </c>
      <c r="B55" s="38" t="s">
        <v>102</v>
      </c>
      <c r="C55" s="38" t="s">
        <v>126</v>
      </c>
      <c r="D55" s="38" t="s">
        <v>112</v>
      </c>
      <c r="E55" s="38" t="s">
        <v>117</v>
      </c>
      <c r="F55" s="34"/>
      <c r="J55" s="26" t="s">
        <v>773</v>
      </c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39" t="s">
        <v>1074</v>
      </c>
      <c r="B56" s="39" t="s">
        <v>1075</v>
      </c>
      <c r="C56" s="39" t="s">
        <v>1074</v>
      </c>
      <c r="D56" s="39" t="s">
        <v>1076</v>
      </c>
      <c r="E56" s="39" t="s">
        <v>1077</v>
      </c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33" t="s">
        <v>1078</v>
      </c>
      <c r="B57" s="33" t="s">
        <v>1079</v>
      </c>
      <c r="C57" s="33" t="s">
        <v>520</v>
      </c>
      <c r="D57" s="33" t="s">
        <v>1080</v>
      </c>
      <c r="E57" s="33" t="s">
        <v>1081</v>
      </c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33" t="s">
        <v>1082</v>
      </c>
      <c r="B58" s="33" t="s">
        <v>1082</v>
      </c>
      <c r="C58" s="33" t="s">
        <v>1082</v>
      </c>
      <c r="D58" s="33" t="s">
        <v>1082</v>
      </c>
      <c r="E58" s="33" t="s">
        <v>1082</v>
      </c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33" t="s">
        <v>1083</v>
      </c>
      <c r="B59" s="26" t="s">
        <v>401</v>
      </c>
      <c r="C59" s="33" t="s">
        <v>1084</v>
      </c>
      <c r="D59" s="26" t="s">
        <v>1085</v>
      </c>
      <c r="E59" s="26" t="s">
        <v>1086</v>
      </c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>
      <c r="A60" s="33" t="s">
        <v>1087</v>
      </c>
      <c r="B60" s="26" t="s">
        <v>399</v>
      </c>
      <c r="C60" s="33" t="s">
        <v>1087</v>
      </c>
      <c r="D60" s="26" t="s">
        <v>1088</v>
      </c>
      <c r="E60" s="26" t="s">
        <v>1089</v>
      </c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26" t="s">
        <v>1090</v>
      </c>
      <c r="B61" s="26" t="s">
        <v>1086</v>
      </c>
      <c r="C61" s="26" t="s">
        <v>1091</v>
      </c>
      <c r="D61" s="33" t="s">
        <v>1092</v>
      </c>
      <c r="E61" s="33" t="s">
        <v>1093</v>
      </c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>
      <c r="A62" s="26" t="s">
        <v>627</v>
      </c>
      <c r="B62" s="33" t="s">
        <v>959</v>
      </c>
      <c r="C62" s="26" t="s">
        <v>627</v>
      </c>
      <c r="D62" s="33" t="s">
        <v>1087</v>
      </c>
      <c r="E62" s="33" t="s">
        <v>1087</v>
      </c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83" t="s">
        <v>1094</v>
      </c>
      <c r="B63" s="33" t="s">
        <v>1087</v>
      </c>
      <c r="C63" s="83" t="s">
        <v>1095</v>
      </c>
      <c r="D63" s="26" t="s">
        <v>1085</v>
      </c>
      <c r="E63" s="26" t="s">
        <v>1096</v>
      </c>
      <c r="K63" s="34"/>
    </row>
    <row r="64">
      <c r="A64" s="83" t="s">
        <v>426</v>
      </c>
      <c r="B64" s="26" t="s">
        <v>1097</v>
      </c>
      <c r="C64" s="83" t="s">
        <v>426</v>
      </c>
      <c r="D64" s="26" t="s">
        <v>399</v>
      </c>
      <c r="E64" s="26" t="s">
        <v>1098</v>
      </c>
      <c r="K64" s="34"/>
    </row>
    <row r="65">
      <c r="B65" s="26" t="s">
        <v>627</v>
      </c>
      <c r="D65" s="26" t="s">
        <v>403</v>
      </c>
      <c r="E65" s="26" t="s">
        <v>1099</v>
      </c>
      <c r="G65" s="84"/>
      <c r="K65" s="34"/>
    </row>
    <row r="66">
      <c r="B66" s="26" t="s">
        <v>1086</v>
      </c>
      <c r="D66" s="26" t="s">
        <v>1100</v>
      </c>
      <c r="E66" s="26" t="s">
        <v>1101</v>
      </c>
      <c r="G66" s="84"/>
      <c r="K66" s="34"/>
    </row>
    <row r="67">
      <c r="B67" s="26" t="s">
        <v>1102</v>
      </c>
      <c r="D67" s="26" t="s">
        <v>627</v>
      </c>
      <c r="E67" s="26" t="s">
        <v>1103</v>
      </c>
      <c r="G67" s="47"/>
      <c r="K67" s="34"/>
    </row>
    <row r="68">
      <c r="B68" s="26" t="s">
        <v>426</v>
      </c>
      <c r="D68" s="26" t="s">
        <v>403</v>
      </c>
      <c r="E68" s="26" t="s">
        <v>627</v>
      </c>
      <c r="G68" s="85"/>
      <c r="K68" s="34"/>
    </row>
    <row r="69">
      <c r="B69" s="26" t="s">
        <v>1104</v>
      </c>
      <c r="D69" s="83" t="s">
        <v>1105</v>
      </c>
      <c r="E69" s="26" t="s">
        <v>1101</v>
      </c>
      <c r="K69" s="34"/>
    </row>
    <row r="70">
      <c r="B70" s="26" t="s">
        <v>1106</v>
      </c>
      <c r="D70" s="83" t="s">
        <v>426</v>
      </c>
      <c r="E70" s="26" t="s">
        <v>1107</v>
      </c>
      <c r="G70" s="34"/>
      <c r="I70" s="34"/>
      <c r="J70" s="34"/>
      <c r="K70" s="34"/>
    </row>
    <row r="71">
      <c r="B71" s="26" t="s">
        <v>550</v>
      </c>
      <c r="E71" s="26" t="s">
        <v>426</v>
      </c>
      <c r="G71" s="34"/>
      <c r="H71" s="34"/>
      <c r="I71" s="34"/>
      <c r="J71" s="34"/>
      <c r="K71" s="34"/>
    </row>
    <row r="72">
      <c r="E72" s="26" t="s">
        <v>1101</v>
      </c>
      <c r="G72" s="34"/>
      <c r="H72" s="34"/>
      <c r="I72" s="34"/>
      <c r="J72" s="34"/>
      <c r="K72" s="34"/>
    </row>
    <row r="73">
      <c r="A73" s="4" t="s">
        <v>780</v>
      </c>
      <c r="G73" s="34"/>
      <c r="H73" s="34"/>
      <c r="I73" s="34"/>
      <c r="J73" s="34"/>
      <c r="K73" s="34"/>
    </row>
    <row r="74">
      <c r="A74" s="4" t="s">
        <v>1108</v>
      </c>
      <c r="G74" s="34"/>
      <c r="H74" s="34"/>
      <c r="I74" s="34"/>
      <c r="J74" s="34"/>
      <c r="K74" s="34"/>
    </row>
    <row r="75">
      <c r="A75" s="45" t="s">
        <v>1109</v>
      </c>
      <c r="G75" s="34"/>
      <c r="H75" s="34"/>
      <c r="I75" s="34"/>
      <c r="J75" s="34"/>
    </row>
    <row r="76">
      <c r="A76" s="40"/>
      <c r="G76" s="34"/>
      <c r="H76" s="34"/>
      <c r="I76" s="34"/>
      <c r="J76" s="34"/>
    </row>
    <row r="77">
      <c r="A77" s="41" t="s">
        <v>408</v>
      </c>
      <c r="G77" s="34"/>
      <c r="H77" s="34"/>
      <c r="I77" s="34"/>
      <c r="J77" s="34"/>
    </row>
    <row r="78">
      <c r="A78" s="41">
        <v>24980.0</v>
      </c>
      <c r="G78" s="34"/>
      <c r="H78" s="34"/>
      <c r="I78" s="34"/>
      <c r="J78" s="34"/>
    </row>
    <row r="79">
      <c r="A79" s="42">
        <v>2026.0</v>
      </c>
      <c r="G79" s="34"/>
      <c r="H79" s="34"/>
      <c r="I79" s="34"/>
      <c r="J79" s="34"/>
    </row>
    <row r="80">
      <c r="A80" s="38" t="s">
        <v>409</v>
      </c>
      <c r="B80" s="38" t="s">
        <v>410</v>
      </c>
      <c r="C80" s="38" t="s">
        <v>411</v>
      </c>
      <c r="D80" s="38" t="s">
        <v>412</v>
      </c>
      <c r="E80" s="38" t="s">
        <v>413</v>
      </c>
      <c r="F80" s="38" t="s">
        <v>414</v>
      </c>
      <c r="G80" s="34"/>
      <c r="H80" s="34"/>
      <c r="I80" s="34"/>
      <c r="J80" s="34"/>
    </row>
    <row r="81">
      <c r="A81" s="39" t="s">
        <v>1110</v>
      </c>
      <c r="B81" s="39" t="s">
        <v>387</v>
      </c>
      <c r="C81" s="39" t="s">
        <v>1111</v>
      </c>
      <c r="G81" s="34"/>
      <c r="H81" s="34"/>
      <c r="I81" s="34"/>
      <c r="J81" s="34"/>
    </row>
    <row r="82">
      <c r="A82" s="26" t="s">
        <v>1112</v>
      </c>
      <c r="B82" s="26" t="s">
        <v>1081</v>
      </c>
      <c r="C82" s="26" t="s">
        <v>1080</v>
      </c>
      <c r="G82" s="34"/>
      <c r="H82" s="34"/>
      <c r="I82" s="34"/>
      <c r="J82" s="34"/>
    </row>
    <row r="83">
      <c r="A83" s="26" t="s">
        <v>1113</v>
      </c>
      <c r="B83" s="26" t="s">
        <v>407</v>
      </c>
      <c r="C83" s="26" t="s">
        <v>1114</v>
      </c>
    </row>
    <row r="84">
      <c r="A84" s="26" t="s">
        <v>1115</v>
      </c>
      <c r="B84" s="26" t="s">
        <v>1115</v>
      </c>
    </row>
    <row r="85">
      <c r="A85" s="26" t="s">
        <v>404</v>
      </c>
    </row>
    <row r="86">
      <c r="A86" s="26" t="s">
        <v>788</v>
      </c>
    </row>
    <row r="87">
      <c r="A87" s="26" t="s">
        <v>1116</v>
      </c>
    </row>
    <row r="88">
      <c r="A88" s="26" t="s">
        <v>425</v>
      </c>
    </row>
    <row r="89">
      <c r="A89" s="26" t="s">
        <v>788</v>
      </c>
    </row>
    <row r="90">
      <c r="A90" s="40"/>
    </row>
    <row r="91">
      <c r="A91" s="21" t="s">
        <v>803</v>
      </c>
    </row>
    <row r="92">
      <c r="A92" s="21">
        <v>38800.0</v>
      </c>
    </row>
    <row r="93">
      <c r="A93" s="18">
        <v>2026.0</v>
      </c>
    </row>
    <row r="94">
      <c r="A94" s="43" t="s">
        <v>1117</v>
      </c>
    </row>
    <row r="95">
      <c r="A95" s="38" t="s">
        <v>457</v>
      </c>
      <c r="B95" s="38" t="s">
        <v>169</v>
      </c>
      <c r="C95" s="38" t="s">
        <v>458</v>
      </c>
      <c r="D95" s="38" t="s">
        <v>459</v>
      </c>
      <c r="E95" s="38" t="s">
        <v>164</v>
      </c>
      <c r="F95" s="38" t="s">
        <v>460</v>
      </c>
      <c r="G95" s="38" t="s">
        <v>157</v>
      </c>
      <c r="H95" s="38" t="s">
        <v>461</v>
      </c>
    </row>
    <row r="96">
      <c r="A96" s="44" t="s">
        <v>1118</v>
      </c>
      <c r="B96" s="44" t="s">
        <v>517</v>
      </c>
      <c r="C96" s="44" t="s">
        <v>1119</v>
      </c>
      <c r="D96" s="44" t="s">
        <v>1120</v>
      </c>
      <c r="E96" s="44" t="s">
        <v>517</v>
      </c>
      <c r="F96" s="44" t="s">
        <v>517</v>
      </c>
      <c r="G96" s="44" t="s">
        <v>1121</v>
      </c>
      <c r="H96" s="44" t="s">
        <v>809</v>
      </c>
    </row>
    <row r="97">
      <c r="A97" s="26" t="s">
        <v>1122</v>
      </c>
      <c r="C97" s="26" t="s">
        <v>899</v>
      </c>
      <c r="D97" s="26" t="s">
        <v>1123</v>
      </c>
      <c r="G97" s="26" t="s">
        <v>925</v>
      </c>
      <c r="H97" s="26" t="s">
        <v>1124</v>
      </c>
    </row>
    <row r="98">
      <c r="A98" s="26" t="s">
        <v>425</v>
      </c>
      <c r="C98" s="26" t="s">
        <v>627</v>
      </c>
      <c r="D98" s="26" t="s">
        <v>544</v>
      </c>
      <c r="G98" s="26" t="s">
        <v>400</v>
      </c>
      <c r="H98" s="26" t="s">
        <v>400</v>
      </c>
    </row>
    <row r="99">
      <c r="C99" s="26" t="s">
        <v>1125</v>
      </c>
      <c r="D99" s="26" t="s">
        <v>1126</v>
      </c>
      <c r="G99" s="26" t="s">
        <v>509</v>
      </c>
      <c r="H99" s="26" t="s">
        <v>493</v>
      </c>
    </row>
    <row r="100">
      <c r="C100" s="26" t="s">
        <v>550</v>
      </c>
      <c r="D100" s="26" t="s">
        <v>550</v>
      </c>
      <c r="H100" s="26" t="s">
        <v>1127</v>
      </c>
    </row>
    <row r="101">
      <c r="C101" s="26" t="s">
        <v>1128</v>
      </c>
      <c r="D101" s="26" t="s">
        <v>1129</v>
      </c>
    </row>
    <row r="102">
      <c r="C102" s="26" t="s">
        <v>425</v>
      </c>
      <c r="D102" s="26" t="s">
        <v>503</v>
      </c>
    </row>
    <row r="103">
      <c r="C103" s="26" t="s">
        <v>355</v>
      </c>
      <c r="D103" s="26" t="s">
        <v>1035</v>
      </c>
    </row>
    <row r="104">
      <c r="D104" s="26" t="s">
        <v>550</v>
      </c>
    </row>
    <row r="112">
      <c r="A112" s="46" t="s">
        <v>510</v>
      </c>
    </row>
    <row r="113">
      <c r="A113" s="46">
        <f>A116</f>
        <v>93455</v>
      </c>
    </row>
    <row r="114">
      <c r="A114" s="46">
        <v>2026.0</v>
      </c>
    </row>
    <row r="115">
      <c r="A115" s="46" t="s">
        <v>1130</v>
      </c>
    </row>
    <row r="116">
      <c r="A116" s="46">
        <f>A119+B119+C119+D119+E119+F119+G119+H119</f>
        <v>93455</v>
      </c>
    </row>
    <row r="117">
      <c r="A117" s="38" t="s">
        <v>512</v>
      </c>
      <c r="B117" s="38" t="s">
        <v>513</v>
      </c>
      <c r="C117" s="38" t="s">
        <v>196</v>
      </c>
      <c r="D117" s="38" t="s">
        <v>514</v>
      </c>
      <c r="E117" s="38" t="s">
        <v>182</v>
      </c>
      <c r="F117" s="38" t="s">
        <v>515</v>
      </c>
      <c r="G117" s="38" t="s">
        <v>516</v>
      </c>
      <c r="H117" s="38" t="s">
        <v>185</v>
      </c>
    </row>
    <row r="118">
      <c r="A118" s="47" t="s">
        <v>517</v>
      </c>
      <c r="B118" s="47" t="s">
        <v>517</v>
      </c>
      <c r="C118" s="47" t="s">
        <v>467</v>
      </c>
      <c r="D118" s="47" t="s">
        <v>517</v>
      </c>
      <c r="E118" s="47" t="s">
        <v>517</v>
      </c>
      <c r="F118" s="47" t="s">
        <v>517</v>
      </c>
      <c r="G118" s="47" t="s">
        <v>517</v>
      </c>
      <c r="H118" s="47" t="s">
        <v>517</v>
      </c>
    </row>
    <row r="119">
      <c r="A119" s="38">
        <v>7500.0</v>
      </c>
      <c r="B119" s="38">
        <v>18000.0</v>
      </c>
      <c r="C119" s="38">
        <v>26305.0</v>
      </c>
      <c r="D119" s="38">
        <v>0.0</v>
      </c>
      <c r="E119" s="38">
        <v>20400.0</v>
      </c>
      <c r="F119" s="38">
        <v>0.0</v>
      </c>
      <c r="G119" s="38">
        <v>21250.0</v>
      </c>
      <c r="H119" s="38">
        <v>0.0</v>
      </c>
    </row>
    <row r="120">
      <c r="A120" s="26" t="s">
        <v>896</v>
      </c>
      <c r="B120" s="26" t="s">
        <v>1131</v>
      </c>
      <c r="C120" s="26" t="s">
        <v>1132</v>
      </c>
      <c r="E120" s="26" t="s">
        <v>927</v>
      </c>
      <c r="G120" s="26" t="s">
        <v>1133</v>
      </c>
    </row>
    <row r="121">
      <c r="A121" s="26" t="s">
        <v>491</v>
      </c>
      <c r="B121" s="26" t="s">
        <v>610</v>
      </c>
      <c r="C121" s="26" t="s">
        <v>523</v>
      </c>
      <c r="D121" s="47"/>
      <c r="E121" s="26" t="s">
        <v>425</v>
      </c>
      <c r="G121" s="26" t="s">
        <v>502</v>
      </c>
    </row>
    <row r="122">
      <c r="A122" s="26" t="s">
        <v>526</v>
      </c>
      <c r="C122" s="26" t="s">
        <v>531</v>
      </c>
      <c r="E122" s="26" t="s">
        <v>537</v>
      </c>
      <c r="G122" s="26" t="s">
        <v>527</v>
      </c>
    </row>
    <row r="123">
      <c r="C123" s="26" t="s">
        <v>535</v>
      </c>
      <c r="G123" s="26" t="s">
        <v>830</v>
      </c>
    </row>
    <row r="124">
      <c r="G124" s="26" t="s">
        <v>1134</v>
      </c>
    </row>
    <row r="125">
      <c r="G125" s="26" t="s">
        <v>572</v>
      </c>
    </row>
    <row r="126">
      <c r="G126" s="26" t="s">
        <v>530</v>
      </c>
    </row>
    <row r="128">
      <c r="A128" s="49" t="s">
        <v>553</v>
      </c>
    </row>
    <row r="129">
      <c r="A129" s="49">
        <f>A132</f>
        <v>89900</v>
      </c>
    </row>
    <row r="130">
      <c r="A130" s="49">
        <v>2026.0</v>
      </c>
    </row>
    <row r="131">
      <c r="A131" s="49" t="s">
        <v>554</v>
      </c>
    </row>
    <row r="132">
      <c r="A132" s="50">
        <f>A135+B135+C135+D135+E135+F135+G135+H135+I135+J135</f>
        <v>89900</v>
      </c>
    </row>
    <row r="133">
      <c r="A133" s="51" t="s">
        <v>555</v>
      </c>
      <c r="B133" s="51" t="s">
        <v>556</v>
      </c>
      <c r="C133" s="51" t="s">
        <v>557</v>
      </c>
      <c r="D133" s="51" t="s">
        <v>558</v>
      </c>
      <c r="E133" s="51" t="s">
        <v>559</v>
      </c>
      <c r="F133" s="51" t="s">
        <v>560</v>
      </c>
      <c r="G133" s="51" t="s">
        <v>561</v>
      </c>
      <c r="H133" s="51" t="s">
        <v>562</v>
      </c>
      <c r="I133" s="52" t="s">
        <v>563</v>
      </c>
      <c r="J133" s="52" t="s">
        <v>564</v>
      </c>
    </row>
    <row r="134">
      <c r="A134" s="47" t="s">
        <v>517</v>
      </c>
      <c r="B134" s="47" t="s">
        <v>517</v>
      </c>
      <c r="C134" s="47" t="s">
        <v>517</v>
      </c>
      <c r="D134" s="47" t="s">
        <v>517</v>
      </c>
      <c r="E134" s="47" t="s">
        <v>517</v>
      </c>
      <c r="F134" s="47" t="s">
        <v>517</v>
      </c>
      <c r="G134" s="47" t="s">
        <v>517</v>
      </c>
      <c r="H134" s="47" t="s">
        <v>517</v>
      </c>
      <c r="I134" s="47" t="s">
        <v>517</v>
      </c>
      <c r="J134" s="47" t="s">
        <v>517</v>
      </c>
    </row>
    <row r="135">
      <c r="A135" s="38">
        <v>10000.0</v>
      </c>
      <c r="B135" s="38">
        <v>0.0</v>
      </c>
      <c r="C135" s="38">
        <v>0.0</v>
      </c>
      <c r="D135" s="38">
        <v>29000.0</v>
      </c>
      <c r="E135" s="38">
        <v>0.0</v>
      </c>
      <c r="F135" s="38">
        <v>2000.0</v>
      </c>
      <c r="G135" s="38">
        <v>18000.0</v>
      </c>
      <c r="H135" s="38">
        <v>4900.0</v>
      </c>
      <c r="I135" s="38">
        <v>26000.0</v>
      </c>
      <c r="J135" s="38">
        <v>0.0</v>
      </c>
    </row>
    <row r="136">
      <c r="A136" s="26" t="s">
        <v>1135</v>
      </c>
      <c r="D136" s="26" t="s">
        <v>1136</v>
      </c>
      <c r="F136" s="26" t="s">
        <v>1122</v>
      </c>
      <c r="G136" s="26" t="s">
        <v>1137</v>
      </c>
      <c r="H136" s="26" t="s">
        <v>1138</v>
      </c>
      <c r="I136" s="26" t="s">
        <v>1139</v>
      </c>
    </row>
    <row r="137">
      <c r="A137" s="26" t="s">
        <v>569</v>
      </c>
      <c r="D137" s="26" t="s">
        <v>593</v>
      </c>
      <c r="F137" s="26" t="s">
        <v>550</v>
      </c>
      <c r="G137" s="26" t="s">
        <v>651</v>
      </c>
      <c r="H137" s="26" t="s">
        <v>865</v>
      </c>
      <c r="I137" s="26" t="s">
        <v>1140</v>
      </c>
    </row>
    <row r="138">
      <c r="A138" s="26" t="s">
        <v>848</v>
      </c>
      <c r="D138" s="26" t="s">
        <v>954</v>
      </c>
      <c r="G138" s="26" t="s">
        <v>848</v>
      </c>
      <c r="H138" s="26" t="s">
        <v>1141</v>
      </c>
      <c r="I138" s="26" t="s">
        <v>579</v>
      </c>
    </row>
    <row r="139">
      <c r="A139" s="26" t="s">
        <v>579</v>
      </c>
      <c r="D139" s="26" t="s">
        <v>544</v>
      </c>
      <c r="G139" s="26" t="s">
        <v>1005</v>
      </c>
      <c r="H139" s="26" t="s">
        <v>550</v>
      </c>
      <c r="I139" s="26" t="s">
        <v>1142</v>
      </c>
    </row>
    <row r="140">
      <c r="A140" s="26" t="s">
        <v>1143</v>
      </c>
      <c r="G140" s="26" t="s">
        <v>550</v>
      </c>
      <c r="H140" s="26" t="s">
        <v>819</v>
      </c>
      <c r="I140" s="26" t="s">
        <v>550</v>
      </c>
    </row>
    <row r="141">
      <c r="A141" s="26" t="s">
        <v>550</v>
      </c>
      <c r="H141" s="26" t="s">
        <v>550</v>
      </c>
    </row>
    <row r="142">
      <c r="A142" s="53" t="s">
        <v>596</v>
      </c>
    </row>
    <row r="143">
      <c r="A143" s="54" t="s">
        <v>597</v>
      </c>
    </row>
    <row r="144">
      <c r="A144" s="54">
        <f>A147</f>
        <v>144500</v>
      </c>
    </row>
    <row r="145">
      <c r="A145" s="54">
        <v>2026.0</v>
      </c>
    </row>
    <row r="146">
      <c r="A146" s="54" t="s">
        <v>554</v>
      </c>
    </row>
    <row r="147">
      <c r="A147" s="55">
        <f>A150+B150+C150+D150+E150+F150+G150+H150+I150+J150</f>
        <v>144500</v>
      </c>
    </row>
    <row r="148">
      <c r="A148" s="38" t="s">
        <v>598</v>
      </c>
      <c r="B148" s="38" t="s">
        <v>599</v>
      </c>
      <c r="C148" s="38" t="s">
        <v>600</v>
      </c>
      <c r="D148" s="38" t="s">
        <v>601</v>
      </c>
      <c r="E148" s="38" t="s">
        <v>602</v>
      </c>
      <c r="F148" s="38" t="s">
        <v>603</v>
      </c>
      <c r="G148" s="51" t="s">
        <v>604</v>
      </c>
      <c r="H148" s="56" t="s">
        <v>605</v>
      </c>
      <c r="I148" s="56" t="s">
        <v>606</v>
      </c>
      <c r="J148" s="56" t="s">
        <v>607</v>
      </c>
    </row>
    <row r="149">
      <c r="A149" s="47" t="s">
        <v>517</v>
      </c>
      <c r="B149" s="47" t="s">
        <v>517</v>
      </c>
      <c r="C149" s="47" t="s">
        <v>517</v>
      </c>
      <c r="D149" s="47" t="s">
        <v>517</v>
      </c>
      <c r="E149" s="47" t="s">
        <v>517</v>
      </c>
      <c r="F149" s="47" t="s">
        <v>517</v>
      </c>
      <c r="G149" s="47" t="s">
        <v>517</v>
      </c>
      <c r="H149" s="30" t="s">
        <v>517</v>
      </c>
      <c r="I149" s="30" t="s">
        <v>517</v>
      </c>
      <c r="J149" s="30" t="s">
        <v>517</v>
      </c>
    </row>
    <row r="150">
      <c r="A150" s="38">
        <v>15500.0</v>
      </c>
      <c r="B150" s="38">
        <v>15500.0</v>
      </c>
      <c r="C150" s="38">
        <v>28500.0</v>
      </c>
      <c r="D150" s="38"/>
      <c r="E150" s="38">
        <v>29000.0</v>
      </c>
      <c r="F150" s="38"/>
      <c r="G150" s="38"/>
      <c r="H150" s="38">
        <v>41000.0</v>
      </c>
      <c r="I150" s="38">
        <v>1000.0</v>
      </c>
      <c r="J150" s="38">
        <v>14000.0</v>
      </c>
    </row>
    <row r="151">
      <c r="A151" s="26" t="s">
        <v>1081</v>
      </c>
      <c r="B151" s="26" t="s">
        <v>1144</v>
      </c>
      <c r="C151" s="26" t="s">
        <v>1131</v>
      </c>
      <c r="E151" s="26" t="s">
        <v>1145</v>
      </c>
      <c r="H151" s="26" t="s">
        <v>1146</v>
      </c>
      <c r="I151" s="26" t="s">
        <v>1147</v>
      </c>
      <c r="J151" s="26" t="s">
        <v>1133</v>
      </c>
    </row>
    <row r="152">
      <c r="A152" s="26" t="s">
        <v>580</v>
      </c>
      <c r="B152" s="26" t="s">
        <v>580</v>
      </c>
      <c r="C152" s="26" t="s">
        <v>1148</v>
      </c>
      <c r="E152" s="26" t="s">
        <v>1149</v>
      </c>
      <c r="H152" s="26" t="s">
        <v>400</v>
      </c>
      <c r="I152" s="26" t="s">
        <v>400</v>
      </c>
      <c r="J152" s="26" t="s">
        <v>651</v>
      </c>
    </row>
    <row r="153">
      <c r="A153" s="26" t="s">
        <v>614</v>
      </c>
      <c r="B153" s="26" t="s">
        <v>614</v>
      </c>
      <c r="C153" s="26" t="s">
        <v>617</v>
      </c>
      <c r="E153" s="26" t="s">
        <v>1150</v>
      </c>
      <c r="H153" s="26" t="s">
        <v>1126</v>
      </c>
    </row>
    <row r="154">
      <c r="A154" s="26" t="s">
        <v>615</v>
      </c>
      <c r="B154" s="26" t="s">
        <v>615</v>
      </c>
      <c r="C154" s="26" t="s">
        <v>898</v>
      </c>
      <c r="E154" s="26" t="s">
        <v>611</v>
      </c>
      <c r="H154" s="26" t="s">
        <v>1151</v>
      </c>
    </row>
    <row r="155">
      <c r="C155" s="26" t="s">
        <v>396</v>
      </c>
      <c r="E155" s="26" t="s">
        <v>1152</v>
      </c>
      <c r="H155" s="26" t="s">
        <v>614</v>
      </c>
    </row>
    <row r="156">
      <c r="E156" s="26" t="s">
        <v>426</v>
      </c>
      <c r="H156" s="26" t="s">
        <v>621</v>
      </c>
    </row>
    <row r="157">
      <c r="H157" s="26" t="s">
        <v>1153</v>
      </c>
    </row>
    <row r="158">
      <c r="H158" s="26" t="s">
        <v>400</v>
      </c>
    </row>
    <row r="159">
      <c r="H159" s="26" t="s">
        <v>614</v>
      </c>
    </row>
    <row r="160">
      <c r="H160" s="26" t="s">
        <v>621</v>
      </c>
    </row>
    <row r="161">
      <c r="A161" s="57" t="s">
        <v>638</v>
      </c>
    </row>
    <row r="162">
      <c r="A162" s="57">
        <f>A165</f>
        <v>2000</v>
      </c>
    </row>
    <row r="163">
      <c r="A163" s="57">
        <v>2026.0</v>
      </c>
    </row>
    <row r="164">
      <c r="A164" s="57" t="s">
        <v>554</v>
      </c>
    </row>
    <row r="165">
      <c r="A165" s="57">
        <f>A168+B168+C168+D168+E168+F168+G168+H168</f>
        <v>2000</v>
      </c>
    </row>
    <row r="166">
      <c r="A166" s="38" t="s">
        <v>639</v>
      </c>
      <c r="B166" s="38" t="s">
        <v>640</v>
      </c>
      <c r="C166" s="38" t="s">
        <v>641</v>
      </c>
      <c r="D166" s="38" t="s">
        <v>642</v>
      </c>
      <c r="E166" s="38" t="s">
        <v>643</v>
      </c>
      <c r="F166" s="38" t="s">
        <v>644</v>
      </c>
      <c r="G166" s="38" t="s">
        <v>645</v>
      </c>
      <c r="H166" s="38" t="s">
        <v>646</v>
      </c>
    </row>
    <row r="167">
      <c r="A167" s="47" t="s">
        <v>517</v>
      </c>
      <c r="B167" s="47" t="s">
        <v>517</v>
      </c>
      <c r="C167" s="47" t="s">
        <v>517</v>
      </c>
      <c r="D167" s="47" t="s">
        <v>517</v>
      </c>
      <c r="E167" s="47" t="s">
        <v>517</v>
      </c>
      <c r="F167" s="47" t="s">
        <v>517</v>
      </c>
      <c r="G167" s="47" t="s">
        <v>517</v>
      </c>
      <c r="H167" s="47" t="s">
        <v>517</v>
      </c>
    </row>
    <row r="168">
      <c r="A168" s="38">
        <v>0.0</v>
      </c>
      <c r="B168" s="38">
        <v>1000.0</v>
      </c>
      <c r="C168" s="38">
        <v>0.0</v>
      </c>
      <c r="D168" s="38">
        <v>1000.0</v>
      </c>
      <c r="E168" s="38">
        <v>0.0</v>
      </c>
      <c r="F168" s="38">
        <v>0.0</v>
      </c>
      <c r="G168" s="38">
        <v>0.0</v>
      </c>
      <c r="H168" s="38">
        <v>0.0</v>
      </c>
    </row>
    <row r="169">
      <c r="B169" s="26" t="s">
        <v>1124</v>
      </c>
      <c r="D169" s="26" t="s">
        <v>1154</v>
      </c>
    </row>
    <row r="170">
      <c r="B170" s="26" t="s">
        <v>400</v>
      </c>
      <c r="D170" s="26" t="s">
        <v>400</v>
      </c>
    </row>
  </sheetData>
  <mergeCells count="54">
    <mergeCell ref="H6:I6"/>
    <mergeCell ref="J6:L6"/>
    <mergeCell ref="M6:N6"/>
    <mergeCell ref="A48:E48"/>
    <mergeCell ref="A49:E49"/>
    <mergeCell ref="A50:E50"/>
    <mergeCell ref="A51:E51"/>
    <mergeCell ref="A52:E52"/>
    <mergeCell ref="A53:E53"/>
    <mergeCell ref="A54:E54"/>
    <mergeCell ref="A73:E73"/>
    <mergeCell ref="A74:E74"/>
    <mergeCell ref="A75:E75"/>
    <mergeCell ref="A76:F76"/>
    <mergeCell ref="A77:F77"/>
    <mergeCell ref="A78:F78"/>
    <mergeCell ref="A79:F79"/>
    <mergeCell ref="A90:H90"/>
    <mergeCell ref="A91:H91"/>
    <mergeCell ref="A92:H92"/>
    <mergeCell ref="A93:H93"/>
    <mergeCell ref="A94:H94"/>
    <mergeCell ref="A112:H112"/>
    <mergeCell ref="A113:H113"/>
    <mergeCell ref="A114:H114"/>
    <mergeCell ref="A115:H115"/>
    <mergeCell ref="A116:H116"/>
    <mergeCell ref="A128:J128"/>
    <mergeCell ref="A145:J145"/>
    <mergeCell ref="A146:J146"/>
    <mergeCell ref="A147:J147"/>
    <mergeCell ref="A161:H161"/>
    <mergeCell ref="A162:H162"/>
    <mergeCell ref="A163:H163"/>
    <mergeCell ref="A164:H164"/>
    <mergeCell ref="A165:H165"/>
    <mergeCell ref="A129:J129"/>
    <mergeCell ref="A130:J130"/>
    <mergeCell ref="A131:J131"/>
    <mergeCell ref="A132:J132"/>
    <mergeCell ref="A142:J142"/>
    <mergeCell ref="A143:J143"/>
    <mergeCell ref="A144:J144"/>
    <mergeCell ref="O6:Q6"/>
    <mergeCell ref="O7:Q7"/>
    <mergeCell ref="O8:Q8"/>
    <mergeCell ref="O5:Q5"/>
    <mergeCell ref="H5:I5"/>
    <mergeCell ref="J5:L5"/>
    <mergeCell ref="M5:N5"/>
    <mergeCell ref="A1:Q1"/>
    <mergeCell ref="A2:Q2"/>
    <mergeCell ref="A3:Q3"/>
    <mergeCell ref="A4:Q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</cols>
  <sheetData>
    <row r="1">
      <c r="A1" s="86" t="s">
        <v>1155</v>
      </c>
    </row>
    <row r="2">
      <c r="A2" s="86" t="s">
        <v>1156</v>
      </c>
    </row>
    <row r="3">
      <c r="A3" s="86" t="s">
        <v>654</v>
      </c>
    </row>
    <row r="4">
      <c r="A4" s="87">
        <f>100000+B6+C6+D6+E6+F6+G6+H6+A53+D17+G12+K6</f>
        <v>1278060</v>
      </c>
    </row>
    <row r="5">
      <c r="A5" s="47" t="s">
        <v>200</v>
      </c>
      <c r="B5" s="47" t="s">
        <v>201</v>
      </c>
      <c r="C5" s="47" t="s">
        <v>205</v>
      </c>
      <c r="D5" s="47" t="s">
        <v>1157</v>
      </c>
      <c r="E5" s="47" t="s">
        <v>1158</v>
      </c>
      <c r="F5" s="47" t="s">
        <v>207</v>
      </c>
      <c r="G5" s="47" t="s">
        <v>1159</v>
      </c>
      <c r="H5" s="47" t="s">
        <v>658</v>
      </c>
      <c r="K5" s="47" t="s">
        <v>660</v>
      </c>
    </row>
    <row r="6">
      <c r="A6" s="26" t="s">
        <v>1160</v>
      </c>
      <c r="B6" s="87">
        <v>-170000.0</v>
      </c>
      <c r="C6" s="87">
        <v>67250.0</v>
      </c>
      <c r="D6" s="87">
        <v>-3000.0</v>
      </c>
      <c r="E6" s="87">
        <v>1000.0</v>
      </c>
      <c r="F6" s="87">
        <v>35000.0</v>
      </c>
      <c r="G6" s="87">
        <v>-10000.0</v>
      </c>
      <c r="H6" s="87">
        <v>-15000.0</v>
      </c>
      <c r="K6" s="88">
        <f>K8</f>
        <v>0</v>
      </c>
    </row>
    <row r="7">
      <c r="A7" s="26" t="s">
        <v>1161</v>
      </c>
      <c r="B7" s="79" t="s">
        <v>214</v>
      </c>
      <c r="C7" s="26" t="s">
        <v>1162</v>
      </c>
      <c r="D7" s="26" t="s">
        <v>1163</v>
      </c>
      <c r="E7" s="26" t="s">
        <v>1164</v>
      </c>
      <c r="F7" s="26" t="s">
        <v>222</v>
      </c>
      <c r="G7" s="26" t="s">
        <v>221</v>
      </c>
      <c r="H7" s="26" t="s">
        <v>222</v>
      </c>
      <c r="I7" s="26" t="s">
        <v>1165</v>
      </c>
      <c r="J7" s="26" t="s">
        <v>224</v>
      </c>
      <c r="K7" s="47" t="s">
        <v>225</v>
      </c>
    </row>
    <row r="8">
      <c r="A8" s="26" t="s">
        <v>1166</v>
      </c>
      <c r="B8" s="4" t="s">
        <v>21</v>
      </c>
      <c r="C8" s="26" t="s">
        <v>1167</v>
      </c>
      <c r="D8" s="26" t="s">
        <v>1168</v>
      </c>
      <c r="F8" s="26" t="s">
        <v>1169</v>
      </c>
      <c r="H8" s="26" t="s">
        <v>1170</v>
      </c>
      <c r="I8" s="26" t="s">
        <v>1171</v>
      </c>
      <c r="J8" s="26" t="s">
        <v>1172</v>
      </c>
      <c r="K8" s="89">
        <v>0.0</v>
      </c>
    </row>
    <row r="9">
      <c r="A9" s="26" t="s">
        <v>1173</v>
      </c>
      <c r="B9" s="4" t="s">
        <v>35</v>
      </c>
      <c r="C9" s="26" t="s">
        <v>1174</v>
      </c>
      <c r="D9" s="26" t="s">
        <v>1175</v>
      </c>
      <c r="F9" s="26" t="s">
        <v>1176</v>
      </c>
      <c r="H9" s="26" t="s">
        <v>1177</v>
      </c>
      <c r="I9" s="26" t="s">
        <v>1178</v>
      </c>
      <c r="J9" s="26" t="s">
        <v>1179</v>
      </c>
    </row>
    <row r="10">
      <c r="A10" s="26" t="s">
        <v>1180</v>
      </c>
      <c r="B10" s="26" t="s">
        <v>48</v>
      </c>
      <c r="C10" s="26" t="s">
        <v>375</v>
      </c>
      <c r="D10" s="26" t="s">
        <v>1181</v>
      </c>
      <c r="F10" s="26" t="s">
        <v>260</v>
      </c>
      <c r="H10" s="26" t="s">
        <v>765</v>
      </c>
      <c r="I10" s="26" t="s">
        <v>1182</v>
      </c>
    </row>
    <row r="11">
      <c r="A11" s="26" t="s">
        <v>1183</v>
      </c>
      <c r="B11" s="79" t="s">
        <v>36</v>
      </c>
      <c r="C11" s="26" t="s">
        <v>1184</v>
      </c>
      <c r="D11" s="26" t="s">
        <v>1185</v>
      </c>
      <c r="F11" s="26" t="s">
        <v>1186</v>
      </c>
      <c r="G11" s="47" t="s">
        <v>1187</v>
      </c>
      <c r="H11" s="26" t="s">
        <v>1188</v>
      </c>
      <c r="I11" s="26" t="s">
        <v>1189</v>
      </c>
    </row>
    <row r="12">
      <c r="A12" s="26" t="s">
        <v>1190</v>
      </c>
      <c r="B12" s="4" t="s">
        <v>49</v>
      </c>
      <c r="C12" s="26" t="s">
        <v>1191</v>
      </c>
      <c r="D12" s="26" t="s">
        <v>1192</v>
      </c>
      <c r="F12" s="26" t="s">
        <v>1193</v>
      </c>
      <c r="G12" s="87">
        <v>-10000.0</v>
      </c>
      <c r="H12" s="26" t="s">
        <v>1194</v>
      </c>
      <c r="I12" s="26" t="s">
        <v>1195</v>
      </c>
    </row>
    <row r="13">
      <c r="A13" s="26" t="s">
        <v>1196</v>
      </c>
      <c r="B13" s="79" t="s">
        <v>56</v>
      </c>
      <c r="C13" s="26" t="s">
        <v>1197</v>
      </c>
      <c r="F13" s="26" t="s">
        <v>1198</v>
      </c>
      <c r="G13" s="26" t="s">
        <v>1199</v>
      </c>
      <c r="H13" s="26" t="s">
        <v>260</v>
      </c>
      <c r="I13" s="26" t="s">
        <v>1200</v>
      </c>
    </row>
    <row r="14">
      <c r="A14" s="26" t="s">
        <v>1201</v>
      </c>
      <c r="B14" s="4" t="s">
        <v>67</v>
      </c>
      <c r="C14" s="26" t="s">
        <v>1202</v>
      </c>
      <c r="F14" s="26" t="s">
        <v>986</v>
      </c>
      <c r="H14" s="26" t="s">
        <v>772</v>
      </c>
    </row>
    <row r="15">
      <c r="A15" s="26" t="s">
        <v>1203</v>
      </c>
      <c r="B15" s="4" t="s">
        <v>71</v>
      </c>
      <c r="C15" s="26" t="s">
        <v>1204</v>
      </c>
      <c r="F15" s="26" t="s">
        <v>1205</v>
      </c>
      <c r="H15" s="26" t="s">
        <v>754</v>
      </c>
    </row>
    <row r="16">
      <c r="A16" s="26" t="s">
        <v>1206</v>
      </c>
      <c r="B16" s="4" t="s">
        <v>76</v>
      </c>
      <c r="C16" s="26" t="s">
        <v>1207</v>
      </c>
      <c r="D16" s="30" t="s">
        <v>1018</v>
      </c>
      <c r="E16" s="47" t="s">
        <v>1208</v>
      </c>
      <c r="F16" s="26" t="s">
        <v>279</v>
      </c>
      <c r="H16" s="26" t="s">
        <v>773</v>
      </c>
    </row>
    <row r="17">
      <c r="A17" s="26" t="s">
        <v>1209</v>
      </c>
      <c r="B17" s="4" t="s">
        <v>1210</v>
      </c>
      <c r="C17" s="26" t="s">
        <v>1211</v>
      </c>
      <c r="D17" s="90">
        <v>10000.0</v>
      </c>
      <c r="E17" s="26" t="s">
        <v>1212</v>
      </c>
      <c r="F17" s="26" t="s">
        <v>1198</v>
      </c>
      <c r="H17" s="26" t="s">
        <v>1015</v>
      </c>
    </row>
    <row r="18">
      <c r="A18" s="26" t="s">
        <v>1213</v>
      </c>
      <c r="B18" s="4" t="s">
        <v>1214</v>
      </c>
      <c r="C18" s="26" t="s">
        <v>1215</v>
      </c>
      <c r="D18" s="91" t="s">
        <v>1216</v>
      </c>
      <c r="F18" s="26" t="s">
        <v>1217</v>
      </c>
      <c r="H18" s="26" t="s">
        <v>1218</v>
      </c>
    </row>
    <row r="19">
      <c r="A19" s="26" t="s">
        <v>1219</v>
      </c>
      <c r="B19" s="4" t="s">
        <v>1220</v>
      </c>
      <c r="C19" s="26" t="s">
        <v>1221</v>
      </c>
      <c r="F19" s="26" t="s">
        <v>260</v>
      </c>
      <c r="H19" s="26" t="s">
        <v>260</v>
      </c>
    </row>
    <row r="20">
      <c r="A20" s="26" t="s">
        <v>1222</v>
      </c>
      <c r="B20" s="4" t="s">
        <v>1223</v>
      </c>
      <c r="C20" s="26" t="s">
        <v>1215</v>
      </c>
      <c r="F20" s="26" t="s">
        <v>1224</v>
      </c>
      <c r="H20" s="26" t="s">
        <v>698</v>
      </c>
    </row>
    <row r="21">
      <c r="A21" s="26" t="s">
        <v>1225</v>
      </c>
      <c r="B21" s="4" t="s">
        <v>1226</v>
      </c>
      <c r="C21" s="26" t="s">
        <v>1227</v>
      </c>
      <c r="F21" s="26" t="s">
        <v>1228</v>
      </c>
      <c r="H21" s="26" t="s">
        <v>703</v>
      </c>
    </row>
    <row r="22">
      <c r="A22" s="26" t="s">
        <v>1229</v>
      </c>
      <c r="B22" s="4" t="s">
        <v>1230</v>
      </c>
      <c r="C22" s="26" t="s">
        <v>1215</v>
      </c>
      <c r="F22" s="26" t="s">
        <v>1039</v>
      </c>
      <c r="H22" s="26" t="s">
        <v>723</v>
      </c>
    </row>
    <row r="23">
      <c r="A23" s="26" t="s">
        <v>1231</v>
      </c>
      <c r="B23" s="4" t="s">
        <v>1232</v>
      </c>
      <c r="F23" s="26" t="s">
        <v>1233</v>
      </c>
      <c r="H23" s="26" t="s">
        <v>765</v>
      </c>
    </row>
    <row r="24">
      <c r="A24" s="26" t="s">
        <v>1234</v>
      </c>
      <c r="F24" s="26" t="s">
        <v>279</v>
      </c>
      <c r="H24" s="26" t="s">
        <v>728</v>
      </c>
    </row>
    <row r="25">
      <c r="A25" s="26" t="s">
        <v>1235</v>
      </c>
      <c r="F25" s="26" t="s">
        <v>986</v>
      </c>
      <c r="H25" s="26" t="s">
        <v>1236</v>
      </c>
    </row>
    <row r="26">
      <c r="F26" s="26" t="s">
        <v>1237</v>
      </c>
      <c r="H26" s="26" t="s">
        <v>703</v>
      </c>
    </row>
    <row r="27">
      <c r="F27" s="26" t="s">
        <v>1238</v>
      </c>
      <c r="H27" s="26" t="s">
        <v>1239</v>
      </c>
    </row>
    <row r="28">
      <c r="F28" s="26" t="s">
        <v>1240</v>
      </c>
      <c r="H28" s="26" t="s">
        <v>1241</v>
      </c>
    </row>
    <row r="29">
      <c r="F29" s="26" t="s">
        <v>1242</v>
      </c>
      <c r="H29" s="26" t="s">
        <v>765</v>
      </c>
    </row>
    <row r="30">
      <c r="F30" s="26" t="s">
        <v>260</v>
      </c>
      <c r="H30" s="26" t="s">
        <v>1239</v>
      </c>
    </row>
    <row r="31">
      <c r="F31" s="26" t="s">
        <v>1030</v>
      </c>
    </row>
    <row r="32">
      <c r="F32" s="26" t="s">
        <v>1243</v>
      </c>
    </row>
    <row r="33">
      <c r="F33" s="26" t="s">
        <v>279</v>
      </c>
    </row>
    <row r="34">
      <c r="F34" s="26" t="s">
        <v>1039</v>
      </c>
    </row>
    <row r="35">
      <c r="F35" s="26" t="s">
        <v>1190</v>
      </c>
    </row>
    <row r="36">
      <c r="F36" s="26" t="s">
        <v>260</v>
      </c>
    </row>
    <row r="37">
      <c r="F37" s="26" t="s">
        <v>1244</v>
      </c>
    </row>
    <row r="38">
      <c r="F38" s="26" t="s">
        <v>279</v>
      </c>
    </row>
    <row r="39">
      <c r="F39" s="26" t="s">
        <v>1245</v>
      </c>
    </row>
    <row r="40">
      <c r="F40" s="26" t="s">
        <v>1246</v>
      </c>
    </row>
    <row r="41">
      <c r="F41" s="26" t="s">
        <v>1238</v>
      </c>
    </row>
    <row r="42">
      <c r="F42" s="26" t="s">
        <v>1245</v>
      </c>
    </row>
    <row r="43">
      <c r="F43" s="44" t="s">
        <v>1247</v>
      </c>
    </row>
    <row r="45">
      <c r="F45" s="39" t="s">
        <v>1248</v>
      </c>
    </row>
    <row r="46">
      <c r="F46" s="26" t="s">
        <v>1176</v>
      </c>
    </row>
    <row r="47">
      <c r="F47" s="26" t="s">
        <v>1249</v>
      </c>
    </row>
    <row r="49">
      <c r="F49" s="39" t="s">
        <v>1250</v>
      </c>
    </row>
    <row r="52">
      <c r="A52" s="36" t="s">
        <v>384</v>
      </c>
    </row>
    <row r="53">
      <c r="A53" s="36">
        <f>A55+A73+A89+A105+A121+A141+A172</f>
        <v>1272810</v>
      </c>
    </row>
    <row r="54">
      <c r="A54" s="37" t="s">
        <v>776</v>
      </c>
    </row>
    <row r="55">
      <c r="A55" s="37">
        <v>44550.0</v>
      </c>
    </row>
    <row r="56">
      <c r="A56" s="37">
        <v>2026.0</v>
      </c>
    </row>
    <row r="57">
      <c r="A57" s="38" t="s">
        <v>386</v>
      </c>
      <c r="B57" s="38" t="s">
        <v>102</v>
      </c>
      <c r="C57" s="38" t="s">
        <v>126</v>
      </c>
      <c r="D57" s="38" t="s">
        <v>112</v>
      </c>
      <c r="E57" s="38" t="s">
        <v>117</v>
      </c>
    </row>
    <row r="58">
      <c r="B58" s="39" t="s">
        <v>1251</v>
      </c>
      <c r="C58" s="39" t="s">
        <v>1252</v>
      </c>
      <c r="E58" s="39" t="s">
        <v>1253</v>
      </c>
    </row>
    <row r="59">
      <c r="B59" s="26" t="s">
        <v>1254</v>
      </c>
      <c r="C59" s="26" t="s">
        <v>1255</v>
      </c>
      <c r="E59" s="26" t="s">
        <v>1176</v>
      </c>
    </row>
    <row r="60">
      <c r="B60" s="26" t="s">
        <v>396</v>
      </c>
      <c r="C60" s="26" t="s">
        <v>396</v>
      </c>
      <c r="E60" s="26" t="s">
        <v>396</v>
      </c>
    </row>
    <row r="61">
      <c r="B61" s="26" t="s">
        <v>399</v>
      </c>
      <c r="C61" s="26" t="s">
        <v>1115</v>
      </c>
      <c r="E61" s="26" t="s">
        <v>1115</v>
      </c>
    </row>
    <row r="62">
      <c r="B62" s="26" t="s">
        <v>1256</v>
      </c>
      <c r="C62" s="26" t="s">
        <v>404</v>
      </c>
      <c r="E62" s="26" t="s">
        <v>1257</v>
      </c>
    </row>
    <row r="63">
      <c r="B63" s="26" t="s">
        <v>1258</v>
      </c>
      <c r="C63" s="26" t="s">
        <v>399</v>
      </c>
      <c r="E63" s="26" t="s">
        <v>1101</v>
      </c>
    </row>
    <row r="64">
      <c r="B64" s="26" t="s">
        <v>401</v>
      </c>
      <c r="C64" s="26" t="s">
        <v>1259</v>
      </c>
    </row>
    <row r="65">
      <c r="C65" s="26" t="s">
        <v>1197</v>
      </c>
    </row>
    <row r="66">
      <c r="C66" s="26" t="s">
        <v>441</v>
      </c>
    </row>
    <row r="67">
      <c r="C67" s="26" t="s">
        <v>1260</v>
      </c>
    </row>
    <row r="68">
      <c r="C68" s="26" t="s">
        <v>1261</v>
      </c>
    </row>
    <row r="69">
      <c r="C69" s="26" t="s">
        <v>1262</v>
      </c>
    </row>
    <row r="70">
      <c r="C70" s="26" t="s">
        <v>400</v>
      </c>
    </row>
    <row r="71">
      <c r="A71" s="40"/>
    </row>
    <row r="72">
      <c r="A72" s="41" t="s">
        <v>408</v>
      </c>
    </row>
    <row r="73">
      <c r="A73" s="41">
        <v>29860.0</v>
      </c>
    </row>
    <row r="74">
      <c r="A74" s="42">
        <v>2026.0</v>
      </c>
    </row>
    <row r="75">
      <c r="A75" s="38" t="s">
        <v>409</v>
      </c>
      <c r="B75" s="38" t="s">
        <v>410</v>
      </c>
      <c r="C75" s="38" t="s">
        <v>411</v>
      </c>
      <c r="D75" s="38" t="s">
        <v>412</v>
      </c>
      <c r="E75" s="38" t="s">
        <v>413</v>
      </c>
      <c r="F75" s="38" t="s">
        <v>414</v>
      </c>
    </row>
    <row r="76">
      <c r="B76" s="39" t="s">
        <v>1263</v>
      </c>
      <c r="C76" s="39" t="s">
        <v>1118</v>
      </c>
      <c r="E76" s="39" t="s">
        <v>1264</v>
      </c>
      <c r="F76" s="39" t="s">
        <v>1265</v>
      </c>
    </row>
    <row r="77">
      <c r="B77" s="26" t="s">
        <v>1266</v>
      </c>
      <c r="C77" s="26" t="s">
        <v>1254</v>
      </c>
      <c r="E77" s="26" t="s">
        <v>1255</v>
      </c>
      <c r="F77" s="26" t="s">
        <v>1267</v>
      </c>
    </row>
    <row r="78">
      <c r="B78" s="26" t="s">
        <v>439</v>
      </c>
      <c r="C78" s="26" t="s">
        <v>425</v>
      </c>
      <c r="E78" s="26" t="s">
        <v>787</v>
      </c>
      <c r="F78" s="26" t="s">
        <v>407</v>
      </c>
    </row>
    <row r="79">
      <c r="B79" s="26" t="s">
        <v>399</v>
      </c>
      <c r="E79" s="26" t="s">
        <v>428</v>
      </c>
      <c r="F79" s="26" t="s">
        <v>436</v>
      </c>
    </row>
    <row r="80">
      <c r="E80" s="26" t="s">
        <v>1268</v>
      </c>
      <c r="F80" s="26" t="s">
        <v>1269</v>
      </c>
    </row>
    <row r="81">
      <c r="E81" s="26" t="s">
        <v>1197</v>
      </c>
      <c r="F81" s="26" t="s">
        <v>423</v>
      </c>
    </row>
    <row r="82">
      <c r="E82" s="26" t="s">
        <v>1270</v>
      </c>
      <c r="F82" s="26" t="s">
        <v>436</v>
      </c>
    </row>
    <row r="83">
      <c r="E83" s="26" t="s">
        <v>1268</v>
      </c>
    </row>
    <row r="84">
      <c r="E84" s="26" t="s">
        <v>1271</v>
      </c>
    </row>
    <row r="85">
      <c r="E85" s="26" t="s">
        <v>1272</v>
      </c>
    </row>
    <row r="86">
      <c r="E86" s="26" t="s">
        <v>1268</v>
      </c>
    </row>
    <row r="87">
      <c r="A87" s="40"/>
    </row>
    <row r="88">
      <c r="A88" s="21" t="s">
        <v>1273</v>
      </c>
    </row>
    <row r="89">
      <c r="A89" s="21">
        <v>34800.0</v>
      </c>
    </row>
    <row r="90">
      <c r="A90" s="18">
        <v>2026.0</v>
      </c>
    </row>
    <row r="91">
      <c r="A91" s="43" t="s">
        <v>1274</v>
      </c>
    </row>
    <row r="92">
      <c r="A92" s="38" t="s">
        <v>457</v>
      </c>
      <c r="B92" s="38" t="s">
        <v>169</v>
      </c>
      <c r="C92" s="38" t="s">
        <v>458</v>
      </c>
      <c r="D92" s="38" t="s">
        <v>459</v>
      </c>
      <c r="E92" s="38" t="s">
        <v>164</v>
      </c>
      <c r="F92" s="38" t="s">
        <v>460</v>
      </c>
      <c r="G92" s="38" t="s">
        <v>157</v>
      </c>
      <c r="H92" s="38" t="s">
        <v>461</v>
      </c>
    </row>
    <row r="93">
      <c r="A93" s="44" t="s">
        <v>517</v>
      </c>
      <c r="B93" s="44" t="s">
        <v>517</v>
      </c>
      <c r="C93" s="44" t="s">
        <v>1275</v>
      </c>
      <c r="D93" s="44" t="s">
        <v>1118</v>
      </c>
      <c r="E93" s="44" t="s">
        <v>517</v>
      </c>
      <c r="F93" s="44" t="s">
        <v>1276</v>
      </c>
      <c r="G93" s="44" t="s">
        <v>517</v>
      </c>
      <c r="H93" s="44" t="s">
        <v>1277</v>
      </c>
    </row>
    <row r="94">
      <c r="C94" s="26" t="s">
        <v>1255</v>
      </c>
      <c r="D94" s="26" t="s">
        <v>1278</v>
      </c>
      <c r="F94" s="26" t="s">
        <v>1177</v>
      </c>
      <c r="H94" s="26" t="s">
        <v>1279</v>
      </c>
    </row>
    <row r="95">
      <c r="C95" s="26" t="s">
        <v>424</v>
      </c>
      <c r="D95" s="26" t="s">
        <v>425</v>
      </c>
      <c r="F95" s="26" t="s">
        <v>423</v>
      </c>
      <c r="H95" s="26" t="s">
        <v>424</v>
      </c>
    </row>
    <row r="96">
      <c r="C96" s="26" t="s">
        <v>280</v>
      </c>
      <c r="F96" s="26" t="s">
        <v>1280</v>
      </c>
      <c r="H96" s="26" t="s">
        <v>303</v>
      </c>
    </row>
    <row r="97">
      <c r="C97" s="26" t="s">
        <v>1281</v>
      </c>
      <c r="F97" s="26" t="s">
        <v>315</v>
      </c>
      <c r="H97" s="26" t="s">
        <v>1197</v>
      </c>
    </row>
    <row r="98">
      <c r="C98" s="26" t="s">
        <v>425</v>
      </c>
      <c r="F98" s="26" t="s">
        <v>280</v>
      </c>
      <c r="H98" s="26" t="s">
        <v>651</v>
      </c>
    </row>
    <row r="99">
      <c r="F99" s="26" t="s">
        <v>1282</v>
      </c>
      <c r="H99" s="26" t="s">
        <v>303</v>
      </c>
    </row>
    <row r="100">
      <c r="F100" s="26" t="s">
        <v>1283</v>
      </c>
    </row>
    <row r="101">
      <c r="F101" s="26" t="s">
        <v>355</v>
      </c>
    </row>
    <row r="102">
      <c r="F102" s="26" t="s">
        <v>1284</v>
      </c>
    </row>
    <row r="103">
      <c r="F103" s="26" t="s">
        <v>450</v>
      </c>
    </row>
    <row r="104">
      <c r="A104" s="46" t="s">
        <v>510</v>
      </c>
    </row>
    <row r="105">
      <c r="A105" s="46">
        <f>A108</f>
        <v>80700</v>
      </c>
    </row>
    <row r="106">
      <c r="A106" s="46">
        <v>2026.0</v>
      </c>
    </row>
    <row r="107">
      <c r="A107" s="46" t="s">
        <v>1285</v>
      </c>
    </row>
    <row r="108">
      <c r="A108" s="46">
        <f>A111+B111+C111+D111+E111+F111+G111+H111</f>
        <v>80700</v>
      </c>
    </row>
    <row r="109">
      <c r="A109" s="38" t="s">
        <v>512</v>
      </c>
      <c r="B109" s="38" t="s">
        <v>513</v>
      </c>
      <c r="C109" s="38" t="s">
        <v>196</v>
      </c>
      <c r="D109" s="38" t="s">
        <v>514</v>
      </c>
      <c r="E109" s="38" t="s">
        <v>182</v>
      </c>
      <c r="F109" s="38" t="s">
        <v>515</v>
      </c>
      <c r="G109" s="38" t="s">
        <v>516</v>
      </c>
      <c r="H109" s="38" t="s">
        <v>185</v>
      </c>
    </row>
    <row r="110">
      <c r="A110" s="47" t="s">
        <v>415</v>
      </c>
      <c r="B110" s="47" t="s">
        <v>517</v>
      </c>
      <c r="C110" s="47" t="s">
        <v>517</v>
      </c>
      <c r="D110" s="47" t="s">
        <v>517</v>
      </c>
      <c r="E110" s="47" t="s">
        <v>517</v>
      </c>
      <c r="F110" s="47" t="s">
        <v>517</v>
      </c>
      <c r="G110" s="47" t="s">
        <v>517</v>
      </c>
      <c r="H110" s="47" t="s">
        <v>517</v>
      </c>
    </row>
    <row r="111">
      <c r="A111" s="38">
        <v>29000.0</v>
      </c>
      <c r="B111" s="38">
        <v>0.0</v>
      </c>
      <c r="C111" s="38">
        <v>0.0</v>
      </c>
      <c r="D111" s="38">
        <v>0.0</v>
      </c>
      <c r="E111" s="38">
        <v>0.0</v>
      </c>
      <c r="F111" s="38">
        <v>38750.0</v>
      </c>
      <c r="G111" s="38">
        <v>1000.0</v>
      </c>
      <c r="H111" s="38">
        <v>11950.0</v>
      </c>
    </row>
    <row r="112">
      <c r="A112" s="26" t="s">
        <v>1176</v>
      </c>
      <c r="F112" s="26" t="s">
        <v>1255</v>
      </c>
      <c r="G112" s="26" t="s">
        <v>1160</v>
      </c>
      <c r="H112" s="26" t="s">
        <v>1286</v>
      </c>
    </row>
    <row r="113">
      <c r="A113" s="26" t="s">
        <v>523</v>
      </c>
      <c r="F113" s="26" t="s">
        <v>523</v>
      </c>
      <c r="G113" s="26" t="s">
        <v>400</v>
      </c>
      <c r="H113" s="26" t="s">
        <v>550</v>
      </c>
    </row>
    <row r="114">
      <c r="A114" s="26" t="s">
        <v>1287</v>
      </c>
      <c r="F114" s="26" t="s">
        <v>1197</v>
      </c>
      <c r="H114" s="26" t="s">
        <v>541</v>
      </c>
    </row>
    <row r="115">
      <c r="A115" s="26" t="s">
        <v>1256</v>
      </c>
      <c r="F115" s="26" t="s">
        <v>610</v>
      </c>
    </row>
    <row r="116">
      <c r="A116" s="26" t="s">
        <v>533</v>
      </c>
      <c r="F116" s="26" t="s">
        <v>530</v>
      </c>
    </row>
    <row r="117">
      <c r="A117" s="26" t="s">
        <v>1284</v>
      </c>
    </row>
    <row r="118">
      <c r="A118" s="26" t="s">
        <v>400</v>
      </c>
    </row>
    <row r="120">
      <c r="A120" s="49" t="s">
        <v>553</v>
      </c>
    </row>
    <row r="121">
      <c r="A121" s="49">
        <f>A124</f>
        <v>116900</v>
      </c>
    </row>
    <row r="122">
      <c r="A122" s="49">
        <v>2026.0</v>
      </c>
    </row>
    <row r="123">
      <c r="A123" s="49" t="s">
        <v>554</v>
      </c>
    </row>
    <row r="124">
      <c r="A124" s="50">
        <f>A127+B127+C127+D127+E127+F127+G127+H127+I127+J127</f>
        <v>116900</v>
      </c>
    </row>
    <row r="125">
      <c r="A125" s="51" t="s">
        <v>555</v>
      </c>
      <c r="B125" s="51" t="s">
        <v>556</v>
      </c>
      <c r="C125" s="51" t="s">
        <v>557</v>
      </c>
      <c r="D125" s="51" t="s">
        <v>558</v>
      </c>
      <c r="E125" s="51" t="s">
        <v>559</v>
      </c>
      <c r="F125" s="51" t="s">
        <v>560</v>
      </c>
      <c r="G125" s="51" t="s">
        <v>561</v>
      </c>
      <c r="H125" s="51" t="s">
        <v>562</v>
      </c>
      <c r="I125" s="52" t="s">
        <v>563</v>
      </c>
      <c r="J125" s="52" t="s">
        <v>564</v>
      </c>
    </row>
    <row r="126">
      <c r="A126" s="47" t="s">
        <v>517</v>
      </c>
      <c r="B126" s="47" t="s">
        <v>517</v>
      </c>
      <c r="C126" s="47" t="s">
        <v>517</v>
      </c>
      <c r="D126" s="47" t="s">
        <v>517</v>
      </c>
      <c r="E126" s="47" t="s">
        <v>517</v>
      </c>
      <c r="F126" s="47" t="s">
        <v>517</v>
      </c>
      <c r="G126" s="47" t="s">
        <v>517</v>
      </c>
      <c r="H126" s="47" t="s">
        <v>517</v>
      </c>
      <c r="I126" s="47" t="s">
        <v>517</v>
      </c>
      <c r="J126" s="47" t="s">
        <v>517</v>
      </c>
    </row>
    <row r="127">
      <c r="A127" s="38">
        <v>1700.0</v>
      </c>
      <c r="B127" s="38">
        <v>3100.0</v>
      </c>
      <c r="C127" s="38">
        <v>28000.0</v>
      </c>
      <c r="D127" s="38">
        <v>0.0</v>
      </c>
      <c r="E127" s="38">
        <v>0.0</v>
      </c>
      <c r="F127" s="38">
        <v>66500.0</v>
      </c>
      <c r="G127" s="38">
        <v>15400.0</v>
      </c>
      <c r="H127" s="38">
        <v>0.0</v>
      </c>
      <c r="I127" s="38">
        <v>0.0</v>
      </c>
      <c r="J127" s="38">
        <v>2200.0</v>
      </c>
    </row>
    <row r="128">
      <c r="A128" s="26" t="s">
        <v>1288</v>
      </c>
      <c r="B128" s="26" t="s">
        <v>1289</v>
      </c>
      <c r="C128" s="26" t="s">
        <v>1290</v>
      </c>
      <c r="F128" s="26" t="s">
        <v>1176</v>
      </c>
      <c r="G128" s="26" t="s">
        <v>1278</v>
      </c>
      <c r="J128" s="26" t="s">
        <v>1291</v>
      </c>
    </row>
    <row r="129">
      <c r="A129" s="26" t="s">
        <v>425</v>
      </c>
      <c r="B129" s="26" t="s">
        <v>1292</v>
      </c>
      <c r="C129" s="26" t="s">
        <v>1293</v>
      </c>
      <c r="F129" s="26" t="s">
        <v>570</v>
      </c>
      <c r="G129" s="26" t="s">
        <v>489</v>
      </c>
      <c r="J129" s="26" t="s">
        <v>423</v>
      </c>
    </row>
    <row r="130">
      <c r="A130" s="26" t="s">
        <v>1294</v>
      </c>
      <c r="B130" s="26" t="s">
        <v>852</v>
      </c>
      <c r="C130" s="26" t="s">
        <v>1295</v>
      </c>
      <c r="F130" s="26" t="s">
        <v>1296</v>
      </c>
      <c r="G130" s="26" t="s">
        <v>1269</v>
      </c>
    </row>
    <row r="131">
      <c r="A131" s="26" t="s">
        <v>1258</v>
      </c>
      <c r="C131" s="26" t="s">
        <v>550</v>
      </c>
      <c r="F131" s="26" t="s">
        <v>1151</v>
      </c>
      <c r="G131" s="26" t="s">
        <v>489</v>
      </c>
    </row>
    <row r="132">
      <c r="C132" s="26" t="s">
        <v>1297</v>
      </c>
      <c r="F132" s="26" t="s">
        <v>848</v>
      </c>
      <c r="G132" s="26" t="s">
        <v>1204</v>
      </c>
    </row>
    <row r="133">
      <c r="C133" s="26" t="s">
        <v>550</v>
      </c>
      <c r="F133" s="26" t="s">
        <v>579</v>
      </c>
      <c r="G133" s="26" t="s">
        <v>571</v>
      </c>
    </row>
    <row r="134">
      <c r="C134" s="26" t="s">
        <v>1298</v>
      </c>
      <c r="F134" s="26" t="s">
        <v>1299</v>
      </c>
    </row>
    <row r="135">
      <c r="C135" s="26" t="s">
        <v>552</v>
      </c>
      <c r="F135" s="26" t="s">
        <v>637</v>
      </c>
    </row>
    <row r="136">
      <c r="A136" s="53" t="s">
        <v>596</v>
      </c>
    </row>
    <row r="140">
      <c r="A140" s="54" t="s">
        <v>1300</v>
      </c>
    </row>
    <row r="141">
      <c r="A141" s="54">
        <f>-350000+A145</f>
        <v>643000</v>
      </c>
    </row>
    <row r="142">
      <c r="A142" s="54">
        <v>2026.0</v>
      </c>
    </row>
    <row r="143">
      <c r="A143" s="92" t="s">
        <v>1301</v>
      </c>
    </row>
    <row r="144">
      <c r="A144" s="54" t="s">
        <v>554</v>
      </c>
    </row>
    <row r="145">
      <c r="A145" s="55">
        <f>A148+B148+C148+D148+E148+F148+G148+H148+I148+J148</f>
        <v>993000</v>
      </c>
    </row>
    <row r="146">
      <c r="A146" s="38" t="s">
        <v>598</v>
      </c>
      <c r="B146" s="38" t="s">
        <v>599</v>
      </c>
      <c r="C146" s="38" t="s">
        <v>600</v>
      </c>
      <c r="D146" s="38" t="s">
        <v>601</v>
      </c>
      <c r="E146" s="38" t="s">
        <v>602</v>
      </c>
      <c r="F146" s="38" t="s">
        <v>603</v>
      </c>
      <c r="G146" s="51" t="s">
        <v>604</v>
      </c>
      <c r="H146" s="56" t="s">
        <v>605</v>
      </c>
      <c r="I146" s="56" t="s">
        <v>606</v>
      </c>
      <c r="J146" s="56" t="s">
        <v>607</v>
      </c>
    </row>
    <row r="147">
      <c r="A147" s="47" t="s">
        <v>517</v>
      </c>
      <c r="B147" s="47" t="s">
        <v>517</v>
      </c>
      <c r="C147" s="47" t="s">
        <v>517</v>
      </c>
      <c r="D147" s="47" t="s">
        <v>517</v>
      </c>
      <c r="E147" s="47" t="s">
        <v>517</v>
      </c>
      <c r="F147" s="47" t="s">
        <v>517</v>
      </c>
      <c r="G147" s="47" t="s">
        <v>517</v>
      </c>
      <c r="H147" s="30" t="s">
        <v>517</v>
      </c>
      <c r="I147" s="30" t="s">
        <v>517</v>
      </c>
      <c r="J147" s="30" t="s">
        <v>517</v>
      </c>
    </row>
    <row r="148">
      <c r="A148" s="38">
        <v>114000.0</v>
      </c>
      <c r="B148" s="38">
        <v>211000.0</v>
      </c>
      <c r="C148" s="38">
        <v>127000.0</v>
      </c>
      <c r="D148" s="38">
        <v>146000.0</v>
      </c>
      <c r="E148" s="38"/>
      <c r="F148" s="38"/>
      <c r="G148" s="38">
        <v>93000.0</v>
      </c>
      <c r="H148" s="38">
        <v>90000.0</v>
      </c>
      <c r="I148" s="38">
        <v>94500.0</v>
      </c>
      <c r="J148" s="38">
        <v>117500.0</v>
      </c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>
      <c r="A149" s="33" t="s">
        <v>1302</v>
      </c>
      <c r="B149" s="33" t="s">
        <v>1177</v>
      </c>
      <c r="C149" s="33" t="s">
        <v>1303</v>
      </c>
      <c r="D149" s="33" t="s">
        <v>1290</v>
      </c>
      <c r="E149" s="34"/>
      <c r="F149" s="34"/>
      <c r="G149" s="33" t="s">
        <v>1304</v>
      </c>
      <c r="H149" s="33" t="s">
        <v>1255</v>
      </c>
      <c r="I149" s="33" t="s">
        <v>1305</v>
      </c>
      <c r="J149" s="33" t="s">
        <v>1291</v>
      </c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>
      <c r="A150" s="33" t="s">
        <v>1306</v>
      </c>
      <c r="B150" s="33" t="s">
        <v>1306</v>
      </c>
      <c r="C150" s="33" t="s">
        <v>1306</v>
      </c>
      <c r="D150" s="33" t="s">
        <v>1306</v>
      </c>
      <c r="E150" s="34"/>
      <c r="F150" s="34"/>
      <c r="G150" s="33" t="s">
        <v>1306</v>
      </c>
      <c r="H150" s="33" t="s">
        <v>1306</v>
      </c>
      <c r="I150" s="33" t="s">
        <v>1306</v>
      </c>
      <c r="J150" s="33" t="s">
        <v>1306</v>
      </c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>
      <c r="A151" s="26" t="s">
        <v>621</v>
      </c>
      <c r="B151" s="26" t="s">
        <v>622</v>
      </c>
      <c r="C151" s="26" t="s">
        <v>621</v>
      </c>
      <c r="D151" s="26" t="s">
        <v>614</v>
      </c>
      <c r="E151" s="34"/>
      <c r="F151" s="34"/>
      <c r="G151" s="33" t="s">
        <v>628</v>
      </c>
      <c r="H151" s="34"/>
      <c r="I151" s="26" t="s">
        <v>614</v>
      </c>
      <c r="J151" s="26" t="s">
        <v>622</v>
      </c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>
      <c r="A152" s="33" t="s">
        <v>1281</v>
      </c>
      <c r="B152" s="26" t="s">
        <v>615</v>
      </c>
      <c r="C152" s="26" t="s">
        <v>1307</v>
      </c>
      <c r="D152" s="33" t="s">
        <v>615</v>
      </c>
      <c r="E152" s="34"/>
      <c r="F152" s="34"/>
      <c r="G152" s="34"/>
      <c r="H152" s="34"/>
      <c r="I152" s="33" t="s">
        <v>615</v>
      </c>
      <c r="J152" s="33" t="s">
        <v>615</v>
      </c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>
      <c r="A153" s="33" t="s">
        <v>1308</v>
      </c>
      <c r="B153" s="26" t="s">
        <v>628</v>
      </c>
      <c r="C153" s="33" t="s">
        <v>633</v>
      </c>
      <c r="D153" s="26" t="s">
        <v>628</v>
      </c>
      <c r="E153" s="34"/>
      <c r="F153" s="34"/>
      <c r="G153" s="34"/>
      <c r="H153" s="34"/>
      <c r="I153" s="34"/>
      <c r="J153" s="33" t="s">
        <v>1309</v>
      </c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>
      <c r="A154" s="26" t="s">
        <v>615</v>
      </c>
      <c r="B154" s="33" t="s">
        <v>1310</v>
      </c>
      <c r="C154" s="33" t="s">
        <v>1311</v>
      </c>
      <c r="D154" s="26" t="s">
        <v>1312</v>
      </c>
      <c r="E154" s="34"/>
      <c r="F154" s="34"/>
      <c r="G154" s="34"/>
      <c r="H154" s="34"/>
      <c r="I154" s="34"/>
      <c r="J154" s="33" t="s">
        <v>573</v>
      </c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>
      <c r="A155" s="34"/>
      <c r="B155" s="33" t="s">
        <v>612</v>
      </c>
      <c r="C155" s="33" t="s">
        <v>1313</v>
      </c>
      <c r="D155" s="33" t="s">
        <v>533</v>
      </c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>
      <c r="A156" s="34"/>
      <c r="B156" s="26" t="s">
        <v>1314</v>
      </c>
      <c r="C156" s="26" t="s">
        <v>621</v>
      </c>
      <c r="D156" s="26" t="s">
        <v>1297</v>
      </c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>
      <c r="A157" s="34"/>
      <c r="B157" s="33" t="s">
        <v>572</v>
      </c>
      <c r="C157" s="34"/>
      <c r="D157" s="33" t="s">
        <v>1315</v>
      </c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34"/>
      <c r="B158" s="26" t="s">
        <v>1316</v>
      </c>
      <c r="C158" s="34"/>
      <c r="D158" s="26" t="s">
        <v>1317</v>
      </c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>
      <c r="A159" s="34"/>
      <c r="B159" s="33" t="s">
        <v>589</v>
      </c>
      <c r="C159" s="34"/>
      <c r="D159" s="33" t="s">
        <v>1318</v>
      </c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>
      <c r="A160" s="34"/>
      <c r="B160" s="26" t="s">
        <v>615</v>
      </c>
      <c r="C160" s="34"/>
      <c r="D160" s="33" t="s">
        <v>1319</v>
      </c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>
      <c r="A161" s="34"/>
      <c r="B161" s="26" t="s">
        <v>1320</v>
      </c>
      <c r="C161" s="34"/>
      <c r="D161" s="33" t="s">
        <v>888</v>
      </c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>
      <c r="A162" s="34"/>
      <c r="B162" s="33" t="s">
        <v>491</v>
      </c>
      <c r="C162" s="34"/>
      <c r="D162" s="33" t="s">
        <v>615</v>
      </c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>
      <c r="A163" s="34"/>
      <c r="B163" s="26" t="s">
        <v>615</v>
      </c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>
      <c r="A164" s="34"/>
      <c r="B164" s="26" t="s">
        <v>1321</v>
      </c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>
      <c r="A165" s="34"/>
      <c r="B165" s="33" t="s">
        <v>489</v>
      </c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>
      <c r="A171" s="57" t="s">
        <v>638</v>
      </c>
    </row>
    <row r="172">
      <c r="A172" s="57">
        <f>A175</f>
        <v>323000</v>
      </c>
    </row>
    <row r="173">
      <c r="A173" s="57">
        <v>2026.0</v>
      </c>
    </row>
    <row r="174">
      <c r="A174" s="57" t="s">
        <v>554</v>
      </c>
    </row>
    <row r="175">
      <c r="A175" s="57">
        <f>A178+B178+C178+D178+E178+F178+G178+H178</f>
        <v>323000</v>
      </c>
    </row>
    <row r="176">
      <c r="A176" s="38" t="s">
        <v>639</v>
      </c>
      <c r="B176" s="38" t="s">
        <v>640</v>
      </c>
      <c r="C176" s="38" t="s">
        <v>641</v>
      </c>
      <c r="D176" s="38" t="s">
        <v>642</v>
      </c>
      <c r="E176" s="38" t="s">
        <v>643</v>
      </c>
      <c r="F176" s="38" t="s">
        <v>644</v>
      </c>
      <c r="G176" s="38" t="s">
        <v>645</v>
      </c>
      <c r="H176" s="38" t="s">
        <v>646</v>
      </c>
    </row>
    <row r="177">
      <c r="A177" s="47" t="s">
        <v>517</v>
      </c>
      <c r="B177" s="47" t="s">
        <v>517</v>
      </c>
      <c r="C177" s="47" t="s">
        <v>517</v>
      </c>
      <c r="D177" s="47" t="s">
        <v>517</v>
      </c>
      <c r="E177" s="47" t="s">
        <v>517</v>
      </c>
      <c r="F177" s="47" t="s">
        <v>517</v>
      </c>
      <c r="G177" s="47" t="s">
        <v>517</v>
      </c>
      <c r="H177" s="47" t="s">
        <v>517</v>
      </c>
    </row>
    <row r="178">
      <c r="A178" s="38">
        <v>74000.0</v>
      </c>
      <c r="B178" s="38">
        <v>0.0</v>
      </c>
      <c r="C178" s="38">
        <v>108000.0</v>
      </c>
      <c r="D178" s="38">
        <v>0.0</v>
      </c>
      <c r="E178" s="38">
        <v>122000.0</v>
      </c>
      <c r="F178" s="38">
        <v>15000.0</v>
      </c>
      <c r="G178" s="38">
        <v>0.0</v>
      </c>
      <c r="H178" s="38">
        <v>4000.0</v>
      </c>
    </row>
    <row r="179">
      <c r="A179" s="26" t="s">
        <v>1322</v>
      </c>
      <c r="C179" s="26" t="s">
        <v>1162</v>
      </c>
      <c r="E179" s="26" t="s">
        <v>1290</v>
      </c>
      <c r="F179" s="26" t="s">
        <v>1177</v>
      </c>
      <c r="H179" s="26" t="s">
        <v>1254</v>
      </c>
    </row>
    <row r="180">
      <c r="A180" s="26" t="s">
        <v>1323</v>
      </c>
      <c r="C180" s="26" t="s">
        <v>1324</v>
      </c>
      <c r="E180" s="26" t="s">
        <v>1325</v>
      </c>
      <c r="F180" s="26" t="s">
        <v>1315</v>
      </c>
      <c r="H180" s="26" t="s">
        <v>426</v>
      </c>
    </row>
    <row r="181">
      <c r="A181" s="26" t="s">
        <v>1194</v>
      </c>
      <c r="C181" s="26" t="s">
        <v>1326</v>
      </c>
      <c r="E181" s="26" t="s">
        <v>1281</v>
      </c>
    </row>
    <row r="182">
      <c r="A182" s="26" t="s">
        <v>1327</v>
      </c>
      <c r="C182" s="26" t="s">
        <v>544</v>
      </c>
      <c r="E182" s="26" t="s">
        <v>426</v>
      </c>
    </row>
    <row r="183">
      <c r="A183" s="26" t="s">
        <v>1328</v>
      </c>
      <c r="C183" s="26" t="s">
        <v>1329</v>
      </c>
      <c r="E183" s="26" t="s">
        <v>1271</v>
      </c>
    </row>
    <row r="184">
      <c r="A184" s="26" t="s">
        <v>400</v>
      </c>
      <c r="C184" s="26" t="s">
        <v>651</v>
      </c>
      <c r="E184" s="26" t="s">
        <v>1330</v>
      </c>
    </row>
    <row r="185">
      <c r="A185" s="26" t="s">
        <v>1331</v>
      </c>
      <c r="C185" s="26" t="s">
        <v>1332</v>
      </c>
      <c r="E185" s="26" t="s">
        <v>1333</v>
      </c>
    </row>
    <row r="186">
      <c r="A186" s="26" t="s">
        <v>441</v>
      </c>
      <c r="C186" s="26" t="s">
        <v>400</v>
      </c>
      <c r="E186" s="26" t="s">
        <v>610</v>
      </c>
    </row>
    <row r="187">
      <c r="C187" s="26" t="s">
        <v>1334</v>
      </c>
    </row>
    <row r="188">
      <c r="C188" s="26" t="s">
        <v>569</v>
      </c>
    </row>
    <row r="189">
      <c r="C189" s="26" t="s">
        <v>1335</v>
      </c>
    </row>
    <row r="190">
      <c r="C190" s="26" t="s">
        <v>441</v>
      </c>
    </row>
  </sheetData>
  <mergeCells count="46">
    <mergeCell ref="K6:M6"/>
    <mergeCell ref="K7:M7"/>
    <mergeCell ref="K8:M8"/>
    <mergeCell ref="A1:M1"/>
    <mergeCell ref="A2:M2"/>
    <mergeCell ref="A3:M3"/>
    <mergeCell ref="A4:M4"/>
    <mergeCell ref="H5:J5"/>
    <mergeCell ref="K5:M5"/>
    <mergeCell ref="H6:J6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43:J143"/>
    <mergeCell ref="A144:J144"/>
    <mergeCell ref="A145:J145"/>
    <mergeCell ref="A171:H171"/>
    <mergeCell ref="A172:H172"/>
    <mergeCell ref="A173:H173"/>
    <mergeCell ref="A174:H174"/>
    <mergeCell ref="A175:H175"/>
    <mergeCell ref="A122:J122"/>
    <mergeCell ref="A123:J123"/>
    <mergeCell ref="A124:J124"/>
    <mergeCell ref="A136:J136"/>
    <mergeCell ref="A140:J140"/>
    <mergeCell ref="A141:J141"/>
    <mergeCell ref="A142:J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93" t="s">
        <v>1336</v>
      </c>
    </row>
    <row r="2">
      <c r="A2" s="93" t="s">
        <v>1337</v>
      </c>
    </row>
    <row r="3">
      <c r="A3" s="94" t="s">
        <v>654</v>
      </c>
    </row>
    <row r="4">
      <c r="A4" s="95">
        <f>100000+B6+C6+D6+F6+I6+A38+J6</f>
        <v>427850</v>
      </c>
    </row>
    <row r="5">
      <c r="A5" s="47" t="s">
        <v>200</v>
      </c>
      <c r="B5" s="47" t="s">
        <v>655</v>
      </c>
      <c r="C5" s="47" t="s">
        <v>1338</v>
      </c>
      <c r="D5" s="47" t="s">
        <v>1157</v>
      </c>
      <c r="E5" s="47" t="s">
        <v>657</v>
      </c>
      <c r="F5" s="47" t="s">
        <v>209</v>
      </c>
      <c r="I5" s="47" t="s">
        <v>659</v>
      </c>
      <c r="J5" s="25" t="s">
        <v>895</v>
      </c>
    </row>
    <row r="6">
      <c r="A6" s="26" t="s">
        <v>1339</v>
      </c>
      <c r="B6" s="95">
        <v>-30000.0</v>
      </c>
      <c r="C6" s="95">
        <v>-30000.0</v>
      </c>
      <c r="D6" s="95">
        <v>21000.0</v>
      </c>
      <c r="E6" s="26" t="s">
        <v>1340</v>
      </c>
      <c r="F6" s="95">
        <v>-23000.0</v>
      </c>
      <c r="I6" s="95">
        <v>-10000.0</v>
      </c>
      <c r="J6" s="96">
        <f>J8</f>
        <v>0</v>
      </c>
    </row>
    <row r="7">
      <c r="A7" s="26" t="s">
        <v>1341</v>
      </c>
      <c r="B7" s="79" t="s">
        <v>214</v>
      </c>
      <c r="C7" s="26" t="s">
        <v>1342</v>
      </c>
      <c r="D7" s="26" t="s">
        <v>1343</v>
      </c>
      <c r="E7" s="26" t="s">
        <v>1344</v>
      </c>
      <c r="F7" s="26" t="s">
        <v>222</v>
      </c>
      <c r="G7" s="26" t="s">
        <v>1345</v>
      </c>
      <c r="H7" s="26" t="s">
        <v>224</v>
      </c>
      <c r="I7" s="26" t="s">
        <v>221</v>
      </c>
      <c r="J7" s="30" t="s">
        <v>225</v>
      </c>
    </row>
    <row r="8">
      <c r="A8" s="26" t="s">
        <v>1346</v>
      </c>
      <c r="B8" s="26" t="s">
        <v>22</v>
      </c>
      <c r="C8" s="26" t="s">
        <v>1347</v>
      </c>
      <c r="D8" s="26" t="s">
        <v>1348</v>
      </c>
      <c r="E8" s="26" t="s">
        <v>1349</v>
      </c>
      <c r="F8" s="26" t="s">
        <v>1350</v>
      </c>
      <c r="G8" s="26" t="s">
        <v>1351</v>
      </c>
      <c r="H8" s="26" t="s">
        <v>1352</v>
      </c>
      <c r="J8" s="97">
        <v>0.0</v>
      </c>
    </row>
    <row r="9">
      <c r="A9" s="26" t="s">
        <v>1353</v>
      </c>
      <c r="B9" s="79" t="s">
        <v>36</v>
      </c>
      <c r="C9" s="26" t="s">
        <v>1354</v>
      </c>
      <c r="D9" s="26" t="s">
        <v>998</v>
      </c>
      <c r="F9" s="26" t="s">
        <v>1355</v>
      </c>
      <c r="G9" s="26" t="s">
        <v>1356</v>
      </c>
    </row>
    <row r="10">
      <c r="A10" s="26" t="s">
        <v>1357</v>
      </c>
      <c r="B10" s="4" t="s">
        <v>49</v>
      </c>
      <c r="F10" s="26" t="s">
        <v>260</v>
      </c>
      <c r="G10" s="26" t="s">
        <v>1358</v>
      </c>
    </row>
    <row r="11">
      <c r="A11" s="26" t="s">
        <v>1359</v>
      </c>
      <c r="B11" s="79" t="s">
        <v>56</v>
      </c>
      <c r="F11" s="26" t="s">
        <v>1360</v>
      </c>
      <c r="G11" s="26" t="s">
        <v>699</v>
      </c>
    </row>
    <row r="12">
      <c r="A12" s="26" t="s">
        <v>1361</v>
      </c>
      <c r="B12" s="4" t="s">
        <v>49</v>
      </c>
      <c r="F12" s="26" t="s">
        <v>765</v>
      </c>
      <c r="G12" s="26" t="s">
        <v>1362</v>
      </c>
    </row>
    <row r="13">
      <c r="A13" s="26" t="s">
        <v>1363</v>
      </c>
      <c r="F13" s="26" t="s">
        <v>1239</v>
      </c>
      <c r="G13" s="26" t="s">
        <v>719</v>
      </c>
    </row>
    <row r="14">
      <c r="A14" s="26" t="s">
        <v>1364</v>
      </c>
      <c r="F14" s="26" t="s">
        <v>1365</v>
      </c>
    </row>
    <row r="15">
      <c r="A15" s="26" t="s">
        <v>1366</v>
      </c>
      <c r="F15" s="26" t="s">
        <v>765</v>
      </c>
    </row>
    <row r="16">
      <c r="A16" s="26" t="s">
        <v>1367</v>
      </c>
      <c r="F16" s="26" t="s">
        <v>723</v>
      </c>
    </row>
    <row r="17">
      <c r="A17" s="26" t="s">
        <v>1368</v>
      </c>
    </row>
    <row r="18">
      <c r="A18" s="26" t="s">
        <v>1369</v>
      </c>
    </row>
    <row r="19">
      <c r="A19" s="26" t="s">
        <v>1370</v>
      </c>
    </row>
    <row r="20">
      <c r="A20" s="26" t="s">
        <v>1371</v>
      </c>
    </row>
    <row r="21">
      <c r="A21" s="26" t="s">
        <v>1372</v>
      </c>
    </row>
    <row r="22">
      <c r="A22" s="26" t="s">
        <v>1373</v>
      </c>
    </row>
    <row r="23">
      <c r="A23" s="26" t="s">
        <v>1374</v>
      </c>
    </row>
    <row r="24">
      <c r="A24" s="26" t="s">
        <v>1375</v>
      </c>
    </row>
    <row r="25">
      <c r="A25" s="26" t="s">
        <v>1376</v>
      </c>
    </row>
    <row r="26">
      <c r="A26" s="26" t="s">
        <v>1377</v>
      </c>
    </row>
    <row r="27">
      <c r="A27" s="26" t="s">
        <v>1378</v>
      </c>
    </row>
    <row r="37">
      <c r="A37" s="36" t="s">
        <v>1068</v>
      </c>
    </row>
    <row r="38">
      <c r="A38" s="36">
        <f>A50+A65+A81+A98+A123</f>
        <v>399850</v>
      </c>
    </row>
    <row r="39">
      <c r="A39" s="37" t="s">
        <v>1379</v>
      </c>
    </row>
    <row r="40">
      <c r="A40" s="37">
        <v>2026.0</v>
      </c>
    </row>
    <row r="41">
      <c r="A41" s="38" t="s">
        <v>386</v>
      </c>
      <c r="B41" s="38" t="s">
        <v>102</v>
      </c>
      <c r="C41" s="38" t="s">
        <v>126</v>
      </c>
      <c r="D41" s="38" t="s">
        <v>112</v>
      </c>
      <c r="E41" s="38" t="s">
        <v>117</v>
      </c>
    </row>
    <row r="42">
      <c r="A42" s="47" t="s">
        <v>1380</v>
      </c>
    </row>
    <row r="43">
      <c r="A43" s="40"/>
    </row>
    <row r="44">
      <c r="A44" s="41" t="s">
        <v>1381</v>
      </c>
    </row>
    <row r="45">
      <c r="A45" s="42">
        <v>2026.0</v>
      </c>
    </row>
    <row r="46">
      <c r="A46" s="38" t="s">
        <v>409</v>
      </c>
      <c r="B46" s="38" t="s">
        <v>410</v>
      </c>
      <c r="C46" s="38" t="s">
        <v>411</v>
      </c>
      <c r="D46" s="38" t="s">
        <v>412</v>
      </c>
      <c r="E46" s="38" t="s">
        <v>413</v>
      </c>
      <c r="F46" s="38" t="s">
        <v>414</v>
      </c>
    </row>
    <row r="47">
      <c r="A47" s="30" t="s">
        <v>1380</v>
      </c>
    </row>
    <row r="48">
      <c r="A48" s="40"/>
    </row>
    <row r="49">
      <c r="A49" s="21" t="s">
        <v>1273</v>
      </c>
    </row>
    <row r="50">
      <c r="A50" s="21">
        <v>19100.0</v>
      </c>
    </row>
    <row r="51">
      <c r="A51" s="18">
        <v>2026.0</v>
      </c>
    </row>
    <row r="52">
      <c r="A52" s="43" t="s">
        <v>1382</v>
      </c>
    </row>
    <row r="53">
      <c r="A53" s="38" t="s">
        <v>457</v>
      </c>
      <c r="B53" s="38" t="s">
        <v>169</v>
      </c>
      <c r="C53" s="38" t="s">
        <v>458</v>
      </c>
      <c r="D53" s="38" t="s">
        <v>459</v>
      </c>
      <c r="E53" s="38" t="s">
        <v>164</v>
      </c>
      <c r="F53" s="38" t="s">
        <v>460</v>
      </c>
      <c r="G53" s="38" t="s">
        <v>157</v>
      </c>
      <c r="H53" s="38" t="s">
        <v>461</v>
      </c>
    </row>
    <row r="54">
      <c r="A54" s="44" t="s">
        <v>517</v>
      </c>
      <c r="B54" s="44" t="s">
        <v>1383</v>
      </c>
      <c r="C54" s="44" t="s">
        <v>1118</v>
      </c>
      <c r="D54" s="44" t="s">
        <v>1384</v>
      </c>
      <c r="E54" s="44" t="s">
        <v>517</v>
      </c>
      <c r="F54" s="44" t="s">
        <v>1385</v>
      </c>
      <c r="G54" s="44" t="s">
        <v>517</v>
      </c>
      <c r="H54" s="44" t="s">
        <v>1386</v>
      </c>
    </row>
    <row r="55">
      <c r="B55" s="26" t="s">
        <v>1387</v>
      </c>
      <c r="C55" s="26" t="s">
        <v>1388</v>
      </c>
      <c r="D55" s="26" t="s">
        <v>1389</v>
      </c>
      <c r="F55" s="26" t="s">
        <v>1390</v>
      </c>
      <c r="H55" s="26" t="s">
        <v>1391</v>
      </c>
    </row>
    <row r="56">
      <c r="B56" s="26" t="s">
        <v>425</v>
      </c>
      <c r="C56" s="26" t="s">
        <v>425</v>
      </c>
      <c r="D56" s="26" t="s">
        <v>425</v>
      </c>
      <c r="F56" s="26" t="s">
        <v>489</v>
      </c>
      <c r="H56" s="26" t="s">
        <v>425</v>
      </c>
    </row>
    <row r="57">
      <c r="B57" s="26" t="s">
        <v>252</v>
      </c>
      <c r="D57" s="26" t="s">
        <v>1392</v>
      </c>
      <c r="F57" s="26" t="s">
        <v>1393</v>
      </c>
      <c r="H57" s="26" t="s">
        <v>1394</v>
      </c>
    </row>
    <row r="58">
      <c r="B58" s="26" t="s">
        <v>360</v>
      </c>
      <c r="D58" s="26" t="s">
        <v>425</v>
      </c>
      <c r="F58" s="26" t="s">
        <v>1127</v>
      </c>
      <c r="H58" s="26" t="s">
        <v>425</v>
      </c>
    </row>
    <row r="59">
      <c r="B59" s="26" t="s">
        <v>496</v>
      </c>
      <c r="H59" s="26" t="s">
        <v>1395</v>
      </c>
    </row>
    <row r="60">
      <c r="H60" s="26" t="s">
        <v>425</v>
      </c>
    </row>
    <row r="64">
      <c r="A64" s="46" t="s">
        <v>825</v>
      </c>
    </row>
    <row r="65">
      <c r="A65" s="46">
        <f>A68</f>
        <v>113850</v>
      </c>
    </row>
    <row r="66">
      <c r="A66" s="46">
        <v>2026.0</v>
      </c>
    </row>
    <row r="67">
      <c r="A67" s="46" t="s">
        <v>554</v>
      </c>
    </row>
    <row r="68">
      <c r="A68" s="46">
        <f>A71+B71+C71+D71+E71+F71+G71+H71</f>
        <v>113850</v>
      </c>
    </row>
    <row r="69">
      <c r="A69" s="38" t="s">
        <v>512</v>
      </c>
      <c r="B69" s="38" t="s">
        <v>513</v>
      </c>
      <c r="C69" s="38" t="s">
        <v>196</v>
      </c>
      <c r="D69" s="38" t="s">
        <v>514</v>
      </c>
      <c r="E69" s="38" t="s">
        <v>182</v>
      </c>
      <c r="F69" s="38" t="s">
        <v>515</v>
      </c>
      <c r="G69" s="38" t="s">
        <v>516</v>
      </c>
      <c r="H69" s="38" t="s">
        <v>185</v>
      </c>
    </row>
    <row r="70">
      <c r="A70" s="47" t="s">
        <v>517</v>
      </c>
      <c r="B70" s="47" t="s">
        <v>517</v>
      </c>
      <c r="C70" s="47" t="s">
        <v>517</v>
      </c>
      <c r="D70" s="47" t="s">
        <v>517</v>
      </c>
      <c r="E70" s="47" t="s">
        <v>517</v>
      </c>
      <c r="F70" s="47" t="s">
        <v>517</v>
      </c>
      <c r="G70" s="47" t="s">
        <v>517</v>
      </c>
      <c r="H70" s="47" t="s">
        <v>517</v>
      </c>
    </row>
    <row r="71">
      <c r="A71" s="38">
        <v>12000.0</v>
      </c>
      <c r="B71" s="38">
        <v>0.0</v>
      </c>
      <c r="C71" s="38">
        <v>0.0</v>
      </c>
      <c r="D71" s="38">
        <v>0.0</v>
      </c>
      <c r="E71" s="38">
        <v>83400.0</v>
      </c>
      <c r="F71" s="38">
        <v>0.0</v>
      </c>
      <c r="G71" s="38">
        <v>1500.0</v>
      </c>
      <c r="H71" s="38">
        <v>16950.0</v>
      </c>
    </row>
    <row r="72">
      <c r="A72" s="26" t="s">
        <v>1112</v>
      </c>
      <c r="E72" s="26" t="s">
        <v>1396</v>
      </c>
      <c r="G72" s="26" t="s">
        <v>1397</v>
      </c>
      <c r="H72" s="26" t="s">
        <v>1387</v>
      </c>
    </row>
    <row r="73">
      <c r="A73" s="26" t="s">
        <v>1398</v>
      </c>
      <c r="E73" s="26" t="s">
        <v>425</v>
      </c>
      <c r="G73" s="26" t="s">
        <v>425</v>
      </c>
      <c r="H73" s="26" t="s">
        <v>489</v>
      </c>
    </row>
    <row r="74">
      <c r="E74" s="26" t="s">
        <v>526</v>
      </c>
      <c r="G74" s="26" t="s">
        <v>1399</v>
      </c>
      <c r="H74" s="26" t="s">
        <v>541</v>
      </c>
    </row>
    <row r="75">
      <c r="E75" s="26" t="s">
        <v>534</v>
      </c>
      <c r="G75" s="26" t="s">
        <v>400</v>
      </c>
    </row>
    <row r="76">
      <c r="E76" s="26" t="s">
        <v>1400</v>
      </c>
    </row>
    <row r="77">
      <c r="E77" s="26" t="s">
        <v>1401</v>
      </c>
    </row>
    <row r="78">
      <c r="E78" s="26" t="s">
        <v>537</v>
      </c>
    </row>
    <row r="80">
      <c r="A80" s="49" t="s">
        <v>553</v>
      </c>
    </row>
    <row r="81">
      <c r="A81" s="49">
        <f>A84</f>
        <v>50900</v>
      </c>
    </row>
    <row r="82">
      <c r="A82" s="49">
        <v>2026.0</v>
      </c>
    </row>
    <row r="83">
      <c r="A83" s="49" t="s">
        <v>554</v>
      </c>
    </row>
    <row r="84">
      <c r="A84" s="50">
        <f>A87+B87+C87+D87+E87+F87+G87+H87+I87+J87</f>
        <v>50900</v>
      </c>
    </row>
    <row r="85">
      <c r="A85" s="51" t="s">
        <v>555</v>
      </c>
      <c r="B85" s="51" t="s">
        <v>556</v>
      </c>
      <c r="C85" s="51" t="s">
        <v>557</v>
      </c>
      <c r="D85" s="51" t="s">
        <v>558</v>
      </c>
      <c r="E85" s="51" t="s">
        <v>559</v>
      </c>
      <c r="F85" s="51" t="s">
        <v>560</v>
      </c>
      <c r="G85" s="51" t="s">
        <v>561</v>
      </c>
      <c r="H85" s="51" t="s">
        <v>562</v>
      </c>
      <c r="I85" s="52" t="s">
        <v>563</v>
      </c>
      <c r="J85" s="52" t="s">
        <v>564</v>
      </c>
    </row>
    <row r="86">
      <c r="A86" s="47" t="s">
        <v>517</v>
      </c>
      <c r="B86" s="47" t="s">
        <v>517</v>
      </c>
      <c r="C86" s="47" t="s">
        <v>517</v>
      </c>
      <c r="D86" s="47" t="s">
        <v>517</v>
      </c>
      <c r="E86" s="47" t="s">
        <v>517</v>
      </c>
      <c r="F86" s="47" t="s">
        <v>517</v>
      </c>
      <c r="G86" s="47" t="s">
        <v>517</v>
      </c>
      <c r="H86" s="47" t="s">
        <v>517</v>
      </c>
      <c r="I86" s="47" t="s">
        <v>517</v>
      </c>
      <c r="J86" s="47" t="s">
        <v>517</v>
      </c>
    </row>
    <row r="87">
      <c r="A87" s="38">
        <v>12200.0</v>
      </c>
      <c r="B87" s="38">
        <v>900.0</v>
      </c>
      <c r="C87" s="38">
        <v>1100.0</v>
      </c>
      <c r="D87" s="38">
        <v>1500.0</v>
      </c>
      <c r="E87" s="38">
        <v>0.0</v>
      </c>
      <c r="F87" s="38">
        <v>1100.0</v>
      </c>
      <c r="G87" s="38">
        <v>0.0</v>
      </c>
      <c r="H87" s="38">
        <v>27000.0</v>
      </c>
      <c r="I87" s="38">
        <v>1000.0</v>
      </c>
      <c r="J87" s="38">
        <v>6100.0</v>
      </c>
    </row>
    <row r="88">
      <c r="A88" s="26" t="s">
        <v>1396</v>
      </c>
      <c r="B88" s="26" t="s">
        <v>1389</v>
      </c>
      <c r="C88" s="26" t="s">
        <v>1402</v>
      </c>
      <c r="D88" s="26" t="s">
        <v>1403</v>
      </c>
      <c r="F88" s="26" t="s">
        <v>1404</v>
      </c>
      <c r="H88" s="26" t="s">
        <v>1390</v>
      </c>
      <c r="I88" s="26" t="s">
        <v>1405</v>
      </c>
      <c r="J88" s="26" t="s">
        <v>1355</v>
      </c>
    </row>
    <row r="89">
      <c r="A89" s="26" t="s">
        <v>544</v>
      </c>
      <c r="B89" s="26" t="s">
        <v>865</v>
      </c>
      <c r="C89" s="26" t="s">
        <v>452</v>
      </c>
      <c r="D89" s="26" t="s">
        <v>450</v>
      </c>
      <c r="F89" s="26" t="s">
        <v>584</v>
      </c>
      <c r="H89" s="26" t="s">
        <v>625</v>
      </c>
      <c r="I89" s="26" t="s">
        <v>400</v>
      </c>
      <c r="J89" s="26" t="s">
        <v>425</v>
      </c>
    </row>
    <row r="90">
      <c r="A90" s="26" t="s">
        <v>852</v>
      </c>
      <c r="D90" s="26" t="s">
        <v>1406</v>
      </c>
      <c r="F90" s="26" t="s">
        <v>1407</v>
      </c>
      <c r="J90" s="26" t="s">
        <v>1408</v>
      </c>
    </row>
    <row r="91">
      <c r="A91" s="26" t="s">
        <v>1409</v>
      </c>
      <c r="D91" s="26" t="s">
        <v>1410</v>
      </c>
      <c r="F91" s="26" t="s">
        <v>425</v>
      </c>
      <c r="J91" s="26" t="s">
        <v>425</v>
      </c>
    </row>
    <row r="92">
      <c r="A92" s="26" t="s">
        <v>1258</v>
      </c>
      <c r="J92" s="26" t="s">
        <v>1411</v>
      </c>
    </row>
    <row r="93">
      <c r="J93" s="26" t="s">
        <v>584</v>
      </c>
    </row>
    <row r="94">
      <c r="J94" s="26" t="s">
        <v>1412</v>
      </c>
    </row>
    <row r="95">
      <c r="J95" s="26" t="s">
        <v>627</v>
      </c>
    </row>
    <row r="96">
      <c r="A96" s="53" t="s">
        <v>596</v>
      </c>
    </row>
    <row r="97">
      <c r="A97" s="54" t="s">
        <v>597</v>
      </c>
    </row>
    <row r="98">
      <c r="A98" s="54">
        <f>A101</f>
        <v>112000</v>
      </c>
    </row>
    <row r="99">
      <c r="A99" s="54">
        <v>2026.0</v>
      </c>
    </row>
    <row r="100">
      <c r="A100" s="54" t="s">
        <v>554</v>
      </c>
    </row>
    <row r="101">
      <c r="A101" s="55">
        <f>A104+B104+C104+D104+E104+F104+G104+H104+I104+J104</f>
        <v>112000</v>
      </c>
    </row>
    <row r="102">
      <c r="A102" s="38" t="s">
        <v>598</v>
      </c>
      <c r="B102" s="38" t="s">
        <v>599</v>
      </c>
      <c r="C102" s="38" t="s">
        <v>600</v>
      </c>
      <c r="D102" s="38" t="s">
        <v>601</v>
      </c>
      <c r="E102" s="38" t="s">
        <v>602</v>
      </c>
      <c r="F102" s="38" t="s">
        <v>603</v>
      </c>
      <c r="G102" s="51" t="s">
        <v>604</v>
      </c>
      <c r="H102" s="56" t="s">
        <v>605</v>
      </c>
      <c r="I102" s="56" t="s">
        <v>606</v>
      </c>
      <c r="J102" s="56" t="s">
        <v>607</v>
      </c>
    </row>
    <row r="103">
      <c r="A103" s="47" t="s">
        <v>517</v>
      </c>
      <c r="B103" s="47" t="s">
        <v>517</v>
      </c>
      <c r="C103" s="47" t="s">
        <v>517</v>
      </c>
      <c r="D103" s="47" t="s">
        <v>517</v>
      </c>
      <c r="E103" s="47" t="s">
        <v>517</v>
      </c>
      <c r="F103" s="47" t="s">
        <v>517</v>
      </c>
      <c r="G103" s="47" t="s">
        <v>517</v>
      </c>
      <c r="H103" s="30" t="s">
        <v>517</v>
      </c>
      <c r="I103" s="30" t="s">
        <v>517</v>
      </c>
      <c r="J103" s="30" t="s">
        <v>517</v>
      </c>
    </row>
    <row r="104">
      <c r="A104" s="38"/>
      <c r="B104" s="38"/>
      <c r="C104" s="38">
        <v>1000.0</v>
      </c>
      <c r="D104" s="38">
        <v>45000.0</v>
      </c>
      <c r="E104" s="38"/>
      <c r="F104" s="38">
        <v>1000.0</v>
      </c>
      <c r="G104" s="38">
        <v>6500.0</v>
      </c>
      <c r="H104" s="38"/>
      <c r="I104" s="38"/>
      <c r="J104" s="38">
        <v>58500.0</v>
      </c>
    </row>
    <row r="105">
      <c r="C105" s="26" t="s">
        <v>1413</v>
      </c>
      <c r="D105" s="26" t="s">
        <v>1396</v>
      </c>
      <c r="F105" s="26" t="s">
        <v>1414</v>
      </c>
      <c r="G105" s="26" t="s">
        <v>1389</v>
      </c>
      <c r="J105" s="26" t="s">
        <v>1112</v>
      </c>
    </row>
    <row r="106">
      <c r="C106" s="26" t="s">
        <v>400</v>
      </c>
      <c r="D106" s="26" t="s">
        <v>1327</v>
      </c>
      <c r="F106" s="26" t="s">
        <v>400</v>
      </c>
      <c r="G106" s="26" t="s">
        <v>533</v>
      </c>
      <c r="J106" s="26" t="s">
        <v>876</v>
      </c>
    </row>
    <row r="107">
      <c r="D107" s="26" t="s">
        <v>1394</v>
      </c>
      <c r="J107" s="26" t="s">
        <v>615</v>
      </c>
    </row>
    <row r="108">
      <c r="D108" s="26" t="s">
        <v>489</v>
      </c>
      <c r="J108" s="26" t="s">
        <v>1407</v>
      </c>
    </row>
    <row r="109">
      <c r="D109" s="26" t="s">
        <v>617</v>
      </c>
      <c r="J109" s="26" t="s">
        <v>580</v>
      </c>
    </row>
    <row r="110">
      <c r="D110" s="26" t="s">
        <v>1415</v>
      </c>
      <c r="J110" s="26" t="s">
        <v>485</v>
      </c>
    </row>
    <row r="111">
      <c r="D111" s="26" t="s">
        <v>610</v>
      </c>
      <c r="J111" s="26" t="s">
        <v>400</v>
      </c>
    </row>
    <row r="112">
      <c r="J112" s="26" t="s">
        <v>1416</v>
      </c>
    </row>
    <row r="113">
      <c r="J113" s="26" t="s">
        <v>611</v>
      </c>
    </row>
    <row r="114">
      <c r="J114" s="26" t="s">
        <v>1417</v>
      </c>
    </row>
    <row r="115">
      <c r="J115" s="26" t="s">
        <v>400</v>
      </c>
    </row>
    <row r="122">
      <c r="A122" s="57" t="s">
        <v>638</v>
      </c>
    </row>
    <row r="123">
      <c r="A123" s="57">
        <f>A126</f>
        <v>104000</v>
      </c>
    </row>
    <row r="124">
      <c r="A124" s="57">
        <v>2026.0</v>
      </c>
    </row>
    <row r="125">
      <c r="A125" s="57" t="s">
        <v>554</v>
      </c>
    </row>
    <row r="126">
      <c r="A126" s="57">
        <f>A129+B129+C129+D129+E129+F129+G129+H129</f>
        <v>104000</v>
      </c>
    </row>
    <row r="127">
      <c r="A127" s="38" t="s">
        <v>639</v>
      </c>
      <c r="B127" s="38" t="s">
        <v>640</v>
      </c>
      <c r="C127" s="38" t="s">
        <v>641</v>
      </c>
      <c r="D127" s="38" t="s">
        <v>642</v>
      </c>
      <c r="E127" s="38" t="s">
        <v>643</v>
      </c>
      <c r="F127" s="38" t="s">
        <v>644</v>
      </c>
      <c r="G127" s="38" t="s">
        <v>645</v>
      </c>
      <c r="H127" s="38" t="s">
        <v>646</v>
      </c>
    </row>
    <row r="128">
      <c r="A128" s="47" t="s">
        <v>517</v>
      </c>
      <c r="B128" s="47" t="s">
        <v>517</v>
      </c>
      <c r="C128" s="47" t="s">
        <v>517</v>
      </c>
      <c r="D128" s="47" t="s">
        <v>517</v>
      </c>
      <c r="E128" s="47" t="s">
        <v>517</v>
      </c>
      <c r="F128" s="47" t="s">
        <v>517</v>
      </c>
      <c r="G128" s="47" t="s">
        <v>517</v>
      </c>
      <c r="H128" s="47" t="s">
        <v>517</v>
      </c>
    </row>
    <row r="129">
      <c r="A129" s="38">
        <v>4000.0</v>
      </c>
      <c r="B129" s="38">
        <v>2000.0</v>
      </c>
      <c r="C129" s="38">
        <v>9000.0</v>
      </c>
      <c r="D129" s="38">
        <v>0.0</v>
      </c>
      <c r="E129" s="38">
        <v>3000.0</v>
      </c>
      <c r="F129" s="38">
        <v>4000.0</v>
      </c>
      <c r="G129" s="38">
        <v>0.0</v>
      </c>
      <c r="H129" s="38">
        <v>82000.0</v>
      </c>
    </row>
    <row r="130">
      <c r="A130" s="26" t="s">
        <v>1418</v>
      </c>
      <c r="B130" s="26" t="s">
        <v>1160</v>
      </c>
      <c r="C130" s="26" t="s">
        <v>568</v>
      </c>
      <c r="E130" s="26" t="s">
        <v>1397</v>
      </c>
      <c r="F130" s="26" t="s">
        <v>1414</v>
      </c>
      <c r="H130" s="26" t="s">
        <v>1419</v>
      </c>
    </row>
    <row r="131">
      <c r="A131" s="26" t="s">
        <v>400</v>
      </c>
      <c r="B131" s="26" t="s">
        <v>400</v>
      </c>
      <c r="C131" s="26" t="s">
        <v>400</v>
      </c>
      <c r="E131" s="26" t="s">
        <v>441</v>
      </c>
      <c r="F131" s="26" t="s">
        <v>400</v>
      </c>
      <c r="H131" s="26" t="s">
        <v>491</v>
      </c>
    </row>
    <row r="132">
      <c r="A132" s="26" t="s">
        <v>1420</v>
      </c>
      <c r="B132" s="26" t="s">
        <v>1421</v>
      </c>
      <c r="C132" s="26" t="s">
        <v>1407</v>
      </c>
      <c r="F132" s="26" t="s">
        <v>1422</v>
      </c>
      <c r="H132" s="26" t="s">
        <v>1406</v>
      </c>
    </row>
    <row r="133">
      <c r="A133" s="26" t="s">
        <v>400</v>
      </c>
      <c r="B133" s="26" t="s">
        <v>400</v>
      </c>
      <c r="C133" s="26" t="s">
        <v>400</v>
      </c>
      <c r="F133" s="26" t="s">
        <v>550</v>
      </c>
      <c r="H133" s="26" t="s">
        <v>885</v>
      </c>
    </row>
    <row r="134">
      <c r="A134" s="26" t="s">
        <v>1423</v>
      </c>
      <c r="C134" s="26" t="s">
        <v>1424</v>
      </c>
      <c r="F134" s="26" t="s">
        <v>1395</v>
      </c>
      <c r="H134" s="26" t="s">
        <v>1425</v>
      </c>
    </row>
    <row r="135">
      <c r="A135" s="26" t="s">
        <v>400</v>
      </c>
      <c r="C135" s="26" t="s">
        <v>489</v>
      </c>
      <c r="F135" s="26" t="s">
        <v>400</v>
      </c>
      <c r="H135" s="26" t="s">
        <v>616</v>
      </c>
    </row>
    <row r="136">
      <c r="A136" s="26" t="s">
        <v>1426</v>
      </c>
      <c r="H136" s="26" t="s">
        <v>1427</v>
      </c>
    </row>
    <row r="137">
      <c r="A137" s="26" t="s">
        <v>400</v>
      </c>
      <c r="H137" s="26" t="s">
        <v>491</v>
      </c>
    </row>
  </sheetData>
  <mergeCells count="45"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101:J101"/>
    <mergeCell ref="A122:H122"/>
    <mergeCell ref="A123:H123"/>
    <mergeCell ref="A124:H124"/>
    <mergeCell ref="A125:H125"/>
    <mergeCell ref="A126:H126"/>
    <mergeCell ref="A83:J83"/>
    <mergeCell ref="A84:J84"/>
    <mergeCell ref="A96:J96"/>
    <mergeCell ref="A97:J97"/>
    <mergeCell ref="A98:J98"/>
    <mergeCell ref="A99:J99"/>
    <mergeCell ref="A100:J100"/>
    <mergeCell ref="J6:L6"/>
    <mergeCell ref="J7:L7"/>
    <mergeCell ref="J8:L8"/>
    <mergeCell ref="J5:L5"/>
    <mergeCell ref="A1:L1"/>
    <mergeCell ref="A2:L2"/>
    <mergeCell ref="A3:L3"/>
    <mergeCell ref="A4:L4"/>
    <mergeCell ref="F5:H5"/>
    <mergeCell ref="F6:H6"/>
    <mergeCell ref="A37:E3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4" width="32.75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6.88"/>
    <col customWidth="1" min="10" max="10" width="30.75"/>
    <col customWidth="1" min="11" max="11" width="20.0"/>
  </cols>
  <sheetData>
    <row r="1">
      <c r="A1" s="98" t="s">
        <v>1428</v>
      </c>
    </row>
    <row r="2">
      <c r="A2" s="98" t="s">
        <v>1429</v>
      </c>
    </row>
    <row r="3">
      <c r="A3" s="99" t="s">
        <v>199</v>
      </c>
    </row>
    <row r="4">
      <c r="A4" s="100">
        <f>100000+B6+C6+D6+E6+F6+H6+I6+A41+L6</f>
        <v>271240</v>
      </c>
    </row>
    <row r="5">
      <c r="A5" s="47" t="s">
        <v>200</v>
      </c>
      <c r="B5" s="47" t="s">
        <v>201</v>
      </c>
      <c r="C5" s="47" t="s">
        <v>1430</v>
      </c>
      <c r="D5" s="47" t="s">
        <v>1431</v>
      </c>
      <c r="E5" s="47" t="s">
        <v>1157</v>
      </c>
      <c r="F5" s="47" t="s">
        <v>275</v>
      </c>
      <c r="G5" s="47" t="s">
        <v>657</v>
      </c>
      <c r="H5" s="47" t="s">
        <v>1432</v>
      </c>
      <c r="I5" s="47" t="s">
        <v>209</v>
      </c>
      <c r="L5" s="25" t="s">
        <v>895</v>
      </c>
    </row>
    <row r="6">
      <c r="A6" s="26" t="s">
        <v>1433</v>
      </c>
      <c r="B6" s="100">
        <v>-60000.0</v>
      </c>
      <c r="C6" s="100">
        <v>54500.0</v>
      </c>
      <c r="D6" s="100">
        <v>15000.0</v>
      </c>
      <c r="E6" s="100">
        <v>-30000.0</v>
      </c>
      <c r="F6" s="100">
        <v>-500.0</v>
      </c>
      <c r="G6" s="26" t="s">
        <v>1434</v>
      </c>
      <c r="H6" s="100">
        <v>-20000.0</v>
      </c>
      <c r="I6" s="100">
        <v>-4000.0</v>
      </c>
      <c r="L6" s="101">
        <f>L8</f>
        <v>0</v>
      </c>
    </row>
    <row r="7">
      <c r="A7" s="26" t="s">
        <v>1435</v>
      </c>
      <c r="B7" s="79" t="s">
        <v>214</v>
      </c>
      <c r="C7" s="26" t="s">
        <v>1436</v>
      </c>
      <c r="D7" s="26" t="s">
        <v>1437</v>
      </c>
      <c r="E7" s="26" t="s">
        <v>1438</v>
      </c>
      <c r="F7" s="26" t="s">
        <v>1439</v>
      </c>
      <c r="G7" s="26" t="s">
        <v>1440</v>
      </c>
      <c r="H7" s="26" t="s">
        <v>221</v>
      </c>
      <c r="I7" s="26" t="s">
        <v>222</v>
      </c>
      <c r="J7" s="26" t="s">
        <v>1441</v>
      </c>
      <c r="K7" s="26" t="s">
        <v>224</v>
      </c>
      <c r="L7" s="30" t="s">
        <v>225</v>
      </c>
    </row>
    <row r="8">
      <c r="A8" s="26" t="s">
        <v>1442</v>
      </c>
      <c r="B8" s="4" t="s">
        <v>23</v>
      </c>
      <c r="C8" s="26" t="s">
        <v>1443</v>
      </c>
      <c r="D8" s="26" t="s">
        <v>1444</v>
      </c>
      <c r="E8" s="26" t="s">
        <v>1445</v>
      </c>
      <c r="G8" s="26" t="s">
        <v>1446</v>
      </c>
      <c r="H8" s="26" t="s">
        <v>1447</v>
      </c>
      <c r="I8" s="26" t="s">
        <v>1448</v>
      </c>
      <c r="J8" s="26" t="s">
        <v>1449</v>
      </c>
      <c r="K8" s="26" t="s">
        <v>1450</v>
      </c>
      <c r="L8" s="102">
        <v>0.0</v>
      </c>
    </row>
    <row r="9">
      <c r="A9" s="26" t="s">
        <v>1451</v>
      </c>
      <c r="B9" s="4" t="s">
        <v>37</v>
      </c>
      <c r="C9" s="26" t="s">
        <v>306</v>
      </c>
      <c r="D9" s="26" t="s">
        <v>1452</v>
      </c>
      <c r="E9" s="26" t="s">
        <v>1453</v>
      </c>
      <c r="G9" s="26" t="s">
        <v>1454</v>
      </c>
      <c r="I9" s="26" t="s">
        <v>1455</v>
      </c>
      <c r="J9" s="26" t="s">
        <v>1456</v>
      </c>
      <c r="K9" s="26" t="s">
        <v>1457</v>
      </c>
    </row>
    <row r="10">
      <c r="A10" s="26" t="s">
        <v>1458</v>
      </c>
      <c r="B10" s="79" t="s">
        <v>36</v>
      </c>
      <c r="C10" s="26" t="s">
        <v>1459</v>
      </c>
      <c r="D10" s="26" t="s">
        <v>1460</v>
      </c>
      <c r="E10" s="26" t="s">
        <v>1461</v>
      </c>
      <c r="I10" s="26" t="s">
        <v>765</v>
      </c>
      <c r="J10" s="26" t="s">
        <v>1462</v>
      </c>
      <c r="K10" s="26" t="s">
        <v>1463</v>
      </c>
    </row>
    <row r="11">
      <c r="A11" s="26" t="s">
        <v>1464</v>
      </c>
      <c r="B11" s="4" t="s">
        <v>49</v>
      </c>
      <c r="C11" s="26" t="s">
        <v>1465</v>
      </c>
      <c r="E11" s="26" t="s">
        <v>1466</v>
      </c>
      <c r="I11" s="26" t="s">
        <v>1015</v>
      </c>
      <c r="J11" s="26" t="s">
        <v>1467</v>
      </c>
    </row>
    <row r="12">
      <c r="A12" s="26" t="s">
        <v>1468</v>
      </c>
      <c r="B12" s="79" t="s">
        <v>56</v>
      </c>
      <c r="C12" s="26" t="s">
        <v>727</v>
      </c>
      <c r="E12" s="26" t="s">
        <v>1469</v>
      </c>
      <c r="I12" s="26" t="s">
        <v>1470</v>
      </c>
      <c r="J12" s="26" t="s">
        <v>1471</v>
      </c>
    </row>
    <row r="13">
      <c r="A13" s="26" t="s">
        <v>1472</v>
      </c>
      <c r="B13" s="4" t="s">
        <v>49</v>
      </c>
      <c r="C13" s="26" t="s">
        <v>1473</v>
      </c>
      <c r="E13" s="26" t="s">
        <v>1474</v>
      </c>
      <c r="I13" s="26" t="s">
        <v>260</v>
      </c>
      <c r="J13" s="26" t="s">
        <v>995</v>
      </c>
    </row>
    <row r="14">
      <c r="A14" s="26" t="s">
        <v>1475</v>
      </c>
      <c r="C14" s="26" t="s">
        <v>375</v>
      </c>
      <c r="E14" s="26" t="s">
        <v>1476</v>
      </c>
      <c r="I14" s="26" t="s">
        <v>988</v>
      </c>
      <c r="J14" s="26" t="s">
        <v>1477</v>
      </c>
    </row>
    <row r="15">
      <c r="A15" s="26" t="s">
        <v>1478</v>
      </c>
      <c r="C15" s="26" t="s">
        <v>1479</v>
      </c>
      <c r="E15" s="26" t="s">
        <v>1480</v>
      </c>
      <c r="I15" s="26" t="s">
        <v>765</v>
      </c>
    </row>
    <row r="16">
      <c r="A16" s="26" t="s">
        <v>1481</v>
      </c>
      <c r="C16" s="26" t="s">
        <v>383</v>
      </c>
      <c r="E16" s="26" t="s">
        <v>1482</v>
      </c>
      <c r="I16" s="26" t="s">
        <v>1015</v>
      </c>
    </row>
    <row r="17">
      <c r="A17" s="26" t="s">
        <v>1483</v>
      </c>
      <c r="C17" s="26" t="s">
        <v>1470</v>
      </c>
      <c r="E17" s="26" t="s">
        <v>1484</v>
      </c>
      <c r="I17" s="26" t="s">
        <v>1485</v>
      </c>
    </row>
    <row r="18">
      <c r="A18" s="26" t="s">
        <v>1486</v>
      </c>
      <c r="C18" s="26" t="s">
        <v>1487</v>
      </c>
      <c r="E18" s="26" t="s">
        <v>1488</v>
      </c>
      <c r="I18" s="26" t="s">
        <v>703</v>
      </c>
    </row>
    <row r="19">
      <c r="A19" s="26" t="s">
        <v>1489</v>
      </c>
      <c r="E19" s="26" t="s">
        <v>1490</v>
      </c>
      <c r="I19" s="26" t="s">
        <v>1015</v>
      </c>
    </row>
    <row r="20">
      <c r="A20" s="26" t="s">
        <v>1491</v>
      </c>
      <c r="E20" s="26" t="s">
        <v>1492</v>
      </c>
      <c r="I20" s="26" t="s">
        <v>1493</v>
      </c>
    </row>
    <row r="21">
      <c r="A21" s="26" t="s">
        <v>1494</v>
      </c>
      <c r="E21" s="26" t="s">
        <v>1495</v>
      </c>
      <c r="I21" s="26" t="s">
        <v>703</v>
      </c>
    </row>
    <row r="22">
      <c r="A22" s="26" t="s">
        <v>1496</v>
      </c>
      <c r="E22" s="26" t="s">
        <v>1497</v>
      </c>
      <c r="I22" s="26" t="s">
        <v>1498</v>
      </c>
    </row>
    <row r="23">
      <c r="A23" s="26" t="s">
        <v>1499</v>
      </c>
      <c r="I23" s="26" t="s">
        <v>1067</v>
      </c>
    </row>
    <row r="24">
      <c r="A24" s="26" t="s">
        <v>1500</v>
      </c>
      <c r="I24" s="26" t="s">
        <v>1501</v>
      </c>
    </row>
    <row r="25">
      <c r="A25" s="26" t="s">
        <v>1502</v>
      </c>
      <c r="I25" s="26" t="s">
        <v>260</v>
      </c>
    </row>
    <row r="26">
      <c r="A26" s="26" t="s">
        <v>1503</v>
      </c>
      <c r="I26" s="26" t="s">
        <v>772</v>
      </c>
    </row>
    <row r="27">
      <c r="A27" s="26" t="s">
        <v>1504</v>
      </c>
      <c r="I27" s="26" t="s">
        <v>703</v>
      </c>
    </row>
    <row r="28">
      <c r="A28" s="26" t="s">
        <v>1505</v>
      </c>
      <c r="I28" s="26" t="s">
        <v>773</v>
      </c>
    </row>
    <row r="29">
      <c r="A29" s="26" t="s">
        <v>1506</v>
      </c>
      <c r="I29" s="26" t="s">
        <v>765</v>
      </c>
    </row>
    <row r="30">
      <c r="A30" s="26" t="s">
        <v>1507</v>
      </c>
    </row>
    <row r="31">
      <c r="A31" s="26" t="s">
        <v>1508</v>
      </c>
    </row>
    <row r="32">
      <c r="A32" s="26" t="s">
        <v>1509</v>
      </c>
    </row>
    <row r="33">
      <c r="A33" s="26" t="s">
        <v>1510</v>
      </c>
    </row>
    <row r="34">
      <c r="A34" s="26" t="s">
        <v>1511</v>
      </c>
    </row>
    <row r="39">
      <c r="I39" s="26" t="s">
        <v>773</v>
      </c>
    </row>
    <row r="40">
      <c r="A40" s="36" t="s">
        <v>384</v>
      </c>
      <c r="I40" s="26" t="s">
        <v>1512</v>
      </c>
    </row>
    <row r="41">
      <c r="A41" s="36">
        <f>A43+A62+A89+A106+A125+A147</f>
        <v>216240</v>
      </c>
      <c r="I41" s="26" t="s">
        <v>260</v>
      </c>
    </row>
    <row r="42">
      <c r="A42" s="37" t="s">
        <v>776</v>
      </c>
      <c r="I42" s="26" t="s">
        <v>1513</v>
      </c>
    </row>
    <row r="43">
      <c r="A43" s="37">
        <v>30650.0</v>
      </c>
      <c r="I43" s="26" t="s">
        <v>1514</v>
      </c>
    </row>
    <row r="44">
      <c r="A44" s="37">
        <v>2026.0</v>
      </c>
      <c r="I44" s="26" t="s">
        <v>703</v>
      </c>
    </row>
    <row r="45">
      <c r="A45" s="38" t="s">
        <v>386</v>
      </c>
      <c r="B45" s="38" t="s">
        <v>102</v>
      </c>
      <c r="C45" s="38" t="s">
        <v>126</v>
      </c>
      <c r="D45" s="38" t="s">
        <v>112</v>
      </c>
      <c r="E45" s="38" t="s">
        <v>117</v>
      </c>
      <c r="I45" s="26" t="s">
        <v>1067</v>
      </c>
    </row>
    <row r="46">
      <c r="A46" s="39" t="s">
        <v>1515</v>
      </c>
      <c r="C46" s="39" t="s">
        <v>1386</v>
      </c>
      <c r="E46" s="39" t="s">
        <v>1516</v>
      </c>
    </row>
    <row r="47">
      <c r="A47" s="26" t="s">
        <v>1517</v>
      </c>
      <c r="C47" s="26" t="s">
        <v>1518</v>
      </c>
      <c r="E47" s="26" t="s">
        <v>1519</v>
      </c>
    </row>
    <row r="48">
      <c r="A48" s="26" t="s">
        <v>426</v>
      </c>
      <c r="C48" s="26" t="s">
        <v>407</v>
      </c>
      <c r="E48" s="26" t="s">
        <v>550</v>
      </c>
    </row>
    <row r="49">
      <c r="A49" s="26" t="s">
        <v>401</v>
      </c>
      <c r="E49" s="26" t="s">
        <v>1086</v>
      </c>
    </row>
    <row r="50">
      <c r="E50" s="26" t="s">
        <v>1520</v>
      </c>
    </row>
    <row r="51">
      <c r="E51" s="26" t="s">
        <v>1101</v>
      </c>
    </row>
    <row r="52">
      <c r="E52" s="26" t="s">
        <v>1521</v>
      </c>
    </row>
    <row r="53">
      <c r="E53" s="26" t="s">
        <v>406</v>
      </c>
    </row>
    <row r="54">
      <c r="E54" s="26" t="s">
        <v>401</v>
      </c>
    </row>
    <row r="55">
      <c r="E55" s="26" t="s">
        <v>1101</v>
      </c>
    </row>
    <row r="56">
      <c r="E56" s="26" t="s">
        <v>1522</v>
      </c>
    </row>
    <row r="57">
      <c r="E57" s="26" t="s">
        <v>407</v>
      </c>
    </row>
    <row r="58">
      <c r="E58" s="26" t="s">
        <v>399</v>
      </c>
    </row>
    <row r="59">
      <c r="E59" s="26" t="s">
        <v>1101</v>
      </c>
    </row>
    <row r="60">
      <c r="A60" s="40"/>
    </row>
    <row r="61">
      <c r="A61" s="41" t="s">
        <v>408</v>
      </c>
    </row>
    <row r="62">
      <c r="A62" s="41">
        <v>37690.0</v>
      </c>
    </row>
    <row r="63">
      <c r="A63" s="42">
        <v>2026.0</v>
      </c>
    </row>
    <row r="64">
      <c r="A64" s="38" t="s">
        <v>409</v>
      </c>
      <c r="B64" s="38" t="s">
        <v>410</v>
      </c>
      <c r="C64" s="38" t="s">
        <v>411</v>
      </c>
      <c r="D64" s="38" t="s">
        <v>412</v>
      </c>
      <c r="E64" s="38" t="s">
        <v>413</v>
      </c>
      <c r="F64" s="38" t="s">
        <v>414</v>
      </c>
    </row>
    <row r="65">
      <c r="A65" s="39" t="s">
        <v>1523</v>
      </c>
      <c r="C65" s="39" t="s">
        <v>1384</v>
      </c>
      <c r="D65" s="39" t="s">
        <v>1524</v>
      </c>
      <c r="F65" s="39" t="s">
        <v>1525</v>
      </c>
    </row>
    <row r="66">
      <c r="A66" s="26" t="s">
        <v>1455</v>
      </c>
      <c r="C66" s="26" t="s">
        <v>1526</v>
      </c>
      <c r="D66" s="26" t="s">
        <v>1527</v>
      </c>
      <c r="F66" s="26" t="s">
        <v>1528</v>
      </c>
    </row>
    <row r="67">
      <c r="A67" s="26" t="s">
        <v>491</v>
      </c>
      <c r="C67" s="26" t="s">
        <v>400</v>
      </c>
      <c r="D67" s="26" t="s">
        <v>1529</v>
      </c>
      <c r="F67" s="26" t="s">
        <v>400</v>
      </c>
    </row>
    <row r="68">
      <c r="A68" s="26" t="s">
        <v>788</v>
      </c>
      <c r="D68" s="26" t="s">
        <v>433</v>
      </c>
      <c r="F68" s="26" t="s">
        <v>399</v>
      </c>
    </row>
    <row r="69">
      <c r="A69" s="26" t="s">
        <v>1530</v>
      </c>
      <c r="F69" s="26" t="s">
        <v>436</v>
      </c>
    </row>
    <row r="70">
      <c r="A70" s="26" t="s">
        <v>1531</v>
      </c>
    </row>
    <row r="71">
      <c r="A71" s="26" t="s">
        <v>788</v>
      </c>
    </row>
    <row r="72">
      <c r="A72" s="26" t="s">
        <v>1532</v>
      </c>
    </row>
    <row r="73">
      <c r="A73" s="26" t="s">
        <v>425</v>
      </c>
    </row>
    <row r="74">
      <c r="A74" s="26" t="s">
        <v>788</v>
      </c>
    </row>
    <row r="75">
      <c r="A75" s="26" t="s">
        <v>1493</v>
      </c>
    </row>
    <row r="76">
      <c r="A76" s="26" t="s">
        <v>425</v>
      </c>
    </row>
    <row r="77">
      <c r="A77" s="26" t="s">
        <v>788</v>
      </c>
    </row>
    <row r="78">
      <c r="A78" s="40"/>
    </row>
    <row r="79">
      <c r="A79" s="21" t="s">
        <v>1533</v>
      </c>
    </row>
    <row r="80">
      <c r="A80" s="18">
        <v>2026.0</v>
      </c>
    </row>
    <row r="81">
      <c r="A81" s="43" t="s">
        <v>1534</v>
      </c>
    </row>
    <row r="82">
      <c r="A82" s="38" t="s">
        <v>457</v>
      </c>
      <c r="B82" s="38" t="s">
        <v>169</v>
      </c>
      <c r="C82" s="38" t="s">
        <v>458</v>
      </c>
      <c r="D82" s="38" t="s">
        <v>459</v>
      </c>
      <c r="E82" s="38" t="s">
        <v>164</v>
      </c>
      <c r="F82" s="38" t="s">
        <v>460</v>
      </c>
      <c r="G82" s="38" t="s">
        <v>157</v>
      </c>
      <c r="H82" s="38" t="s">
        <v>461</v>
      </c>
    </row>
    <row r="83">
      <c r="A83" s="44" t="s">
        <v>517</v>
      </c>
      <c r="B83" s="44" t="s">
        <v>517</v>
      </c>
      <c r="C83" s="44" t="s">
        <v>517</v>
      </c>
      <c r="D83" s="44" t="s">
        <v>517</v>
      </c>
      <c r="E83" s="44" t="s">
        <v>517</v>
      </c>
      <c r="F83" s="44" t="s">
        <v>517</v>
      </c>
      <c r="G83" s="44" t="s">
        <v>517</v>
      </c>
      <c r="H83" s="44" t="s">
        <v>517</v>
      </c>
    </row>
    <row r="88">
      <c r="A88" s="46" t="s">
        <v>825</v>
      </c>
    </row>
    <row r="89">
      <c r="A89" s="46">
        <f>A92</f>
        <v>27500</v>
      </c>
    </row>
    <row r="90">
      <c r="A90" s="46">
        <v>2026.0</v>
      </c>
    </row>
    <row r="91">
      <c r="A91" s="46" t="s">
        <v>554</v>
      </c>
    </row>
    <row r="92">
      <c r="A92" s="46">
        <f>A95+B95+C95+D95+E95+F95+G95+H95</f>
        <v>27500</v>
      </c>
    </row>
    <row r="93">
      <c r="A93" s="38" t="s">
        <v>512</v>
      </c>
      <c r="B93" s="38" t="s">
        <v>513</v>
      </c>
      <c r="C93" s="38" t="s">
        <v>196</v>
      </c>
      <c r="D93" s="38" t="s">
        <v>514</v>
      </c>
      <c r="E93" s="38" t="s">
        <v>182</v>
      </c>
      <c r="F93" s="38" t="s">
        <v>515</v>
      </c>
      <c r="G93" s="38" t="s">
        <v>516</v>
      </c>
      <c r="H93" s="38" t="s">
        <v>185</v>
      </c>
    </row>
    <row r="94">
      <c r="A94" s="47" t="s">
        <v>517</v>
      </c>
      <c r="B94" s="47" t="s">
        <v>517</v>
      </c>
      <c r="C94" s="47" t="s">
        <v>517</v>
      </c>
      <c r="D94" s="47" t="s">
        <v>517</v>
      </c>
      <c r="E94" s="47" t="s">
        <v>517</v>
      </c>
      <c r="F94" s="47" t="s">
        <v>517</v>
      </c>
      <c r="G94" s="47" t="s">
        <v>517</v>
      </c>
      <c r="H94" s="47" t="s">
        <v>517</v>
      </c>
    </row>
    <row r="95">
      <c r="A95" s="38">
        <v>9500.0</v>
      </c>
      <c r="B95" s="38">
        <v>0.0</v>
      </c>
      <c r="C95" s="38">
        <v>0.0</v>
      </c>
      <c r="D95" s="38">
        <v>0.0</v>
      </c>
      <c r="E95" s="38">
        <v>0.0</v>
      </c>
      <c r="F95" s="38">
        <v>0.0</v>
      </c>
      <c r="G95" s="38">
        <v>8250.0</v>
      </c>
      <c r="H95" s="38">
        <v>9750.0</v>
      </c>
    </row>
    <row r="96">
      <c r="A96" s="26" t="s">
        <v>1455</v>
      </c>
      <c r="G96" s="26" t="s">
        <v>1519</v>
      </c>
      <c r="H96" s="48" t="s">
        <v>1535</v>
      </c>
    </row>
    <row r="97">
      <c r="A97" s="26" t="s">
        <v>489</v>
      </c>
      <c r="G97" s="26" t="s">
        <v>396</v>
      </c>
      <c r="H97" s="48" t="s">
        <v>611</v>
      </c>
    </row>
    <row r="98">
      <c r="A98" s="26" t="s">
        <v>526</v>
      </c>
      <c r="G98" s="26" t="s">
        <v>1530</v>
      </c>
      <c r="H98" s="48" t="s">
        <v>531</v>
      </c>
    </row>
    <row r="99">
      <c r="A99" s="26" t="s">
        <v>1536</v>
      </c>
      <c r="G99" s="26" t="s">
        <v>441</v>
      </c>
    </row>
    <row r="100">
      <c r="A100" s="26" t="s">
        <v>400</v>
      </c>
      <c r="G100" s="26" t="s">
        <v>531</v>
      </c>
    </row>
    <row r="101">
      <c r="G101" s="26" t="s">
        <v>1537</v>
      </c>
    </row>
    <row r="102">
      <c r="G102" s="26" t="s">
        <v>400</v>
      </c>
    </row>
    <row r="105">
      <c r="A105" s="49" t="s">
        <v>553</v>
      </c>
    </row>
    <row r="106">
      <c r="A106" s="49">
        <f>A109</f>
        <v>55900</v>
      </c>
    </row>
    <row r="107">
      <c r="A107" s="49">
        <v>2026.0</v>
      </c>
    </row>
    <row r="108">
      <c r="A108" s="49" t="s">
        <v>554</v>
      </c>
    </row>
    <row r="109">
      <c r="A109" s="50">
        <f>A112+B112+C112+D112+E112+F112+G112+H112+I112+J112</f>
        <v>55900</v>
      </c>
    </row>
    <row r="110">
      <c r="A110" s="51" t="s">
        <v>555</v>
      </c>
      <c r="B110" s="51" t="s">
        <v>556</v>
      </c>
      <c r="C110" s="51" t="s">
        <v>557</v>
      </c>
      <c r="D110" s="51" t="s">
        <v>558</v>
      </c>
      <c r="E110" s="51" t="s">
        <v>559</v>
      </c>
      <c r="F110" s="51" t="s">
        <v>560</v>
      </c>
      <c r="G110" s="51" t="s">
        <v>561</v>
      </c>
      <c r="H110" s="51" t="s">
        <v>562</v>
      </c>
      <c r="I110" s="52" t="s">
        <v>563</v>
      </c>
      <c r="J110" s="52" t="s">
        <v>564</v>
      </c>
    </row>
    <row r="111">
      <c r="A111" s="47" t="s">
        <v>517</v>
      </c>
      <c r="B111" s="47" t="s">
        <v>517</v>
      </c>
      <c r="C111" s="47" t="s">
        <v>517</v>
      </c>
      <c r="D111" s="47" t="s">
        <v>517</v>
      </c>
      <c r="E111" s="47" t="s">
        <v>517</v>
      </c>
      <c r="F111" s="47" t="s">
        <v>517</v>
      </c>
      <c r="G111" s="47" t="s">
        <v>517</v>
      </c>
      <c r="H111" s="47" t="s">
        <v>517</v>
      </c>
      <c r="I111" s="47" t="s">
        <v>517</v>
      </c>
      <c r="J111" s="47" t="s">
        <v>517</v>
      </c>
    </row>
    <row r="112">
      <c r="A112" s="38">
        <v>1700.0</v>
      </c>
      <c r="B112" s="38">
        <v>13500.0</v>
      </c>
      <c r="C112" s="38">
        <v>0.0</v>
      </c>
      <c r="D112" s="38">
        <v>10500.0</v>
      </c>
      <c r="E112" s="38">
        <v>0.0</v>
      </c>
      <c r="F112" s="38">
        <v>15600.0</v>
      </c>
      <c r="G112" s="38">
        <v>500.0</v>
      </c>
      <c r="H112" s="38">
        <v>9200.0</v>
      </c>
      <c r="I112" s="38">
        <v>4900.0</v>
      </c>
      <c r="J112" s="38">
        <v>0.0</v>
      </c>
    </row>
    <row r="113">
      <c r="A113" s="26" t="s">
        <v>1538</v>
      </c>
      <c r="B113" s="26" t="s">
        <v>1539</v>
      </c>
      <c r="D113" s="26" t="s">
        <v>1540</v>
      </c>
      <c r="F113" s="26" t="s">
        <v>1541</v>
      </c>
      <c r="G113" s="26" t="s">
        <v>1542</v>
      </c>
      <c r="H113" s="26" t="s">
        <v>1527</v>
      </c>
      <c r="I113" s="26" t="s">
        <v>1543</v>
      </c>
    </row>
    <row r="114">
      <c r="A114" s="26" t="s">
        <v>1258</v>
      </c>
      <c r="B114" s="26" t="s">
        <v>533</v>
      </c>
      <c r="D114" s="26" t="s">
        <v>396</v>
      </c>
      <c r="F114" s="26" t="s">
        <v>611</v>
      </c>
      <c r="G114" s="26" t="s">
        <v>425</v>
      </c>
      <c r="H114" s="26" t="s">
        <v>637</v>
      </c>
      <c r="I114" s="26" t="s">
        <v>865</v>
      </c>
    </row>
    <row r="115">
      <c r="A115" s="26" t="s">
        <v>1544</v>
      </c>
      <c r="B115" s="26" t="s">
        <v>848</v>
      </c>
      <c r="D115" s="26" t="s">
        <v>1545</v>
      </c>
      <c r="F115" s="26" t="s">
        <v>579</v>
      </c>
      <c r="H115" s="26" t="s">
        <v>1546</v>
      </c>
      <c r="I115" s="26" t="s">
        <v>852</v>
      </c>
    </row>
    <row r="116">
      <c r="A116" s="26" t="s">
        <v>425</v>
      </c>
      <c r="B116" s="26" t="s">
        <v>579</v>
      </c>
      <c r="D116" s="26" t="s">
        <v>400</v>
      </c>
      <c r="F116" s="26" t="s">
        <v>1547</v>
      </c>
      <c r="H116" s="26" t="s">
        <v>406</v>
      </c>
      <c r="I116" s="26" t="s">
        <v>1548</v>
      </c>
    </row>
    <row r="117">
      <c r="B117" s="26" t="s">
        <v>1549</v>
      </c>
      <c r="D117" s="26" t="s">
        <v>1550</v>
      </c>
      <c r="F117" s="26" t="s">
        <v>425</v>
      </c>
      <c r="I117" s="26" t="s">
        <v>550</v>
      </c>
    </row>
    <row r="118">
      <c r="B118" s="26" t="s">
        <v>425</v>
      </c>
      <c r="D118" s="26" t="s">
        <v>491</v>
      </c>
      <c r="F118" s="26" t="s">
        <v>1551</v>
      </c>
      <c r="I118" s="26" t="s">
        <v>852</v>
      </c>
    </row>
    <row r="119">
      <c r="B119" s="26" t="s">
        <v>1552</v>
      </c>
      <c r="F119" s="26" t="s">
        <v>869</v>
      </c>
    </row>
    <row r="120">
      <c r="B120" s="26" t="s">
        <v>441</v>
      </c>
      <c r="F120" s="26" t="s">
        <v>1553</v>
      </c>
    </row>
    <row r="121">
      <c r="B121" s="26" t="s">
        <v>1554</v>
      </c>
      <c r="F121" s="26" t="s">
        <v>396</v>
      </c>
    </row>
    <row r="122">
      <c r="B122" s="26" t="s">
        <v>425</v>
      </c>
    </row>
    <row r="123">
      <c r="A123" s="53" t="s">
        <v>596</v>
      </c>
    </row>
    <row r="124">
      <c r="A124" s="54" t="s">
        <v>597</v>
      </c>
    </row>
    <row r="125">
      <c r="A125" s="54">
        <f>A128</f>
        <v>51500</v>
      </c>
    </row>
    <row r="126">
      <c r="A126" s="54">
        <v>2026.0</v>
      </c>
    </row>
    <row r="127">
      <c r="A127" s="54" t="s">
        <v>554</v>
      </c>
    </row>
    <row r="128">
      <c r="A128" s="55">
        <f>A131+B131+C131+D131+E131+F131+G131+H131+I131+J131</f>
        <v>51500</v>
      </c>
    </row>
    <row r="129">
      <c r="A129" s="38" t="s">
        <v>598</v>
      </c>
      <c r="B129" s="38" t="s">
        <v>599</v>
      </c>
      <c r="C129" s="38" t="s">
        <v>600</v>
      </c>
      <c r="D129" s="38" t="s">
        <v>601</v>
      </c>
      <c r="E129" s="38" t="s">
        <v>602</v>
      </c>
      <c r="F129" s="38" t="s">
        <v>603</v>
      </c>
      <c r="G129" s="51" t="s">
        <v>604</v>
      </c>
      <c r="H129" s="56" t="s">
        <v>605</v>
      </c>
      <c r="I129" s="56" t="s">
        <v>606</v>
      </c>
      <c r="J129" s="56" t="s">
        <v>607</v>
      </c>
    </row>
    <row r="130">
      <c r="A130" s="47" t="s">
        <v>517</v>
      </c>
      <c r="B130" s="47" t="s">
        <v>517</v>
      </c>
      <c r="C130" s="47" t="s">
        <v>517</v>
      </c>
      <c r="D130" s="47" t="s">
        <v>517</v>
      </c>
      <c r="E130" s="47" t="s">
        <v>517</v>
      </c>
      <c r="F130" s="47" t="s">
        <v>517</v>
      </c>
      <c r="G130" s="47" t="s">
        <v>517</v>
      </c>
      <c r="H130" s="30" t="s">
        <v>517</v>
      </c>
      <c r="I130" s="30" t="s">
        <v>517</v>
      </c>
      <c r="J130" s="30" t="s">
        <v>517</v>
      </c>
    </row>
    <row r="131">
      <c r="A131" s="38">
        <v>29500.0</v>
      </c>
      <c r="B131" s="38"/>
      <c r="C131" s="38"/>
      <c r="D131" s="38"/>
      <c r="E131" s="38">
        <v>3000.0</v>
      </c>
      <c r="F131" s="38"/>
      <c r="G131" s="38">
        <v>19000.0</v>
      </c>
      <c r="H131" s="38"/>
      <c r="I131" s="38"/>
      <c r="J131" s="38"/>
    </row>
    <row r="132">
      <c r="A132" s="26" t="s">
        <v>1541</v>
      </c>
      <c r="E132" s="26" t="s">
        <v>1555</v>
      </c>
      <c r="G132" s="26" t="s">
        <v>1543</v>
      </c>
    </row>
    <row r="133">
      <c r="A133" s="26" t="s">
        <v>1327</v>
      </c>
      <c r="E133" s="26" t="s">
        <v>400</v>
      </c>
      <c r="G133" s="26" t="s">
        <v>426</v>
      </c>
    </row>
    <row r="134">
      <c r="A134" s="26" t="s">
        <v>614</v>
      </c>
      <c r="E134" s="26" t="s">
        <v>1556</v>
      </c>
      <c r="G134" s="26" t="s">
        <v>1530</v>
      </c>
    </row>
    <row r="135">
      <c r="A135" s="26" t="s">
        <v>621</v>
      </c>
      <c r="E135" s="26" t="s">
        <v>400</v>
      </c>
      <c r="G135" s="26" t="s">
        <v>1398</v>
      </c>
    </row>
    <row r="136">
      <c r="E136" s="26" t="s">
        <v>1557</v>
      </c>
      <c r="G136" s="26" t="s">
        <v>628</v>
      </c>
    </row>
    <row r="137">
      <c r="E137" s="26" t="s">
        <v>400</v>
      </c>
    </row>
    <row r="146">
      <c r="A146" s="57" t="s">
        <v>638</v>
      </c>
    </row>
    <row r="147">
      <c r="A147" s="57">
        <f>A150</f>
        <v>13000</v>
      </c>
    </row>
    <row r="148">
      <c r="A148" s="57">
        <v>2026.0</v>
      </c>
    </row>
    <row r="149">
      <c r="A149" s="57" t="s">
        <v>554</v>
      </c>
    </row>
    <row r="150">
      <c r="A150" s="57">
        <f>A153+B153+C153+D153+E153+F153+G153+H153</f>
        <v>13000</v>
      </c>
    </row>
    <row r="151">
      <c r="A151" s="38" t="s">
        <v>639</v>
      </c>
      <c r="B151" s="38" t="s">
        <v>640</v>
      </c>
      <c r="C151" s="38" t="s">
        <v>641</v>
      </c>
      <c r="D151" s="38" t="s">
        <v>642</v>
      </c>
      <c r="E151" s="38" t="s">
        <v>643</v>
      </c>
      <c r="F151" s="38" t="s">
        <v>644</v>
      </c>
      <c r="G151" s="38" t="s">
        <v>645</v>
      </c>
      <c r="H151" s="38" t="s">
        <v>646</v>
      </c>
    </row>
    <row r="152">
      <c r="A152" s="47" t="s">
        <v>517</v>
      </c>
      <c r="B152" s="47" t="s">
        <v>517</v>
      </c>
      <c r="C152" s="47" t="s">
        <v>517</v>
      </c>
      <c r="D152" s="47" t="s">
        <v>517</v>
      </c>
      <c r="E152" s="47" t="s">
        <v>517</v>
      </c>
      <c r="F152" s="47" t="s">
        <v>517</v>
      </c>
      <c r="G152" s="47" t="s">
        <v>517</v>
      </c>
      <c r="H152" s="47" t="s">
        <v>517</v>
      </c>
    </row>
    <row r="153">
      <c r="A153" s="38">
        <v>0.0</v>
      </c>
      <c r="B153" s="38">
        <v>0.0</v>
      </c>
      <c r="C153" s="38">
        <v>0.0</v>
      </c>
      <c r="D153" s="38">
        <v>0.0</v>
      </c>
      <c r="E153" s="38">
        <v>1000.0</v>
      </c>
      <c r="F153" s="38">
        <v>0.0</v>
      </c>
      <c r="G153" s="38">
        <v>0.0</v>
      </c>
      <c r="H153" s="38">
        <v>12000.0</v>
      </c>
    </row>
    <row r="154">
      <c r="E154" s="26" t="s">
        <v>1541</v>
      </c>
      <c r="H154" s="26" t="s">
        <v>1558</v>
      </c>
    </row>
    <row r="155">
      <c r="E155" s="26" t="s">
        <v>400</v>
      </c>
      <c r="H155" s="26" t="s">
        <v>400</v>
      </c>
    </row>
    <row r="156">
      <c r="H156" s="26" t="s">
        <v>1559</v>
      </c>
    </row>
    <row r="157">
      <c r="H157" s="26" t="s">
        <v>400</v>
      </c>
    </row>
    <row r="158">
      <c r="H158" s="26" t="s">
        <v>1560</v>
      </c>
    </row>
    <row r="159">
      <c r="H159" s="26" t="s">
        <v>544</v>
      </c>
    </row>
  </sheetData>
  <mergeCells count="44"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46:H146"/>
    <mergeCell ref="A147:H147"/>
    <mergeCell ref="A148:H148"/>
    <mergeCell ref="A149:H149"/>
    <mergeCell ref="A150:H150"/>
    <mergeCell ref="A109:J109"/>
    <mergeCell ref="A123:J123"/>
    <mergeCell ref="A124:J124"/>
    <mergeCell ref="A125:J125"/>
    <mergeCell ref="A126:J126"/>
    <mergeCell ref="A127:J127"/>
    <mergeCell ref="A128:J128"/>
    <mergeCell ref="L6:N6"/>
    <mergeCell ref="L7:N7"/>
    <mergeCell ref="L8:N8"/>
    <mergeCell ref="L5:N5"/>
    <mergeCell ref="A1:N1"/>
    <mergeCell ref="A2:N2"/>
    <mergeCell ref="A3:N3"/>
    <mergeCell ref="A4:N4"/>
    <mergeCell ref="I5:K5"/>
    <mergeCell ref="I6:K6"/>
    <mergeCell ref="A40:E4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</cols>
  <sheetData>
    <row r="1">
      <c r="A1" s="103" t="s">
        <v>1561</v>
      </c>
    </row>
    <row r="2">
      <c r="A2" s="104" t="s">
        <v>1562</v>
      </c>
    </row>
    <row r="3">
      <c r="A3" s="103" t="s">
        <v>654</v>
      </c>
    </row>
    <row r="4">
      <c r="A4" s="105">
        <f>100000+B6+C6+D6+F6+F10+G6+H6+I6+A46+B22+L6+N6</f>
        <v>1788635</v>
      </c>
    </row>
    <row r="5">
      <c r="A5" s="47" t="s">
        <v>200</v>
      </c>
      <c r="B5" s="106" t="s">
        <v>655</v>
      </c>
      <c r="C5" s="47" t="s">
        <v>205</v>
      </c>
      <c r="D5" s="104" t="s">
        <v>1157</v>
      </c>
      <c r="E5" s="47" t="s">
        <v>204</v>
      </c>
      <c r="F5" s="106" t="s">
        <v>1158</v>
      </c>
      <c r="G5" s="47" t="s">
        <v>1563</v>
      </c>
      <c r="H5" s="106" t="s">
        <v>1564</v>
      </c>
      <c r="I5" s="47" t="s">
        <v>209</v>
      </c>
      <c r="L5" s="107" t="s">
        <v>894</v>
      </c>
      <c r="N5" s="47" t="s">
        <v>210</v>
      </c>
    </row>
    <row r="6">
      <c r="A6" s="26" t="s">
        <v>1565</v>
      </c>
      <c r="B6" s="105">
        <v>-160000.0</v>
      </c>
      <c r="C6" s="105">
        <v>91750.0</v>
      </c>
      <c r="D6" s="105">
        <v>17000.0</v>
      </c>
      <c r="E6" s="26" t="s">
        <v>1566</v>
      </c>
      <c r="F6" s="105">
        <v>2000.0</v>
      </c>
      <c r="G6" s="105">
        <v>14200.0</v>
      </c>
      <c r="H6" s="105">
        <v>-20000.0</v>
      </c>
      <c r="I6" s="105">
        <v>42000.0</v>
      </c>
      <c r="L6" s="108">
        <v>5000.0</v>
      </c>
      <c r="N6" s="105">
        <v>-100000.0</v>
      </c>
    </row>
    <row r="7">
      <c r="A7" s="26" t="s">
        <v>1567</v>
      </c>
      <c r="B7" s="79" t="s">
        <v>214</v>
      </c>
      <c r="C7" s="26" t="s">
        <v>1568</v>
      </c>
      <c r="D7" s="26" t="s">
        <v>1569</v>
      </c>
      <c r="E7" s="26" t="s">
        <v>1570</v>
      </c>
      <c r="F7" s="26" t="s">
        <v>1571</v>
      </c>
      <c r="G7" s="26" t="s">
        <v>222</v>
      </c>
      <c r="H7" s="26" t="s">
        <v>221</v>
      </c>
      <c r="I7" s="38" t="s">
        <v>222</v>
      </c>
      <c r="L7" s="39" t="s">
        <v>906</v>
      </c>
      <c r="M7" s="39" t="s">
        <v>89</v>
      </c>
      <c r="N7" s="47" t="s">
        <v>1572</v>
      </c>
    </row>
    <row r="8">
      <c r="A8" s="26" t="s">
        <v>1573</v>
      </c>
      <c r="B8" s="4" t="s">
        <v>24</v>
      </c>
      <c r="C8" s="26" t="s">
        <v>1574</v>
      </c>
      <c r="D8" s="26" t="s">
        <v>1575</v>
      </c>
      <c r="E8" s="26" t="s">
        <v>1576</v>
      </c>
      <c r="F8" s="26" t="s">
        <v>1577</v>
      </c>
      <c r="G8" s="26" t="s">
        <v>1578</v>
      </c>
      <c r="H8" s="26" t="s">
        <v>675</v>
      </c>
      <c r="I8" s="47" t="s">
        <v>1579</v>
      </c>
      <c r="J8" s="47" t="s">
        <v>1580</v>
      </c>
      <c r="K8" s="47" t="s">
        <v>224</v>
      </c>
      <c r="L8" s="26" t="s">
        <v>930</v>
      </c>
      <c r="M8" s="26" t="s">
        <v>1581</v>
      </c>
    </row>
    <row r="9">
      <c r="A9" s="26" t="s">
        <v>1582</v>
      </c>
      <c r="B9" s="4" t="s">
        <v>38</v>
      </c>
      <c r="C9" s="26" t="s">
        <v>1583</v>
      </c>
      <c r="D9" s="26" t="s">
        <v>1584</v>
      </c>
      <c r="E9" s="26" t="s">
        <v>1585</v>
      </c>
      <c r="F9" s="47" t="s">
        <v>1586</v>
      </c>
      <c r="G9" s="26" t="s">
        <v>1587</v>
      </c>
      <c r="I9" s="26" t="s">
        <v>1078</v>
      </c>
      <c r="J9" s="26" t="s">
        <v>1588</v>
      </c>
      <c r="K9" s="26" t="s">
        <v>1589</v>
      </c>
    </row>
    <row r="10">
      <c r="A10" s="26" t="s">
        <v>1590</v>
      </c>
      <c r="B10" s="4" t="s">
        <v>50</v>
      </c>
      <c r="C10" s="26" t="s">
        <v>1591</v>
      </c>
      <c r="D10" s="26" t="s">
        <v>1592</v>
      </c>
      <c r="E10" s="26" t="s">
        <v>1593</v>
      </c>
      <c r="F10" s="105">
        <v>-1000.0</v>
      </c>
      <c r="G10" s="26" t="s">
        <v>686</v>
      </c>
      <c r="I10" s="26" t="s">
        <v>765</v>
      </c>
      <c r="J10" s="26" t="s">
        <v>699</v>
      </c>
      <c r="K10" s="26" t="s">
        <v>1594</v>
      </c>
    </row>
    <row r="11">
      <c r="A11" s="26" t="s">
        <v>1595</v>
      </c>
      <c r="B11" s="4" t="s">
        <v>57</v>
      </c>
      <c r="C11" s="26" t="s">
        <v>1596</v>
      </c>
      <c r="D11" s="26" t="s">
        <v>1597</v>
      </c>
      <c r="E11" s="26" t="s">
        <v>1598</v>
      </c>
      <c r="F11" s="26" t="s">
        <v>1599</v>
      </c>
      <c r="G11" s="26" t="s">
        <v>1030</v>
      </c>
      <c r="I11" s="26" t="s">
        <v>747</v>
      </c>
      <c r="J11" s="26" t="s">
        <v>1600</v>
      </c>
      <c r="K11" s="26" t="s">
        <v>1601</v>
      </c>
    </row>
    <row r="12">
      <c r="A12" s="26" t="s">
        <v>1602</v>
      </c>
      <c r="B12" s="79" t="s">
        <v>36</v>
      </c>
      <c r="C12" s="26" t="s">
        <v>1603</v>
      </c>
      <c r="D12" s="26" t="s">
        <v>1469</v>
      </c>
      <c r="E12" s="26" t="s">
        <v>1604</v>
      </c>
      <c r="F12" s="26" t="s">
        <v>1605</v>
      </c>
      <c r="G12" s="26" t="s">
        <v>1606</v>
      </c>
      <c r="I12" s="26" t="s">
        <v>1607</v>
      </c>
      <c r="J12" s="26" t="s">
        <v>1608</v>
      </c>
      <c r="K12" s="26" t="s">
        <v>1609</v>
      </c>
    </row>
    <row r="13">
      <c r="A13" s="26" t="s">
        <v>1610</v>
      </c>
      <c r="B13" s="4" t="s">
        <v>64</v>
      </c>
      <c r="C13" s="26" t="s">
        <v>339</v>
      </c>
      <c r="D13" s="26" t="s">
        <v>1611</v>
      </c>
      <c r="E13" s="26" t="s">
        <v>1612</v>
      </c>
      <c r="G13" s="26" t="s">
        <v>1009</v>
      </c>
      <c r="I13" s="26" t="s">
        <v>260</v>
      </c>
      <c r="J13" s="26" t="s">
        <v>1613</v>
      </c>
      <c r="K13" s="26" t="s">
        <v>1614</v>
      </c>
    </row>
    <row r="14">
      <c r="A14" s="26" t="s">
        <v>1615</v>
      </c>
      <c r="B14" s="79" t="s">
        <v>56</v>
      </c>
      <c r="C14" s="26" t="s">
        <v>943</v>
      </c>
      <c r="D14" s="26" t="s">
        <v>1616</v>
      </c>
      <c r="E14" s="26" t="s">
        <v>1617</v>
      </c>
      <c r="G14" s="26" t="s">
        <v>1039</v>
      </c>
      <c r="I14" s="26" t="s">
        <v>1618</v>
      </c>
      <c r="J14" s="26" t="s">
        <v>1619</v>
      </c>
      <c r="K14" s="26" t="s">
        <v>1620</v>
      </c>
    </row>
    <row r="15">
      <c r="A15" s="26" t="s">
        <v>1621</v>
      </c>
      <c r="B15" s="4" t="s">
        <v>72</v>
      </c>
      <c r="C15" s="26" t="s">
        <v>1622</v>
      </c>
      <c r="D15" s="26" t="s">
        <v>1623</v>
      </c>
      <c r="G15" s="26" t="s">
        <v>326</v>
      </c>
      <c r="I15" s="26" t="s">
        <v>1624</v>
      </c>
      <c r="J15" s="26" t="s">
        <v>1625</v>
      </c>
    </row>
    <row r="16">
      <c r="A16" s="26" t="s">
        <v>1626</v>
      </c>
      <c r="B16" s="4" t="s">
        <v>77</v>
      </c>
      <c r="C16" s="26" t="s">
        <v>1627</v>
      </c>
      <c r="D16" s="26" t="s">
        <v>1466</v>
      </c>
      <c r="G16" s="26" t="s">
        <v>1240</v>
      </c>
      <c r="I16" s="26" t="s">
        <v>747</v>
      </c>
      <c r="J16" s="26" t="s">
        <v>724</v>
      </c>
    </row>
    <row r="17">
      <c r="A17" s="26" t="s">
        <v>1628</v>
      </c>
      <c r="B17" s="4" t="s">
        <v>81</v>
      </c>
      <c r="C17" s="26" t="s">
        <v>1459</v>
      </c>
      <c r="D17" s="26" t="s">
        <v>1629</v>
      </c>
      <c r="G17" s="26" t="s">
        <v>1630</v>
      </c>
      <c r="I17" s="26" t="s">
        <v>1631</v>
      </c>
      <c r="J17" s="26" t="s">
        <v>1632</v>
      </c>
    </row>
    <row r="18">
      <c r="A18" s="26" t="s">
        <v>1633</v>
      </c>
      <c r="C18" s="26" t="s">
        <v>1634</v>
      </c>
      <c r="D18" s="26" t="s">
        <v>665</v>
      </c>
      <c r="G18" s="26" t="s">
        <v>326</v>
      </c>
      <c r="I18" s="26" t="s">
        <v>1011</v>
      </c>
    </row>
    <row r="19">
      <c r="A19" s="26" t="s">
        <v>1635</v>
      </c>
      <c r="C19" s="26" t="s">
        <v>377</v>
      </c>
      <c r="D19" s="26" t="s">
        <v>1636</v>
      </c>
      <c r="G19" s="26" t="s">
        <v>1039</v>
      </c>
      <c r="I19" s="26" t="s">
        <v>1637</v>
      </c>
    </row>
    <row r="20">
      <c r="A20" s="26" t="s">
        <v>1638</v>
      </c>
      <c r="C20" s="26" t="s">
        <v>1639</v>
      </c>
      <c r="D20" s="26" t="s">
        <v>1022</v>
      </c>
      <c r="G20" s="26" t="s">
        <v>1640</v>
      </c>
      <c r="I20" s="26" t="s">
        <v>765</v>
      </c>
    </row>
    <row r="21">
      <c r="A21" s="26" t="s">
        <v>1641</v>
      </c>
      <c r="B21" s="109" t="s">
        <v>1642</v>
      </c>
      <c r="C21" s="26" t="s">
        <v>1643</v>
      </c>
      <c r="D21" s="26" t="s">
        <v>1644</v>
      </c>
      <c r="G21" s="26" t="s">
        <v>279</v>
      </c>
      <c r="I21" s="26" t="s">
        <v>747</v>
      </c>
    </row>
    <row r="22">
      <c r="A22" s="26" t="s">
        <v>1645</v>
      </c>
      <c r="B22" s="110">
        <v>10000.0</v>
      </c>
      <c r="C22" s="26" t="s">
        <v>1646</v>
      </c>
      <c r="D22" s="26" t="s">
        <v>1017</v>
      </c>
      <c r="G22" s="26" t="s">
        <v>1240</v>
      </c>
      <c r="I22" s="26" t="s">
        <v>1647</v>
      </c>
    </row>
    <row r="23">
      <c r="A23" s="26" t="s">
        <v>1648</v>
      </c>
      <c r="B23" s="26" t="s">
        <v>1649</v>
      </c>
      <c r="C23" s="26" t="s">
        <v>1650</v>
      </c>
      <c r="D23" s="26" t="s">
        <v>1651</v>
      </c>
      <c r="G23" s="26" t="s">
        <v>1652</v>
      </c>
      <c r="I23" s="26" t="s">
        <v>260</v>
      </c>
    </row>
    <row r="24">
      <c r="A24" s="26" t="s">
        <v>1653</v>
      </c>
      <c r="B24" s="26" t="s">
        <v>1654</v>
      </c>
      <c r="G24" s="26" t="s">
        <v>260</v>
      </c>
      <c r="I24" s="26" t="s">
        <v>693</v>
      </c>
    </row>
    <row r="25">
      <c r="A25" s="26" t="s">
        <v>1655</v>
      </c>
      <c r="B25" s="26" t="s">
        <v>1656</v>
      </c>
      <c r="G25" s="26" t="s">
        <v>1186</v>
      </c>
      <c r="I25" s="26" t="s">
        <v>703</v>
      </c>
    </row>
    <row r="26">
      <c r="A26" s="26" t="s">
        <v>1657</v>
      </c>
      <c r="G26" s="26" t="s">
        <v>1009</v>
      </c>
      <c r="I26" s="26" t="s">
        <v>1067</v>
      </c>
    </row>
    <row r="27">
      <c r="A27" s="26" t="s">
        <v>1658</v>
      </c>
      <c r="G27" s="26" t="s">
        <v>1198</v>
      </c>
      <c r="I27" s="26" t="s">
        <v>1659</v>
      </c>
    </row>
    <row r="28">
      <c r="A28" s="26" t="s">
        <v>1660</v>
      </c>
      <c r="G28" s="26" t="s">
        <v>326</v>
      </c>
      <c r="I28" s="26" t="s">
        <v>1661</v>
      </c>
    </row>
    <row r="29">
      <c r="A29" s="26" t="s">
        <v>1662</v>
      </c>
      <c r="G29" s="26" t="s">
        <v>330</v>
      </c>
      <c r="I29" s="26" t="s">
        <v>988</v>
      </c>
    </row>
    <row r="30">
      <c r="A30" s="26" t="s">
        <v>1663</v>
      </c>
      <c r="G30" s="26" t="s">
        <v>1664</v>
      </c>
      <c r="I30" s="26" t="s">
        <v>1618</v>
      </c>
    </row>
    <row r="31">
      <c r="G31" s="26" t="s">
        <v>1665</v>
      </c>
      <c r="I31" s="26" t="s">
        <v>1513</v>
      </c>
    </row>
    <row r="32">
      <c r="G32" s="26" t="s">
        <v>330</v>
      </c>
      <c r="I32" s="26" t="s">
        <v>739</v>
      </c>
    </row>
    <row r="33">
      <c r="G33" s="26" t="s">
        <v>287</v>
      </c>
      <c r="I33" s="26" t="s">
        <v>1015</v>
      </c>
    </row>
    <row r="34">
      <c r="G34" s="26" t="s">
        <v>1666</v>
      </c>
      <c r="I34" s="26" t="s">
        <v>1631</v>
      </c>
    </row>
    <row r="35">
      <c r="G35" s="26" t="s">
        <v>326</v>
      </c>
      <c r="I35" s="26" t="s">
        <v>1667</v>
      </c>
    </row>
    <row r="36">
      <c r="G36" s="26" t="s">
        <v>287</v>
      </c>
      <c r="I36" s="26" t="s">
        <v>703</v>
      </c>
    </row>
    <row r="37">
      <c r="G37" s="26" t="s">
        <v>1668</v>
      </c>
      <c r="I37" s="26" t="s">
        <v>1631</v>
      </c>
    </row>
    <row r="38">
      <c r="I38" s="26" t="s">
        <v>1669</v>
      </c>
    </row>
    <row r="39">
      <c r="I39" s="26" t="s">
        <v>686</v>
      </c>
    </row>
    <row r="40">
      <c r="I40" s="26" t="s">
        <v>980</v>
      </c>
    </row>
    <row r="41">
      <c r="I41" s="26" t="s">
        <v>698</v>
      </c>
    </row>
    <row r="42">
      <c r="I42" s="26" t="s">
        <v>1670</v>
      </c>
    </row>
    <row r="43">
      <c r="I43" s="26" t="s">
        <v>1671</v>
      </c>
    </row>
    <row r="44">
      <c r="I44" s="26" t="s">
        <v>728</v>
      </c>
    </row>
    <row r="45">
      <c r="A45" s="36" t="s">
        <v>384</v>
      </c>
    </row>
    <row r="46">
      <c r="A46" s="36">
        <f>A48+A71+A87+A106+A126+A145+A177</f>
        <v>1787685</v>
      </c>
    </row>
    <row r="47">
      <c r="A47" s="37" t="s">
        <v>776</v>
      </c>
    </row>
    <row r="48">
      <c r="A48" s="37">
        <v>54150.0</v>
      </c>
    </row>
    <row r="49">
      <c r="A49" s="37">
        <v>2026.0</v>
      </c>
    </row>
    <row r="50">
      <c r="A50" s="38" t="s">
        <v>386</v>
      </c>
      <c r="B50" s="38" t="s">
        <v>102</v>
      </c>
      <c r="C50" s="38" t="s">
        <v>126</v>
      </c>
      <c r="D50" s="38" t="s">
        <v>112</v>
      </c>
      <c r="E50" s="38" t="s">
        <v>117</v>
      </c>
    </row>
    <row r="51">
      <c r="A51" s="39" t="s">
        <v>1385</v>
      </c>
      <c r="C51" s="39" t="s">
        <v>783</v>
      </c>
      <c r="D51" s="39" t="s">
        <v>1672</v>
      </c>
      <c r="E51" s="39" t="s">
        <v>1673</v>
      </c>
    </row>
    <row r="52">
      <c r="A52" s="26" t="s">
        <v>1674</v>
      </c>
      <c r="C52" s="26" t="s">
        <v>1675</v>
      </c>
      <c r="D52" s="26" t="s">
        <v>1676</v>
      </c>
      <c r="E52" s="26" t="s">
        <v>1677</v>
      </c>
    </row>
    <row r="53">
      <c r="A53" s="26" t="s">
        <v>396</v>
      </c>
      <c r="C53" s="26" t="s">
        <v>1258</v>
      </c>
      <c r="D53" s="26" t="s">
        <v>441</v>
      </c>
      <c r="E53" s="26" t="s">
        <v>394</v>
      </c>
    </row>
    <row r="54">
      <c r="A54" s="26" t="s">
        <v>401</v>
      </c>
      <c r="D54" s="26" t="s">
        <v>404</v>
      </c>
      <c r="E54" s="26" t="s">
        <v>401</v>
      </c>
    </row>
    <row r="55">
      <c r="A55" s="26" t="s">
        <v>1096</v>
      </c>
      <c r="D55" s="26" t="s">
        <v>1115</v>
      </c>
      <c r="E55" s="26" t="s">
        <v>1678</v>
      </c>
    </row>
    <row r="56">
      <c r="A56" s="26" t="s">
        <v>1679</v>
      </c>
      <c r="D56" s="26" t="s">
        <v>403</v>
      </c>
      <c r="E56" s="26" t="s">
        <v>1101</v>
      </c>
    </row>
    <row r="57">
      <c r="A57" s="26" t="s">
        <v>1680</v>
      </c>
      <c r="D57" s="26" t="s">
        <v>1681</v>
      </c>
      <c r="E57" s="111" t="s">
        <v>1682</v>
      </c>
    </row>
    <row r="58">
      <c r="A58" s="26" t="s">
        <v>441</v>
      </c>
      <c r="D58" s="26" t="s">
        <v>394</v>
      </c>
      <c r="E58" s="111" t="s">
        <v>400</v>
      </c>
    </row>
    <row r="59">
      <c r="A59" s="26" t="s">
        <v>1683</v>
      </c>
      <c r="D59" s="26" t="s">
        <v>403</v>
      </c>
    </row>
    <row r="60">
      <c r="A60" s="26" t="s">
        <v>407</v>
      </c>
      <c r="D60" s="26" t="s">
        <v>1684</v>
      </c>
    </row>
    <row r="61">
      <c r="A61" s="26" t="s">
        <v>1086</v>
      </c>
      <c r="D61" s="26" t="s">
        <v>400</v>
      </c>
    </row>
    <row r="62">
      <c r="D62" s="26" t="s">
        <v>1678</v>
      </c>
    </row>
    <row r="63">
      <c r="D63" s="26" t="s">
        <v>401</v>
      </c>
    </row>
    <row r="64">
      <c r="D64" s="26" t="s">
        <v>1685</v>
      </c>
    </row>
    <row r="65">
      <c r="D65" s="26" t="s">
        <v>403</v>
      </c>
    </row>
    <row r="66">
      <c r="D66" s="26" t="s">
        <v>1686</v>
      </c>
    </row>
    <row r="67">
      <c r="D67" s="26" t="s">
        <v>1258</v>
      </c>
    </row>
    <row r="68">
      <c r="D68" s="26" t="s">
        <v>403</v>
      </c>
    </row>
    <row r="69">
      <c r="A69" s="40"/>
    </row>
    <row r="70">
      <c r="A70" s="41" t="s">
        <v>408</v>
      </c>
    </row>
    <row r="71">
      <c r="A71" s="41">
        <v>42660.0</v>
      </c>
    </row>
    <row r="72">
      <c r="A72" s="42">
        <v>2026.0</v>
      </c>
    </row>
    <row r="73">
      <c r="A73" s="38" t="s">
        <v>409</v>
      </c>
      <c r="B73" s="38" t="s">
        <v>410</v>
      </c>
      <c r="C73" s="38" t="s">
        <v>411</v>
      </c>
      <c r="D73" s="38" t="s">
        <v>412</v>
      </c>
      <c r="E73" s="38" t="s">
        <v>413</v>
      </c>
      <c r="F73" s="38" t="s">
        <v>414</v>
      </c>
    </row>
    <row r="74">
      <c r="A74" s="39" t="s">
        <v>782</v>
      </c>
      <c r="B74" s="39" t="s">
        <v>1687</v>
      </c>
      <c r="C74" s="39" t="s">
        <v>1383</v>
      </c>
      <c r="D74" s="39" t="s">
        <v>1688</v>
      </c>
      <c r="E74" s="39" t="s">
        <v>1689</v>
      </c>
      <c r="F74" s="39" t="s">
        <v>1690</v>
      </c>
    </row>
    <row r="75">
      <c r="A75" s="26" t="s">
        <v>1138</v>
      </c>
      <c r="B75" s="26" t="s">
        <v>1677</v>
      </c>
      <c r="C75" s="26" t="s">
        <v>1676</v>
      </c>
      <c r="D75" s="26" t="s">
        <v>1674</v>
      </c>
      <c r="E75" s="26" t="s">
        <v>1691</v>
      </c>
      <c r="F75" s="26" t="s">
        <v>1692</v>
      </c>
    </row>
    <row r="76">
      <c r="A76" s="26" t="s">
        <v>425</v>
      </c>
      <c r="B76" s="26" t="s">
        <v>1693</v>
      </c>
      <c r="C76" s="26" t="s">
        <v>1694</v>
      </c>
      <c r="D76" s="26" t="s">
        <v>1695</v>
      </c>
      <c r="E76" s="26" t="s">
        <v>425</v>
      </c>
      <c r="F76" s="26" t="s">
        <v>1696</v>
      </c>
    </row>
    <row r="77">
      <c r="A77" s="26" t="s">
        <v>788</v>
      </c>
      <c r="B77" s="26" t="s">
        <v>1680</v>
      </c>
      <c r="C77" s="26" t="s">
        <v>1697</v>
      </c>
      <c r="D77" s="26" t="s">
        <v>1678</v>
      </c>
      <c r="E77" s="26" t="s">
        <v>1268</v>
      </c>
      <c r="F77" s="26" t="s">
        <v>1698</v>
      </c>
    </row>
    <row r="78">
      <c r="B78" s="26" t="s">
        <v>1283</v>
      </c>
      <c r="C78" s="26" t="s">
        <v>425</v>
      </c>
      <c r="D78" s="26" t="s">
        <v>789</v>
      </c>
      <c r="E78" s="26" t="s">
        <v>1699</v>
      </c>
      <c r="F78" s="26" t="s">
        <v>399</v>
      </c>
    </row>
    <row r="79">
      <c r="B79" s="26" t="s">
        <v>1700</v>
      </c>
      <c r="C79" s="26" t="s">
        <v>1701</v>
      </c>
      <c r="E79" s="26" t="s">
        <v>425</v>
      </c>
      <c r="F79" s="26" t="s">
        <v>436</v>
      </c>
    </row>
    <row r="80">
      <c r="B80" s="26" t="s">
        <v>425</v>
      </c>
      <c r="C80" s="26" t="s">
        <v>425</v>
      </c>
      <c r="E80" s="26" t="s">
        <v>1098</v>
      </c>
      <c r="F80" s="26" t="s">
        <v>1702</v>
      </c>
    </row>
    <row r="81">
      <c r="B81" s="26" t="s">
        <v>1698</v>
      </c>
      <c r="C81" s="26" t="s">
        <v>399</v>
      </c>
      <c r="E81" s="26" t="s">
        <v>792</v>
      </c>
      <c r="F81" s="26" t="s">
        <v>1703</v>
      </c>
    </row>
    <row r="82">
      <c r="B82" s="26" t="s">
        <v>399</v>
      </c>
      <c r="C82" s="26" t="s">
        <v>1704</v>
      </c>
      <c r="E82" s="26" t="s">
        <v>1268</v>
      </c>
      <c r="F82" s="26" t="s">
        <v>436</v>
      </c>
    </row>
    <row r="83">
      <c r="C83" s="26" t="s">
        <v>552</v>
      </c>
    </row>
    <row r="84">
      <c r="C84" s="26" t="s">
        <v>399</v>
      </c>
    </row>
    <row r="85">
      <c r="A85" s="40"/>
    </row>
    <row r="86">
      <c r="A86" s="21" t="s">
        <v>803</v>
      </c>
    </row>
    <row r="87">
      <c r="A87" s="21">
        <v>118800.0</v>
      </c>
    </row>
    <row r="88">
      <c r="A88" s="18">
        <v>2026.0</v>
      </c>
    </row>
    <row r="89">
      <c r="A89" s="43" t="s">
        <v>1705</v>
      </c>
    </row>
    <row r="90">
      <c r="A90" s="38" t="s">
        <v>457</v>
      </c>
      <c r="B90" s="38" t="s">
        <v>169</v>
      </c>
      <c r="C90" s="38" t="s">
        <v>458</v>
      </c>
      <c r="D90" s="38" t="s">
        <v>459</v>
      </c>
      <c r="E90" s="38" t="s">
        <v>164</v>
      </c>
      <c r="F90" s="38" t="s">
        <v>460</v>
      </c>
      <c r="G90" s="38" t="s">
        <v>157</v>
      </c>
      <c r="H90" s="38" t="s">
        <v>461</v>
      </c>
    </row>
    <row r="91">
      <c r="A91" s="44" t="s">
        <v>1706</v>
      </c>
      <c r="B91" s="44" t="s">
        <v>1707</v>
      </c>
      <c r="C91" s="44" t="s">
        <v>1708</v>
      </c>
      <c r="D91" s="44" t="s">
        <v>1709</v>
      </c>
      <c r="E91" s="44" t="s">
        <v>1710</v>
      </c>
      <c r="F91" s="44" t="s">
        <v>1275</v>
      </c>
      <c r="G91" s="44" t="s">
        <v>517</v>
      </c>
      <c r="H91" s="44" t="s">
        <v>1711</v>
      </c>
    </row>
    <row r="92">
      <c r="A92" s="26" t="s">
        <v>1712</v>
      </c>
      <c r="B92" s="26" t="s">
        <v>1713</v>
      </c>
      <c r="C92" s="26" t="s">
        <v>1714</v>
      </c>
      <c r="D92" s="26" t="s">
        <v>1715</v>
      </c>
      <c r="E92" s="26" t="s">
        <v>1716</v>
      </c>
      <c r="F92" s="26" t="s">
        <v>1717</v>
      </c>
      <c r="H92" s="26" t="s">
        <v>1587</v>
      </c>
    </row>
    <row r="93">
      <c r="A93" s="26" t="s">
        <v>396</v>
      </c>
      <c r="B93" s="26" t="s">
        <v>426</v>
      </c>
      <c r="C93" s="26" t="s">
        <v>396</v>
      </c>
      <c r="D93" s="26" t="s">
        <v>424</v>
      </c>
      <c r="E93" s="26" t="s">
        <v>580</v>
      </c>
      <c r="F93" s="26" t="s">
        <v>491</v>
      </c>
      <c r="H93" s="26" t="s">
        <v>1308</v>
      </c>
    </row>
    <row r="94">
      <c r="A94" s="26" t="s">
        <v>1718</v>
      </c>
      <c r="B94" s="26" t="s">
        <v>1127</v>
      </c>
      <c r="C94" s="26" t="s">
        <v>1719</v>
      </c>
      <c r="D94" s="26" t="s">
        <v>1720</v>
      </c>
      <c r="E94" s="26" t="s">
        <v>355</v>
      </c>
      <c r="H94" s="26" t="s">
        <v>1721</v>
      </c>
    </row>
    <row r="95">
      <c r="A95" s="26" t="s">
        <v>396</v>
      </c>
      <c r="B95" s="26" t="s">
        <v>496</v>
      </c>
      <c r="C95" s="26" t="s">
        <v>627</v>
      </c>
      <c r="D95" s="26" t="s">
        <v>1722</v>
      </c>
      <c r="E95" s="26" t="s">
        <v>505</v>
      </c>
      <c r="H95" s="26" t="s">
        <v>1723</v>
      </c>
    </row>
    <row r="96">
      <c r="C96" s="26" t="s">
        <v>1724</v>
      </c>
      <c r="D96" s="26" t="s">
        <v>1725</v>
      </c>
      <c r="H96" s="26" t="s">
        <v>489</v>
      </c>
    </row>
    <row r="97">
      <c r="C97" s="26" t="s">
        <v>1127</v>
      </c>
      <c r="D97" s="26" t="s">
        <v>1149</v>
      </c>
      <c r="H97" s="26" t="s">
        <v>1720</v>
      </c>
    </row>
    <row r="98">
      <c r="C98" s="26" t="s">
        <v>1019</v>
      </c>
      <c r="D98" s="26" t="s">
        <v>1720</v>
      </c>
      <c r="H98" s="26" t="s">
        <v>493</v>
      </c>
    </row>
    <row r="99">
      <c r="C99" s="26" t="s">
        <v>491</v>
      </c>
      <c r="D99" s="26" t="s">
        <v>1127</v>
      </c>
      <c r="H99" s="26" t="s">
        <v>1726</v>
      </c>
    </row>
    <row r="100">
      <c r="C100" s="26" t="s">
        <v>817</v>
      </c>
      <c r="H100" s="26" t="s">
        <v>425</v>
      </c>
    </row>
    <row r="101">
      <c r="C101" s="26" t="s">
        <v>1727</v>
      </c>
      <c r="H101" s="26" t="s">
        <v>1728</v>
      </c>
    </row>
    <row r="102">
      <c r="C102" s="26" t="s">
        <v>502</v>
      </c>
      <c r="H102" s="26" t="s">
        <v>425</v>
      </c>
    </row>
    <row r="105">
      <c r="A105" s="46" t="s">
        <v>1729</v>
      </c>
    </row>
    <row r="106">
      <c r="A106" s="46">
        <f>-160000+A110+45000</f>
        <v>583275</v>
      </c>
    </row>
    <row r="107">
      <c r="A107" s="46">
        <v>2026.0</v>
      </c>
    </row>
    <row r="108">
      <c r="A108" s="112" t="s">
        <v>1730</v>
      </c>
    </row>
    <row r="109">
      <c r="A109" s="46" t="s">
        <v>1731</v>
      </c>
    </row>
    <row r="110">
      <c r="A110" s="46">
        <f>A113+B113+C113+D113+E113+F113+G113+H113</f>
        <v>698275</v>
      </c>
    </row>
    <row r="111">
      <c r="A111" s="38" t="s">
        <v>512</v>
      </c>
      <c r="B111" s="38" t="s">
        <v>513</v>
      </c>
      <c r="C111" s="38" t="s">
        <v>196</v>
      </c>
      <c r="D111" s="38" t="s">
        <v>514</v>
      </c>
      <c r="E111" s="38" t="s">
        <v>182</v>
      </c>
      <c r="F111" s="38" t="s">
        <v>515</v>
      </c>
      <c r="G111" s="38" t="s">
        <v>516</v>
      </c>
      <c r="H111" s="38" t="s">
        <v>185</v>
      </c>
    </row>
    <row r="112">
      <c r="A112" s="47" t="s">
        <v>517</v>
      </c>
      <c r="B112" s="47" t="s">
        <v>415</v>
      </c>
      <c r="C112" s="47" t="s">
        <v>415</v>
      </c>
      <c r="D112" s="47" t="s">
        <v>415</v>
      </c>
      <c r="E112" s="47" t="s">
        <v>415</v>
      </c>
      <c r="F112" s="47" t="s">
        <v>415</v>
      </c>
      <c r="G112" s="47" t="s">
        <v>517</v>
      </c>
      <c r="H112" s="47" t="s">
        <v>415</v>
      </c>
    </row>
    <row r="113">
      <c r="A113" s="38">
        <v>92000.0</v>
      </c>
      <c r="B113" s="38">
        <v>78000.0</v>
      </c>
      <c r="C113" s="38">
        <v>96675.0</v>
      </c>
      <c r="D113" s="38">
        <v>71500.0</v>
      </c>
      <c r="E113" s="38">
        <v>112150.0</v>
      </c>
      <c r="F113" s="38">
        <v>73750.0</v>
      </c>
      <c r="G113" s="38">
        <v>82750.0</v>
      </c>
      <c r="H113" s="38">
        <v>91450.0</v>
      </c>
    </row>
    <row r="114">
      <c r="A114" s="26" t="s">
        <v>1677</v>
      </c>
      <c r="B114" s="26" t="s">
        <v>1304</v>
      </c>
      <c r="C114" s="26" t="s">
        <v>1691</v>
      </c>
      <c r="D114" s="26" t="s">
        <v>1080</v>
      </c>
      <c r="E114" s="26" t="s">
        <v>1732</v>
      </c>
      <c r="F114" s="26" t="s">
        <v>1733</v>
      </c>
      <c r="G114" s="26" t="s">
        <v>1734</v>
      </c>
      <c r="H114" s="26" t="s">
        <v>1735</v>
      </c>
    </row>
    <row r="115">
      <c r="A115" s="26" t="s">
        <v>1736</v>
      </c>
      <c r="B115" s="26" t="s">
        <v>1736</v>
      </c>
      <c r="C115" s="26" t="s">
        <v>1736</v>
      </c>
      <c r="D115" s="26" t="s">
        <v>1736</v>
      </c>
      <c r="E115" s="26" t="s">
        <v>1736</v>
      </c>
      <c r="F115" s="26" t="s">
        <v>1736</v>
      </c>
      <c r="G115" s="26" t="s">
        <v>1736</v>
      </c>
      <c r="H115" s="26" t="s">
        <v>1736</v>
      </c>
    </row>
    <row r="116">
      <c r="A116" s="26" t="s">
        <v>1737</v>
      </c>
      <c r="B116" s="26" t="s">
        <v>1738</v>
      </c>
      <c r="C116" s="26" t="s">
        <v>1739</v>
      </c>
      <c r="D116" s="26" t="s">
        <v>1740</v>
      </c>
      <c r="E116" s="26" t="s">
        <v>1741</v>
      </c>
      <c r="F116" s="26" t="s">
        <v>529</v>
      </c>
      <c r="G116" s="26" t="s">
        <v>530</v>
      </c>
      <c r="H116" s="26" t="s">
        <v>531</v>
      </c>
    </row>
    <row r="117">
      <c r="A117" s="26" t="s">
        <v>855</v>
      </c>
      <c r="B117" s="26" t="s">
        <v>855</v>
      </c>
      <c r="C117" s="26" t="s">
        <v>1680</v>
      </c>
      <c r="D117" s="26" t="s">
        <v>855</v>
      </c>
      <c r="E117" s="26" t="s">
        <v>1699</v>
      </c>
      <c r="F117" s="26" t="s">
        <v>530</v>
      </c>
      <c r="G117" s="26" t="s">
        <v>1742</v>
      </c>
      <c r="H117" s="26" t="s">
        <v>1743</v>
      </c>
    </row>
    <row r="118">
      <c r="A118" s="26" t="s">
        <v>1744</v>
      </c>
      <c r="B118" s="26" t="s">
        <v>1745</v>
      </c>
      <c r="C118" s="26" t="s">
        <v>855</v>
      </c>
      <c r="D118" s="26" t="s">
        <v>1746</v>
      </c>
      <c r="E118" s="26" t="s">
        <v>855</v>
      </c>
      <c r="F118" s="26" t="s">
        <v>1747</v>
      </c>
      <c r="G118" s="26" t="s">
        <v>855</v>
      </c>
      <c r="H118" s="26" t="s">
        <v>1748</v>
      </c>
    </row>
    <row r="119">
      <c r="A119" s="26" t="s">
        <v>1749</v>
      </c>
      <c r="B119" s="26" t="s">
        <v>550</v>
      </c>
      <c r="C119" s="26" t="s">
        <v>535</v>
      </c>
      <c r="D119" s="26" t="s">
        <v>400</v>
      </c>
      <c r="E119" s="26" t="s">
        <v>530</v>
      </c>
      <c r="F119" s="26" t="s">
        <v>855</v>
      </c>
      <c r="G119" s="26" t="s">
        <v>1750</v>
      </c>
      <c r="H119" s="26" t="s">
        <v>855</v>
      </c>
    </row>
    <row r="120">
      <c r="A120" s="26" t="s">
        <v>400</v>
      </c>
      <c r="B120" s="26" t="s">
        <v>1751</v>
      </c>
      <c r="C120" s="26" t="s">
        <v>1752</v>
      </c>
      <c r="D120" s="26" t="s">
        <v>1753</v>
      </c>
      <c r="E120" s="26" t="s">
        <v>537</v>
      </c>
      <c r="G120" s="26" t="s">
        <v>611</v>
      </c>
      <c r="H120" s="26" t="s">
        <v>541</v>
      </c>
    </row>
    <row r="121">
      <c r="A121" s="26" t="s">
        <v>1754</v>
      </c>
      <c r="B121" s="26" t="s">
        <v>633</v>
      </c>
      <c r="C121" s="26" t="s">
        <v>544</v>
      </c>
      <c r="D121" s="26" t="s">
        <v>425</v>
      </c>
      <c r="G121" s="26" t="s">
        <v>1755</v>
      </c>
    </row>
    <row r="122">
      <c r="A122" s="26" t="s">
        <v>400</v>
      </c>
      <c r="B122" s="26" t="s">
        <v>1756</v>
      </c>
      <c r="C122" s="26" t="s">
        <v>535</v>
      </c>
      <c r="G122" s="26" t="s">
        <v>441</v>
      </c>
    </row>
    <row r="123">
      <c r="B123" s="26" t="s">
        <v>425</v>
      </c>
    </row>
    <row r="124">
      <c r="A124" s="45" t="s">
        <v>1757</v>
      </c>
    </row>
    <row r="125">
      <c r="A125" s="49" t="s">
        <v>553</v>
      </c>
    </row>
    <row r="126">
      <c r="A126" s="49">
        <f>A129</f>
        <v>184800</v>
      </c>
    </row>
    <row r="127">
      <c r="A127" s="49">
        <v>2026.0</v>
      </c>
    </row>
    <row r="128">
      <c r="A128" s="49" t="s">
        <v>554</v>
      </c>
    </row>
    <row r="129">
      <c r="A129" s="50">
        <f>A132+B132+C132+D132+E132+F132+G132+H132+I132+J132</f>
        <v>184800</v>
      </c>
    </row>
    <row r="130">
      <c r="A130" s="51" t="s">
        <v>555</v>
      </c>
      <c r="B130" s="51" t="s">
        <v>556</v>
      </c>
      <c r="C130" s="51" t="s">
        <v>557</v>
      </c>
      <c r="D130" s="51" t="s">
        <v>558</v>
      </c>
      <c r="E130" s="51" t="s">
        <v>559</v>
      </c>
      <c r="F130" s="51" t="s">
        <v>560</v>
      </c>
      <c r="G130" s="51" t="s">
        <v>561</v>
      </c>
      <c r="H130" s="51" t="s">
        <v>562</v>
      </c>
      <c r="I130" s="52" t="s">
        <v>563</v>
      </c>
      <c r="J130" s="52" t="s">
        <v>564</v>
      </c>
    </row>
    <row r="131">
      <c r="A131" s="47" t="s">
        <v>517</v>
      </c>
      <c r="B131" s="47" t="s">
        <v>517</v>
      </c>
      <c r="C131" s="47" t="s">
        <v>517</v>
      </c>
      <c r="D131" s="47" t="s">
        <v>517</v>
      </c>
      <c r="E131" s="47" t="s">
        <v>517</v>
      </c>
      <c r="F131" s="47" t="s">
        <v>517</v>
      </c>
      <c r="G131" s="47" t="s">
        <v>517</v>
      </c>
      <c r="H131" s="47" t="s">
        <v>517</v>
      </c>
      <c r="I131" s="47" t="s">
        <v>517</v>
      </c>
      <c r="J131" s="47" t="s">
        <v>517</v>
      </c>
    </row>
    <row r="132">
      <c r="A132" s="38">
        <v>63000.0</v>
      </c>
      <c r="B132" s="38">
        <v>36000.0</v>
      </c>
      <c r="C132" s="38">
        <v>17700.0</v>
      </c>
      <c r="D132" s="38">
        <v>10100.0</v>
      </c>
      <c r="E132" s="38">
        <v>28500.0</v>
      </c>
      <c r="F132" s="38">
        <v>0.0</v>
      </c>
      <c r="G132" s="38">
        <v>15500.0</v>
      </c>
      <c r="H132" s="38">
        <v>13500.0</v>
      </c>
      <c r="I132" s="38">
        <v>0.0</v>
      </c>
      <c r="J132" s="38">
        <v>500.0</v>
      </c>
    </row>
    <row r="133">
      <c r="A133" s="26" t="s">
        <v>1674</v>
      </c>
      <c r="B133" s="26" t="s">
        <v>1758</v>
      </c>
      <c r="C133" s="113" t="s">
        <v>1759</v>
      </c>
      <c r="D133" s="113" t="s">
        <v>1760</v>
      </c>
      <c r="E133" s="113" t="s">
        <v>1761</v>
      </c>
      <c r="G133" s="113" t="s">
        <v>1717</v>
      </c>
      <c r="H133" s="113" t="s">
        <v>1762</v>
      </c>
      <c r="J133" s="26" t="s">
        <v>1763</v>
      </c>
    </row>
    <row r="134">
      <c r="A134" s="26" t="s">
        <v>570</v>
      </c>
      <c r="B134" s="26" t="s">
        <v>1318</v>
      </c>
      <c r="C134" s="26" t="s">
        <v>1149</v>
      </c>
      <c r="D134" s="26" t="s">
        <v>584</v>
      </c>
      <c r="E134" s="26" t="s">
        <v>573</v>
      </c>
      <c r="G134" s="26" t="s">
        <v>1315</v>
      </c>
      <c r="H134" s="26" t="s">
        <v>425</v>
      </c>
      <c r="J134" s="26" t="s">
        <v>425</v>
      </c>
    </row>
    <row r="135">
      <c r="A135" s="113" t="s">
        <v>1681</v>
      </c>
      <c r="B135" s="26" t="s">
        <v>1764</v>
      </c>
      <c r="C135" s="113" t="s">
        <v>1765</v>
      </c>
      <c r="D135" s="113" t="s">
        <v>1766</v>
      </c>
      <c r="E135" s="113" t="s">
        <v>1767</v>
      </c>
      <c r="G135" s="113" t="s">
        <v>1768</v>
      </c>
      <c r="H135" s="113" t="s">
        <v>1769</v>
      </c>
    </row>
    <row r="136">
      <c r="A136" s="26" t="s">
        <v>1308</v>
      </c>
      <c r="B136" s="26" t="s">
        <v>1149</v>
      </c>
      <c r="C136" s="26" t="s">
        <v>452</v>
      </c>
      <c r="D136" s="26" t="s">
        <v>888</v>
      </c>
      <c r="E136" s="26" t="s">
        <v>425</v>
      </c>
      <c r="G136" s="26" t="s">
        <v>425</v>
      </c>
      <c r="H136" s="26" t="s">
        <v>1770</v>
      </c>
    </row>
    <row r="137">
      <c r="A137" s="113" t="s">
        <v>1771</v>
      </c>
      <c r="B137" s="26" t="s">
        <v>848</v>
      </c>
      <c r="C137" s="113" t="s">
        <v>1772</v>
      </c>
      <c r="D137" s="26" t="s">
        <v>579</v>
      </c>
      <c r="E137" s="113" t="s">
        <v>1773</v>
      </c>
    </row>
    <row r="138">
      <c r="A138" s="26" t="s">
        <v>1149</v>
      </c>
      <c r="B138" s="26" t="s">
        <v>579</v>
      </c>
      <c r="C138" s="26" t="s">
        <v>584</v>
      </c>
      <c r="E138" s="26" t="s">
        <v>502</v>
      </c>
    </row>
    <row r="139">
      <c r="A139" s="113" t="s">
        <v>1774</v>
      </c>
    </row>
    <row r="140">
      <c r="A140" s="26" t="s">
        <v>425</v>
      </c>
    </row>
    <row r="141">
      <c r="A141" s="113" t="s">
        <v>1775</v>
      </c>
    </row>
    <row r="142">
      <c r="A142" s="26" t="s">
        <v>425</v>
      </c>
    </row>
    <row r="143">
      <c r="A143" s="53" t="s">
        <v>596</v>
      </c>
    </row>
    <row r="144">
      <c r="A144" s="54" t="s">
        <v>597</v>
      </c>
    </row>
    <row r="145">
      <c r="A145" s="54">
        <f>A148</f>
        <v>587000</v>
      </c>
    </row>
    <row r="146">
      <c r="A146" s="54">
        <v>2026.0</v>
      </c>
    </row>
    <row r="147">
      <c r="A147" s="54" t="s">
        <v>554</v>
      </c>
    </row>
    <row r="148">
      <c r="A148" s="55">
        <f>A151+B151+C151+D151+E151+F151+G151+H151+I151+J151</f>
        <v>587000</v>
      </c>
    </row>
    <row r="149">
      <c r="A149" s="38" t="s">
        <v>598</v>
      </c>
      <c r="B149" s="38" t="s">
        <v>599</v>
      </c>
      <c r="C149" s="38" t="s">
        <v>600</v>
      </c>
      <c r="D149" s="38" t="s">
        <v>601</v>
      </c>
      <c r="E149" s="38" t="s">
        <v>602</v>
      </c>
      <c r="F149" s="38" t="s">
        <v>603</v>
      </c>
      <c r="G149" s="51" t="s">
        <v>604</v>
      </c>
      <c r="H149" s="56" t="s">
        <v>605</v>
      </c>
      <c r="I149" s="56" t="s">
        <v>606</v>
      </c>
      <c r="J149" s="56" t="s">
        <v>607</v>
      </c>
    </row>
    <row r="150">
      <c r="A150" s="47" t="s">
        <v>517</v>
      </c>
      <c r="B150" s="47" t="s">
        <v>517</v>
      </c>
      <c r="C150" s="47" t="s">
        <v>517</v>
      </c>
      <c r="D150" s="47" t="s">
        <v>517</v>
      </c>
      <c r="E150" s="47" t="s">
        <v>517</v>
      </c>
      <c r="F150" s="47" t="s">
        <v>517</v>
      </c>
      <c r="G150" s="47" t="s">
        <v>517</v>
      </c>
      <c r="H150" s="30" t="s">
        <v>517</v>
      </c>
      <c r="I150" s="30" t="s">
        <v>517</v>
      </c>
      <c r="J150" s="30" t="s">
        <v>517</v>
      </c>
    </row>
    <row r="151">
      <c r="A151" s="38">
        <v>155000.0</v>
      </c>
      <c r="B151" s="38">
        <v>1000.0</v>
      </c>
      <c r="C151" s="38">
        <v>54500.0</v>
      </c>
      <c r="D151" s="38"/>
      <c r="E151" s="38">
        <v>144500.0</v>
      </c>
      <c r="F151" s="38"/>
      <c r="G151" s="38">
        <v>128000.0</v>
      </c>
      <c r="H151" s="38"/>
      <c r="I151" s="38"/>
      <c r="J151" s="38">
        <v>104000.0</v>
      </c>
    </row>
    <row r="152">
      <c r="A152" s="26" t="s">
        <v>1677</v>
      </c>
      <c r="B152" s="26" t="s">
        <v>1776</v>
      </c>
      <c r="C152" s="26" t="s">
        <v>1080</v>
      </c>
      <c r="E152" s="26" t="s">
        <v>1674</v>
      </c>
      <c r="G152" s="26" t="s">
        <v>1777</v>
      </c>
      <c r="J152" s="26" t="s">
        <v>914</v>
      </c>
    </row>
    <row r="153">
      <c r="A153" s="26" t="s">
        <v>612</v>
      </c>
      <c r="B153" s="26" t="s">
        <v>400</v>
      </c>
      <c r="C153" s="26" t="s">
        <v>612</v>
      </c>
      <c r="E153" s="26" t="s">
        <v>1306</v>
      </c>
      <c r="G153" s="26" t="s">
        <v>612</v>
      </c>
      <c r="J153" s="26" t="s">
        <v>612</v>
      </c>
    </row>
    <row r="154">
      <c r="A154" s="26" t="s">
        <v>1778</v>
      </c>
      <c r="C154" s="26" t="s">
        <v>614</v>
      </c>
      <c r="E154" s="26" t="s">
        <v>1681</v>
      </c>
      <c r="G154" s="26" t="s">
        <v>614</v>
      </c>
      <c r="J154" s="26" t="s">
        <v>614</v>
      </c>
    </row>
    <row r="155">
      <c r="A155" s="26" t="s">
        <v>1779</v>
      </c>
      <c r="C155" s="26" t="s">
        <v>615</v>
      </c>
      <c r="E155" s="26" t="s">
        <v>612</v>
      </c>
      <c r="G155" s="26" t="s">
        <v>1740</v>
      </c>
      <c r="J155" s="26" t="s">
        <v>621</v>
      </c>
    </row>
    <row r="156">
      <c r="A156" s="26" t="s">
        <v>1780</v>
      </c>
      <c r="E156" s="26" t="s">
        <v>1781</v>
      </c>
      <c r="G156" s="26" t="s">
        <v>876</v>
      </c>
      <c r="J156" s="26" t="s">
        <v>1782</v>
      </c>
    </row>
    <row r="157">
      <c r="A157" s="26" t="s">
        <v>876</v>
      </c>
      <c r="E157" s="26" t="s">
        <v>552</v>
      </c>
      <c r="G157" s="26" t="s">
        <v>614</v>
      </c>
      <c r="J157" s="26" t="s">
        <v>573</v>
      </c>
    </row>
    <row r="158">
      <c r="A158" s="26" t="s">
        <v>615</v>
      </c>
      <c r="E158" s="26" t="s">
        <v>614</v>
      </c>
      <c r="G158" s="26" t="s">
        <v>1783</v>
      </c>
      <c r="J158" s="26" t="s">
        <v>1784</v>
      </c>
    </row>
    <row r="159">
      <c r="A159" s="26" t="s">
        <v>1785</v>
      </c>
      <c r="E159" s="26" t="s">
        <v>615</v>
      </c>
      <c r="G159" s="26" t="s">
        <v>1786</v>
      </c>
      <c r="J159" s="26" t="s">
        <v>611</v>
      </c>
    </row>
    <row r="160">
      <c r="A160" s="26" t="s">
        <v>1787</v>
      </c>
      <c r="G160" s="26" t="s">
        <v>1788</v>
      </c>
      <c r="J160" s="26" t="s">
        <v>615</v>
      </c>
    </row>
    <row r="161">
      <c r="A161" s="26" t="s">
        <v>1789</v>
      </c>
      <c r="G161" s="26" t="s">
        <v>634</v>
      </c>
      <c r="J161" s="26" t="s">
        <v>1790</v>
      </c>
    </row>
    <row r="162">
      <c r="A162" s="26" t="s">
        <v>400</v>
      </c>
      <c r="J162" s="26" t="s">
        <v>593</v>
      </c>
    </row>
    <row r="163">
      <c r="A163" s="26" t="s">
        <v>622</v>
      </c>
    </row>
    <row r="164">
      <c r="A164" s="26" t="s">
        <v>615</v>
      </c>
    </row>
    <row r="165">
      <c r="A165" s="26" t="s">
        <v>1791</v>
      </c>
    </row>
    <row r="166">
      <c r="A166" s="26" t="s">
        <v>400</v>
      </c>
    </row>
    <row r="167">
      <c r="A167" s="26" t="s">
        <v>614</v>
      </c>
    </row>
    <row r="168">
      <c r="A168" s="26" t="s">
        <v>1792</v>
      </c>
    </row>
    <row r="176">
      <c r="A176" s="57" t="s">
        <v>638</v>
      </c>
    </row>
    <row r="177">
      <c r="A177" s="57">
        <f>A180</f>
        <v>217000</v>
      </c>
    </row>
    <row r="178">
      <c r="A178" s="57">
        <v>2026.0</v>
      </c>
    </row>
    <row r="179">
      <c r="A179" s="57" t="s">
        <v>554</v>
      </c>
    </row>
    <row r="180">
      <c r="A180" s="57">
        <f>A183+B183+C183+D183+E183+F183+G183+H183</f>
        <v>217000</v>
      </c>
    </row>
    <row r="181">
      <c r="A181" s="38" t="s">
        <v>639</v>
      </c>
      <c r="B181" s="38" t="s">
        <v>640</v>
      </c>
      <c r="C181" s="38" t="s">
        <v>641</v>
      </c>
      <c r="D181" s="38" t="s">
        <v>642</v>
      </c>
      <c r="E181" s="38" t="s">
        <v>643</v>
      </c>
      <c r="F181" s="38" t="s">
        <v>644</v>
      </c>
      <c r="G181" s="38" t="s">
        <v>645</v>
      </c>
      <c r="H181" s="38" t="s">
        <v>646</v>
      </c>
    </row>
    <row r="182">
      <c r="A182" s="47" t="s">
        <v>517</v>
      </c>
      <c r="B182" s="47" t="s">
        <v>517</v>
      </c>
      <c r="C182" s="47" t="s">
        <v>517</v>
      </c>
      <c r="D182" s="47" t="s">
        <v>517</v>
      </c>
      <c r="E182" s="47" t="s">
        <v>517</v>
      </c>
      <c r="F182" s="47" t="s">
        <v>517</v>
      </c>
      <c r="G182" s="47" t="s">
        <v>517</v>
      </c>
      <c r="H182" s="47" t="s">
        <v>517</v>
      </c>
    </row>
    <row r="183">
      <c r="A183" s="38">
        <v>0.0</v>
      </c>
      <c r="B183" s="38">
        <v>1000.0</v>
      </c>
      <c r="C183" s="38">
        <v>0.0</v>
      </c>
      <c r="D183" s="38">
        <v>0.0</v>
      </c>
      <c r="E183" s="38">
        <v>31000.0</v>
      </c>
      <c r="F183" s="38">
        <v>12000.0</v>
      </c>
      <c r="G183" s="38">
        <v>138000.0</v>
      </c>
      <c r="H183" s="38">
        <v>35000.0</v>
      </c>
    </row>
    <row r="184">
      <c r="B184" s="26" t="s">
        <v>1776</v>
      </c>
      <c r="E184" s="26" t="s">
        <v>1793</v>
      </c>
      <c r="F184" s="26" t="s">
        <v>1794</v>
      </c>
      <c r="G184" s="26" t="s">
        <v>1691</v>
      </c>
      <c r="H184" s="26" t="s">
        <v>1674</v>
      </c>
    </row>
    <row r="185">
      <c r="B185" s="26" t="s">
        <v>400</v>
      </c>
      <c r="E185" s="26" t="s">
        <v>885</v>
      </c>
      <c r="F185" s="26" t="s">
        <v>1398</v>
      </c>
      <c r="G185" s="26" t="s">
        <v>1795</v>
      </c>
      <c r="H185" s="26" t="s">
        <v>589</v>
      </c>
    </row>
    <row r="186">
      <c r="E186" s="26" t="s">
        <v>1796</v>
      </c>
      <c r="G186" s="26" t="s">
        <v>1702</v>
      </c>
    </row>
    <row r="187">
      <c r="E187" s="26" t="s">
        <v>400</v>
      </c>
      <c r="G187" s="26" t="s">
        <v>651</v>
      </c>
    </row>
    <row r="188">
      <c r="G188" s="26" t="s">
        <v>1797</v>
      </c>
    </row>
    <row r="189">
      <c r="G189" s="26" t="s">
        <v>539</v>
      </c>
    </row>
    <row r="190">
      <c r="G190" s="26" t="s">
        <v>1790</v>
      </c>
    </row>
    <row r="191">
      <c r="G191" s="26" t="s">
        <v>400</v>
      </c>
    </row>
    <row r="192">
      <c r="G192" s="26" t="s">
        <v>1659</v>
      </c>
    </row>
    <row r="193">
      <c r="G193" s="26" t="s">
        <v>502</v>
      </c>
    </row>
    <row r="194">
      <c r="G194" s="26" t="s">
        <v>1667</v>
      </c>
    </row>
    <row r="195">
      <c r="G195" s="26" t="s">
        <v>400</v>
      </c>
    </row>
    <row r="196">
      <c r="G196" s="26" t="s">
        <v>1669</v>
      </c>
    </row>
    <row r="197">
      <c r="G197" s="26" t="s">
        <v>400</v>
      </c>
    </row>
    <row r="198">
      <c r="G198" s="26" t="s">
        <v>1798</v>
      </c>
    </row>
    <row r="199">
      <c r="G199" s="26" t="s">
        <v>441</v>
      </c>
    </row>
  </sheetData>
  <mergeCells count="49">
    <mergeCell ref="A1:P1"/>
    <mergeCell ref="A2:P2"/>
    <mergeCell ref="A3:P3"/>
    <mergeCell ref="A4:P4"/>
    <mergeCell ref="I5:K5"/>
    <mergeCell ref="L5:M5"/>
    <mergeCell ref="N5:P5"/>
    <mergeCell ref="I6:K6"/>
    <mergeCell ref="L6:M6"/>
    <mergeCell ref="N6:P6"/>
    <mergeCell ref="I7:K7"/>
    <mergeCell ref="N7:P7"/>
    <mergeCell ref="A45:E45"/>
    <mergeCell ref="A46:E46"/>
    <mergeCell ref="A47:E47"/>
    <mergeCell ref="A48:E48"/>
    <mergeCell ref="A49:E49"/>
    <mergeCell ref="A69:F69"/>
    <mergeCell ref="A70:F70"/>
    <mergeCell ref="A71:F71"/>
    <mergeCell ref="A72:F72"/>
    <mergeCell ref="A85:H85"/>
    <mergeCell ref="A86:H86"/>
    <mergeCell ref="A87:H87"/>
    <mergeCell ref="A88:H88"/>
    <mergeCell ref="A89:H89"/>
    <mergeCell ref="A105:H105"/>
    <mergeCell ref="A106:H106"/>
    <mergeCell ref="A107:H107"/>
    <mergeCell ref="A108:H108"/>
    <mergeCell ref="A109:H109"/>
    <mergeCell ref="A110:H110"/>
    <mergeCell ref="A124:H124"/>
    <mergeCell ref="A125:J125"/>
    <mergeCell ref="A126:J126"/>
    <mergeCell ref="A147:J147"/>
    <mergeCell ref="A148:J148"/>
    <mergeCell ref="A176:H176"/>
    <mergeCell ref="A177:H177"/>
    <mergeCell ref="A178:H178"/>
    <mergeCell ref="A179:H179"/>
    <mergeCell ref="A180:H180"/>
    <mergeCell ref="A127:J127"/>
    <mergeCell ref="A128:J128"/>
    <mergeCell ref="A129:J129"/>
    <mergeCell ref="A143:J143"/>
    <mergeCell ref="A144:J144"/>
    <mergeCell ref="A145:J145"/>
    <mergeCell ref="A146:J14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</cols>
  <sheetData>
    <row r="1">
      <c r="A1" s="58" t="s">
        <v>1799</v>
      </c>
    </row>
    <row r="2">
      <c r="A2" s="58" t="s">
        <v>1800</v>
      </c>
    </row>
    <row r="3">
      <c r="A3" s="59" t="s">
        <v>199</v>
      </c>
    </row>
    <row r="4">
      <c r="A4" s="68">
        <f>100000+B6+C6+E6+E12+F6+G6+H6+I6+A69+G13+D17+L6</f>
        <v>1129200</v>
      </c>
    </row>
    <row r="5">
      <c r="A5" s="47" t="s">
        <v>200</v>
      </c>
      <c r="B5" s="47" t="s">
        <v>655</v>
      </c>
      <c r="C5" s="47" t="s">
        <v>1157</v>
      </c>
      <c r="D5" s="47" t="s">
        <v>657</v>
      </c>
      <c r="E5" s="47" t="s">
        <v>1801</v>
      </c>
      <c r="F5" s="47" t="s">
        <v>205</v>
      </c>
      <c r="G5" s="47" t="s">
        <v>1802</v>
      </c>
      <c r="H5" s="47" t="s">
        <v>207</v>
      </c>
      <c r="I5" s="47" t="s">
        <v>209</v>
      </c>
      <c r="L5" s="47" t="s">
        <v>660</v>
      </c>
    </row>
    <row r="6">
      <c r="A6" s="26" t="s">
        <v>1803</v>
      </c>
      <c r="B6" s="68">
        <v>-130000.0</v>
      </c>
      <c r="C6" s="68">
        <v>7000.0</v>
      </c>
      <c r="D6" s="26" t="s">
        <v>1804</v>
      </c>
      <c r="E6" s="68">
        <v>3000.0</v>
      </c>
      <c r="F6" s="68">
        <v>233300.0</v>
      </c>
      <c r="G6" s="68">
        <v>-40000.0</v>
      </c>
      <c r="H6" s="68">
        <v>17000.0</v>
      </c>
      <c r="I6" s="68">
        <v>-10500.0</v>
      </c>
      <c r="L6" s="114">
        <f>L8</f>
        <v>0</v>
      </c>
    </row>
    <row r="7">
      <c r="A7" s="26" t="s">
        <v>1805</v>
      </c>
      <c r="B7" s="79" t="s">
        <v>214</v>
      </c>
      <c r="C7" s="26" t="s">
        <v>1806</v>
      </c>
      <c r="D7" s="26" t="s">
        <v>1807</v>
      </c>
      <c r="E7" s="26" t="s">
        <v>1808</v>
      </c>
      <c r="F7" s="26" t="s">
        <v>1809</v>
      </c>
      <c r="G7" s="26" t="s">
        <v>221</v>
      </c>
      <c r="H7" s="26" t="s">
        <v>222</v>
      </c>
      <c r="I7" s="26" t="s">
        <v>222</v>
      </c>
      <c r="J7" s="26" t="s">
        <v>1810</v>
      </c>
      <c r="K7" s="26" t="s">
        <v>224</v>
      </c>
      <c r="L7" s="47" t="s">
        <v>225</v>
      </c>
    </row>
    <row r="8">
      <c r="A8" s="26" t="s">
        <v>1811</v>
      </c>
      <c r="B8" s="4" t="s">
        <v>25</v>
      </c>
      <c r="C8" s="26" t="s">
        <v>1812</v>
      </c>
      <c r="D8" s="26" t="s">
        <v>1813</v>
      </c>
      <c r="E8" s="26" t="s">
        <v>1814</v>
      </c>
      <c r="F8" s="26" t="s">
        <v>1815</v>
      </c>
      <c r="G8" s="26" t="s">
        <v>1447</v>
      </c>
      <c r="H8" s="26" t="s">
        <v>1350</v>
      </c>
      <c r="I8" s="26" t="s">
        <v>1816</v>
      </c>
      <c r="J8" s="26" t="s">
        <v>1817</v>
      </c>
      <c r="K8" s="26" t="s">
        <v>1818</v>
      </c>
      <c r="L8" s="67">
        <v>0.0</v>
      </c>
    </row>
    <row r="9">
      <c r="A9" s="26" t="s">
        <v>1819</v>
      </c>
      <c r="B9" s="4" t="s">
        <v>39</v>
      </c>
      <c r="C9" s="26" t="s">
        <v>1820</v>
      </c>
      <c r="D9" s="26" t="s">
        <v>1821</v>
      </c>
      <c r="E9" s="26" t="s">
        <v>1822</v>
      </c>
      <c r="F9" s="26" t="s">
        <v>1823</v>
      </c>
      <c r="G9" s="44" t="s">
        <v>1824</v>
      </c>
      <c r="H9" s="26" t="s">
        <v>812</v>
      </c>
      <c r="I9" s="26" t="s">
        <v>1809</v>
      </c>
      <c r="J9" s="26" t="s">
        <v>1825</v>
      </c>
      <c r="K9" s="26" t="s">
        <v>1826</v>
      </c>
    </row>
    <row r="10">
      <c r="A10" s="26" t="s">
        <v>1827</v>
      </c>
      <c r="B10" s="4" t="s">
        <v>51</v>
      </c>
      <c r="C10" s="26" t="s">
        <v>1828</v>
      </c>
      <c r="D10" s="26" t="s">
        <v>1829</v>
      </c>
      <c r="F10" s="26" t="s">
        <v>1830</v>
      </c>
      <c r="G10" s="26" t="s">
        <v>1831</v>
      </c>
      <c r="H10" s="26" t="s">
        <v>279</v>
      </c>
      <c r="I10" s="26" t="s">
        <v>260</v>
      </c>
      <c r="J10" s="26" t="s">
        <v>1832</v>
      </c>
    </row>
    <row r="11">
      <c r="A11" s="26" t="s">
        <v>1833</v>
      </c>
      <c r="B11" s="4" t="s">
        <v>58</v>
      </c>
      <c r="C11" s="26" t="s">
        <v>1834</v>
      </c>
      <c r="D11" s="26" t="s">
        <v>1835</v>
      </c>
      <c r="E11" s="47" t="s">
        <v>275</v>
      </c>
      <c r="F11" s="26" t="s">
        <v>1836</v>
      </c>
      <c r="H11" s="26" t="s">
        <v>1837</v>
      </c>
      <c r="I11" s="26" t="s">
        <v>1838</v>
      </c>
      <c r="J11" s="26" t="s">
        <v>1839</v>
      </c>
    </row>
    <row r="12">
      <c r="A12" s="26" t="s">
        <v>1840</v>
      </c>
      <c r="B12" s="79" t="s">
        <v>36</v>
      </c>
      <c r="C12" s="26" t="s">
        <v>1841</v>
      </c>
      <c r="D12" s="26" t="s">
        <v>1842</v>
      </c>
      <c r="E12" s="68">
        <v>-500.0</v>
      </c>
      <c r="F12" s="26" t="s">
        <v>1174</v>
      </c>
      <c r="G12" s="47" t="s">
        <v>1843</v>
      </c>
      <c r="H12" s="26" t="s">
        <v>1844</v>
      </c>
      <c r="I12" s="26" t="s">
        <v>703</v>
      </c>
      <c r="J12" s="26" t="s">
        <v>1845</v>
      </c>
    </row>
    <row r="13">
      <c r="A13" s="26" t="s">
        <v>1846</v>
      </c>
      <c r="B13" s="4" t="s">
        <v>49</v>
      </c>
      <c r="C13" s="26" t="s">
        <v>1847</v>
      </c>
      <c r="D13" s="26" t="s">
        <v>1848</v>
      </c>
      <c r="E13" s="26" t="s">
        <v>1849</v>
      </c>
      <c r="F13" s="26" t="s">
        <v>1850</v>
      </c>
      <c r="G13" s="68">
        <v>8000.0</v>
      </c>
      <c r="H13" s="26" t="s">
        <v>1224</v>
      </c>
      <c r="I13" s="26" t="s">
        <v>1631</v>
      </c>
      <c r="J13" s="26" t="s">
        <v>1851</v>
      </c>
    </row>
    <row r="14">
      <c r="A14" s="26" t="s">
        <v>1852</v>
      </c>
      <c r="B14" s="79" t="s">
        <v>56</v>
      </c>
      <c r="C14" s="26" t="s">
        <v>1853</v>
      </c>
      <c r="D14" s="26" t="s">
        <v>1854</v>
      </c>
      <c r="F14" s="26" t="s">
        <v>1855</v>
      </c>
      <c r="G14" s="26" t="s">
        <v>1856</v>
      </c>
      <c r="H14" s="26" t="s">
        <v>1857</v>
      </c>
      <c r="I14" s="26" t="s">
        <v>765</v>
      </c>
    </row>
    <row r="15">
      <c r="A15" s="26" t="s">
        <v>1858</v>
      </c>
      <c r="B15" s="4" t="s">
        <v>73</v>
      </c>
      <c r="C15" s="26" t="s">
        <v>299</v>
      </c>
      <c r="F15" s="26" t="s">
        <v>1859</v>
      </c>
      <c r="G15" s="26" t="s">
        <v>1860</v>
      </c>
      <c r="H15" s="26" t="s">
        <v>326</v>
      </c>
      <c r="I15" s="26" t="s">
        <v>707</v>
      </c>
    </row>
    <row r="16">
      <c r="A16" s="26" t="s">
        <v>1861</v>
      </c>
      <c r="B16" s="4" t="s">
        <v>78</v>
      </c>
      <c r="C16" s="26" t="s">
        <v>1862</v>
      </c>
      <c r="D16" s="47" t="s">
        <v>1018</v>
      </c>
      <c r="F16" s="26" t="s">
        <v>1863</v>
      </c>
      <c r="H16" s="26" t="s">
        <v>1039</v>
      </c>
      <c r="I16" s="26" t="s">
        <v>1857</v>
      </c>
    </row>
    <row r="17">
      <c r="A17" s="26" t="s">
        <v>1864</v>
      </c>
      <c r="C17" s="26" t="s">
        <v>1865</v>
      </c>
      <c r="D17" s="69">
        <v>20000.0</v>
      </c>
      <c r="F17" s="26" t="s">
        <v>379</v>
      </c>
      <c r="H17" s="26" t="s">
        <v>1866</v>
      </c>
      <c r="I17" s="26" t="s">
        <v>260</v>
      </c>
    </row>
    <row r="18">
      <c r="A18" s="26" t="s">
        <v>1867</v>
      </c>
      <c r="C18" s="26" t="s">
        <v>1868</v>
      </c>
      <c r="D18" s="4" t="s">
        <v>1869</v>
      </c>
      <c r="F18" s="26" t="s">
        <v>375</v>
      </c>
      <c r="H18" s="26" t="s">
        <v>279</v>
      </c>
      <c r="I18" s="26" t="s">
        <v>1618</v>
      </c>
    </row>
    <row r="19">
      <c r="A19" s="26" t="s">
        <v>1870</v>
      </c>
      <c r="C19" s="26" t="s">
        <v>1871</v>
      </c>
      <c r="F19" s="26" t="s">
        <v>732</v>
      </c>
      <c r="H19" s="26" t="s">
        <v>986</v>
      </c>
      <c r="I19" s="26" t="s">
        <v>765</v>
      </c>
    </row>
    <row r="20">
      <c r="A20" s="26" t="s">
        <v>1872</v>
      </c>
      <c r="C20" s="26" t="s">
        <v>1873</v>
      </c>
      <c r="F20" s="26" t="s">
        <v>322</v>
      </c>
      <c r="H20" s="26" t="s">
        <v>1874</v>
      </c>
      <c r="I20" s="26" t="s">
        <v>1631</v>
      </c>
    </row>
    <row r="21">
      <c r="A21" s="26" t="s">
        <v>1875</v>
      </c>
      <c r="C21" s="26" t="s">
        <v>1876</v>
      </c>
      <c r="F21" s="26" t="s">
        <v>368</v>
      </c>
      <c r="H21" s="26" t="s">
        <v>326</v>
      </c>
      <c r="I21" s="26" t="s">
        <v>1877</v>
      </c>
    </row>
    <row r="22">
      <c r="A22" s="26" t="s">
        <v>1878</v>
      </c>
      <c r="C22" s="26" t="s">
        <v>1476</v>
      </c>
      <c r="F22" s="26" t="s">
        <v>1879</v>
      </c>
      <c r="H22" s="26" t="s">
        <v>986</v>
      </c>
      <c r="I22" s="26" t="s">
        <v>703</v>
      </c>
    </row>
    <row r="23">
      <c r="A23" s="26" t="s">
        <v>1880</v>
      </c>
      <c r="C23" s="26" t="s">
        <v>1619</v>
      </c>
      <c r="F23" s="26" t="s">
        <v>965</v>
      </c>
      <c r="H23" s="26" t="s">
        <v>1881</v>
      </c>
      <c r="I23" s="26" t="s">
        <v>1015</v>
      </c>
    </row>
    <row r="24">
      <c r="A24" s="26" t="s">
        <v>1882</v>
      </c>
      <c r="C24" s="26" t="s">
        <v>1883</v>
      </c>
      <c r="F24" s="26" t="s">
        <v>764</v>
      </c>
      <c r="H24" s="26" t="s">
        <v>326</v>
      </c>
      <c r="I24" s="26" t="s">
        <v>1884</v>
      </c>
    </row>
    <row r="25">
      <c r="A25" s="26" t="s">
        <v>1885</v>
      </c>
      <c r="C25" s="26" t="s">
        <v>1886</v>
      </c>
      <c r="F25" s="26" t="s">
        <v>943</v>
      </c>
      <c r="H25" s="26" t="s">
        <v>1240</v>
      </c>
      <c r="I25" s="26" t="s">
        <v>765</v>
      </c>
    </row>
    <row r="26">
      <c r="A26" s="26" t="s">
        <v>1887</v>
      </c>
      <c r="C26" s="26" t="s">
        <v>1888</v>
      </c>
      <c r="F26" s="26" t="s">
        <v>1889</v>
      </c>
      <c r="H26" s="26" t="s">
        <v>1890</v>
      </c>
      <c r="I26" s="26" t="s">
        <v>1891</v>
      </c>
    </row>
    <row r="27">
      <c r="A27" s="26" t="s">
        <v>1892</v>
      </c>
      <c r="F27" s="26" t="s">
        <v>1893</v>
      </c>
    </row>
    <row r="28">
      <c r="A28" s="26" t="s">
        <v>1894</v>
      </c>
      <c r="F28" s="26" t="s">
        <v>350</v>
      </c>
      <c r="H28" s="39" t="s">
        <v>1895</v>
      </c>
    </row>
    <row r="29">
      <c r="A29" s="26" t="s">
        <v>1896</v>
      </c>
      <c r="F29" s="26" t="s">
        <v>1897</v>
      </c>
      <c r="H29" s="26" t="s">
        <v>1898</v>
      </c>
    </row>
    <row r="30">
      <c r="A30" s="26" t="s">
        <v>1899</v>
      </c>
      <c r="F30" s="26" t="s">
        <v>1900</v>
      </c>
      <c r="H30" s="26" t="s">
        <v>1901</v>
      </c>
    </row>
    <row r="31">
      <c r="A31" s="26" t="s">
        <v>1902</v>
      </c>
      <c r="F31" s="26" t="s">
        <v>277</v>
      </c>
      <c r="H31" s="26" t="s">
        <v>1903</v>
      </c>
    </row>
    <row r="32">
      <c r="A32" s="26" t="s">
        <v>1904</v>
      </c>
      <c r="F32" s="26" t="s">
        <v>1905</v>
      </c>
      <c r="H32" s="26" t="s">
        <v>1906</v>
      </c>
    </row>
    <row r="33">
      <c r="A33" s="26" t="s">
        <v>1907</v>
      </c>
      <c r="F33" s="26" t="s">
        <v>375</v>
      </c>
    </row>
    <row r="34">
      <c r="A34" s="26" t="s">
        <v>1908</v>
      </c>
      <c r="F34" s="26" t="s">
        <v>1650</v>
      </c>
    </row>
    <row r="35">
      <c r="A35" s="26" t="s">
        <v>1909</v>
      </c>
      <c r="F35" s="26" t="s">
        <v>325</v>
      </c>
    </row>
    <row r="36">
      <c r="A36" s="26" t="s">
        <v>1910</v>
      </c>
      <c r="F36" s="26" t="s">
        <v>745</v>
      </c>
    </row>
    <row r="37">
      <c r="A37" s="26" t="s">
        <v>1911</v>
      </c>
      <c r="F37" s="26" t="s">
        <v>1912</v>
      </c>
    </row>
    <row r="38">
      <c r="A38" s="26" t="s">
        <v>1913</v>
      </c>
      <c r="F38" s="26" t="s">
        <v>1914</v>
      </c>
    </row>
    <row r="39">
      <c r="A39" s="26" t="s">
        <v>1915</v>
      </c>
      <c r="F39" s="26" t="s">
        <v>738</v>
      </c>
    </row>
    <row r="40">
      <c r="A40" s="26" t="s">
        <v>1916</v>
      </c>
      <c r="F40" s="26" t="s">
        <v>1487</v>
      </c>
    </row>
    <row r="41">
      <c r="F41" s="26" t="s">
        <v>353</v>
      </c>
    </row>
    <row r="42">
      <c r="F42" s="26" t="s">
        <v>1917</v>
      </c>
    </row>
    <row r="43">
      <c r="F43" s="26" t="s">
        <v>382</v>
      </c>
    </row>
    <row r="44">
      <c r="F44" s="26" t="s">
        <v>1918</v>
      </c>
    </row>
    <row r="45">
      <c r="F45" s="26" t="s">
        <v>322</v>
      </c>
    </row>
    <row r="46">
      <c r="F46" s="26" t="s">
        <v>363</v>
      </c>
    </row>
    <row r="47">
      <c r="F47" s="26" t="s">
        <v>1473</v>
      </c>
    </row>
    <row r="48">
      <c r="F48" s="26" t="s">
        <v>732</v>
      </c>
    </row>
    <row r="49">
      <c r="F49" s="26" t="s">
        <v>1919</v>
      </c>
    </row>
    <row r="68">
      <c r="A68" s="36" t="s">
        <v>384</v>
      </c>
    </row>
    <row r="69">
      <c r="A69" s="36">
        <f>A72+A84+A117+A152+A179+A200+A225</f>
        <v>921900</v>
      </c>
    </row>
    <row r="70">
      <c r="A70" s="40"/>
      <c r="B70" s="40"/>
      <c r="C70" s="40"/>
      <c r="D70" s="40"/>
      <c r="E70" s="40"/>
    </row>
    <row r="71">
      <c r="A71" s="37" t="s">
        <v>776</v>
      </c>
    </row>
    <row r="72">
      <c r="A72" s="37">
        <v>22300.0</v>
      </c>
    </row>
    <row r="73">
      <c r="A73" s="37">
        <v>2026.0</v>
      </c>
    </row>
    <row r="74">
      <c r="A74" s="38" t="s">
        <v>386</v>
      </c>
      <c r="B74" s="38" t="s">
        <v>102</v>
      </c>
      <c r="C74" s="38" t="s">
        <v>126</v>
      </c>
      <c r="D74" s="38" t="s">
        <v>112</v>
      </c>
      <c r="E74" s="38" t="s">
        <v>117</v>
      </c>
    </row>
    <row r="75">
      <c r="A75" s="39" t="s">
        <v>1920</v>
      </c>
      <c r="D75" s="39" t="s">
        <v>1384</v>
      </c>
      <c r="E75" s="39" t="s">
        <v>1921</v>
      </c>
    </row>
    <row r="76">
      <c r="A76" s="26" t="s">
        <v>1922</v>
      </c>
      <c r="D76" s="26" t="s">
        <v>1923</v>
      </c>
      <c r="E76" s="26" t="s">
        <v>1924</v>
      </c>
    </row>
    <row r="77">
      <c r="A77" s="26" t="s">
        <v>1261</v>
      </c>
      <c r="D77" s="26" t="s">
        <v>1925</v>
      </c>
      <c r="E77" s="26" t="s">
        <v>441</v>
      </c>
    </row>
    <row r="78">
      <c r="A78" s="26" t="s">
        <v>832</v>
      </c>
      <c r="D78" s="26" t="s">
        <v>403</v>
      </c>
      <c r="E78" s="26" t="s">
        <v>1926</v>
      </c>
    </row>
    <row r="79">
      <c r="A79" s="26" t="s">
        <v>550</v>
      </c>
      <c r="E79" s="26" t="s">
        <v>1903</v>
      </c>
    </row>
    <row r="80">
      <c r="A80" s="26" t="s">
        <v>401</v>
      </c>
      <c r="E80" s="26" t="s">
        <v>1261</v>
      </c>
    </row>
    <row r="81">
      <c r="A81" s="26" t="s">
        <v>399</v>
      </c>
      <c r="E81" s="26" t="s">
        <v>1926</v>
      </c>
    </row>
    <row r="82">
      <c r="A82" s="40"/>
    </row>
    <row r="83">
      <c r="A83" s="41" t="s">
        <v>1927</v>
      </c>
    </row>
    <row r="84">
      <c r="A84" s="41">
        <v>137880.0</v>
      </c>
    </row>
    <row r="85">
      <c r="A85" s="42">
        <v>2026.0</v>
      </c>
    </row>
    <row r="86">
      <c r="A86" s="115" t="s">
        <v>1928</v>
      </c>
    </row>
    <row r="87">
      <c r="A87" s="42" t="s">
        <v>1929</v>
      </c>
    </row>
    <row r="88">
      <c r="A88" s="38" t="s">
        <v>409</v>
      </c>
      <c r="B88" s="38" t="s">
        <v>410</v>
      </c>
      <c r="C88" s="38" t="s">
        <v>411</v>
      </c>
      <c r="D88" s="38" t="s">
        <v>412</v>
      </c>
      <c r="E88" s="38" t="s">
        <v>413</v>
      </c>
      <c r="F88" s="38" t="s">
        <v>414</v>
      </c>
    </row>
    <row r="89">
      <c r="A89" s="39" t="s">
        <v>1930</v>
      </c>
      <c r="B89" s="39" t="s">
        <v>1931</v>
      </c>
      <c r="C89" s="39" t="s">
        <v>1932</v>
      </c>
      <c r="D89" s="39" t="s">
        <v>1933</v>
      </c>
      <c r="E89" s="39" t="s">
        <v>1934</v>
      </c>
      <c r="F89" s="39" t="s">
        <v>1935</v>
      </c>
    </row>
    <row r="90">
      <c r="A90" s="26" t="s">
        <v>1936</v>
      </c>
      <c r="B90" s="26" t="s">
        <v>1803</v>
      </c>
      <c r="C90" s="26" t="s">
        <v>1937</v>
      </c>
      <c r="D90" s="26" t="s">
        <v>1938</v>
      </c>
      <c r="E90" s="26" t="s">
        <v>1922</v>
      </c>
      <c r="F90" s="26" t="s">
        <v>1898</v>
      </c>
    </row>
    <row r="91">
      <c r="A91" s="26" t="s">
        <v>1939</v>
      </c>
      <c r="B91" s="26" t="s">
        <v>1939</v>
      </c>
      <c r="C91" s="26" t="s">
        <v>1939</v>
      </c>
      <c r="D91" s="26" t="s">
        <v>1939</v>
      </c>
      <c r="E91" s="26" t="s">
        <v>1939</v>
      </c>
      <c r="F91" s="26" t="s">
        <v>1939</v>
      </c>
    </row>
    <row r="92">
      <c r="A92" s="26" t="s">
        <v>1098</v>
      </c>
      <c r="B92" s="26" t="s">
        <v>1086</v>
      </c>
      <c r="C92" s="26" t="s">
        <v>1115</v>
      </c>
      <c r="D92" s="26" t="s">
        <v>1086</v>
      </c>
      <c r="E92" s="26" t="s">
        <v>1086</v>
      </c>
      <c r="F92" s="26" t="s">
        <v>1940</v>
      </c>
    </row>
    <row r="93">
      <c r="A93" s="26" t="s">
        <v>399</v>
      </c>
      <c r="B93" s="26" t="s">
        <v>1805</v>
      </c>
      <c r="C93" s="26" t="s">
        <v>404</v>
      </c>
      <c r="D93" s="26" t="s">
        <v>1941</v>
      </c>
      <c r="E93" s="26" t="s">
        <v>1942</v>
      </c>
      <c r="F93" s="26" t="s">
        <v>399</v>
      </c>
    </row>
    <row r="94">
      <c r="A94" s="26" t="s">
        <v>1086</v>
      </c>
      <c r="B94" s="26" t="s">
        <v>1943</v>
      </c>
      <c r="C94" s="26" t="s">
        <v>1944</v>
      </c>
      <c r="D94" s="26" t="s">
        <v>1943</v>
      </c>
      <c r="E94" s="26" t="s">
        <v>1879</v>
      </c>
      <c r="F94" s="26" t="s">
        <v>404</v>
      </c>
    </row>
    <row r="95">
      <c r="A95" s="26" t="s">
        <v>1945</v>
      </c>
      <c r="B95" s="26" t="s">
        <v>428</v>
      </c>
      <c r="C95" s="26" t="s">
        <v>1943</v>
      </c>
      <c r="D95" s="26" t="s">
        <v>401</v>
      </c>
      <c r="E95" s="26" t="s">
        <v>1943</v>
      </c>
      <c r="F95" s="26" t="s">
        <v>1946</v>
      </c>
    </row>
    <row r="96">
      <c r="A96" s="26" t="s">
        <v>1947</v>
      </c>
      <c r="B96" s="26" t="s">
        <v>442</v>
      </c>
      <c r="C96" s="26" t="s">
        <v>1948</v>
      </c>
      <c r="D96" s="26" t="s">
        <v>399</v>
      </c>
      <c r="E96" s="26" t="s">
        <v>1268</v>
      </c>
      <c r="F96" s="26" t="s">
        <v>1949</v>
      </c>
    </row>
    <row r="97">
      <c r="A97" s="26" t="s">
        <v>1950</v>
      </c>
      <c r="B97" s="26" t="s">
        <v>1951</v>
      </c>
      <c r="C97" s="26" t="s">
        <v>550</v>
      </c>
      <c r="D97" s="26" t="s">
        <v>1952</v>
      </c>
      <c r="E97" s="26" t="s">
        <v>1953</v>
      </c>
      <c r="F97" s="26" t="s">
        <v>1943</v>
      </c>
    </row>
    <row r="98">
      <c r="A98" s="26" t="s">
        <v>1943</v>
      </c>
      <c r="B98" s="26" t="s">
        <v>550</v>
      </c>
      <c r="D98" s="26" t="s">
        <v>441</v>
      </c>
      <c r="E98" s="26" t="s">
        <v>441</v>
      </c>
      <c r="F98" s="26" t="s">
        <v>436</v>
      </c>
    </row>
    <row r="99">
      <c r="A99" s="26" t="s">
        <v>788</v>
      </c>
      <c r="D99" s="26" t="s">
        <v>1954</v>
      </c>
      <c r="E99" s="26" t="s">
        <v>1268</v>
      </c>
      <c r="F99" s="26" t="s">
        <v>1955</v>
      </c>
    </row>
    <row r="100">
      <c r="A100" s="26" t="s">
        <v>1956</v>
      </c>
      <c r="D100" s="26" t="s">
        <v>550</v>
      </c>
      <c r="E100" s="26" t="s">
        <v>1957</v>
      </c>
      <c r="F100" s="26" t="s">
        <v>396</v>
      </c>
    </row>
    <row r="101">
      <c r="A101" s="26" t="s">
        <v>441</v>
      </c>
      <c r="D101" s="26" t="s">
        <v>1958</v>
      </c>
      <c r="E101" s="26" t="s">
        <v>425</v>
      </c>
      <c r="F101" s="26" t="s">
        <v>436</v>
      </c>
    </row>
    <row r="102">
      <c r="A102" s="26" t="s">
        <v>788</v>
      </c>
      <c r="D102" s="26" t="s">
        <v>550</v>
      </c>
      <c r="E102" s="26" t="s">
        <v>401</v>
      </c>
    </row>
    <row r="103">
      <c r="A103" s="26" t="s">
        <v>1959</v>
      </c>
      <c r="E103" s="26" t="s">
        <v>399</v>
      </c>
    </row>
    <row r="104">
      <c r="A104" s="26" t="s">
        <v>441</v>
      </c>
      <c r="E104" s="26" t="s">
        <v>1268</v>
      </c>
    </row>
    <row r="105">
      <c r="A105" s="26" t="s">
        <v>453</v>
      </c>
    </row>
    <row r="106">
      <c r="A106" s="26" t="s">
        <v>788</v>
      </c>
    </row>
    <row r="107">
      <c r="A107" s="26" t="s">
        <v>1960</v>
      </c>
    </row>
    <row r="108">
      <c r="A108" s="26" t="s">
        <v>550</v>
      </c>
    </row>
    <row r="109">
      <c r="A109" s="26" t="s">
        <v>788</v>
      </c>
    </row>
    <row r="110">
      <c r="A110" s="26" t="s">
        <v>1961</v>
      </c>
    </row>
    <row r="111">
      <c r="A111" s="26" t="s">
        <v>425</v>
      </c>
    </row>
    <row r="112">
      <c r="A112" s="26" t="s">
        <v>1962</v>
      </c>
    </row>
    <row r="113">
      <c r="A113" s="26" t="s">
        <v>788</v>
      </c>
    </row>
    <row r="114">
      <c r="A114" s="45" t="s">
        <v>1963</v>
      </c>
    </row>
    <row r="115">
      <c r="A115" s="40"/>
    </row>
    <row r="116">
      <c r="A116" s="21" t="s">
        <v>803</v>
      </c>
    </row>
    <row r="117">
      <c r="A117" s="21">
        <v>185700.0</v>
      </c>
    </row>
    <row r="118">
      <c r="A118" s="18">
        <v>2026.0</v>
      </c>
    </row>
    <row r="119">
      <c r="A119" s="43" t="s">
        <v>1964</v>
      </c>
    </row>
    <row r="120">
      <c r="A120" s="38" t="s">
        <v>457</v>
      </c>
      <c r="B120" s="38" t="s">
        <v>169</v>
      </c>
      <c r="C120" s="38" t="s">
        <v>458</v>
      </c>
      <c r="D120" s="38" t="s">
        <v>459</v>
      </c>
      <c r="E120" s="38" t="s">
        <v>164</v>
      </c>
      <c r="F120" s="38" t="s">
        <v>460</v>
      </c>
      <c r="G120" s="38" t="s">
        <v>157</v>
      </c>
      <c r="H120" s="38" t="s">
        <v>461</v>
      </c>
    </row>
    <row r="121">
      <c r="A121" s="44" t="s">
        <v>517</v>
      </c>
      <c r="B121" s="44" t="s">
        <v>1252</v>
      </c>
      <c r="C121" s="44" t="s">
        <v>1965</v>
      </c>
      <c r="D121" s="44" t="s">
        <v>1386</v>
      </c>
      <c r="E121" s="44" t="s">
        <v>1966</v>
      </c>
      <c r="F121" s="44" t="s">
        <v>517</v>
      </c>
      <c r="G121" s="44" t="s">
        <v>1967</v>
      </c>
      <c r="H121" s="44" t="s">
        <v>1968</v>
      </c>
    </row>
    <row r="122">
      <c r="B122" s="26" t="s">
        <v>1969</v>
      </c>
      <c r="C122" s="26" t="s">
        <v>1970</v>
      </c>
      <c r="D122" s="26" t="s">
        <v>1971</v>
      </c>
      <c r="E122" s="26" t="s">
        <v>1922</v>
      </c>
      <c r="G122" s="26" t="s">
        <v>1809</v>
      </c>
      <c r="H122" s="26" t="s">
        <v>1972</v>
      </c>
    </row>
    <row r="123">
      <c r="B123" s="26" t="s">
        <v>651</v>
      </c>
      <c r="C123" s="26" t="s">
        <v>1283</v>
      </c>
      <c r="D123" s="26" t="s">
        <v>400</v>
      </c>
      <c r="E123" s="26" t="s">
        <v>424</v>
      </c>
      <c r="G123" s="26" t="s">
        <v>580</v>
      </c>
      <c r="H123" s="26" t="s">
        <v>426</v>
      </c>
    </row>
    <row r="124">
      <c r="B124" s="26" t="s">
        <v>496</v>
      </c>
      <c r="C124" s="26" t="s">
        <v>355</v>
      </c>
      <c r="D124" s="26" t="s">
        <v>280</v>
      </c>
      <c r="E124" s="26" t="s">
        <v>1973</v>
      </c>
      <c r="G124" s="26" t="s">
        <v>475</v>
      </c>
    </row>
    <row r="125">
      <c r="B125" s="26" t="s">
        <v>1974</v>
      </c>
      <c r="E125" s="26" t="s">
        <v>1975</v>
      </c>
      <c r="G125" s="26" t="s">
        <v>355</v>
      </c>
    </row>
    <row r="126">
      <c r="B126" s="26" t="s">
        <v>400</v>
      </c>
      <c r="E126" s="26" t="s">
        <v>505</v>
      </c>
      <c r="G126" s="26" t="s">
        <v>1976</v>
      </c>
    </row>
    <row r="127">
      <c r="B127" s="26" t="s">
        <v>496</v>
      </c>
      <c r="E127" s="26" t="s">
        <v>1879</v>
      </c>
      <c r="G127" s="26" t="s">
        <v>509</v>
      </c>
    </row>
    <row r="128">
      <c r="B128" s="26" t="s">
        <v>1977</v>
      </c>
      <c r="E128" s="26" t="s">
        <v>1398</v>
      </c>
      <c r="G128" s="26" t="s">
        <v>1978</v>
      </c>
    </row>
    <row r="129">
      <c r="B129" s="26" t="s">
        <v>394</v>
      </c>
      <c r="E129" s="26" t="s">
        <v>505</v>
      </c>
      <c r="G129" s="26" t="s">
        <v>400</v>
      </c>
    </row>
    <row r="130">
      <c r="B130" s="26" t="s">
        <v>1127</v>
      </c>
      <c r="E130" s="26" t="s">
        <v>1979</v>
      </c>
      <c r="G130" s="26" t="s">
        <v>509</v>
      </c>
    </row>
    <row r="131">
      <c r="B131" s="26" t="s">
        <v>496</v>
      </c>
      <c r="E131" s="26" t="s">
        <v>580</v>
      </c>
    </row>
    <row r="132">
      <c r="B132" s="26" t="s">
        <v>1980</v>
      </c>
      <c r="E132" s="26" t="s">
        <v>1127</v>
      </c>
    </row>
    <row r="133">
      <c r="B133" s="26" t="s">
        <v>400</v>
      </c>
      <c r="E133" s="26" t="s">
        <v>505</v>
      </c>
    </row>
    <row r="134">
      <c r="B134" s="26" t="s">
        <v>496</v>
      </c>
      <c r="E134" s="26" t="s">
        <v>1884</v>
      </c>
    </row>
    <row r="135">
      <c r="E135" s="26" t="s">
        <v>450</v>
      </c>
    </row>
    <row r="136">
      <c r="E136" s="26" t="s">
        <v>303</v>
      </c>
    </row>
    <row r="137">
      <c r="E137" s="26" t="s">
        <v>355</v>
      </c>
    </row>
    <row r="138">
      <c r="E138" s="26" t="s">
        <v>505</v>
      </c>
    </row>
    <row r="139">
      <c r="E139" s="26" t="s">
        <v>1981</v>
      </c>
    </row>
    <row r="140">
      <c r="E140" s="26" t="s">
        <v>425</v>
      </c>
    </row>
    <row r="141">
      <c r="E141" s="26" t="s">
        <v>505</v>
      </c>
    </row>
    <row r="151">
      <c r="A151" s="46" t="s">
        <v>825</v>
      </c>
    </row>
    <row r="152">
      <c r="A152" s="46">
        <f>A155</f>
        <v>124620</v>
      </c>
    </row>
    <row r="153">
      <c r="A153" s="46">
        <v>2026.0</v>
      </c>
    </row>
    <row r="154">
      <c r="A154" s="46" t="s">
        <v>554</v>
      </c>
    </row>
    <row r="155">
      <c r="A155" s="46">
        <f>A158+B158+C158+D158+E158+F158+G158+H158</f>
        <v>124620</v>
      </c>
    </row>
    <row r="156">
      <c r="A156" s="38" t="s">
        <v>512</v>
      </c>
      <c r="B156" s="38" t="s">
        <v>513</v>
      </c>
      <c r="C156" s="38" t="s">
        <v>196</v>
      </c>
      <c r="D156" s="38" t="s">
        <v>514</v>
      </c>
      <c r="E156" s="38" t="s">
        <v>182</v>
      </c>
      <c r="F156" s="38" t="s">
        <v>515</v>
      </c>
      <c r="G156" s="38" t="s">
        <v>516</v>
      </c>
      <c r="H156" s="38" t="s">
        <v>185</v>
      </c>
    </row>
    <row r="157">
      <c r="A157" s="47" t="s">
        <v>517</v>
      </c>
      <c r="B157" s="47" t="s">
        <v>517</v>
      </c>
      <c r="C157" s="47" t="s">
        <v>517</v>
      </c>
      <c r="D157" s="47" t="s">
        <v>517</v>
      </c>
      <c r="E157" s="47" t="s">
        <v>517</v>
      </c>
      <c r="F157" s="47" t="s">
        <v>517</v>
      </c>
      <c r="G157" s="47" t="s">
        <v>517</v>
      </c>
      <c r="H157" s="47" t="s">
        <v>517</v>
      </c>
    </row>
    <row r="158">
      <c r="A158" s="38">
        <v>15750.0</v>
      </c>
      <c r="B158" s="38">
        <v>11750.0</v>
      </c>
      <c r="C158" s="38">
        <v>36220.0</v>
      </c>
      <c r="D158" s="38">
        <v>4750.0</v>
      </c>
      <c r="E158" s="38">
        <v>0.0</v>
      </c>
      <c r="F158" s="38">
        <v>2000.0</v>
      </c>
      <c r="G158" s="38">
        <v>12000.0</v>
      </c>
      <c r="H158" s="38">
        <v>42150.0</v>
      </c>
    </row>
    <row r="159">
      <c r="A159" s="26" t="s">
        <v>1924</v>
      </c>
      <c r="B159" s="26" t="s">
        <v>1923</v>
      </c>
      <c r="C159" s="26" t="s">
        <v>1982</v>
      </c>
      <c r="D159" s="26" t="s">
        <v>1983</v>
      </c>
      <c r="F159" s="26" t="s">
        <v>1984</v>
      </c>
      <c r="G159" s="26" t="s">
        <v>1938</v>
      </c>
      <c r="H159" s="26" t="s">
        <v>1922</v>
      </c>
    </row>
    <row r="160">
      <c r="A160" s="26" t="s">
        <v>1315</v>
      </c>
      <c r="B160" s="26" t="s">
        <v>544</v>
      </c>
      <c r="C160" s="26" t="s">
        <v>569</v>
      </c>
      <c r="D160" s="26" t="s">
        <v>550</v>
      </c>
      <c r="F160" s="26" t="s">
        <v>550</v>
      </c>
      <c r="G160" s="26" t="s">
        <v>1398</v>
      </c>
      <c r="H160" s="26" t="s">
        <v>1149</v>
      </c>
    </row>
    <row r="161">
      <c r="A161" s="26" t="s">
        <v>530</v>
      </c>
      <c r="B161" s="26" t="s">
        <v>531</v>
      </c>
      <c r="C161" s="26" t="s">
        <v>527</v>
      </c>
      <c r="D161" s="26" t="s">
        <v>1298</v>
      </c>
      <c r="H161" s="26" t="s">
        <v>526</v>
      </c>
    </row>
    <row r="162">
      <c r="B162" s="26" t="s">
        <v>1985</v>
      </c>
      <c r="C162" s="26" t="s">
        <v>535</v>
      </c>
      <c r="D162" s="26" t="s">
        <v>550</v>
      </c>
      <c r="H162" s="26" t="s">
        <v>531</v>
      </c>
    </row>
    <row r="163">
      <c r="B163" s="26" t="s">
        <v>400</v>
      </c>
      <c r="C163" s="26" t="s">
        <v>1986</v>
      </c>
      <c r="D163" s="26" t="s">
        <v>531</v>
      </c>
      <c r="H163" s="26" t="s">
        <v>541</v>
      </c>
    </row>
    <row r="164">
      <c r="C164" s="26" t="s">
        <v>441</v>
      </c>
      <c r="H164" s="26" t="s">
        <v>1941</v>
      </c>
    </row>
    <row r="165">
      <c r="C165" s="26" t="s">
        <v>527</v>
      </c>
      <c r="H165" s="26" t="s">
        <v>426</v>
      </c>
    </row>
    <row r="166">
      <c r="C166" s="26" t="s">
        <v>531</v>
      </c>
      <c r="H166" s="26" t="s">
        <v>541</v>
      </c>
    </row>
    <row r="167">
      <c r="C167" s="26" t="s">
        <v>535</v>
      </c>
    </row>
    <row r="168">
      <c r="C168" s="26" t="s">
        <v>1987</v>
      </c>
    </row>
    <row r="169">
      <c r="C169" s="26" t="s">
        <v>400</v>
      </c>
    </row>
    <row r="170">
      <c r="C170" s="26" t="s">
        <v>535</v>
      </c>
    </row>
    <row r="171">
      <c r="C171" s="26" t="s">
        <v>1988</v>
      </c>
    </row>
    <row r="172">
      <c r="C172" s="26" t="s">
        <v>425</v>
      </c>
    </row>
    <row r="173">
      <c r="C173" s="26" t="s">
        <v>531</v>
      </c>
    </row>
    <row r="174">
      <c r="C174" s="26" t="s">
        <v>535</v>
      </c>
    </row>
    <row r="178">
      <c r="A178" s="49" t="s">
        <v>553</v>
      </c>
    </row>
    <row r="179">
      <c r="A179" s="49">
        <f>A182</f>
        <v>208900</v>
      </c>
    </row>
    <row r="180">
      <c r="A180" s="49">
        <v>2026.0</v>
      </c>
    </row>
    <row r="181">
      <c r="A181" s="49" t="s">
        <v>554</v>
      </c>
    </row>
    <row r="182">
      <c r="A182" s="50">
        <f>A185+B185+C185+D185+E185+F185+G185+H185+I185+J185</f>
        <v>208900</v>
      </c>
    </row>
    <row r="183">
      <c r="A183" s="51" t="s">
        <v>555</v>
      </c>
      <c r="B183" s="51" t="s">
        <v>556</v>
      </c>
      <c r="C183" s="51" t="s">
        <v>557</v>
      </c>
      <c r="D183" s="51" t="s">
        <v>558</v>
      </c>
      <c r="E183" s="51" t="s">
        <v>559</v>
      </c>
      <c r="F183" s="51" t="s">
        <v>560</v>
      </c>
      <c r="G183" s="51" t="s">
        <v>561</v>
      </c>
      <c r="H183" s="51" t="s">
        <v>562</v>
      </c>
      <c r="I183" s="52" t="s">
        <v>563</v>
      </c>
      <c r="J183" s="52" t="s">
        <v>564</v>
      </c>
    </row>
    <row r="184">
      <c r="A184" s="47" t="s">
        <v>517</v>
      </c>
      <c r="B184" s="47" t="s">
        <v>517</v>
      </c>
      <c r="C184" s="47" t="s">
        <v>517</v>
      </c>
      <c r="D184" s="47" t="s">
        <v>517</v>
      </c>
      <c r="E184" s="47" t="s">
        <v>517</v>
      </c>
      <c r="F184" s="47" t="s">
        <v>517</v>
      </c>
      <c r="G184" s="47" t="s">
        <v>517</v>
      </c>
      <c r="H184" s="47" t="s">
        <v>517</v>
      </c>
      <c r="I184" s="47" t="s">
        <v>517</v>
      </c>
      <c r="J184" s="47" t="s">
        <v>517</v>
      </c>
    </row>
    <row r="185">
      <c r="A185" s="38">
        <v>0.0</v>
      </c>
      <c r="B185" s="38">
        <v>0.0</v>
      </c>
      <c r="C185" s="38">
        <v>29500.0</v>
      </c>
      <c r="D185" s="38">
        <v>32000.0</v>
      </c>
      <c r="E185" s="38">
        <v>37900.0</v>
      </c>
      <c r="F185" s="38">
        <v>46000.0</v>
      </c>
      <c r="G185" s="38">
        <v>30000.0</v>
      </c>
      <c r="H185" s="38">
        <v>33500.0</v>
      </c>
      <c r="I185" s="38">
        <v>0.0</v>
      </c>
      <c r="J185" s="38">
        <v>0.0</v>
      </c>
    </row>
    <row r="186">
      <c r="C186" s="48" t="s">
        <v>1923</v>
      </c>
      <c r="D186" s="26" t="s">
        <v>1989</v>
      </c>
      <c r="E186" s="26" t="s">
        <v>1972</v>
      </c>
      <c r="F186" s="26" t="s">
        <v>1990</v>
      </c>
      <c r="G186" s="26" t="s">
        <v>1924</v>
      </c>
      <c r="H186" s="26" t="s">
        <v>1922</v>
      </c>
    </row>
    <row r="187">
      <c r="C187" s="48" t="s">
        <v>570</v>
      </c>
      <c r="D187" s="26" t="s">
        <v>593</v>
      </c>
      <c r="E187" s="26" t="s">
        <v>544</v>
      </c>
      <c r="F187" s="26" t="s">
        <v>593</v>
      </c>
      <c r="G187" s="26" t="s">
        <v>885</v>
      </c>
      <c r="H187" s="26" t="s">
        <v>570</v>
      </c>
    </row>
    <row r="188">
      <c r="C188" s="48" t="s">
        <v>1298</v>
      </c>
      <c r="D188" s="26" t="s">
        <v>848</v>
      </c>
      <c r="E188" s="26" t="s">
        <v>1986</v>
      </c>
      <c r="F188" s="26" t="s">
        <v>1903</v>
      </c>
      <c r="H188" s="26" t="s">
        <v>1950</v>
      </c>
    </row>
    <row r="189">
      <c r="C189" s="48" t="s">
        <v>396</v>
      </c>
      <c r="D189" s="26" t="s">
        <v>579</v>
      </c>
      <c r="E189" s="26" t="s">
        <v>394</v>
      </c>
      <c r="F189" s="26" t="s">
        <v>591</v>
      </c>
      <c r="H189" s="26" t="s">
        <v>888</v>
      </c>
    </row>
    <row r="190">
      <c r="C190" s="48" t="s">
        <v>1991</v>
      </c>
      <c r="D190" s="26" t="s">
        <v>1992</v>
      </c>
      <c r="E190" s="26" t="s">
        <v>1993</v>
      </c>
      <c r="F190" s="26" t="s">
        <v>1994</v>
      </c>
    </row>
    <row r="191">
      <c r="D191" s="26" t="s">
        <v>502</v>
      </c>
      <c r="E191" s="26" t="s">
        <v>610</v>
      </c>
      <c r="F191" s="26" t="s">
        <v>425</v>
      </c>
    </row>
    <row r="192">
      <c r="D192" s="26" t="s">
        <v>1995</v>
      </c>
      <c r="E192" s="26" t="s">
        <v>1988</v>
      </c>
      <c r="F192" s="26" t="s">
        <v>1996</v>
      </c>
    </row>
    <row r="193">
      <c r="D193" s="26" t="s">
        <v>550</v>
      </c>
      <c r="E193" s="26" t="s">
        <v>425</v>
      </c>
      <c r="F193" s="26" t="s">
        <v>425</v>
      </c>
    </row>
    <row r="194">
      <c r="E194" s="26" t="s">
        <v>1997</v>
      </c>
    </row>
    <row r="195">
      <c r="E195" s="26" t="s">
        <v>491</v>
      </c>
    </row>
    <row r="196">
      <c r="E196" s="26" t="s">
        <v>1998</v>
      </c>
    </row>
    <row r="197">
      <c r="E197" s="26" t="s">
        <v>865</v>
      </c>
    </row>
    <row r="198">
      <c r="A198" s="53" t="s">
        <v>596</v>
      </c>
    </row>
    <row r="199">
      <c r="A199" s="54" t="s">
        <v>597</v>
      </c>
    </row>
    <row r="200">
      <c r="A200" s="54">
        <f>A203</f>
        <v>170500</v>
      </c>
    </row>
    <row r="201">
      <c r="A201" s="54">
        <v>2026.0</v>
      </c>
    </row>
    <row r="202">
      <c r="A202" s="54" t="s">
        <v>554</v>
      </c>
    </row>
    <row r="203">
      <c r="A203" s="55">
        <f>A206+B206+C206+D206+E206+F206+G206+H206+I206+J206</f>
        <v>170500</v>
      </c>
    </row>
    <row r="204">
      <c r="A204" s="38" t="s">
        <v>598</v>
      </c>
      <c r="B204" s="38" t="s">
        <v>599</v>
      </c>
      <c r="C204" s="38" t="s">
        <v>600</v>
      </c>
      <c r="D204" s="38" t="s">
        <v>601</v>
      </c>
      <c r="E204" s="38" t="s">
        <v>602</v>
      </c>
      <c r="F204" s="38" t="s">
        <v>603</v>
      </c>
      <c r="G204" s="51" t="s">
        <v>604</v>
      </c>
      <c r="H204" s="56" t="s">
        <v>605</v>
      </c>
      <c r="I204" s="56" t="s">
        <v>606</v>
      </c>
      <c r="J204" s="56" t="s">
        <v>607</v>
      </c>
    </row>
    <row r="205">
      <c r="A205" s="47" t="s">
        <v>517</v>
      </c>
      <c r="B205" s="47" t="s">
        <v>517</v>
      </c>
      <c r="C205" s="47" t="s">
        <v>517</v>
      </c>
      <c r="D205" s="47" t="s">
        <v>517</v>
      </c>
      <c r="E205" s="47" t="s">
        <v>517</v>
      </c>
      <c r="F205" s="47" t="s">
        <v>517</v>
      </c>
      <c r="G205" s="47" t="s">
        <v>517</v>
      </c>
      <c r="H205" s="30" t="s">
        <v>517</v>
      </c>
      <c r="I205" s="30" t="s">
        <v>517</v>
      </c>
      <c r="J205" s="30" t="s">
        <v>517</v>
      </c>
    </row>
    <row r="206">
      <c r="A206" s="38">
        <v>1000.0</v>
      </c>
      <c r="B206" s="38"/>
      <c r="C206" s="38">
        <v>35000.0</v>
      </c>
      <c r="D206" s="38">
        <v>97500.0</v>
      </c>
      <c r="E206" s="38"/>
      <c r="F206" s="38"/>
      <c r="G206" s="38"/>
      <c r="H206" s="38">
        <v>31500.0</v>
      </c>
      <c r="I206" s="38">
        <v>5500.0</v>
      </c>
      <c r="J206" s="38"/>
    </row>
    <row r="207">
      <c r="A207" s="26" t="s">
        <v>1971</v>
      </c>
      <c r="C207" s="26" t="s">
        <v>1999</v>
      </c>
      <c r="D207" s="26" t="s">
        <v>1922</v>
      </c>
      <c r="H207" s="26" t="s">
        <v>1972</v>
      </c>
      <c r="I207" s="26" t="s">
        <v>1990</v>
      </c>
    </row>
    <row r="208">
      <c r="A208" s="26" t="s">
        <v>400</v>
      </c>
      <c r="C208" s="26" t="s">
        <v>400</v>
      </c>
      <c r="D208" s="26" t="s">
        <v>612</v>
      </c>
      <c r="H208" s="26" t="s">
        <v>1327</v>
      </c>
      <c r="I208" s="26" t="s">
        <v>441</v>
      </c>
    </row>
    <row r="209">
      <c r="C209" s="26" t="s">
        <v>2000</v>
      </c>
      <c r="D209" s="26" t="s">
        <v>1879</v>
      </c>
      <c r="H209" s="26" t="s">
        <v>614</v>
      </c>
      <c r="I209" s="26" t="s">
        <v>621</v>
      </c>
    </row>
    <row r="210">
      <c r="C210" s="26" t="s">
        <v>1308</v>
      </c>
      <c r="D210" s="26" t="s">
        <v>876</v>
      </c>
      <c r="H210" s="26" t="s">
        <v>615</v>
      </c>
      <c r="I210" s="26" t="s">
        <v>2001</v>
      </c>
    </row>
    <row r="211">
      <c r="C211" s="26" t="s">
        <v>2002</v>
      </c>
      <c r="D211" s="26" t="s">
        <v>614</v>
      </c>
      <c r="H211" s="26" t="s">
        <v>2003</v>
      </c>
      <c r="I211" s="26" t="s">
        <v>400</v>
      </c>
    </row>
    <row r="212">
      <c r="C212" s="26" t="s">
        <v>1770</v>
      </c>
      <c r="D212" s="26" t="s">
        <v>2004</v>
      </c>
      <c r="H212" s="26" t="s">
        <v>550</v>
      </c>
    </row>
    <row r="213">
      <c r="D213" s="26" t="s">
        <v>1877</v>
      </c>
    </row>
    <row r="214">
      <c r="D214" s="26" t="s">
        <v>400</v>
      </c>
    </row>
    <row r="215">
      <c r="D215" s="26" t="s">
        <v>2005</v>
      </c>
    </row>
    <row r="216">
      <c r="D216" s="26" t="s">
        <v>407</v>
      </c>
    </row>
    <row r="217">
      <c r="D217" s="26" t="s">
        <v>2006</v>
      </c>
    </row>
    <row r="218">
      <c r="D218" s="26" t="s">
        <v>400</v>
      </c>
    </row>
    <row r="219">
      <c r="D219" s="26" t="s">
        <v>2007</v>
      </c>
    </row>
    <row r="220">
      <c r="D220" s="26" t="s">
        <v>400</v>
      </c>
    </row>
    <row r="224">
      <c r="A224" s="57" t="s">
        <v>638</v>
      </c>
    </row>
    <row r="225">
      <c r="A225" s="57">
        <f>A228</f>
        <v>72000</v>
      </c>
    </row>
    <row r="226">
      <c r="A226" s="57">
        <v>2026.0</v>
      </c>
    </row>
    <row r="227">
      <c r="A227" s="57" t="s">
        <v>554</v>
      </c>
    </row>
    <row r="228">
      <c r="A228" s="57">
        <f>A231+B231+C231+D231+E231+F231+G231+H231</f>
        <v>72000</v>
      </c>
    </row>
    <row r="229">
      <c r="A229" s="38" t="s">
        <v>639</v>
      </c>
      <c r="B229" s="38" t="s">
        <v>640</v>
      </c>
      <c r="C229" s="38" t="s">
        <v>641</v>
      </c>
      <c r="D229" s="38" t="s">
        <v>642</v>
      </c>
      <c r="E229" s="38" t="s">
        <v>643</v>
      </c>
      <c r="F229" s="38" t="s">
        <v>644</v>
      </c>
      <c r="G229" s="38" t="s">
        <v>645</v>
      </c>
      <c r="H229" s="38" t="s">
        <v>646</v>
      </c>
    </row>
    <row r="230">
      <c r="A230" s="47" t="s">
        <v>517</v>
      </c>
      <c r="B230" s="47" t="s">
        <v>517</v>
      </c>
      <c r="C230" s="47" t="s">
        <v>517</v>
      </c>
      <c r="D230" s="47" t="s">
        <v>517</v>
      </c>
      <c r="E230" s="47" t="s">
        <v>517</v>
      </c>
      <c r="F230" s="47" t="s">
        <v>517</v>
      </c>
      <c r="G230" s="47" t="s">
        <v>517</v>
      </c>
      <c r="H230" s="47" t="s">
        <v>517</v>
      </c>
    </row>
    <row r="231">
      <c r="A231" s="38">
        <v>16000.0</v>
      </c>
      <c r="B231" s="38">
        <v>0.0</v>
      </c>
      <c r="C231" s="38">
        <v>0.0</v>
      </c>
      <c r="D231" s="38">
        <v>9000.0</v>
      </c>
      <c r="E231" s="38">
        <v>4000.0</v>
      </c>
      <c r="F231" s="38">
        <v>2000.0</v>
      </c>
      <c r="G231" s="38">
        <v>41000.0</v>
      </c>
      <c r="H231" s="38">
        <v>0.0</v>
      </c>
    </row>
    <row r="232">
      <c r="A232" s="26" t="s">
        <v>1809</v>
      </c>
      <c r="D232" s="26" t="s">
        <v>1982</v>
      </c>
      <c r="E232" s="26" t="s">
        <v>1984</v>
      </c>
      <c r="F232" s="26" t="s">
        <v>2008</v>
      </c>
      <c r="G232" s="26" t="s">
        <v>1972</v>
      </c>
    </row>
    <row r="233">
      <c r="A233" s="26" t="s">
        <v>1149</v>
      </c>
      <c r="D233" s="26" t="s">
        <v>611</v>
      </c>
      <c r="E233" s="26" t="s">
        <v>400</v>
      </c>
      <c r="F233" s="26" t="s">
        <v>400</v>
      </c>
      <c r="G233" s="26" t="s">
        <v>400</v>
      </c>
    </row>
    <row r="234">
      <c r="E234" s="26" t="s">
        <v>1879</v>
      </c>
      <c r="F234" s="26" t="s">
        <v>2009</v>
      </c>
      <c r="G234" s="26" t="s">
        <v>2010</v>
      </c>
    </row>
    <row r="235">
      <c r="E235" s="26" t="s">
        <v>550</v>
      </c>
      <c r="F235" s="26" t="s">
        <v>400</v>
      </c>
      <c r="G235" s="26" t="s">
        <v>616</v>
      </c>
    </row>
    <row r="236">
      <c r="E236" s="26" t="s">
        <v>1877</v>
      </c>
    </row>
    <row r="237">
      <c r="E237" s="26" t="s">
        <v>400</v>
      </c>
    </row>
  </sheetData>
  <mergeCells count="48"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27:H227"/>
    <mergeCell ref="A228:H228"/>
    <mergeCell ref="A200:J200"/>
    <mergeCell ref="A201:J201"/>
    <mergeCell ref="A202:J202"/>
    <mergeCell ref="A203:J203"/>
    <mergeCell ref="A224:H224"/>
    <mergeCell ref="A225:H225"/>
    <mergeCell ref="A226:H226"/>
    <mergeCell ref="L6:N6"/>
    <mergeCell ref="L7:N7"/>
    <mergeCell ref="L8:N8"/>
    <mergeCell ref="L5:N5"/>
    <mergeCell ref="A1:N1"/>
    <mergeCell ref="A2:N2"/>
    <mergeCell ref="A3:N3"/>
    <mergeCell ref="A4:N4"/>
    <mergeCell ref="I5:K5"/>
    <mergeCell ref="I6:K6"/>
    <mergeCell ref="A68:E68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27.2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</cols>
  <sheetData>
    <row r="1">
      <c r="A1" s="98" t="s">
        <v>2011</v>
      </c>
    </row>
    <row r="2">
      <c r="A2" s="98" t="s">
        <v>2012</v>
      </c>
    </row>
    <row r="3">
      <c r="A3" s="99" t="s">
        <v>199</v>
      </c>
    </row>
    <row r="4">
      <c r="A4" s="116">
        <f>100000+B6+C6+D6+E6+G6+H6+I6+J6+A46+M6</f>
        <v>568385</v>
      </c>
    </row>
    <row r="5">
      <c r="A5" s="47" t="s">
        <v>200</v>
      </c>
      <c r="B5" s="47" t="s">
        <v>655</v>
      </c>
      <c r="C5" s="47" t="s">
        <v>1157</v>
      </c>
      <c r="D5" s="47" t="s">
        <v>2013</v>
      </c>
      <c r="E5" s="47" t="s">
        <v>891</v>
      </c>
      <c r="F5" s="47" t="s">
        <v>657</v>
      </c>
      <c r="G5" s="47" t="s">
        <v>893</v>
      </c>
      <c r="H5" s="47" t="s">
        <v>1431</v>
      </c>
      <c r="I5" s="47" t="s">
        <v>1159</v>
      </c>
      <c r="J5" s="47" t="s">
        <v>209</v>
      </c>
      <c r="M5" s="47" t="s">
        <v>660</v>
      </c>
    </row>
    <row r="6">
      <c r="A6" s="26" t="s">
        <v>2014</v>
      </c>
      <c r="B6" s="117">
        <v>-60000.0</v>
      </c>
      <c r="C6" s="117">
        <v>4000.0</v>
      </c>
      <c r="D6" s="117">
        <v>26250.0</v>
      </c>
      <c r="E6" s="117">
        <v>-500.0</v>
      </c>
      <c r="F6" s="26" t="s">
        <v>2015</v>
      </c>
      <c r="G6" s="117">
        <v>36100.0</v>
      </c>
      <c r="H6" s="117">
        <v>15000.0</v>
      </c>
      <c r="I6" s="117">
        <v>0.0</v>
      </c>
      <c r="J6" s="117">
        <v>38000.0</v>
      </c>
      <c r="M6" s="118">
        <f>M8</f>
        <v>0</v>
      </c>
    </row>
    <row r="7">
      <c r="A7" s="26" t="s">
        <v>2016</v>
      </c>
      <c r="B7" s="79" t="s">
        <v>214</v>
      </c>
      <c r="C7" s="4" t="s">
        <v>2017</v>
      </c>
      <c r="D7" s="26" t="s">
        <v>2018</v>
      </c>
      <c r="E7" s="26" t="s">
        <v>2019</v>
      </c>
      <c r="F7" s="26" t="s">
        <v>2020</v>
      </c>
      <c r="G7" s="26" t="s">
        <v>222</v>
      </c>
      <c r="H7" s="26" t="s">
        <v>2021</v>
      </c>
      <c r="J7" s="26" t="s">
        <v>222</v>
      </c>
      <c r="K7" s="26" t="s">
        <v>2022</v>
      </c>
      <c r="L7" s="26" t="s">
        <v>224</v>
      </c>
      <c r="M7" s="47" t="s">
        <v>225</v>
      </c>
    </row>
    <row r="8">
      <c r="A8" s="26" t="s">
        <v>2023</v>
      </c>
      <c r="B8" s="4" t="s">
        <v>26</v>
      </c>
      <c r="C8" s="4" t="s">
        <v>2024</v>
      </c>
      <c r="D8" s="26" t="s">
        <v>2025</v>
      </c>
      <c r="F8" s="26" t="s">
        <v>2026</v>
      </c>
      <c r="G8" s="26" t="s">
        <v>2027</v>
      </c>
      <c r="H8" s="26" t="s">
        <v>2028</v>
      </c>
      <c r="J8" s="26" t="s">
        <v>2029</v>
      </c>
      <c r="K8" s="26" t="s">
        <v>2030</v>
      </c>
      <c r="L8" s="26" t="s">
        <v>2031</v>
      </c>
      <c r="M8" s="119">
        <v>0.0</v>
      </c>
    </row>
    <row r="9">
      <c r="A9" s="26" t="s">
        <v>2032</v>
      </c>
      <c r="B9" s="4" t="s">
        <v>40</v>
      </c>
      <c r="C9" s="4" t="s">
        <v>2033</v>
      </c>
      <c r="D9" s="26" t="s">
        <v>375</v>
      </c>
      <c r="F9" s="26" t="s">
        <v>2034</v>
      </c>
      <c r="G9" s="26" t="s">
        <v>2035</v>
      </c>
      <c r="H9" s="26" t="s">
        <v>2036</v>
      </c>
      <c r="J9" s="26" t="s">
        <v>2018</v>
      </c>
      <c r="K9" s="26" t="s">
        <v>2037</v>
      </c>
      <c r="L9" s="26" t="s">
        <v>2038</v>
      </c>
    </row>
    <row r="10">
      <c r="A10" s="26" t="s">
        <v>2039</v>
      </c>
      <c r="B10" s="79" t="s">
        <v>36</v>
      </c>
      <c r="C10" s="4" t="s">
        <v>2040</v>
      </c>
      <c r="D10" s="26" t="s">
        <v>2041</v>
      </c>
      <c r="F10" s="26" t="s">
        <v>2042</v>
      </c>
      <c r="G10" s="26" t="s">
        <v>1238</v>
      </c>
      <c r="H10" s="26" t="s">
        <v>2043</v>
      </c>
      <c r="J10" s="26" t="s">
        <v>260</v>
      </c>
      <c r="K10" s="26" t="s">
        <v>2044</v>
      </c>
      <c r="L10" s="26" t="s">
        <v>2045</v>
      </c>
    </row>
    <row r="11">
      <c r="A11" s="26" t="s">
        <v>2046</v>
      </c>
      <c r="B11" s="4" t="s">
        <v>49</v>
      </c>
      <c r="C11" s="4" t="s">
        <v>2047</v>
      </c>
      <c r="D11" s="26" t="s">
        <v>943</v>
      </c>
      <c r="F11" s="26" t="s">
        <v>2048</v>
      </c>
      <c r="G11" s="26" t="s">
        <v>1245</v>
      </c>
      <c r="H11" s="44" t="s">
        <v>2049</v>
      </c>
      <c r="J11" s="26" t="s">
        <v>988</v>
      </c>
      <c r="K11" s="26" t="s">
        <v>928</v>
      </c>
      <c r="L11" s="26" t="s">
        <v>2050</v>
      </c>
    </row>
    <row r="12">
      <c r="A12" s="26" t="s">
        <v>2051</v>
      </c>
      <c r="B12" s="79" t="s">
        <v>56</v>
      </c>
      <c r="C12" s="26" t="s">
        <v>2052</v>
      </c>
      <c r="D12" s="26" t="s">
        <v>2053</v>
      </c>
      <c r="F12" s="26" t="s">
        <v>2054</v>
      </c>
      <c r="G12" s="26" t="s">
        <v>260</v>
      </c>
      <c r="H12" s="26" t="s">
        <v>2055</v>
      </c>
      <c r="J12" s="26" t="s">
        <v>2056</v>
      </c>
      <c r="K12" s="26" t="s">
        <v>2057</v>
      </c>
      <c r="L12" s="26" t="s">
        <v>2058</v>
      </c>
    </row>
    <row r="13">
      <c r="A13" s="26" t="s">
        <v>2059</v>
      </c>
      <c r="B13" s="4" t="s">
        <v>49</v>
      </c>
      <c r="C13" s="26" t="s">
        <v>2060</v>
      </c>
      <c r="D13" s="26" t="s">
        <v>732</v>
      </c>
      <c r="G13" s="26" t="s">
        <v>947</v>
      </c>
      <c r="H13" s="26" t="s">
        <v>2061</v>
      </c>
      <c r="J13" s="26" t="s">
        <v>703</v>
      </c>
      <c r="K13" s="26" t="s">
        <v>2062</v>
      </c>
    </row>
    <row r="14">
      <c r="A14" s="26" t="s">
        <v>2063</v>
      </c>
      <c r="C14" s="26" t="s">
        <v>2064</v>
      </c>
      <c r="D14" s="26" t="s">
        <v>2065</v>
      </c>
      <c r="G14" s="26" t="s">
        <v>2066</v>
      </c>
      <c r="H14" s="26" t="s">
        <v>2067</v>
      </c>
      <c r="J14" s="26" t="s">
        <v>1015</v>
      </c>
      <c r="K14" s="26" t="s">
        <v>1600</v>
      </c>
    </row>
    <row r="15">
      <c r="A15" s="26" t="s">
        <v>2068</v>
      </c>
      <c r="C15" s="26" t="s">
        <v>2069</v>
      </c>
      <c r="D15" s="26" t="s">
        <v>2070</v>
      </c>
      <c r="G15" s="26" t="s">
        <v>2071</v>
      </c>
      <c r="J15" s="26" t="s">
        <v>2072</v>
      </c>
      <c r="K15" s="26" t="s">
        <v>719</v>
      </c>
    </row>
    <row r="16">
      <c r="A16" s="26" t="s">
        <v>2073</v>
      </c>
      <c r="C16" s="26" t="s">
        <v>2074</v>
      </c>
      <c r="D16" s="26" t="s">
        <v>2075</v>
      </c>
      <c r="G16" s="120" t="s">
        <v>2076</v>
      </c>
      <c r="J16" s="26" t="s">
        <v>260</v>
      </c>
    </row>
    <row r="17">
      <c r="A17" s="26" t="s">
        <v>2077</v>
      </c>
      <c r="C17" s="26" t="s">
        <v>697</v>
      </c>
      <c r="D17" s="26" t="s">
        <v>2070</v>
      </c>
      <c r="J17" s="26" t="s">
        <v>2078</v>
      </c>
    </row>
    <row r="18">
      <c r="A18" s="26" t="s">
        <v>2079</v>
      </c>
      <c r="C18" s="26" t="s">
        <v>2080</v>
      </c>
      <c r="D18" s="26" t="s">
        <v>368</v>
      </c>
      <c r="G18" s="39" t="s">
        <v>2081</v>
      </c>
      <c r="J18" s="26" t="s">
        <v>765</v>
      </c>
    </row>
    <row r="19">
      <c r="A19" s="26" t="s">
        <v>2082</v>
      </c>
      <c r="C19" s="26" t="s">
        <v>1017</v>
      </c>
      <c r="D19" s="26" t="s">
        <v>353</v>
      </c>
      <c r="G19" s="39" t="s">
        <v>2083</v>
      </c>
      <c r="J19" s="26" t="s">
        <v>1498</v>
      </c>
    </row>
    <row r="20">
      <c r="A20" s="26" t="s">
        <v>2084</v>
      </c>
      <c r="C20" s="26" t="s">
        <v>2085</v>
      </c>
      <c r="J20" s="26" t="s">
        <v>2086</v>
      </c>
    </row>
    <row r="21">
      <c r="A21" s="26" t="s">
        <v>2087</v>
      </c>
      <c r="C21" s="26" t="s">
        <v>2088</v>
      </c>
      <c r="J21" s="26" t="s">
        <v>260</v>
      </c>
    </row>
    <row r="22">
      <c r="A22" s="26" t="s">
        <v>2089</v>
      </c>
      <c r="C22" s="26" t="s">
        <v>706</v>
      </c>
      <c r="J22" s="26" t="s">
        <v>2078</v>
      </c>
    </row>
    <row r="23">
      <c r="A23" s="26" t="s">
        <v>2090</v>
      </c>
      <c r="C23" s="26" t="s">
        <v>1492</v>
      </c>
      <c r="J23" s="26" t="s">
        <v>754</v>
      </c>
    </row>
    <row r="24">
      <c r="J24" s="26" t="s">
        <v>1498</v>
      </c>
    </row>
    <row r="25">
      <c r="J25" s="26" t="s">
        <v>1498</v>
      </c>
    </row>
    <row r="26">
      <c r="J26" s="26" t="s">
        <v>765</v>
      </c>
    </row>
    <row r="27">
      <c r="J27" s="26" t="s">
        <v>1011</v>
      </c>
    </row>
    <row r="28">
      <c r="F28" s="84"/>
      <c r="G28" s="84"/>
      <c r="H28" s="84"/>
      <c r="J28" s="26" t="s">
        <v>2006</v>
      </c>
    </row>
    <row r="29">
      <c r="F29" s="47"/>
      <c r="G29" s="47"/>
      <c r="H29" s="47"/>
      <c r="J29" s="26" t="s">
        <v>260</v>
      </c>
    </row>
    <row r="30">
      <c r="F30" s="47"/>
      <c r="G30" s="47"/>
      <c r="H30" s="47"/>
      <c r="J30" s="26" t="s">
        <v>980</v>
      </c>
    </row>
    <row r="31">
      <c r="J31" s="26" t="s">
        <v>703</v>
      </c>
    </row>
    <row r="32">
      <c r="J32" s="26" t="s">
        <v>1011</v>
      </c>
    </row>
    <row r="33">
      <c r="J33" s="26" t="s">
        <v>2091</v>
      </c>
    </row>
    <row r="34">
      <c r="J34" s="26" t="s">
        <v>260</v>
      </c>
    </row>
    <row r="35">
      <c r="J35" s="26" t="s">
        <v>772</v>
      </c>
    </row>
    <row r="36">
      <c r="J36" s="26" t="s">
        <v>765</v>
      </c>
    </row>
    <row r="37">
      <c r="J37" s="26" t="s">
        <v>773</v>
      </c>
    </row>
    <row r="38">
      <c r="J38" s="26" t="s">
        <v>2092</v>
      </c>
    </row>
    <row r="39">
      <c r="J39" s="26" t="s">
        <v>260</v>
      </c>
    </row>
    <row r="40">
      <c r="J40" s="26" t="s">
        <v>693</v>
      </c>
    </row>
    <row r="41">
      <c r="J41" s="26" t="s">
        <v>765</v>
      </c>
    </row>
    <row r="42">
      <c r="J42" s="26" t="s">
        <v>718</v>
      </c>
    </row>
    <row r="43">
      <c r="J43" s="26" t="s">
        <v>2093</v>
      </c>
    </row>
    <row r="44">
      <c r="J44" s="26" t="s">
        <v>739</v>
      </c>
    </row>
    <row r="45">
      <c r="A45" s="36" t="s">
        <v>384</v>
      </c>
      <c r="J45" s="26" t="s">
        <v>773</v>
      </c>
    </row>
    <row r="46">
      <c r="A46" s="36">
        <f>A48+A60+A82+A95+A120+A144+A164</f>
        <v>409535</v>
      </c>
      <c r="J46" s="26" t="s">
        <v>723</v>
      </c>
    </row>
    <row r="47">
      <c r="A47" s="37" t="s">
        <v>776</v>
      </c>
    </row>
    <row r="48">
      <c r="A48" s="37">
        <v>17300.0</v>
      </c>
    </row>
    <row r="49">
      <c r="A49" s="37">
        <v>2026.0</v>
      </c>
    </row>
    <row r="50">
      <c r="A50" s="38" t="s">
        <v>386</v>
      </c>
      <c r="B50" s="38" t="s">
        <v>102</v>
      </c>
      <c r="C50" s="38" t="s">
        <v>126</v>
      </c>
      <c r="D50" s="38" t="s">
        <v>112</v>
      </c>
      <c r="E50" s="38" t="s">
        <v>117</v>
      </c>
    </row>
    <row r="51">
      <c r="A51" s="26" t="s">
        <v>2094</v>
      </c>
      <c r="B51" s="39" t="s">
        <v>807</v>
      </c>
      <c r="D51" s="26" t="s">
        <v>2018</v>
      </c>
    </row>
    <row r="52">
      <c r="A52" s="26" t="s">
        <v>400</v>
      </c>
      <c r="B52" s="26" t="s">
        <v>2095</v>
      </c>
      <c r="D52" s="26" t="s">
        <v>550</v>
      </c>
    </row>
    <row r="53">
      <c r="B53" s="26" t="s">
        <v>1261</v>
      </c>
      <c r="D53" s="26" t="s">
        <v>403</v>
      </c>
    </row>
    <row r="54">
      <c r="B54" s="26" t="s">
        <v>1086</v>
      </c>
    </row>
    <row r="55">
      <c r="B55" s="26" t="s">
        <v>2096</v>
      </c>
    </row>
    <row r="56">
      <c r="B56" s="26" t="s">
        <v>2097</v>
      </c>
    </row>
    <row r="57">
      <c r="B57" s="26" t="s">
        <v>407</v>
      </c>
    </row>
    <row r="58">
      <c r="A58" s="40"/>
      <c r="B58" s="40"/>
      <c r="C58" s="40"/>
      <c r="D58" s="40"/>
      <c r="E58" s="40"/>
      <c r="F58" s="40"/>
    </row>
    <row r="59">
      <c r="A59" s="41" t="s">
        <v>408</v>
      </c>
    </row>
    <row r="60">
      <c r="A60" s="41">
        <v>67270.0</v>
      </c>
    </row>
    <row r="61">
      <c r="A61" s="42">
        <v>2026.0</v>
      </c>
    </row>
    <row r="62">
      <c r="A62" s="38" t="s">
        <v>409</v>
      </c>
      <c r="B62" s="38" t="s">
        <v>410</v>
      </c>
      <c r="C62" s="38" t="s">
        <v>411</v>
      </c>
      <c r="D62" s="38" t="s">
        <v>412</v>
      </c>
      <c r="E62" s="38" t="s">
        <v>413</v>
      </c>
      <c r="F62" s="38" t="s">
        <v>414</v>
      </c>
    </row>
    <row r="63">
      <c r="A63" s="39" t="s">
        <v>2098</v>
      </c>
      <c r="B63" s="39" t="s">
        <v>2099</v>
      </c>
      <c r="C63" s="39" t="s">
        <v>2100</v>
      </c>
    </row>
    <row r="64">
      <c r="A64" s="26" t="s">
        <v>2094</v>
      </c>
      <c r="B64" s="26" t="s">
        <v>2101</v>
      </c>
      <c r="C64" s="26" t="s">
        <v>2102</v>
      </c>
    </row>
    <row r="65">
      <c r="A65" s="26" t="s">
        <v>2103</v>
      </c>
      <c r="B65" s="26" t="s">
        <v>569</v>
      </c>
      <c r="C65" s="26" t="s">
        <v>491</v>
      </c>
    </row>
    <row r="66">
      <c r="A66" s="26" t="s">
        <v>428</v>
      </c>
      <c r="B66" s="26" t="s">
        <v>2097</v>
      </c>
      <c r="C66" s="26" t="s">
        <v>2016</v>
      </c>
    </row>
    <row r="67">
      <c r="A67" s="26" t="s">
        <v>431</v>
      </c>
      <c r="B67" s="26" t="s">
        <v>407</v>
      </c>
      <c r="C67" s="26" t="s">
        <v>1410</v>
      </c>
    </row>
    <row r="68">
      <c r="A68" s="26" t="s">
        <v>788</v>
      </c>
      <c r="B68" s="26" t="s">
        <v>2104</v>
      </c>
      <c r="C68" s="26" t="s">
        <v>2105</v>
      </c>
    </row>
    <row r="69">
      <c r="A69" s="26" t="s">
        <v>2106</v>
      </c>
      <c r="B69" s="26" t="s">
        <v>400</v>
      </c>
      <c r="C69" s="26" t="s">
        <v>425</v>
      </c>
    </row>
    <row r="70">
      <c r="A70" s="26" t="s">
        <v>584</v>
      </c>
      <c r="B70" s="26" t="s">
        <v>453</v>
      </c>
    </row>
    <row r="71">
      <c r="A71" s="26" t="s">
        <v>788</v>
      </c>
    </row>
    <row r="72">
      <c r="A72" s="26" t="s">
        <v>2107</v>
      </c>
    </row>
    <row r="73">
      <c r="A73" s="26" t="s">
        <v>425</v>
      </c>
    </row>
    <row r="74">
      <c r="A74" s="26" t="s">
        <v>428</v>
      </c>
    </row>
    <row r="75">
      <c r="A75" s="26" t="s">
        <v>2108</v>
      </c>
    </row>
    <row r="76">
      <c r="A76" s="26" t="s">
        <v>453</v>
      </c>
    </row>
    <row r="77">
      <c r="A77" s="26" t="s">
        <v>2109</v>
      </c>
    </row>
    <row r="78">
      <c r="A78" s="26" t="s">
        <v>2110</v>
      </c>
    </row>
    <row r="79">
      <c r="A79" s="26" t="s">
        <v>788</v>
      </c>
    </row>
    <row r="80">
      <c r="A80" s="40"/>
      <c r="B80" s="40"/>
      <c r="C80" s="40"/>
      <c r="D80" s="40"/>
      <c r="E80" s="40"/>
      <c r="F80" s="40"/>
    </row>
    <row r="81">
      <c r="A81" s="21" t="s">
        <v>2111</v>
      </c>
    </row>
    <row r="82">
      <c r="A82" s="21">
        <v>55400.0</v>
      </c>
    </row>
    <row r="83">
      <c r="A83" s="18">
        <v>2026.0</v>
      </c>
    </row>
    <row r="84">
      <c r="A84" s="38" t="s">
        <v>457</v>
      </c>
      <c r="B84" s="38" t="s">
        <v>169</v>
      </c>
      <c r="C84" s="38" t="s">
        <v>458</v>
      </c>
      <c r="D84" s="38" t="s">
        <v>459</v>
      </c>
      <c r="E84" s="38" t="s">
        <v>164</v>
      </c>
      <c r="F84" s="38" t="s">
        <v>460</v>
      </c>
      <c r="G84" s="38" t="s">
        <v>157</v>
      </c>
      <c r="H84" s="38" t="s">
        <v>461</v>
      </c>
    </row>
    <row r="85">
      <c r="A85" s="44" t="s">
        <v>517</v>
      </c>
      <c r="B85" s="44" t="s">
        <v>2112</v>
      </c>
      <c r="C85" s="44" t="s">
        <v>517</v>
      </c>
      <c r="D85" s="44" t="s">
        <v>517</v>
      </c>
      <c r="E85" s="44" t="s">
        <v>2113</v>
      </c>
      <c r="F85" s="44" t="s">
        <v>2114</v>
      </c>
      <c r="G85" s="44" t="s">
        <v>2115</v>
      </c>
      <c r="H85" s="44" t="s">
        <v>517</v>
      </c>
    </row>
    <row r="86">
      <c r="B86" s="26" t="s">
        <v>2116</v>
      </c>
      <c r="E86" s="26" t="s">
        <v>2117</v>
      </c>
      <c r="F86" s="26" t="s">
        <v>2118</v>
      </c>
      <c r="G86" s="26" t="s">
        <v>2119</v>
      </c>
    </row>
    <row r="87">
      <c r="B87" s="26" t="s">
        <v>544</v>
      </c>
      <c r="E87" s="26" t="s">
        <v>394</v>
      </c>
      <c r="F87" s="26" t="s">
        <v>441</v>
      </c>
      <c r="G87" s="26" t="s">
        <v>441</v>
      </c>
    </row>
    <row r="88">
      <c r="B88" s="26" t="s">
        <v>496</v>
      </c>
      <c r="E88" s="26" t="s">
        <v>505</v>
      </c>
      <c r="F88" s="26" t="s">
        <v>2120</v>
      </c>
      <c r="G88" s="26" t="s">
        <v>303</v>
      </c>
    </row>
    <row r="89">
      <c r="B89" s="26" t="s">
        <v>2121</v>
      </c>
      <c r="E89" s="26" t="s">
        <v>2122</v>
      </c>
      <c r="F89" s="26" t="s">
        <v>450</v>
      </c>
      <c r="G89" s="26" t="s">
        <v>509</v>
      </c>
    </row>
    <row r="90">
      <c r="B90" s="26" t="s">
        <v>869</v>
      </c>
      <c r="E90" s="26" t="s">
        <v>441</v>
      </c>
    </row>
    <row r="91">
      <c r="B91" s="26" t="s">
        <v>355</v>
      </c>
      <c r="E91" s="26" t="s">
        <v>355</v>
      </c>
    </row>
    <row r="92">
      <c r="B92" s="26" t="s">
        <v>496</v>
      </c>
      <c r="E92" s="26" t="s">
        <v>505</v>
      </c>
    </row>
    <row r="94">
      <c r="A94" s="46" t="s">
        <v>2123</v>
      </c>
    </row>
    <row r="95">
      <c r="A95" s="46">
        <f>A98</f>
        <v>232365</v>
      </c>
    </row>
    <row r="96">
      <c r="A96" s="46">
        <v>2026.0</v>
      </c>
    </row>
    <row r="97">
      <c r="A97" s="46" t="s">
        <v>2124</v>
      </c>
    </row>
    <row r="98">
      <c r="A98" s="46">
        <f>A101+B101+C101+D101+E101+F101+G101+H101</f>
        <v>232365</v>
      </c>
    </row>
    <row r="99">
      <c r="A99" s="38" t="s">
        <v>512</v>
      </c>
      <c r="B99" s="38" t="s">
        <v>513</v>
      </c>
      <c r="C99" s="38" t="s">
        <v>196</v>
      </c>
      <c r="D99" s="38" t="s">
        <v>514</v>
      </c>
      <c r="E99" s="38" t="s">
        <v>182</v>
      </c>
      <c r="F99" s="38" t="s">
        <v>515</v>
      </c>
      <c r="G99" s="38" t="s">
        <v>516</v>
      </c>
      <c r="H99" s="38" t="s">
        <v>185</v>
      </c>
    </row>
    <row r="100">
      <c r="A100" s="47" t="s">
        <v>517</v>
      </c>
      <c r="B100" s="47" t="s">
        <v>517</v>
      </c>
      <c r="C100" s="47" t="s">
        <v>517</v>
      </c>
      <c r="D100" s="47" t="s">
        <v>517</v>
      </c>
      <c r="E100" s="47" t="s">
        <v>517</v>
      </c>
      <c r="F100" s="47" t="s">
        <v>517</v>
      </c>
      <c r="G100" s="47" t="s">
        <v>517</v>
      </c>
      <c r="H100" s="47" t="s">
        <v>517</v>
      </c>
    </row>
    <row r="101">
      <c r="A101" s="38">
        <v>0.0</v>
      </c>
      <c r="B101" s="38">
        <v>13250.0</v>
      </c>
      <c r="C101" s="38">
        <v>25415.0</v>
      </c>
      <c r="D101" s="38">
        <v>15250.0</v>
      </c>
      <c r="E101" s="38">
        <v>143800.0</v>
      </c>
      <c r="F101" s="38">
        <v>0.0</v>
      </c>
      <c r="G101" s="38">
        <v>8750.0</v>
      </c>
      <c r="H101" s="38">
        <v>25900.0</v>
      </c>
    </row>
    <row r="102">
      <c r="B102" s="26" t="s">
        <v>2125</v>
      </c>
      <c r="C102" s="26" t="s">
        <v>2126</v>
      </c>
      <c r="D102" s="26" t="s">
        <v>2018</v>
      </c>
      <c r="E102" s="26" t="s">
        <v>2127</v>
      </c>
      <c r="G102" s="26" t="s">
        <v>2035</v>
      </c>
      <c r="H102" s="26" t="s">
        <v>2128</v>
      </c>
    </row>
    <row r="103">
      <c r="B103" s="26" t="s">
        <v>543</v>
      </c>
      <c r="C103" s="26" t="s">
        <v>532</v>
      </c>
      <c r="D103" s="26" t="s">
        <v>544</v>
      </c>
      <c r="E103" s="26" t="s">
        <v>2129</v>
      </c>
      <c r="G103" s="26" t="s">
        <v>829</v>
      </c>
      <c r="H103" s="26" t="s">
        <v>545</v>
      </c>
    </row>
    <row r="104">
      <c r="B104" s="26" t="s">
        <v>530</v>
      </c>
      <c r="C104" s="26" t="s">
        <v>535</v>
      </c>
      <c r="D104" s="26" t="s">
        <v>526</v>
      </c>
      <c r="E104" s="26" t="s">
        <v>529</v>
      </c>
      <c r="G104" s="26" t="s">
        <v>527</v>
      </c>
      <c r="H104" s="26" t="s">
        <v>541</v>
      </c>
    </row>
    <row r="105">
      <c r="B105" s="26" t="s">
        <v>2121</v>
      </c>
      <c r="C105" s="26" t="s">
        <v>2130</v>
      </c>
      <c r="D105" s="26" t="s">
        <v>530</v>
      </c>
      <c r="E105" s="26" t="s">
        <v>531</v>
      </c>
      <c r="G105" s="26" t="s">
        <v>531</v>
      </c>
      <c r="H105" s="26" t="s">
        <v>2056</v>
      </c>
    </row>
    <row r="106">
      <c r="B106" s="26" t="s">
        <v>543</v>
      </c>
      <c r="C106" s="26" t="s">
        <v>834</v>
      </c>
      <c r="D106" s="26" t="s">
        <v>2131</v>
      </c>
      <c r="E106" s="26" t="s">
        <v>530</v>
      </c>
      <c r="G106" s="26" t="s">
        <v>2132</v>
      </c>
      <c r="H106" s="26" t="s">
        <v>2133</v>
      </c>
    </row>
    <row r="107">
      <c r="B107" s="26" t="s">
        <v>2134</v>
      </c>
      <c r="C107" s="26" t="s">
        <v>531</v>
      </c>
      <c r="D107" s="26" t="s">
        <v>829</v>
      </c>
      <c r="E107" s="26" t="s">
        <v>2135</v>
      </c>
      <c r="G107" s="26" t="s">
        <v>396</v>
      </c>
      <c r="H107" s="26" t="s">
        <v>541</v>
      </c>
    </row>
    <row r="108">
      <c r="B108" s="26" t="s">
        <v>543</v>
      </c>
      <c r="C108" s="26" t="s">
        <v>535</v>
      </c>
      <c r="E108" s="26" t="s">
        <v>537</v>
      </c>
    </row>
    <row r="109">
      <c r="B109" s="26" t="s">
        <v>2136</v>
      </c>
      <c r="C109" s="26" t="s">
        <v>2137</v>
      </c>
      <c r="E109" s="26" t="s">
        <v>2138</v>
      </c>
      <c r="G109" s="121"/>
      <c r="H109" s="121"/>
    </row>
    <row r="110">
      <c r="B110" s="26" t="s">
        <v>525</v>
      </c>
      <c r="C110" s="26" t="s">
        <v>543</v>
      </c>
      <c r="E110" s="26" t="s">
        <v>834</v>
      </c>
      <c r="G110" s="121"/>
      <c r="H110" s="121"/>
    </row>
    <row r="111">
      <c r="B111" s="26" t="s">
        <v>2139</v>
      </c>
      <c r="C111" s="26" t="s">
        <v>535</v>
      </c>
      <c r="E111" s="26" t="s">
        <v>537</v>
      </c>
      <c r="G111" s="121"/>
      <c r="H111" s="121"/>
    </row>
    <row r="112">
      <c r="B112" s="26" t="s">
        <v>834</v>
      </c>
      <c r="G112" s="121"/>
      <c r="H112" s="121"/>
    </row>
    <row r="113">
      <c r="B113" s="26" t="s">
        <v>2140</v>
      </c>
      <c r="G113" s="121"/>
      <c r="H113" s="121"/>
    </row>
    <row r="114">
      <c r="B114" s="26" t="s">
        <v>834</v>
      </c>
    </row>
    <row r="115">
      <c r="B115" s="26" t="s">
        <v>2141</v>
      </c>
    </row>
    <row r="116">
      <c r="B116" s="26" t="s">
        <v>834</v>
      </c>
    </row>
    <row r="119">
      <c r="A119" s="49" t="s">
        <v>553</v>
      </c>
    </row>
    <row r="120">
      <c r="A120" s="49">
        <f>A124</f>
        <v>-123800</v>
      </c>
    </row>
    <row r="121">
      <c r="A121" s="49">
        <v>2026.0</v>
      </c>
    </row>
    <row r="122">
      <c r="A122" s="122" t="s">
        <v>2142</v>
      </c>
    </row>
    <row r="123">
      <c r="A123" s="49" t="s">
        <v>554</v>
      </c>
    </row>
    <row r="124">
      <c r="A124" s="50">
        <f>A127+B127+C127+D127+E127+F127+G127+H127+I127+J127-150000</f>
        <v>-123800</v>
      </c>
    </row>
    <row r="125">
      <c r="A125" s="51" t="s">
        <v>555</v>
      </c>
      <c r="B125" s="51" t="s">
        <v>556</v>
      </c>
      <c r="C125" s="51" t="s">
        <v>557</v>
      </c>
      <c r="D125" s="51" t="s">
        <v>558</v>
      </c>
      <c r="E125" s="51" t="s">
        <v>559</v>
      </c>
      <c r="F125" s="51" t="s">
        <v>560</v>
      </c>
      <c r="G125" s="51" t="s">
        <v>561</v>
      </c>
      <c r="H125" s="51" t="s">
        <v>562</v>
      </c>
      <c r="I125" s="52" t="s">
        <v>563</v>
      </c>
      <c r="J125" s="52" t="s">
        <v>564</v>
      </c>
    </row>
    <row r="126">
      <c r="A126" s="47" t="s">
        <v>517</v>
      </c>
      <c r="B126" s="47" t="s">
        <v>517</v>
      </c>
      <c r="C126" s="47" t="s">
        <v>517</v>
      </c>
      <c r="D126" s="47" t="s">
        <v>517</v>
      </c>
      <c r="E126" s="47" t="s">
        <v>517</v>
      </c>
      <c r="F126" s="47" t="s">
        <v>517</v>
      </c>
      <c r="G126" s="47" t="s">
        <v>517</v>
      </c>
      <c r="H126" s="47" t="s">
        <v>517</v>
      </c>
      <c r="I126" s="47" t="s">
        <v>517</v>
      </c>
      <c r="J126" s="47" t="s">
        <v>517</v>
      </c>
    </row>
    <row r="127">
      <c r="A127" s="38">
        <v>0.0</v>
      </c>
      <c r="B127" s="38">
        <v>0.0</v>
      </c>
      <c r="C127" s="38">
        <v>17200.0</v>
      </c>
      <c r="D127" s="38">
        <v>0.0</v>
      </c>
      <c r="E127" s="38">
        <v>500.0</v>
      </c>
      <c r="F127" s="38">
        <v>0.0</v>
      </c>
      <c r="G127" s="38">
        <v>8500.0</v>
      </c>
      <c r="H127" s="38">
        <v>0.0</v>
      </c>
      <c r="I127" s="38">
        <v>0.0</v>
      </c>
      <c r="J127" s="38">
        <v>0.0</v>
      </c>
    </row>
    <row r="128">
      <c r="C128" s="26" t="s">
        <v>2143</v>
      </c>
      <c r="E128" s="26" t="s">
        <v>2144</v>
      </c>
      <c r="G128" s="26" t="s">
        <v>2125</v>
      </c>
    </row>
    <row r="129">
      <c r="C129" s="26" t="s">
        <v>552</v>
      </c>
      <c r="E129" s="26" t="s">
        <v>425</v>
      </c>
      <c r="G129" s="26" t="s">
        <v>633</v>
      </c>
    </row>
    <row r="130">
      <c r="C130" s="26" t="s">
        <v>2145</v>
      </c>
      <c r="G130" s="26" t="s">
        <v>848</v>
      </c>
    </row>
    <row r="131">
      <c r="C131" s="26" t="s">
        <v>2146</v>
      </c>
      <c r="G131" s="26" t="s">
        <v>579</v>
      </c>
    </row>
    <row r="132">
      <c r="A132" s="123"/>
      <c r="B132" s="123"/>
      <c r="C132" s="26" t="s">
        <v>2147</v>
      </c>
      <c r="D132" s="123"/>
      <c r="E132" s="123"/>
      <c r="F132" s="123"/>
    </row>
    <row r="133">
      <c r="A133" s="124"/>
      <c r="B133" s="124"/>
      <c r="C133" s="26" t="s">
        <v>396</v>
      </c>
      <c r="D133" s="124"/>
      <c r="E133" s="124"/>
      <c r="F133" s="12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>
      <c r="A134" s="124"/>
      <c r="B134" s="124"/>
      <c r="C134" s="65" t="s">
        <v>2148</v>
      </c>
      <c r="D134" s="124"/>
      <c r="E134" s="124"/>
      <c r="F134" s="12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>
      <c r="A135" s="124"/>
      <c r="B135" s="124"/>
      <c r="C135" s="124" t="s">
        <v>550</v>
      </c>
      <c r="D135" s="124"/>
      <c r="E135" s="124"/>
      <c r="F135" s="12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>
      <c r="A136" s="124"/>
      <c r="B136" s="124"/>
      <c r="C136" s="124" t="s">
        <v>2149</v>
      </c>
      <c r="D136" s="124"/>
      <c r="E136" s="124"/>
      <c r="F136" s="12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>
      <c r="A137" s="84"/>
      <c r="B137" s="84"/>
      <c r="C137" s="124" t="s">
        <v>425</v>
      </c>
      <c r="D137" s="84"/>
      <c r="E137" s="84"/>
      <c r="F137" s="84"/>
    </row>
    <row r="138">
      <c r="A138" s="125"/>
      <c r="B138" s="125"/>
      <c r="C138" s="33" t="s">
        <v>2150</v>
      </c>
      <c r="D138" s="125"/>
      <c r="E138" s="125"/>
      <c r="F138" s="125"/>
    </row>
    <row r="139">
      <c r="A139" s="109"/>
      <c r="B139" s="109"/>
      <c r="C139" s="113" t="s">
        <v>452</v>
      </c>
      <c r="D139" s="109"/>
      <c r="E139" s="109"/>
      <c r="F139" s="109"/>
    </row>
    <row r="140">
      <c r="A140" s="109"/>
      <c r="B140" s="109"/>
      <c r="C140" s="113" t="s">
        <v>2151</v>
      </c>
      <c r="D140" s="109"/>
      <c r="E140" s="109"/>
      <c r="F140" s="109"/>
    </row>
    <row r="141">
      <c r="A141" s="38"/>
      <c r="B141" s="38"/>
      <c r="C141" s="113" t="s">
        <v>452</v>
      </c>
      <c r="D141" s="38"/>
      <c r="E141" s="38"/>
      <c r="F141" s="38"/>
    </row>
    <row r="142">
      <c r="A142" s="53" t="s">
        <v>596</v>
      </c>
    </row>
    <row r="143">
      <c r="A143" s="54" t="s">
        <v>597</v>
      </c>
    </row>
    <row r="144">
      <c r="A144" s="54">
        <f>A147</f>
        <v>79000</v>
      </c>
    </row>
    <row r="145">
      <c r="A145" s="54">
        <v>2026.0</v>
      </c>
    </row>
    <row r="146">
      <c r="A146" s="54" t="s">
        <v>554</v>
      </c>
    </row>
    <row r="147">
      <c r="A147" s="55">
        <f>A150+B150+C150+D150+E150+F150+G150+H150+I150+J150</f>
        <v>79000</v>
      </c>
    </row>
    <row r="148">
      <c r="A148" s="38" t="s">
        <v>598</v>
      </c>
      <c r="B148" s="38" t="s">
        <v>599</v>
      </c>
      <c r="C148" s="38" t="s">
        <v>600</v>
      </c>
      <c r="D148" s="38" t="s">
        <v>601</v>
      </c>
      <c r="E148" s="38" t="s">
        <v>602</v>
      </c>
      <c r="F148" s="38" t="s">
        <v>603</v>
      </c>
      <c r="G148" s="51" t="s">
        <v>604</v>
      </c>
      <c r="H148" s="56" t="s">
        <v>605</v>
      </c>
      <c r="I148" s="56" t="s">
        <v>606</v>
      </c>
      <c r="J148" s="56" t="s">
        <v>607</v>
      </c>
    </row>
    <row r="149">
      <c r="A149" s="47" t="s">
        <v>517</v>
      </c>
      <c r="B149" s="47" t="s">
        <v>517</v>
      </c>
      <c r="C149" s="47" t="s">
        <v>517</v>
      </c>
      <c r="D149" s="47" t="s">
        <v>517</v>
      </c>
      <c r="E149" s="47" t="s">
        <v>517</v>
      </c>
      <c r="F149" s="47" t="s">
        <v>517</v>
      </c>
      <c r="G149" s="47" t="s">
        <v>517</v>
      </c>
      <c r="H149" s="30" t="s">
        <v>517</v>
      </c>
      <c r="I149" s="30" t="s">
        <v>517</v>
      </c>
      <c r="J149" s="30" t="s">
        <v>517</v>
      </c>
    </row>
    <row r="150">
      <c r="A150" s="38">
        <v>22500.0</v>
      </c>
      <c r="B150" s="38">
        <v>39000.0</v>
      </c>
      <c r="C150" s="38">
        <v>1000.0</v>
      </c>
      <c r="D150" s="38"/>
      <c r="E150" s="38"/>
      <c r="F150" s="38"/>
      <c r="G150" s="38"/>
      <c r="H150" s="38">
        <v>16500.0</v>
      </c>
      <c r="I150" s="38"/>
      <c r="J150" s="38"/>
    </row>
    <row r="151">
      <c r="A151" s="26" t="s">
        <v>2152</v>
      </c>
      <c r="B151" s="26" t="s">
        <v>2153</v>
      </c>
      <c r="C151" s="26" t="s">
        <v>2154</v>
      </c>
      <c r="H151" s="26" t="s">
        <v>2143</v>
      </c>
    </row>
    <row r="152">
      <c r="A152" s="26" t="s">
        <v>2155</v>
      </c>
      <c r="B152" s="26" t="s">
        <v>876</v>
      </c>
      <c r="C152" s="26" t="s">
        <v>400</v>
      </c>
      <c r="H152" s="26" t="s">
        <v>651</v>
      </c>
    </row>
    <row r="153">
      <c r="A153" s="26" t="s">
        <v>816</v>
      </c>
      <c r="B153" s="26" t="s">
        <v>2156</v>
      </c>
      <c r="H153" s="26" t="s">
        <v>2157</v>
      </c>
    </row>
    <row r="154">
      <c r="A154" s="26" t="s">
        <v>550</v>
      </c>
      <c r="B154" s="26" t="s">
        <v>400</v>
      </c>
      <c r="H154" s="26" t="s">
        <v>400</v>
      </c>
    </row>
    <row r="155">
      <c r="A155" s="26" t="s">
        <v>614</v>
      </c>
      <c r="B155" s="26" t="s">
        <v>615</v>
      </c>
      <c r="H155" s="26" t="s">
        <v>615</v>
      </c>
    </row>
    <row r="156">
      <c r="A156" s="26" t="s">
        <v>621</v>
      </c>
      <c r="B156" s="26" t="s">
        <v>621</v>
      </c>
    </row>
    <row r="157">
      <c r="A157" s="26" t="s">
        <v>2158</v>
      </c>
    </row>
    <row r="158">
      <c r="A158" s="26" t="s">
        <v>400</v>
      </c>
    </row>
    <row r="163">
      <c r="A163" s="57" t="s">
        <v>638</v>
      </c>
    </row>
    <row r="164">
      <c r="A164" s="57">
        <f>A167</f>
        <v>82000</v>
      </c>
    </row>
    <row r="165">
      <c r="A165" s="57">
        <v>2026.0</v>
      </c>
    </row>
    <row r="166">
      <c r="A166" s="57" t="s">
        <v>554</v>
      </c>
    </row>
    <row r="167">
      <c r="A167" s="57">
        <f>A170+B170+C170+D170+E170+F170+G170+H170</f>
        <v>82000</v>
      </c>
    </row>
    <row r="168">
      <c r="A168" s="38" t="s">
        <v>639</v>
      </c>
      <c r="B168" s="38" t="s">
        <v>640</v>
      </c>
      <c r="C168" s="38" t="s">
        <v>641</v>
      </c>
      <c r="D168" s="38" t="s">
        <v>642</v>
      </c>
      <c r="E168" s="38" t="s">
        <v>643</v>
      </c>
      <c r="F168" s="38" t="s">
        <v>644</v>
      </c>
      <c r="G168" s="38" t="s">
        <v>645</v>
      </c>
      <c r="H168" s="38" t="s">
        <v>646</v>
      </c>
    </row>
    <row r="169">
      <c r="A169" s="47" t="s">
        <v>517</v>
      </c>
      <c r="B169" s="47" t="s">
        <v>517</v>
      </c>
      <c r="C169" s="47" t="s">
        <v>517</v>
      </c>
      <c r="D169" s="47" t="s">
        <v>517</v>
      </c>
      <c r="E169" s="47" t="s">
        <v>517</v>
      </c>
      <c r="F169" s="47" t="s">
        <v>517</v>
      </c>
      <c r="G169" s="47" t="s">
        <v>517</v>
      </c>
      <c r="H169" s="47" t="s">
        <v>517</v>
      </c>
    </row>
    <row r="170">
      <c r="A170" s="38">
        <v>1000.0</v>
      </c>
      <c r="B170" s="38">
        <v>0.0</v>
      </c>
      <c r="C170" s="38">
        <v>0.0</v>
      </c>
      <c r="D170" s="38">
        <v>0.0</v>
      </c>
      <c r="E170" s="38">
        <v>5000.0</v>
      </c>
      <c r="F170" s="38">
        <v>0.0</v>
      </c>
      <c r="G170" s="38">
        <v>75000.0</v>
      </c>
      <c r="H170" s="38">
        <v>1000.0</v>
      </c>
    </row>
    <row r="171">
      <c r="A171" s="26" t="s">
        <v>2159</v>
      </c>
      <c r="B171" s="26" t="s">
        <v>2160</v>
      </c>
      <c r="E171" s="26" t="s">
        <v>2161</v>
      </c>
      <c r="G171" s="26" t="s">
        <v>2126</v>
      </c>
      <c r="H171" s="26" t="s">
        <v>2162</v>
      </c>
    </row>
    <row r="172">
      <c r="A172" s="26" t="s">
        <v>400</v>
      </c>
      <c r="B172" s="26" t="s">
        <v>550</v>
      </c>
      <c r="E172" s="26" t="s">
        <v>569</v>
      </c>
      <c r="G172" s="26" t="s">
        <v>1325</v>
      </c>
      <c r="H172" s="26" t="s">
        <v>400</v>
      </c>
    </row>
    <row r="173">
      <c r="G173" s="26" t="s">
        <v>2163</v>
      </c>
    </row>
    <row r="174">
      <c r="G174" s="26" t="s">
        <v>589</v>
      </c>
    </row>
  </sheetData>
  <mergeCells count="44">
    <mergeCell ref="A46:E46"/>
    <mergeCell ref="A47:E47"/>
    <mergeCell ref="A48:E48"/>
    <mergeCell ref="A49:E49"/>
    <mergeCell ref="A59:F59"/>
    <mergeCell ref="A60:F60"/>
    <mergeCell ref="A61:F61"/>
    <mergeCell ref="F80:H80"/>
    <mergeCell ref="A81:H81"/>
    <mergeCell ref="A82:H82"/>
    <mergeCell ref="A83:H83"/>
    <mergeCell ref="A94:H94"/>
    <mergeCell ref="A95:H95"/>
    <mergeCell ref="A96:H96"/>
    <mergeCell ref="A97:H97"/>
    <mergeCell ref="A98:H98"/>
    <mergeCell ref="A119:J119"/>
    <mergeCell ref="A120:J120"/>
    <mergeCell ref="A121:J121"/>
    <mergeCell ref="A122:J122"/>
    <mergeCell ref="A123:J123"/>
    <mergeCell ref="A163:H163"/>
    <mergeCell ref="A164:H164"/>
    <mergeCell ref="A165:H165"/>
    <mergeCell ref="A166:H166"/>
    <mergeCell ref="A167:H167"/>
    <mergeCell ref="A124:J124"/>
    <mergeCell ref="A142:J142"/>
    <mergeCell ref="A143:J143"/>
    <mergeCell ref="A144:J144"/>
    <mergeCell ref="A145:J145"/>
    <mergeCell ref="A146:J146"/>
    <mergeCell ref="A147:J147"/>
    <mergeCell ref="M6:O6"/>
    <mergeCell ref="M7:O7"/>
    <mergeCell ref="M8:O8"/>
    <mergeCell ref="M5:O5"/>
    <mergeCell ref="A1:O1"/>
    <mergeCell ref="A2:O2"/>
    <mergeCell ref="A3:O3"/>
    <mergeCell ref="A4:O4"/>
    <mergeCell ref="J5:L5"/>
    <mergeCell ref="J6:L6"/>
    <mergeCell ref="A45:E4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</cols>
  <sheetData>
    <row r="1">
      <c r="A1" s="126" t="s">
        <v>2164</v>
      </c>
    </row>
    <row r="2">
      <c r="A2" s="127" t="s">
        <v>2165</v>
      </c>
    </row>
    <row r="3">
      <c r="A3" s="126" t="s">
        <v>654</v>
      </c>
    </row>
    <row r="4">
      <c r="A4" s="128">
        <f>100000+B6+B9+C6+D6+F6+F10+G6+I6+L6+A43+E16+M6+O6</f>
        <v>84540</v>
      </c>
    </row>
    <row r="5">
      <c r="A5" s="47" t="s">
        <v>200</v>
      </c>
      <c r="B5" s="47" t="s">
        <v>1431</v>
      </c>
      <c r="C5" s="47" t="s">
        <v>655</v>
      </c>
      <c r="D5" s="47" t="s">
        <v>1157</v>
      </c>
      <c r="E5" s="47" t="s">
        <v>657</v>
      </c>
      <c r="F5" s="47" t="s">
        <v>1801</v>
      </c>
      <c r="G5" s="47" t="s">
        <v>207</v>
      </c>
      <c r="I5" s="47" t="s">
        <v>658</v>
      </c>
      <c r="L5" s="47" t="s">
        <v>1430</v>
      </c>
      <c r="M5" s="47" t="s">
        <v>894</v>
      </c>
      <c r="O5" s="47" t="s">
        <v>895</v>
      </c>
    </row>
    <row r="6">
      <c r="A6" s="26" t="s">
        <v>2166</v>
      </c>
      <c r="B6" s="128">
        <v>-1000.0</v>
      </c>
      <c r="C6" s="128">
        <v>-30000.0</v>
      </c>
      <c r="D6" s="128">
        <v>28000.0</v>
      </c>
      <c r="E6" s="26" t="s">
        <v>2167</v>
      </c>
      <c r="F6" s="128">
        <v>2000.0</v>
      </c>
      <c r="G6" s="128">
        <v>117200.0</v>
      </c>
      <c r="I6" s="128">
        <v>47000.0</v>
      </c>
      <c r="L6" s="128">
        <v>11000.0</v>
      </c>
      <c r="M6" s="129">
        <v>145000.0</v>
      </c>
      <c r="O6" s="130">
        <v>-101000.0</v>
      </c>
    </row>
    <row r="7">
      <c r="A7" s="26" t="s">
        <v>2168</v>
      </c>
      <c r="B7" s="26" t="s">
        <v>2169</v>
      </c>
      <c r="C7" s="79" t="s">
        <v>214</v>
      </c>
      <c r="D7" s="26" t="s">
        <v>2170</v>
      </c>
      <c r="E7" s="26" t="s">
        <v>2171</v>
      </c>
      <c r="F7" s="26" t="s">
        <v>2172</v>
      </c>
      <c r="G7" s="39" t="s">
        <v>222</v>
      </c>
      <c r="H7" s="39" t="s">
        <v>2173</v>
      </c>
      <c r="I7" s="26" t="s">
        <v>222</v>
      </c>
      <c r="J7" s="26" t="s">
        <v>2174</v>
      </c>
      <c r="K7" s="26" t="s">
        <v>224</v>
      </c>
      <c r="L7" s="26" t="s">
        <v>2175</v>
      </c>
      <c r="M7" s="39" t="s">
        <v>906</v>
      </c>
      <c r="N7" s="39" t="s">
        <v>89</v>
      </c>
      <c r="O7" s="47" t="s">
        <v>2176</v>
      </c>
    </row>
    <row r="8">
      <c r="A8" s="26" t="s">
        <v>2177</v>
      </c>
      <c r="B8" s="47" t="s">
        <v>2178</v>
      </c>
      <c r="C8" s="4" t="s">
        <v>27</v>
      </c>
      <c r="D8" s="26" t="s">
        <v>2179</v>
      </c>
      <c r="E8" s="26" t="s">
        <v>2180</v>
      </c>
      <c r="F8" s="26" t="s">
        <v>2171</v>
      </c>
      <c r="G8" s="39" t="s">
        <v>2181</v>
      </c>
      <c r="H8" s="26" t="s">
        <v>2182</v>
      </c>
      <c r="I8" s="26" t="s">
        <v>2183</v>
      </c>
      <c r="J8" s="26" t="s">
        <v>2184</v>
      </c>
      <c r="K8" s="26" t="s">
        <v>2185</v>
      </c>
      <c r="L8" s="26" t="s">
        <v>277</v>
      </c>
      <c r="M8" s="26" t="s">
        <v>930</v>
      </c>
      <c r="N8" s="26" t="s">
        <v>2186</v>
      </c>
    </row>
    <row r="9">
      <c r="A9" s="26" t="s">
        <v>2187</v>
      </c>
      <c r="B9" s="128">
        <v>-30000.0</v>
      </c>
      <c r="C9" s="4" t="s">
        <v>41</v>
      </c>
      <c r="D9" s="26" t="s">
        <v>2188</v>
      </c>
      <c r="E9" s="26" t="s">
        <v>2189</v>
      </c>
      <c r="F9" s="47" t="s">
        <v>275</v>
      </c>
      <c r="G9" s="26" t="s">
        <v>2175</v>
      </c>
      <c r="H9" s="26" t="s">
        <v>2190</v>
      </c>
      <c r="I9" s="26" t="s">
        <v>2191</v>
      </c>
      <c r="J9" s="26" t="s">
        <v>2192</v>
      </c>
      <c r="K9" s="26" t="s">
        <v>2193</v>
      </c>
      <c r="L9" s="26" t="s">
        <v>2194</v>
      </c>
      <c r="M9" s="26" t="s">
        <v>940</v>
      </c>
      <c r="N9" s="26" t="s">
        <v>2195</v>
      </c>
    </row>
    <row r="10">
      <c r="A10" s="26" t="s">
        <v>2196</v>
      </c>
      <c r="B10" s="26" t="s">
        <v>221</v>
      </c>
      <c r="C10" s="4" t="s">
        <v>52</v>
      </c>
      <c r="D10" s="26" t="s">
        <v>2197</v>
      </c>
      <c r="F10" s="128">
        <v>-1000.0</v>
      </c>
      <c r="G10" s="26" t="s">
        <v>2198</v>
      </c>
      <c r="H10" s="26" t="s">
        <v>2199</v>
      </c>
      <c r="I10" s="26" t="s">
        <v>703</v>
      </c>
      <c r="J10" s="26" t="s">
        <v>1625</v>
      </c>
      <c r="K10" s="26" t="s">
        <v>2200</v>
      </c>
      <c r="L10" s="26" t="s">
        <v>732</v>
      </c>
      <c r="M10" s="26" t="s">
        <v>2201</v>
      </c>
      <c r="N10" s="26" t="s">
        <v>2202</v>
      </c>
    </row>
    <row r="11">
      <c r="A11" s="26" t="s">
        <v>2203</v>
      </c>
      <c r="B11" s="26" t="s">
        <v>675</v>
      </c>
      <c r="C11" s="79" t="s">
        <v>36</v>
      </c>
      <c r="D11" s="26" t="s">
        <v>2204</v>
      </c>
      <c r="F11" s="26" t="s">
        <v>2205</v>
      </c>
      <c r="G11" s="26" t="s">
        <v>1030</v>
      </c>
      <c r="H11" s="26" t="s">
        <v>2206</v>
      </c>
      <c r="I11" s="26" t="s">
        <v>707</v>
      </c>
      <c r="J11" s="26" t="s">
        <v>2207</v>
      </c>
      <c r="K11" s="26" t="s">
        <v>2208</v>
      </c>
      <c r="L11" s="26" t="s">
        <v>333</v>
      </c>
      <c r="M11" s="26" t="s">
        <v>2209</v>
      </c>
      <c r="N11" s="26">
        <v>100000.0</v>
      </c>
    </row>
    <row r="12">
      <c r="A12" s="26" t="s">
        <v>2210</v>
      </c>
      <c r="B12" s="26" t="s">
        <v>1824</v>
      </c>
      <c r="C12" s="4" t="s">
        <v>49</v>
      </c>
      <c r="D12" s="26" t="s">
        <v>2211</v>
      </c>
      <c r="E12" s="47" t="s">
        <v>2212</v>
      </c>
      <c r="F12" s="26" t="s">
        <v>2213</v>
      </c>
      <c r="G12" s="26" t="s">
        <v>1228</v>
      </c>
      <c r="H12" s="39" t="s">
        <v>2214</v>
      </c>
      <c r="I12" s="26" t="s">
        <v>2215</v>
      </c>
      <c r="J12" s="26" t="s">
        <v>2216</v>
      </c>
      <c r="K12" s="26" t="s">
        <v>2217</v>
      </c>
      <c r="L12" s="26" t="s">
        <v>2218</v>
      </c>
    </row>
    <row r="13">
      <c r="A13" s="26" t="s">
        <v>2219</v>
      </c>
      <c r="C13" s="79" t="s">
        <v>56</v>
      </c>
      <c r="D13" s="26" t="s">
        <v>2220</v>
      </c>
      <c r="G13" s="26" t="s">
        <v>287</v>
      </c>
      <c r="I13" s="26" t="s">
        <v>980</v>
      </c>
      <c r="J13" s="26" t="s">
        <v>2221</v>
      </c>
      <c r="K13" s="26" t="s">
        <v>2222</v>
      </c>
      <c r="L13" s="26" t="s">
        <v>2223</v>
      </c>
    </row>
    <row r="14">
      <c r="A14" s="26" t="s">
        <v>2224</v>
      </c>
      <c r="C14" s="4" t="s">
        <v>49</v>
      </c>
      <c r="D14" s="26" t="s">
        <v>2225</v>
      </c>
      <c r="G14" s="26" t="s">
        <v>308</v>
      </c>
      <c r="H14" s="39" t="s">
        <v>2226</v>
      </c>
      <c r="I14" s="26" t="s">
        <v>2227</v>
      </c>
      <c r="J14" s="26" t="s">
        <v>2228</v>
      </c>
      <c r="K14" s="26" t="s">
        <v>2229</v>
      </c>
      <c r="L14" s="26" t="s">
        <v>732</v>
      </c>
    </row>
    <row r="15">
      <c r="A15" s="26" t="s">
        <v>2230</v>
      </c>
      <c r="D15" s="26" t="s">
        <v>2231</v>
      </c>
      <c r="E15" s="30" t="s">
        <v>1018</v>
      </c>
      <c r="G15" s="26" t="s">
        <v>1039</v>
      </c>
      <c r="I15" s="26" t="s">
        <v>1618</v>
      </c>
      <c r="J15" s="26" t="s">
        <v>2232</v>
      </c>
      <c r="K15" s="26" t="s">
        <v>2233</v>
      </c>
      <c r="L15" s="26" t="s">
        <v>2234</v>
      </c>
    </row>
    <row r="16">
      <c r="A16" s="26" t="s">
        <v>2235</v>
      </c>
      <c r="E16" s="131">
        <v>10000.0</v>
      </c>
      <c r="G16" s="26" t="s">
        <v>2199</v>
      </c>
      <c r="H16" s="39" t="s">
        <v>2236</v>
      </c>
      <c r="I16" s="26" t="s">
        <v>2237</v>
      </c>
      <c r="J16" s="26" t="s">
        <v>928</v>
      </c>
      <c r="K16" s="26" t="s">
        <v>2238</v>
      </c>
      <c r="L16" s="26" t="s">
        <v>943</v>
      </c>
    </row>
    <row r="17">
      <c r="A17" s="26" t="s">
        <v>2239</v>
      </c>
      <c r="E17" s="91" t="s">
        <v>2240</v>
      </c>
      <c r="G17" s="26" t="s">
        <v>2241</v>
      </c>
      <c r="I17" s="26" t="s">
        <v>765</v>
      </c>
      <c r="J17" s="26" t="s">
        <v>735</v>
      </c>
    </row>
    <row r="18">
      <c r="A18" s="26" t="s">
        <v>2242</v>
      </c>
      <c r="G18" s="26" t="s">
        <v>1025</v>
      </c>
      <c r="I18" s="26" t="s">
        <v>1011</v>
      </c>
      <c r="J18" s="26" t="s">
        <v>729</v>
      </c>
    </row>
    <row r="19">
      <c r="A19" s="26" t="s">
        <v>2243</v>
      </c>
      <c r="G19" s="26" t="s">
        <v>1606</v>
      </c>
      <c r="I19" s="26" t="s">
        <v>2244</v>
      </c>
      <c r="J19" s="26" t="s">
        <v>2245</v>
      </c>
    </row>
    <row r="20">
      <c r="A20" s="26" t="s">
        <v>2246</v>
      </c>
      <c r="G20" s="26" t="s">
        <v>1053</v>
      </c>
      <c r="I20" s="26" t="s">
        <v>765</v>
      </c>
      <c r="J20" s="26" t="s">
        <v>2247</v>
      </c>
    </row>
    <row r="21">
      <c r="A21" s="26" t="s">
        <v>2248</v>
      </c>
      <c r="G21" s="26" t="s">
        <v>2249</v>
      </c>
      <c r="I21" s="26" t="s">
        <v>707</v>
      </c>
      <c r="J21" s="26" t="s">
        <v>1037</v>
      </c>
    </row>
    <row r="22">
      <c r="A22" s="26" t="s">
        <v>2250</v>
      </c>
      <c r="G22" s="26" t="s">
        <v>326</v>
      </c>
      <c r="I22" s="26" t="s">
        <v>2251</v>
      </c>
    </row>
    <row r="23">
      <c r="A23" s="26" t="s">
        <v>2252</v>
      </c>
      <c r="G23" s="26" t="s">
        <v>1837</v>
      </c>
      <c r="I23" s="26" t="s">
        <v>260</v>
      </c>
    </row>
    <row r="24">
      <c r="A24" s="26" t="s">
        <v>2253</v>
      </c>
      <c r="G24" s="26" t="s">
        <v>1009</v>
      </c>
      <c r="I24" s="26" t="s">
        <v>1838</v>
      </c>
    </row>
    <row r="25">
      <c r="A25" s="26" t="s">
        <v>2254</v>
      </c>
      <c r="G25" s="26" t="s">
        <v>2255</v>
      </c>
      <c r="I25" s="26" t="s">
        <v>765</v>
      </c>
    </row>
    <row r="26">
      <c r="A26" s="26" t="s">
        <v>2256</v>
      </c>
      <c r="G26" s="26" t="s">
        <v>2251</v>
      </c>
      <c r="I26" s="26" t="s">
        <v>707</v>
      </c>
    </row>
    <row r="27">
      <c r="A27" s="26" t="s">
        <v>2257</v>
      </c>
      <c r="G27" s="26" t="s">
        <v>2258</v>
      </c>
      <c r="I27" s="26" t="s">
        <v>2259</v>
      </c>
    </row>
    <row r="28">
      <c r="A28" s="65" t="s">
        <v>2260</v>
      </c>
      <c r="G28" s="26" t="s">
        <v>308</v>
      </c>
      <c r="I28" s="26" t="s">
        <v>703</v>
      </c>
    </row>
    <row r="29">
      <c r="A29" s="65" t="s">
        <v>2261</v>
      </c>
      <c r="G29" s="26" t="s">
        <v>1837</v>
      </c>
      <c r="I29" s="26" t="s">
        <v>707</v>
      </c>
    </row>
    <row r="30">
      <c r="A30" s="65" t="s">
        <v>2262</v>
      </c>
      <c r="G30" s="26" t="s">
        <v>1039</v>
      </c>
      <c r="I30" s="26" t="s">
        <v>2263</v>
      </c>
    </row>
    <row r="31">
      <c r="A31" s="65" t="s">
        <v>2264</v>
      </c>
      <c r="G31" s="26" t="s">
        <v>2265</v>
      </c>
      <c r="I31" s="26" t="s">
        <v>754</v>
      </c>
    </row>
    <row r="32">
      <c r="A32" s="65" t="s">
        <v>2266</v>
      </c>
      <c r="G32" s="26" t="s">
        <v>1009</v>
      </c>
      <c r="I32" s="26" t="s">
        <v>1011</v>
      </c>
    </row>
    <row r="33">
      <c r="A33" s="65" t="s">
        <v>2267</v>
      </c>
      <c r="G33" s="26" t="s">
        <v>2255</v>
      </c>
      <c r="I33" s="26" t="s">
        <v>723</v>
      </c>
    </row>
    <row r="34">
      <c r="A34" s="65" t="s">
        <v>2268</v>
      </c>
      <c r="G34" s="26" t="s">
        <v>2269</v>
      </c>
      <c r="I34" s="26" t="s">
        <v>2270</v>
      </c>
    </row>
    <row r="35">
      <c r="A35" s="65" t="s">
        <v>2271</v>
      </c>
      <c r="G35" s="26" t="s">
        <v>1009</v>
      </c>
      <c r="I35" s="26" t="s">
        <v>260</v>
      </c>
    </row>
    <row r="36">
      <c r="G36" s="26" t="s">
        <v>2272</v>
      </c>
      <c r="I36" s="26" t="s">
        <v>2227</v>
      </c>
    </row>
    <row r="37">
      <c r="G37" s="26" t="s">
        <v>2273</v>
      </c>
      <c r="I37" s="26" t="s">
        <v>703</v>
      </c>
    </row>
    <row r="38">
      <c r="G38" s="26" t="s">
        <v>2198</v>
      </c>
      <c r="I38" s="26" t="s">
        <v>1011</v>
      </c>
    </row>
    <row r="39">
      <c r="G39" s="26" t="s">
        <v>2274</v>
      </c>
      <c r="I39" s="26" t="s">
        <v>2275</v>
      </c>
    </row>
    <row r="40">
      <c r="I40" s="26" t="s">
        <v>703</v>
      </c>
    </row>
    <row r="41">
      <c r="I41" s="26" t="s">
        <v>1631</v>
      </c>
    </row>
    <row r="42">
      <c r="A42" s="36" t="s">
        <v>384</v>
      </c>
      <c r="I42" s="26" t="s">
        <v>2276</v>
      </c>
    </row>
    <row r="43">
      <c r="A43" s="36">
        <f>A50+A65+A89+A105+A123+A196+A173</f>
        <v>-212660</v>
      </c>
      <c r="I43" s="26" t="s">
        <v>686</v>
      </c>
    </row>
    <row r="44">
      <c r="A44" s="37" t="s">
        <v>1379</v>
      </c>
      <c r="I44" s="26" t="s">
        <v>980</v>
      </c>
    </row>
    <row r="45">
      <c r="A45" s="37">
        <v>2026.0</v>
      </c>
      <c r="I45" s="26" t="s">
        <v>2237</v>
      </c>
    </row>
    <row r="46">
      <c r="A46" s="38" t="s">
        <v>386</v>
      </c>
      <c r="B46" s="38" t="s">
        <v>102</v>
      </c>
      <c r="C46" s="38" t="s">
        <v>126</v>
      </c>
      <c r="D46" s="38" t="s">
        <v>112</v>
      </c>
      <c r="E46" s="38" t="s">
        <v>117</v>
      </c>
      <c r="I46" s="26" t="s">
        <v>713</v>
      </c>
    </row>
    <row r="47">
      <c r="A47" s="47" t="s">
        <v>2277</v>
      </c>
      <c r="I47" s="26" t="s">
        <v>1011</v>
      </c>
    </row>
    <row r="48">
      <c r="A48" s="40"/>
      <c r="I48" s="26" t="s">
        <v>778</v>
      </c>
    </row>
    <row r="49">
      <c r="A49" s="41" t="s">
        <v>408</v>
      </c>
      <c r="I49" s="26" t="s">
        <v>2278</v>
      </c>
    </row>
    <row r="50">
      <c r="A50" s="41">
        <v>16940.0</v>
      </c>
      <c r="I50" s="26" t="s">
        <v>2279</v>
      </c>
    </row>
    <row r="51">
      <c r="A51" s="42">
        <v>2026.0</v>
      </c>
      <c r="I51" s="26" t="s">
        <v>260</v>
      </c>
    </row>
    <row r="52">
      <c r="A52" s="38" t="s">
        <v>409</v>
      </c>
      <c r="B52" s="38" t="s">
        <v>410</v>
      </c>
      <c r="C52" s="38" t="s">
        <v>411</v>
      </c>
      <c r="D52" s="38" t="s">
        <v>412</v>
      </c>
      <c r="E52" s="38" t="s">
        <v>413</v>
      </c>
      <c r="F52" s="38" t="s">
        <v>414</v>
      </c>
      <c r="I52" s="26" t="s">
        <v>2078</v>
      </c>
    </row>
    <row r="53">
      <c r="B53" s="39" t="s">
        <v>2280</v>
      </c>
      <c r="C53" s="39" t="s">
        <v>1968</v>
      </c>
      <c r="D53" s="39"/>
      <c r="E53" s="39" t="s">
        <v>2281</v>
      </c>
      <c r="I53" s="26" t="s">
        <v>765</v>
      </c>
    </row>
    <row r="54">
      <c r="B54" s="26" t="s">
        <v>2175</v>
      </c>
      <c r="C54" s="26" t="s">
        <v>2282</v>
      </c>
      <c r="E54" s="26" t="s">
        <v>2283</v>
      </c>
      <c r="I54" s="26" t="s">
        <v>1498</v>
      </c>
    </row>
    <row r="55">
      <c r="B55" s="26" t="s">
        <v>2284</v>
      </c>
      <c r="C55" s="26" t="s">
        <v>426</v>
      </c>
      <c r="E55" s="26" t="s">
        <v>441</v>
      </c>
      <c r="I55" s="26" t="s">
        <v>2285</v>
      </c>
    </row>
    <row r="56">
      <c r="E56" s="26" t="s">
        <v>1268</v>
      </c>
      <c r="I56" s="26" t="s">
        <v>703</v>
      </c>
    </row>
    <row r="57">
      <c r="E57" s="26" t="s">
        <v>2286</v>
      </c>
      <c r="I57" s="26" t="s">
        <v>1498</v>
      </c>
    </row>
    <row r="58">
      <c r="E58" s="26" t="s">
        <v>425</v>
      </c>
    </row>
    <row r="59">
      <c r="E59" s="26" t="s">
        <v>1268</v>
      </c>
    </row>
    <row r="60">
      <c r="E60" s="26" t="s">
        <v>2287</v>
      </c>
    </row>
    <row r="61">
      <c r="E61" s="26" t="s">
        <v>407</v>
      </c>
    </row>
    <row r="62">
      <c r="E62" s="26" t="s">
        <v>1268</v>
      </c>
    </row>
    <row r="63">
      <c r="A63" s="40"/>
    </row>
    <row r="64">
      <c r="A64" s="21" t="s">
        <v>1273</v>
      </c>
    </row>
    <row r="65">
      <c r="A65" s="21">
        <v>95600.0</v>
      </c>
    </row>
    <row r="66">
      <c r="A66" s="18">
        <v>2026.0</v>
      </c>
    </row>
    <row r="67">
      <c r="A67" s="43" t="s">
        <v>2288</v>
      </c>
    </row>
    <row r="68">
      <c r="A68" s="38" t="s">
        <v>457</v>
      </c>
      <c r="B68" s="38" t="s">
        <v>169</v>
      </c>
      <c r="C68" s="38" t="s">
        <v>458</v>
      </c>
      <c r="D68" s="38" t="s">
        <v>459</v>
      </c>
      <c r="E68" s="38" t="s">
        <v>164</v>
      </c>
      <c r="F68" s="38" t="s">
        <v>460</v>
      </c>
      <c r="G68" s="38" t="s">
        <v>157</v>
      </c>
      <c r="H68" s="38" t="s">
        <v>461</v>
      </c>
    </row>
    <row r="69">
      <c r="A69" s="44" t="s">
        <v>2289</v>
      </c>
      <c r="B69" s="44" t="s">
        <v>2290</v>
      </c>
      <c r="C69" s="44" t="s">
        <v>1118</v>
      </c>
      <c r="D69" s="44" t="s">
        <v>1515</v>
      </c>
      <c r="E69" s="44" t="s">
        <v>2291</v>
      </c>
      <c r="F69" s="44" t="s">
        <v>517</v>
      </c>
      <c r="G69" s="44" t="s">
        <v>2292</v>
      </c>
      <c r="H69" s="44" t="s">
        <v>1118</v>
      </c>
    </row>
    <row r="70">
      <c r="A70" s="26" t="s">
        <v>2182</v>
      </c>
      <c r="B70" s="26" t="s">
        <v>2293</v>
      </c>
      <c r="C70" s="26" t="s">
        <v>2294</v>
      </c>
      <c r="D70" s="26" t="s">
        <v>2295</v>
      </c>
      <c r="E70" s="26" t="s">
        <v>2296</v>
      </c>
      <c r="G70" s="26" t="s">
        <v>2297</v>
      </c>
      <c r="H70" s="26" t="s">
        <v>2298</v>
      </c>
    </row>
    <row r="71">
      <c r="A71" s="26" t="s">
        <v>569</v>
      </c>
      <c r="B71" s="26" t="s">
        <v>425</v>
      </c>
      <c r="C71" s="26" t="s">
        <v>425</v>
      </c>
      <c r="D71" s="26" t="s">
        <v>426</v>
      </c>
      <c r="E71" s="26" t="s">
        <v>1258</v>
      </c>
      <c r="G71" s="26" t="s">
        <v>491</v>
      </c>
      <c r="H71" s="26" t="s">
        <v>425</v>
      </c>
    </row>
    <row r="72">
      <c r="A72" s="26" t="s">
        <v>355</v>
      </c>
      <c r="B72" s="26" t="s">
        <v>496</v>
      </c>
      <c r="D72" s="26" t="s">
        <v>355</v>
      </c>
      <c r="E72" s="26" t="s">
        <v>475</v>
      </c>
      <c r="G72" s="26" t="s">
        <v>509</v>
      </c>
    </row>
    <row r="73">
      <c r="A73" s="26" t="s">
        <v>2299</v>
      </c>
      <c r="E73" s="26" t="s">
        <v>505</v>
      </c>
      <c r="G73" s="26" t="s">
        <v>2300</v>
      </c>
    </row>
    <row r="74">
      <c r="A74" s="26" t="s">
        <v>426</v>
      </c>
      <c r="G74" s="26" t="s">
        <v>394</v>
      </c>
    </row>
    <row r="75">
      <c r="A75" s="26" t="s">
        <v>280</v>
      </c>
      <c r="G75" s="26" t="s">
        <v>509</v>
      </c>
    </row>
    <row r="76">
      <c r="G76" s="26" t="s">
        <v>2301</v>
      </c>
    </row>
    <row r="77">
      <c r="G77" s="26" t="s">
        <v>550</v>
      </c>
    </row>
    <row r="78">
      <c r="G78" s="26" t="s">
        <v>509</v>
      </c>
    </row>
    <row r="79">
      <c r="G79" s="26" t="s">
        <v>2302</v>
      </c>
    </row>
    <row r="80">
      <c r="G80" s="26" t="s">
        <v>869</v>
      </c>
    </row>
    <row r="81">
      <c r="G81" s="26" t="s">
        <v>355</v>
      </c>
    </row>
    <row r="82">
      <c r="G82" s="26" t="s">
        <v>509</v>
      </c>
    </row>
    <row r="83">
      <c r="G83" s="26" t="s">
        <v>2303</v>
      </c>
    </row>
    <row r="84">
      <c r="G84" s="26" t="s">
        <v>425</v>
      </c>
    </row>
    <row r="85">
      <c r="G85" s="26" t="s">
        <v>509</v>
      </c>
    </row>
    <row r="88">
      <c r="A88" s="132" t="s">
        <v>825</v>
      </c>
    </row>
    <row r="89">
      <c r="A89" s="132">
        <f>A92</f>
        <v>60400</v>
      </c>
    </row>
    <row r="90">
      <c r="A90" s="132">
        <v>2026.0</v>
      </c>
    </row>
    <row r="91">
      <c r="A91" s="132" t="s">
        <v>554</v>
      </c>
    </row>
    <row r="92">
      <c r="A92" s="132">
        <f>A95+B95+C95+D95+E95+F95+G95+H95</f>
        <v>60400</v>
      </c>
    </row>
    <row r="93">
      <c r="A93" s="73" t="s">
        <v>512</v>
      </c>
      <c r="B93" s="73" t="s">
        <v>513</v>
      </c>
      <c r="C93" s="73" t="s">
        <v>196</v>
      </c>
      <c r="D93" s="73" t="s">
        <v>514</v>
      </c>
      <c r="E93" s="73" t="s">
        <v>182</v>
      </c>
      <c r="F93" s="73" t="s">
        <v>515</v>
      </c>
      <c r="G93" s="73" t="s">
        <v>516</v>
      </c>
      <c r="H93" s="73" t="s">
        <v>185</v>
      </c>
    </row>
    <row r="94">
      <c r="A94" s="30" t="s">
        <v>517</v>
      </c>
      <c r="B94" s="30" t="s">
        <v>517</v>
      </c>
      <c r="C94" s="30" t="s">
        <v>517</v>
      </c>
      <c r="D94" s="30" t="s">
        <v>517</v>
      </c>
      <c r="E94" s="30" t="s">
        <v>517</v>
      </c>
      <c r="F94" s="30" t="s">
        <v>517</v>
      </c>
      <c r="G94" s="30" t="s">
        <v>517</v>
      </c>
      <c r="H94" s="30" t="s">
        <v>517</v>
      </c>
    </row>
    <row r="95">
      <c r="A95" s="56">
        <v>9500.0</v>
      </c>
      <c r="B95" s="73">
        <v>0.0</v>
      </c>
      <c r="C95" s="73">
        <v>0.0</v>
      </c>
      <c r="D95" s="56">
        <v>8000.0</v>
      </c>
      <c r="E95" s="73">
        <v>0.0</v>
      </c>
      <c r="F95" s="56">
        <v>11750.0</v>
      </c>
      <c r="G95" s="73">
        <v>0.0</v>
      </c>
      <c r="H95" s="56">
        <v>31150.0</v>
      </c>
    </row>
    <row r="96">
      <c r="A96" s="26" t="s">
        <v>2304</v>
      </c>
      <c r="D96" s="26" t="s">
        <v>2305</v>
      </c>
      <c r="F96" s="26" t="s">
        <v>2306</v>
      </c>
      <c r="H96" s="26" t="s">
        <v>2175</v>
      </c>
    </row>
    <row r="97">
      <c r="A97" s="26" t="s">
        <v>394</v>
      </c>
      <c r="D97" s="26" t="s">
        <v>502</v>
      </c>
      <c r="F97" s="26" t="s">
        <v>580</v>
      </c>
      <c r="H97" s="26" t="s">
        <v>489</v>
      </c>
    </row>
    <row r="98">
      <c r="A98" s="26" t="s">
        <v>526</v>
      </c>
      <c r="F98" s="26" t="s">
        <v>530</v>
      </c>
      <c r="H98" s="26" t="s">
        <v>541</v>
      </c>
    </row>
    <row r="99">
      <c r="A99" s="26" t="s">
        <v>531</v>
      </c>
      <c r="H99" s="26" t="s">
        <v>2307</v>
      </c>
    </row>
    <row r="100">
      <c r="A100" s="26" t="s">
        <v>2308</v>
      </c>
      <c r="H100" s="26" t="s">
        <v>550</v>
      </c>
    </row>
    <row r="101">
      <c r="A101" s="26" t="s">
        <v>2309</v>
      </c>
      <c r="H101" s="26" t="s">
        <v>526</v>
      </c>
    </row>
    <row r="102">
      <c r="A102" s="26" t="s">
        <v>394</v>
      </c>
      <c r="H102" s="26" t="s">
        <v>531</v>
      </c>
    </row>
    <row r="103">
      <c r="H103" s="26" t="s">
        <v>541</v>
      </c>
    </row>
    <row r="104">
      <c r="A104" s="49" t="s">
        <v>553</v>
      </c>
    </row>
    <row r="105">
      <c r="A105" s="49">
        <f>A108</f>
        <v>107400</v>
      </c>
    </row>
    <row r="106">
      <c r="A106" s="49">
        <v>2026.0</v>
      </c>
    </row>
    <row r="107">
      <c r="A107" s="49" t="s">
        <v>554</v>
      </c>
    </row>
    <row r="108">
      <c r="A108" s="50">
        <f>A111+B111+C111+D111+E111+F111+G111+H111+I111+J111</f>
        <v>107400</v>
      </c>
    </row>
    <row r="109">
      <c r="A109" s="51" t="s">
        <v>555</v>
      </c>
      <c r="B109" s="51" t="s">
        <v>556</v>
      </c>
      <c r="C109" s="51" t="s">
        <v>557</v>
      </c>
      <c r="D109" s="51" t="s">
        <v>558</v>
      </c>
      <c r="E109" s="51" t="s">
        <v>559</v>
      </c>
      <c r="F109" s="51" t="s">
        <v>560</v>
      </c>
      <c r="G109" s="51" t="s">
        <v>561</v>
      </c>
      <c r="H109" s="51" t="s">
        <v>562</v>
      </c>
      <c r="I109" s="52" t="s">
        <v>563</v>
      </c>
      <c r="J109" s="52" t="s">
        <v>564</v>
      </c>
    </row>
    <row r="110">
      <c r="A110" s="47" t="s">
        <v>517</v>
      </c>
      <c r="B110" s="47" t="s">
        <v>517</v>
      </c>
      <c r="C110" s="47" t="s">
        <v>517</v>
      </c>
      <c r="D110" s="47" t="s">
        <v>517</v>
      </c>
      <c r="E110" s="47" t="s">
        <v>517</v>
      </c>
      <c r="F110" s="47" t="s">
        <v>517</v>
      </c>
      <c r="G110" s="47" t="s">
        <v>517</v>
      </c>
      <c r="H110" s="47" t="s">
        <v>517</v>
      </c>
      <c r="I110" s="47" t="s">
        <v>517</v>
      </c>
      <c r="J110" s="47" t="s">
        <v>517</v>
      </c>
    </row>
    <row r="111">
      <c r="A111" s="38">
        <v>21000.0</v>
      </c>
      <c r="B111" s="38">
        <v>0.0</v>
      </c>
      <c r="C111" s="38">
        <v>31000.0</v>
      </c>
      <c r="D111" s="38">
        <v>500.0</v>
      </c>
      <c r="E111" s="38">
        <v>22500.0</v>
      </c>
      <c r="F111" s="38">
        <v>0.0</v>
      </c>
      <c r="G111" s="38">
        <v>7900.0</v>
      </c>
      <c r="H111" s="38">
        <v>20000.0</v>
      </c>
      <c r="I111" s="38">
        <v>3500.0</v>
      </c>
      <c r="J111" s="38">
        <v>1000.0</v>
      </c>
    </row>
    <row r="112">
      <c r="A112" s="26" t="s">
        <v>2296</v>
      </c>
      <c r="C112" s="26" t="s">
        <v>2310</v>
      </c>
      <c r="D112" s="26" t="s">
        <v>2311</v>
      </c>
      <c r="E112" s="26" t="s">
        <v>2312</v>
      </c>
      <c r="F112" s="26" t="s">
        <v>2294</v>
      </c>
      <c r="G112" s="26" t="s">
        <v>2313</v>
      </c>
      <c r="H112" s="26" t="s">
        <v>2182</v>
      </c>
      <c r="I112" s="26" t="s">
        <v>2314</v>
      </c>
      <c r="J112" s="26" t="s">
        <v>2315</v>
      </c>
    </row>
    <row r="113">
      <c r="A113" s="26" t="s">
        <v>1308</v>
      </c>
      <c r="C113" s="26" t="s">
        <v>888</v>
      </c>
      <c r="D113" s="26" t="s">
        <v>425</v>
      </c>
      <c r="E113" s="26" t="s">
        <v>610</v>
      </c>
      <c r="F113" s="26" t="s">
        <v>2316</v>
      </c>
      <c r="G113" s="26" t="s">
        <v>450</v>
      </c>
      <c r="H113" s="26" t="s">
        <v>573</v>
      </c>
      <c r="I113" s="26" t="s">
        <v>396</v>
      </c>
      <c r="J113" s="26" t="s">
        <v>425</v>
      </c>
    </row>
    <row r="114">
      <c r="C114" s="26" t="s">
        <v>852</v>
      </c>
      <c r="E114" s="26" t="s">
        <v>2300</v>
      </c>
      <c r="G114" s="26" t="s">
        <v>848</v>
      </c>
      <c r="J114" s="26" t="s">
        <v>2194</v>
      </c>
    </row>
    <row r="115">
      <c r="C115" s="26" t="s">
        <v>2317</v>
      </c>
      <c r="E115" s="26" t="s">
        <v>627</v>
      </c>
      <c r="G115" s="26" t="s">
        <v>595</v>
      </c>
      <c r="J115" s="26" t="s">
        <v>425</v>
      </c>
    </row>
    <row r="116">
      <c r="C116" s="26" t="s">
        <v>1308</v>
      </c>
      <c r="G116" s="26" t="s">
        <v>2318</v>
      </c>
    </row>
    <row r="117">
      <c r="C117" s="26" t="s">
        <v>2319</v>
      </c>
      <c r="G117" s="26" t="s">
        <v>452</v>
      </c>
    </row>
    <row r="118">
      <c r="G118" s="26" t="s">
        <v>2320</v>
      </c>
    </row>
    <row r="119">
      <c r="G119" s="26" t="s">
        <v>452</v>
      </c>
    </row>
    <row r="120">
      <c r="G120" s="26" t="s">
        <v>852</v>
      </c>
    </row>
    <row r="121">
      <c r="A121" s="53" t="s">
        <v>596</v>
      </c>
    </row>
    <row r="122">
      <c r="A122" s="54" t="s">
        <v>597</v>
      </c>
    </row>
    <row r="123">
      <c r="A123" s="54">
        <f>A126</f>
        <v>521000</v>
      </c>
    </row>
    <row r="124">
      <c r="A124" s="54">
        <v>2026.0</v>
      </c>
    </row>
    <row r="125">
      <c r="A125" s="54" t="s">
        <v>554</v>
      </c>
    </row>
    <row r="126">
      <c r="A126" s="55">
        <f>A129+B129+C129+D129+E129+F129+G129+H129+I129+J129</f>
        <v>521000</v>
      </c>
    </row>
    <row r="127">
      <c r="A127" s="38" t="s">
        <v>598</v>
      </c>
      <c r="B127" s="38" t="s">
        <v>599</v>
      </c>
      <c r="C127" s="38" t="s">
        <v>600</v>
      </c>
      <c r="D127" s="38" t="s">
        <v>601</v>
      </c>
      <c r="E127" s="38" t="s">
        <v>602</v>
      </c>
      <c r="F127" s="38" t="s">
        <v>603</v>
      </c>
      <c r="G127" s="51" t="s">
        <v>604</v>
      </c>
      <c r="H127" s="56" t="s">
        <v>605</v>
      </c>
      <c r="I127" s="56" t="s">
        <v>606</v>
      </c>
      <c r="J127" s="56" t="s">
        <v>607</v>
      </c>
    </row>
    <row r="128">
      <c r="A128" s="47" t="s">
        <v>517</v>
      </c>
      <c r="B128" s="47" t="s">
        <v>517</v>
      </c>
      <c r="C128" s="47" t="s">
        <v>517</v>
      </c>
      <c r="D128" s="47" t="s">
        <v>517</v>
      </c>
      <c r="E128" s="47" t="s">
        <v>517</v>
      </c>
      <c r="F128" s="47" t="s">
        <v>517</v>
      </c>
      <c r="G128" s="47" t="s">
        <v>517</v>
      </c>
      <c r="H128" s="30" t="s">
        <v>517</v>
      </c>
      <c r="I128" s="30" t="s">
        <v>517</v>
      </c>
      <c r="J128" s="30" t="s">
        <v>517</v>
      </c>
    </row>
    <row r="129">
      <c r="A129" s="38">
        <v>1000.0</v>
      </c>
      <c r="B129" s="38"/>
      <c r="C129" s="38"/>
      <c r="D129" s="38">
        <v>15500.0</v>
      </c>
      <c r="E129" s="38"/>
      <c r="F129" s="38">
        <v>329000.0</v>
      </c>
      <c r="G129" s="38"/>
      <c r="H129" s="38">
        <v>35000.0</v>
      </c>
      <c r="I129" s="38">
        <v>140500.0</v>
      </c>
      <c r="J129" s="38"/>
    </row>
    <row r="130">
      <c r="A130" s="26" t="s">
        <v>2321</v>
      </c>
      <c r="D130" s="26" t="s">
        <v>2322</v>
      </c>
      <c r="F130" s="26" t="s">
        <v>2305</v>
      </c>
      <c r="H130" s="26" t="s">
        <v>2293</v>
      </c>
      <c r="I130" s="26" t="s">
        <v>2182</v>
      </c>
    </row>
    <row r="131">
      <c r="A131" s="26" t="s">
        <v>2323</v>
      </c>
      <c r="D131" s="26" t="s">
        <v>533</v>
      </c>
      <c r="F131" s="26" t="s">
        <v>1306</v>
      </c>
      <c r="H131" s="26" t="s">
        <v>876</v>
      </c>
      <c r="I131" s="26" t="s">
        <v>612</v>
      </c>
    </row>
    <row r="132">
      <c r="D132" s="26" t="s">
        <v>622</v>
      </c>
      <c r="F132" s="26" t="s">
        <v>630</v>
      </c>
      <c r="I132" s="26" t="s">
        <v>2324</v>
      </c>
    </row>
    <row r="133">
      <c r="D133" s="26" t="s">
        <v>615</v>
      </c>
      <c r="F133" s="26" t="s">
        <v>2299</v>
      </c>
      <c r="I133" s="26" t="s">
        <v>610</v>
      </c>
    </row>
    <row r="134">
      <c r="D134" s="26" t="s">
        <v>621</v>
      </c>
      <c r="F134" s="26" t="s">
        <v>612</v>
      </c>
      <c r="I134" s="26" t="s">
        <v>2325</v>
      </c>
    </row>
    <row r="135">
      <c r="F135" s="26" t="s">
        <v>2326</v>
      </c>
      <c r="I135" s="26" t="s">
        <v>589</v>
      </c>
    </row>
    <row r="136">
      <c r="F136" s="26" t="s">
        <v>876</v>
      </c>
      <c r="I136" s="26" t="s">
        <v>615</v>
      </c>
    </row>
    <row r="137">
      <c r="F137" s="26" t="s">
        <v>2327</v>
      </c>
      <c r="I137" s="26" t="s">
        <v>2328</v>
      </c>
    </row>
    <row r="138">
      <c r="F138" s="26" t="s">
        <v>625</v>
      </c>
      <c r="I138" s="26" t="s">
        <v>550</v>
      </c>
    </row>
    <row r="139">
      <c r="F139" s="26" t="s">
        <v>2329</v>
      </c>
      <c r="I139" s="26" t="s">
        <v>2263</v>
      </c>
    </row>
    <row r="140">
      <c r="F140" s="26" t="s">
        <v>1315</v>
      </c>
      <c r="I140" s="26" t="s">
        <v>1315</v>
      </c>
    </row>
    <row r="141">
      <c r="F141" s="26" t="s">
        <v>2330</v>
      </c>
      <c r="I141" s="26" t="s">
        <v>2331</v>
      </c>
    </row>
    <row r="142">
      <c r="F142" s="26" t="s">
        <v>400</v>
      </c>
      <c r="I142" s="26" t="s">
        <v>593</v>
      </c>
    </row>
    <row r="143">
      <c r="F143" s="26" t="s">
        <v>2332</v>
      </c>
    </row>
    <row r="144">
      <c r="F144" s="26" t="s">
        <v>400</v>
      </c>
    </row>
    <row r="145">
      <c r="F145" s="26" t="s">
        <v>615</v>
      </c>
    </row>
    <row r="146">
      <c r="F146" s="26" t="s">
        <v>2333</v>
      </c>
    </row>
    <row r="147">
      <c r="F147" s="26" t="s">
        <v>625</v>
      </c>
    </row>
    <row r="148">
      <c r="F148" s="26" t="s">
        <v>615</v>
      </c>
    </row>
    <row r="149">
      <c r="F149" s="26" t="s">
        <v>2334</v>
      </c>
    </row>
    <row r="150">
      <c r="F150" s="26" t="s">
        <v>2335</v>
      </c>
    </row>
    <row r="151">
      <c r="F151" s="26" t="s">
        <v>621</v>
      </c>
    </row>
    <row r="152">
      <c r="F152" s="26" t="s">
        <v>2336</v>
      </c>
    </row>
    <row r="153">
      <c r="F153" s="26" t="s">
        <v>400</v>
      </c>
    </row>
    <row r="154">
      <c r="F154" s="26" t="s">
        <v>2337</v>
      </c>
    </row>
    <row r="155">
      <c r="F155" s="26" t="s">
        <v>426</v>
      </c>
    </row>
    <row r="156">
      <c r="F156" s="26" t="s">
        <v>622</v>
      </c>
    </row>
    <row r="157">
      <c r="F157" s="26" t="s">
        <v>615</v>
      </c>
    </row>
    <row r="158">
      <c r="F158" s="26" t="s">
        <v>2338</v>
      </c>
    </row>
    <row r="159">
      <c r="F159" s="26" t="s">
        <v>1315</v>
      </c>
    </row>
    <row r="160">
      <c r="F160" s="26" t="s">
        <v>621</v>
      </c>
    </row>
    <row r="161">
      <c r="F161" s="26" t="s">
        <v>2339</v>
      </c>
    </row>
    <row r="162">
      <c r="F162" s="26" t="s">
        <v>400</v>
      </c>
    </row>
    <row r="163">
      <c r="F163" s="26" t="s">
        <v>2340</v>
      </c>
    </row>
    <row r="164">
      <c r="F164" s="26" t="s">
        <v>400</v>
      </c>
    </row>
    <row r="165">
      <c r="F165" s="26" t="s">
        <v>2341</v>
      </c>
    </row>
    <row r="166">
      <c r="F166" s="26" t="s">
        <v>489</v>
      </c>
    </row>
    <row r="172">
      <c r="A172" s="57" t="s">
        <v>638</v>
      </c>
    </row>
    <row r="173">
      <c r="A173" s="57">
        <f>A176</f>
        <v>186000</v>
      </c>
    </row>
    <row r="174">
      <c r="A174" s="57">
        <v>2026.0</v>
      </c>
    </row>
    <row r="175">
      <c r="A175" s="57" t="s">
        <v>554</v>
      </c>
    </row>
    <row r="176">
      <c r="A176" s="57">
        <f>A179+B179+C179+D179+E179+F179+G179+H179</f>
        <v>186000</v>
      </c>
    </row>
    <row r="177">
      <c r="A177" s="38" t="s">
        <v>639</v>
      </c>
      <c r="B177" s="38" t="s">
        <v>640</v>
      </c>
      <c r="C177" s="38" t="s">
        <v>641</v>
      </c>
      <c r="D177" s="38" t="s">
        <v>642</v>
      </c>
      <c r="E177" s="38" t="s">
        <v>643</v>
      </c>
      <c r="F177" s="38" t="s">
        <v>644</v>
      </c>
      <c r="G177" s="38" t="s">
        <v>645</v>
      </c>
      <c r="H177" s="38" t="s">
        <v>646</v>
      </c>
    </row>
    <row r="178">
      <c r="A178" s="47" t="s">
        <v>517</v>
      </c>
      <c r="B178" s="47" t="s">
        <v>517</v>
      </c>
      <c r="C178" s="47" t="s">
        <v>517</v>
      </c>
      <c r="D178" s="47" t="s">
        <v>517</v>
      </c>
      <c r="E178" s="47" t="s">
        <v>517</v>
      </c>
      <c r="F178" s="47" t="s">
        <v>517</v>
      </c>
      <c r="G178" s="47" t="s">
        <v>517</v>
      </c>
      <c r="H178" s="47" t="s">
        <v>517</v>
      </c>
    </row>
    <row r="179">
      <c r="A179" s="38">
        <v>22000.0</v>
      </c>
      <c r="B179" s="38">
        <v>20000.0</v>
      </c>
      <c r="C179" s="38">
        <v>26000.0</v>
      </c>
      <c r="D179" s="38">
        <v>91000.0</v>
      </c>
      <c r="E179" s="38">
        <v>12000.0</v>
      </c>
      <c r="F179" s="38">
        <v>3000.0</v>
      </c>
      <c r="G179" s="38">
        <v>0.0</v>
      </c>
      <c r="H179" s="38">
        <v>12000.0</v>
      </c>
    </row>
    <row r="180">
      <c r="A180" s="26" t="s">
        <v>2342</v>
      </c>
      <c r="B180" s="26" t="s">
        <v>2343</v>
      </c>
      <c r="C180" s="26" t="s">
        <v>2344</v>
      </c>
      <c r="D180" s="26" t="s">
        <v>2345</v>
      </c>
      <c r="E180" s="26" t="s">
        <v>2322</v>
      </c>
      <c r="F180" s="26" t="s">
        <v>2346</v>
      </c>
      <c r="H180" s="26" t="s">
        <v>2347</v>
      </c>
    </row>
    <row r="181">
      <c r="A181" s="26" t="s">
        <v>573</v>
      </c>
      <c r="B181" s="26" t="s">
        <v>400</v>
      </c>
      <c r="C181" s="26" t="s">
        <v>573</v>
      </c>
      <c r="D181" s="26" t="s">
        <v>1327</v>
      </c>
      <c r="E181" s="26" t="s">
        <v>1398</v>
      </c>
      <c r="F181" s="26" t="s">
        <v>400</v>
      </c>
      <c r="H181" s="26" t="s">
        <v>1398</v>
      </c>
    </row>
    <row r="182">
      <c r="A182" s="26" t="s">
        <v>2194</v>
      </c>
      <c r="B182" s="26" t="s">
        <v>2348</v>
      </c>
      <c r="C182" s="26" t="s">
        <v>2299</v>
      </c>
      <c r="D182" s="26" t="s">
        <v>2349</v>
      </c>
      <c r="F182" s="26" t="s">
        <v>2350</v>
      </c>
    </row>
    <row r="183">
      <c r="A183" s="26" t="s">
        <v>550</v>
      </c>
      <c r="B183" s="26" t="s">
        <v>550</v>
      </c>
      <c r="C183" s="26" t="s">
        <v>491</v>
      </c>
      <c r="D183" s="26" t="s">
        <v>550</v>
      </c>
      <c r="F183" s="26" t="s">
        <v>400</v>
      </c>
    </row>
    <row r="184">
      <c r="B184" s="26" t="s">
        <v>2351</v>
      </c>
      <c r="D184" s="26" t="s">
        <v>2320</v>
      </c>
      <c r="F184" s="26" t="s">
        <v>2352</v>
      </c>
    </row>
    <row r="185">
      <c r="B185" s="26" t="s">
        <v>400</v>
      </c>
      <c r="D185" s="26" t="s">
        <v>400</v>
      </c>
      <c r="F185" s="26" t="s">
        <v>400</v>
      </c>
    </row>
    <row r="186">
      <c r="B186" s="26" t="s">
        <v>2353</v>
      </c>
      <c r="D186" s="26" t="s">
        <v>2354</v>
      </c>
    </row>
    <row r="187">
      <c r="B187" s="26" t="s">
        <v>400</v>
      </c>
      <c r="D187" s="26" t="s">
        <v>400</v>
      </c>
    </row>
    <row r="188">
      <c r="B188" s="26" t="s">
        <v>2355</v>
      </c>
      <c r="D188" s="26" t="s">
        <v>2356</v>
      </c>
    </row>
    <row r="189">
      <c r="B189" s="26" t="s">
        <v>651</v>
      </c>
      <c r="D189" s="26" t="s">
        <v>400</v>
      </c>
    </row>
    <row r="190">
      <c r="B190" s="26" t="s">
        <v>2357</v>
      </c>
      <c r="D190" s="26" t="s">
        <v>2358</v>
      </c>
    </row>
    <row r="191">
      <c r="B191" s="26" t="s">
        <v>400</v>
      </c>
      <c r="D191" s="26" t="s">
        <v>400</v>
      </c>
    </row>
    <row r="192">
      <c r="D192" s="26" t="s">
        <v>2359</v>
      </c>
    </row>
    <row r="193">
      <c r="D193" s="26" t="s">
        <v>1330</v>
      </c>
    </row>
    <row r="195">
      <c r="A195" s="133" t="s">
        <v>2360</v>
      </c>
    </row>
    <row r="196">
      <c r="A196" s="133">
        <f>A200-1200000</f>
        <v>-1200000</v>
      </c>
    </row>
    <row r="197">
      <c r="A197" s="133">
        <v>2026.0</v>
      </c>
    </row>
    <row r="198">
      <c r="A198" s="134" t="s">
        <v>2361</v>
      </c>
    </row>
    <row r="199">
      <c r="A199" s="133" t="s">
        <v>554</v>
      </c>
    </row>
    <row r="200">
      <c r="A200" s="135">
        <f>A203+B203+C203+D203+E203+F203+G203+H203+I203+J203</f>
        <v>0</v>
      </c>
    </row>
    <row r="201">
      <c r="A201" s="38" t="s">
        <v>598</v>
      </c>
      <c r="B201" s="38"/>
      <c r="C201" s="38"/>
      <c r="D201" s="38"/>
      <c r="E201" s="38"/>
      <c r="F201" s="38"/>
      <c r="G201" s="51"/>
      <c r="H201" s="56"/>
      <c r="I201" s="56"/>
      <c r="J201" s="56"/>
    </row>
    <row r="202">
      <c r="A202" s="47" t="s">
        <v>517</v>
      </c>
      <c r="B202" s="47" t="s">
        <v>517</v>
      </c>
      <c r="C202" s="47" t="s">
        <v>517</v>
      </c>
      <c r="D202" s="47" t="s">
        <v>517</v>
      </c>
      <c r="E202" s="47" t="s">
        <v>517</v>
      </c>
      <c r="F202" s="47" t="s">
        <v>517</v>
      </c>
      <c r="G202" s="47" t="s">
        <v>517</v>
      </c>
      <c r="H202" s="30" t="s">
        <v>517</v>
      </c>
      <c r="I202" s="30" t="s">
        <v>517</v>
      </c>
      <c r="J202" s="30" t="s">
        <v>517</v>
      </c>
    </row>
    <row r="203">
      <c r="A203" s="38">
        <v>0.0</v>
      </c>
      <c r="B203" s="38">
        <v>0.0</v>
      </c>
      <c r="C203" s="38">
        <v>0.0</v>
      </c>
      <c r="D203" s="38">
        <v>0.0</v>
      </c>
      <c r="E203" s="38">
        <v>0.0</v>
      </c>
      <c r="F203" s="38">
        <v>0.0</v>
      </c>
      <c r="G203" s="38">
        <v>0.0</v>
      </c>
      <c r="H203" s="38">
        <v>0.0</v>
      </c>
      <c r="I203" s="38">
        <v>0.0</v>
      </c>
      <c r="J203" s="38">
        <v>0.0</v>
      </c>
    </row>
  </sheetData>
  <mergeCells count="54">
    <mergeCell ref="A1:Q1"/>
    <mergeCell ref="A2:Q2"/>
    <mergeCell ref="A3:Q3"/>
    <mergeCell ref="A4:Q4"/>
    <mergeCell ref="I5:K5"/>
    <mergeCell ref="M5:N5"/>
    <mergeCell ref="O5:Q5"/>
    <mergeCell ref="G5:H5"/>
    <mergeCell ref="G6:H6"/>
    <mergeCell ref="I6:K6"/>
    <mergeCell ref="M6:N6"/>
    <mergeCell ref="O6:Q6"/>
    <mergeCell ref="O7:Q7"/>
    <mergeCell ref="A42:E42"/>
    <mergeCell ref="A43:E43"/>
    <mergeCell ref="A44:E44"/>
    <mergeCell ref="A45:E45"/>
    <mergeCell ref="A47:E47"/>
    <mergeCell ref="A48:F48"/>
    <mergeCell ref="A49:F49"/>
    <mergeCell ref="A50:F50"/>
    <mergeCell ref="A51:F51"/>
    <mergeCell ref="A63:H63"/>
    <mergeCell ref="A64:H64"/>
    <mergeCell ref="A65:H65"/>
    <mergeCell ref="A66:H66"/>
    <mergeCell ref="A67:H67"/>
    <mergeCell ref="A88:H88"/>
    <mergeCell ref="A89:H89"/>
    <mergeCell ref="A90:H90"/>
    <mergeCell ref="A91:H91"/>
    <mergeCell ref="A92:H92"/>
    <mergeCell ref="A104:J104"/>
    <mergeCell ref="A105:J105"/>
    <mergeCell ref="A106:J106"/>
    <mergeCell ref="A107:J107"/>
    <mergeCell ref="A108:J108"/>
    <mergeCell ref="A121:J121"/>
    <mergeCell ref="A122:J122"/>
    <mergeCell ref="A123:J123"/>
    <mergeCell ref="A124:J124"/>
    <mergeCell ref="A125:J125"/>
    <mergeCell ref="A196:J196"/>
    <mergeCell ref="A197:J197"/>
    <mergeCell ref="A198:J198"/>
    <mergeCell ref="A199:J199"/>
    <mergeCell ref="A200:J200"/>
    <mergeCell ref="A126:J126"/>
    <mergeCell ref="A172:H172"/>
    <mergeCell ref="A173:H173"/>
    <mergeCell ref="A174:H174"/>
    <mergeCell ref="A175:H175"/>
    <mergeCell ref="A176:H176"/>
    <mergeCell ref="A195:J19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3" width="27.5"/>
    <col customWidth="1" min="4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</cols>
  <sheetData>
    <row r="1">
      <c r="A1" s="136" t="s">
        <v>2362</v>
      </c>
    </row>
    <row r="2">
      <c r="A2" s="136" t="s">
        <v>2363</v>
      </c>
    </row>
    <row r="3">
      <c r="A3" s="136" t="s">
        <v>654</v>
      </c>
    </row>
    <row r="4">
      <c r="A4" s="60">
        <f>100000+C6+B6+A44+D6+F6+G6+J6</f>
        <v>392350</v>
      </c>
    </row>
    <row r="5">
      <c r="A5" s="47" t="s">
        <v>2364</v>
      </c>
      <c r="B5" s="47" t="s">
        <v>655</v>
      </c>
      <c r="C5" s="47" t="s">
        <v>206</v>
      </c>
      <c r="D5" s="47" t="s">
        <v>1157</v>
      </c>
      <c r="E5" s="47" t="s">
        <v>204</v>
      </c>
      <c r="F5" s="47" t="s">
        <v>1430</v>
      </c>
      <c r="G5" s="47" t="s">
        <v>209</v>
      </c>
      <c r="J5" s="25" t="s">
        <v>210</v>
      </c>
    </row>
    <row r="6">
      <c r="A6" s="26" t="s">
        <v>828</v>
      </c>
      <c r="B6" s="60">
        <v>-60000.0</v>
      </c>
      <c r="C6" s="60">
        <v>-35000.0</v>
      </c>
      <c r="D6" s="60">
        <v>-10000.0</v>
      </c>
      <c r="F6" s="60">
        <v>2500.0</v>
      </c>
      <c r="G6" s="60">
        <v>16500.0</v>
      </c>
      <c r="J6" s="137">
        <f>J8</f>
        <v>0</v>
      </c>
    </row>
    <row r="7">
      <c r="A7" s="26" t="s">
        <v>832</v>
      </c>
      <c r="B7" s="79" t="s">
        <v>214</v>
      </c>
      <c r="C7" s="26" t="s">
        <v>2365</v>
      </c>
      <c r="D7" s="26" t="s">
        <v>2366</v>
      </c>
      <c r="F7" s="26" t="s">
        <v>2367</v>
      </c>
      <c r="G7" s="26" t="s">
        <v>222</v>
      </c>
      <c r="H7" s="26" t="s">
        <v>2368</v>
      </c>
      <c r="I7" s="26" t="s">
        <v>224</v>
      </c>
      <c r="J7" s="30" t="s">
        <v>225</v>
      </c>
    </row>
    <row r="8">
      <c r="A8" s="26" t="s">
        <v>402</v>
      </c>
      <c r="B8" s="4" t="s">
        <v>28</v>
      </c>
      <c r="C8" s="26" t="s">
        <v>2369</v>
      </c>
      <c r="D8" s="26" t="s">
        <v>2370</v>
      </c>
      <c r="F8" s="26" t="s">
        <v>339</v>
      </c>
      <c r="G8" s="26" t="s">
        <v>1448</v>
      </c>
      <c r="H8" s="26" t="s">
        <v>2371</v>
      </c>
      <c r="I8" s="26" t="s">
        <v>2372</v>
      </c>
      <c r="J8" s="138">
        <v>0.0</v>
      </c>
    </row>
    <row r="9">
      <c r="A9" s="26" t="s">
        <v>2373</v>
      </c>
      <c r="B9" s="4" t="s">
        <v>42</v>
      </c>
      <c r="C9" s="26" t="s">
        <v>2374</v>
      </c>
      <c r="F9" s="26" t="s">
        <v>333</v>
      </c>
      <c r="G9" s="26" t="s">
        <v>2375</v>
      </c>
      <c r="H9" s="26" t="s">
        <v>2376</v>
      </c>
      <c r="I9" s="26" t="s">
        <v>2377</v>
      </c>
    </row>
    <row r="10">
      <c r="A10" s="26" t="s">
        <v>2378</v>
      </c>
      <c r="B10" s="79" t="s">
        <v>36</v>
      </c>
      <c r="C10" s="26" t="s">
        <v>2379</v>
      </c>
      <c r="G10" s="26" t="s">
        <v>970</v>
      </c>
      <c r="H10" s="26" t="s">
        <v>2380</v>
      </c>
      <c r="I10" s="26" t="s">
        <v>2381</v>
      </c>
    </row>
    <row r="11">
      <c r="A11" s="26" t="s">
        <v>2382</v>
      </c>
      <c r="B11" s="4" t="s">
        <v>49</v>
      </c>
      <c r="C11" s="26" t="s">
        <v>2383</v>
      </c>
      <c r="G11" s="26" t="s">
        <v>1838</v>
      </c>
      <c r="H11" s="26" t="s">
        <v>2384</v>
      </c>
      <c r="I11" s="26" t="s">
        <v>2385</v>
      </c>
    </row>
    <row r="12">
      <c r="A12" s="26" t="s">
        <v>2386</v>
      </c>
      <c r="B12" s="79" t="s">
        <v>56</v>
      </c>
      <c r="C12" s="26" t="s">
        <v>2387</v>
      </c>
      <c r="G12" s="26" t="s">
        <v>1838</v>
      </c>
      <c r="H12" s="26" t="s">
        <v>332</v>
      </c>
    </row>
    <row r="13">
      <c r="A13" s="26" t="s">
        <v>2388</v>
      </c>
      <c r="B13" s="4" t="s">
        <v>49</v>
      </c>
      <c r="C13" s="26" t="s">
        <v>2389</v>
      </c>
      <c r="G13" s="26" t="s">
        <v>988</v>
      </c>
    </row>
    <row r="14">
      <c r="A14" s="26" t="s">
        <v>2390</v>
      </c>
      <c r="C14" s="26" t="s">
        <v>2391</v>
      </c>
      <c r="G14" s="26" t="s">
        <v>988</v>
      </c>
    </row>
    <row r="15">
      <c r="A15" s="26" t="s">
        <v>2392</v>
      </c>
      <c r="G15" s="26" t="s">
        <v>703</v>
      </c>
    </row>
    <row r="16">
      <c r="A16" s="26" t="s">
        <v>2393</v>
      </c>
      <c r="G16" s="26" t="s">
        <v>1011</v>
      </c>
    </row>
    <row r="17">
      <c r="A17" s="26" t="s">
        <v>2394</v>
      </c>
      <c r="G17" s="26" t="s">
        <v>739</v>
      </c>
    </row>
    <row r="18">
      <c r="A18" s="26" t="s">
        <v>2395</v>
      </c>
      <c r="G18" s="26" t="s">
        <v>707</v>
      </c>
    </row>
    <row r="19">
      <c r="A19" s="26" t="s">
        <v>2396</v>
      </c>
      <c r="G19" s="26" t="s">
        <v>1015</v>
      </c>
    </row>
    <row r="20">
      <c r="A20" s="26" t="s">
        <v>2397</v>
      </c>
      <c r="G20" s="26" t="s">
        <v>2398</v>
      </c>
    </row>
    <row r="21">
      <c r="A21" s="26" t="s">
        <v>2399</v>
      </c>
      <c r="G21" s="26" t="s">
        <v>703</v>
      </c>
    </row>
    <row r="22">
      <c r="A22" s="26" t="s">
        <v>2400</v>
      </c>
      <c r="G22" s="26" t="s">
        <v>707</v>
      </c>
    </row>
    <row r="23">
      <c r="A23" s="26" t="s">
        <v>2401</v>
      </c>
      <c r="G23" s="26" t="s">
        <v>2402</v>
      </c>
    </row>
    <row r="24">
      <c r="A24" s="26" t="s">
        <v>2403</v>
      </c>
      <c r="G24" s="26" t="s">
        <v>703</v>
      </c>
    </row>
    <row r="25">
      <c r="A25" s="26" t="s">
        <v>2404</v>
      </c>
      <c r="G25" s="26" t="s">
        <v>707</v>
      </c>
    </row>
    <row r="43">
      <c r="A43" s="36" t="s">
        <v>2405</v>
      </c>
    </row>
    <row r="44">
      <c r="A44" s="139">
        <f>A46+A68+A96+A118</f>
        <v>378350</v>
      </c>
    </row>
    <row r="45">
      <c r="A45" s="46" t="s">
        <v>510</v>
      </c>
    </row>
    <row r="46">
      <c r="A46" s="46">
        <f>A49</f>
        <v>25150</v>
      </c>
    </row>
    <row r="47">
      <c r="A47" s="46">
        <v>2026.0</v>
      </c>
    </row>
    <row r="48">
      <c r="A48" s="46" t="s">
        <v>511</v>
      </c>
    </row>
    <row r="49">
      <c r="A49" s="46">
        <f>A52+B52+C52+D52+E52+F52+G52+H52</f>
        <v>25150</v>
      </c>
    </row>
    <row r="50">
      <c r="A50" s="38" t="s">
        <v>512</v>
      </c>
      <c r="B50" s="38" t="s">
        <v>513</v>
      </c>
      <c r="C50" s="38" t="s">
        <v>196</v>
      </c>
      <c r="D50" s="38" t="s">
        <v>514</v>
      </c>
      <c r="E50" s="38" t="s">
        <v>182</v>
      </c>
      <c r="F50" s="38" t="s">
        <v>515</v>
      </c>
      <c r="G50" s="38" t="s">
        <v>516</v>
      </c>
      <c r="H50" s="38" t="s">
        <v>185</v>
      </c>
    </row>
    <row r="51">
      <c r="A51" s="47" t="s">
        <v>517</v>
      </c>
      <c r="B51" s="47" t="s">
        <v>517</v>
      </c>
      <c r="C51" s="47" t="s">
        <v>517</v>
      </c>
      <c r="D51" s="47" t="s">
        <v>415</v>
      </c>
      <c r="E51" s="47" t="s">
        <v>517</v>
      </c>
      <c r="F51" s="47" t="s">
        <v>517</v>
      </c>
      <c r="G51" s="47" t="s">
        <v>415</v>
      </c>
      <c r="H51" s="47" t="s">
        <v>517</v>
      </c>
    </row>
    <row r="52">
      <c r="A52" s="140">
        <v>0.0</v>
      </c>
      <c r="B52" s="140">
        <v>0.0</v>
      </c>
      <c r="C52" s="140">
        <v>0.0</v>
      </c>
      <c r="D52" s="140">
        <v>0.0</v>
      </c>
      <c r="E52" s="56">
        <v>24400.0</v>
      </c>
      <c r="F52" s="56">
        <v>750.0</v>
      </c>
      <c r="G52" s="73">
        <v>0.0</v>
      </c>
      <c r="H52" s="73">
        <v>0.0</v>
      </c>
    </row>
    <row r="53">
      <c r="E53" s="65" t="s">
        <v>1898</v>
      </c>
      <c r="F53" s="26" t="s">
        <v>519</v>
      </c>
      <c r="G53" s="26" t="s">
        <v>2367</v>
      </c>
    </row>
    <row r="54">
      <c r="E54" s="26" t="s">
        <v>552</v>
      </c>
      <c r="F54" s="26" t="s">
        <v>552</v>
      </c>
      <c r="G54" s="26" t="s">
        <v>552</v>
      </c>
    </row>
    <row r="55">
      <c r="E55" s="26" t="s">
        <v>529</v>
      </c>
      <c r="F55" s="65" t="s">
        <v>2406</v>
      </c>
    </row>
    <row r="56">
      <c r="E56" s="26" t="s">
        <v>531</v>
      </c>
      <c r="F56" s="65" t="s">
        <v>552</v>
      </c>
    </row>
    <row r="57">
      <c r="E57" s="26" t="s">
        <v>530</v>
      </c>
      <c r="F57" s="65" t="s">
        <v>402</v>
      </c>
    </row>
    <row r="58">
      <c r="E58" s="26" t="s">
        <v>537</v>
      </c>
      <c r="F58" s="65" t="s">
        <v>552</v>
      </c>
    </row>
    <row r="59">
      <c r="F59" s="26" t="s">
        <v>531</v>
      </c>
    </row>
    <row r="60">
      <c r="F60" s="65" t="s">
        <v>2373</v>
      </c>
    </row>
    <row r="61">
      <c r="F61" s="65" t="s">
        <v>552</v>
      </c>
    </row>
    <row r="67">
      <c r="A67" s="141" t="s">
        <v>553</v>
      </c>
    </row>
    <row r="68">
      <c r="A68" s="141">
        <f>A71</f>
        <v>74200</v>
      </c>
    </row>
    <row r="69">
      <c r="A69" s="141">
        <v>2026.0</v>
      </c>
    </row>
    <row r="70">
      <c r="A70" s="141" t="s">
        <v>554</v>
      </c>
    </row>
    <row r="71">
      <c r="A71" s="142">
        <f>A74+B74+C74+D74+E74+F74+G74+H74+I74+J74</f>
        <v>74200</v>
      </c>
    </row>
    <row r="72">
      <c r="A72" s="73" t="s">
        <v>555</v>
      </c>
      <c r="B72" s="73" t="s">
        <v>556</v>
      </c>
      <c r="C72" s="73" t="s">
        <v>557</v>
      </c>
      <c r="D72" s="73" t="s">
        <v>558</v>
      </c>
      <c r="E72" s="73" t="s">
        <v>559</v>
      </c>
      <c r="F72" s="73" t="s">
        <v>560</v>
      </c>
      <c r="G72" s="73" t="s">
        <v>561</v>
      </c>
      <c r="H72" s="73" t="s">
        <v>562</v>
      </c>
      <c r="I72" s="74" t="s">
        <v>563</v>
      </c>
      <c r="J72" s="74" t="s">
        <v>564</v>
      </c>
    </row>
    <row r="73">
      <c r="A73" s="30" t="s">
        <v>517</v>
      </c>
      <c r="B73" s="30" t="s">
        <v>517</v>
      </c>
      <c r="C73" s="30" t="s">
        <v>517</v>
      </c>
      <c r="D73" s="30" t="s">
        <v>517</v>
      </c>
      <c r="E73" s="30" t="s">
        <v>517</v>
      </c>
      <c r="F73" s="30" t="s">
        <v>517</v>
      </c>
      <c r="G73" s="30" t="s">
        <v>517</v>
      </c>
      <c r="H73" s="30" t="s">
        <v>517</v>
      </c>
      <c r="I73" s="30" t="s">
        <v>517</v>
      </c>
      <c r="J73" s="30" t="s">
        <v>517</v>
      </c>
    </row>
    <row r="74">
      <c r="A74" s="56">
        <v>18000.0</v>
      </c>
      <c r="B74" s="56">
        <v>47200.0</v>
      </c>
      <c r="C74" s="73">
        <v>0.0</v>
      </c>
      <c r="D74" s="56">
        <v>3000.0</v>
      </c>
      <c r="E74" s="73">
        <v>0.0</v>
      </c>
      <c r="F74" s="73">
        <v>0.0</v>
      </c>
      <c r="G74" s="56">
        <v>6000.0</v>
      </c>
      <c r="H74" s="73">
        <v>0.0</v>
      </c>
      <c r="I74" s="73">
        <v>0.0</v>
      </c>
      <c r="J74" s="73">
        <v>0.0</v>
      </c>
    </row>
    <row r="75">
      <c r="A75" s="113" t="s">
        <v>2407</v>
      </c>
      <c r="B75" s="26" t="s">
        <v>566</v>
      </c>
      <c r="D75" s="26" t="s">
        <v>2408</v>
      </c>
      <c r="G75" s="26" t="s">
        <v>2409</v>
      </c>
    </row>
    <row r="76">
      <c r="A76" s="26" t="s">
        <v>441</v>
      </c>
      <c r="B76" s="26" t="s">
        <v>2410</v>
      </c>
      <c r="D76" s="26" t="s">
        <v>2410</v>
      </c>
      <c r="G76" s="26" t="s">
        <v>491</v>
      </c>
    </row>
    <row r="77">
      <c r="A77" s="113" t="s">
        <v>2411</v>
      </c>
      <c r="B77" s="26" t="s">
        <v>849</v>
      </c>
      <c r="D77" s="26" t="s">
        <v>848</v>
      </c>
    </row>
    <row r="78">
      <c r="A78" s="26" t="s">
        <v>426</v>
      </c>
      <c r="B78" s="26" t="s">
        <v>2410</v>
      </c>
      <c r="D78" s="26" t="s">
        <v>852</v>
      </c>
    </row>
    <row r="79">
      <c r="A79" s="26" t="s">
        <v>793</v>
      </c>
      <c r="B79" s="26" t="s">
        <v>2412</v>
      </c>
    </row>
    <row r="80">
      <c r="A80" s="26" t="s">
        <v>544</v>
      </c>
      <c r="B80" s="26" t="s">
        <v>627</v>
      </c>
    </row>
    <row r="81">
      <c r="A81" s="26" t="s">
        <v>2413</v>
      </c>
      <c r="B81" s="26" t="s">
        <v>2414</v>
      </c>
    </row>
    <row r="82">
      <c r="B82" s="26" t="s">
        <v>1398</v>
      </c>
    </row>
    <row r="83">
      <c r="B83" s="26" t="s">
        <v>2415</v>
      </c>
    </row>
    <row r="84">
      <c r="B84" s="26" t="s">
        <v>888</v>
      </c>
    </row>
    <row r="85">
      <c r="B85" s="26" t="s">
        <v>2416</v>
      </c>
    </row>
    <row r="86">
      <c r="B86" s="26" t="s">
        <v>396</v>
      </c>
    </row>
    <row r="87">
      <c r="B87" s="26" t="s">
        <v>2417</v>
      </c>
    </row>
    <row r="88">
      <c r="B88" s="26" t="s">
        <v>425</v>
      </c>
    </row>
    <row r="89">
      <c r="B89" s="26" t="s">
        <v>376</v>
      </c>
    </row>
    <row r="90">
      <c r="B90" s="26" t="s">
        <v>569</v>
      </c>
    </row>
    <row r="91">
      <c r="B91" s="26" t="s">
        <v>2418</v>
      </c>
    </row>
    <row r="92">
      <c r="B92" s="26" t="s">
        <v>2419</v>
      </c>
    </row>
    <row r="93">
      <c r="B93" s="26" t="s">
        <v>852</v>
      </c>
    </row>
    <row r="94">
      <c r="A94" s="53" t="s">
        <v>596</v>
      </c>
    </row>
    <row r="95">
      <c r="A95" s="54" t="s">
        <v>597</v>
      </c>
    </row>
    <row r="96">
      <c r="A96" s="54">
        <f>A99</f>
        <v>212000</v>
      </c>
    </row>
    <row r="97">
      <c r="A97" s="54">
        <v>2026.0</v>
      </c>
    </row>
    <row r="98">
      <c r="A98" s="54" t="s">
        <v>554</v>
      </c>
    </row>
    <row r="99">
      <c r="A99" s="55">
        <f>A102+B102+C102+D102+E102+F102+G102+H102+I102+J102</f>
        <v>212000</v>
      </c>
    </row>
    <row r="100">
      <c r="A100" s="38" t="s">
        <v>598</v>
      </c>
      <c r="B100" s="38" t="s">
        <v>599</v>
      </c>
      <c r="C100" s="38" t="s">
        <v>600</v>
      </c>
      <c r="D100" s="38" t="s">
        <v>601</v>
      </c>
      <c r="E100" s="38" t="s">
        <v>602</v>
      </c>
      <c r="F100" s="38" t="s">
        <v>603</v>
      </c>
      <c r="G100" s="51" t="s">
        <v>604</v>
      </c>
      <c r="H100" s="56" t="s">
        <v>605</v>
      </c>
      <c r="I100" s="56" t="s">
        <v>606</v>
      </c>
      <c r="J100" s="56" t="s">
        <v>607</v>
      </c>
    </row>
    <row r="101">
      <c r="A101" s="47" t="s">
        <v>517</v>
      </c>
      <c r="B101" s="47" t="s">
        <v>517</v>
      </c>
      <c r="C101" s="47" t="s">
        <v>517</v>
      </c>
      <c r="D101" s="47" t="s">
        <v>517</v>
      </c>
      <c r="E101" s="47" t="s">
        <v>517</v>
      </c>
      <c r="F101" s="47" t="s">
        <v>517</v>
      </c>
      <c r="G101" s="47" t="s">
        <v>517</v>
      </c>
      <c r="H101" s="30" t="s">
        <v>517</v>
      </c>
      <c r="I101" s="30" t="s">
        <v>517</v>
      </c>
      <c r="J101" s="30" t="s">
        <v>517</v>
      </c>
    </row>
    <row r="102">
      <c r="A102" s="38"/>
      <c r="B102" s="38"/>
      <c r="C102" s="38">
        <v>22000.0</v>
      </c>
      <c r="D102" s="38"/>
      <c r="E102" s="38">
        <v>19500.0</v>
      </c>
      <c r="F102" s="38">
        <v>24500.0</v>
      </c>
      <c r="G102" s="38">
        <v>30500.0</v>
      </c>
      <c r="H102" s="38"/>
      <c r="I102" s="38">
        <v>115500.0</v>
      </c>
      <c r="J102" s="38"/>
    </row>
    <row r="103">
      <c r="C103" s="26" t="s">
        <v>2420</v>
      </c>
      <c r="E103" s="26" t="s">
        <v>2127</v>
      </c>
      <c r="F103" s="26" t="s">
        <v>2408</v>
      </c>
      <c r="G103" s="26" t="s">
        <v>2421</v>
      </c>
      <c r="I103" s="26" t="s">
        <v>2422</v>
      </c>
    </row>
    <row r="104">
      <c r="C104" s="26" t="s">
        <v>544</v>
      </c>
      <c r="E104" s="26" t="s">
        <v>552</v>
      </c>
      <c r="F104" s="26" t="s">
        <v>573</v>
      </c>
      <c r="G104" s="26" t="s">
        <v>569</v>
      </c>
      <c r="I104" s="26" t="s">
        <v>876</v>
      </c>
    </row>
    <row r="105">
      <c r="C105" s="26" t="s">
        <v>2423</v>
      </c>
      <c r="E105" s="26" t="s">
        <v>879</v>
      </c>
      <c r="F105" s="26" t="s">
        <v>614</v>
      </c>
      <c r="G105" s="26" t="s">
        <v>2424</v>
      </c>
      <c r="I105" s="26" t="s">
        <v>2425</v>
      </c>
    </row>
    <row r="106">
      <c r="C106" s="26" t="s">
        <v>628</v>
      </c>
      <c r="E106" s="26" t="s">
        <v>2426</v>
      </c>
      <c r="F106" s="26" t="s">
        <v>615</v>
      </c>
      <c r="G106" s="26" t="s">
        <v>1308</v>
      </c>
      <c r="I106" s="26" t="s">
        <v>611</v>
      </c>
    </row>
    <row r="107">
      <c r="E107" s="26" t="s">
        <v>1398</v>
      </c>
      <c r="G107" s="26" t="s">
        <v>614</v>
      </c>
      <c r="I107" s="26" t="s">
        <v>793</v>
      </c>
    </row>
    <row r="108">
      <c r="E108" s="26" t="s">
        <v>2427</v>
      </c>
      <c r="G108" s="26" t="s">
        <v>879</v>
      </c>
      <c r="I108" s="26" t="s">
        <v>1318</v>
      </c>
    </row>
    <row r="109">
      <c r="E109" s="26" t="s">
        <v>400</v>
      </c>
      <c r="I109" s="26" t="s">
        <v>879</v>
      </c>
    </row>
    <row r="110">
      <c r="E110" s="26" t="s">
        <v>2428</v>
      </c>
      <c r="I110" s="26" t="s">
        <v>2429</v>
      </c>
    </row>
    <row r="111">
      <c r="E111" s="26" t="s">
        <v>569</v>
      </c>
      <c r="I111" s="26" t="s">
        <v>1293</v>
      </c>
    </row>
    <row r="112">
      <c r="I112" s="26" t="s">
        <v>614</v>
      </c>
    </row>
    <row r="113">
      <c r="I113" s="26" t="s">
        <v>615</v>
      </c>
    </row>
    <row r="114">
      <c r="I114" s="26" t="s">
        <v>879</v>
      </c>
    </row>
    <row r="115">
      <c r="I115" s="26" t="s">
        <v>2430</v>
      </c>
    </row>
    <row r="116">
      <c r="I116" s="26" t="s">
        <v>888</v>
      </c>
    </row>
    <row r="117">
      <c r="A117" s="57" t="s">
        <v>638</v>
      </c>
      <c r="I117" s="26" t="s">
        <v>614</v>
      </c>
    </row>
    <row r="118">
      <c r="A118" s="57">
        <f>A121</f>
        <v>67000</v>
      </c>
      <c r="I118" s="26" t="s">
        <v>615</v>
      </c>
    </row>
    <row r="119">
      <c r="A119" s="57">
        <v>2026.0</v>
      </c>
      <c r="I119" s="26" t="s">
        <v>879</v>
      </c>
    </row>
    <row r="120">
      <c r="A120" s="57" t="s">
        <v>554</v>
      </c>
      <c r="I120" s="26" t="s">
        <v>2431</v>
      </c>
    </row>
    <row r="121">
      <c r="A121" s="57">
        <f>A124+B124+C124+D124+E124+F124+G124+H124</f>
        <v>67000</v>
      </c>
      <c r="I121" s="26" t="s">
        <v>888</v>
      </c>
    </row>
    <row r="122">
      <c r="A122" s="38" t="s">
        <v>639</v>
      </c>
      <c r="B122" s="38" t="s">
        <v>640</v>
      </c>
      <c r="C122" s="38" t="s">
        <v>641</v>
      </c>
      <c r="D122" s="38" t="s">
        <v>642</v>
      </c>
      <c r="E122" s="38" t="s">
        <v>643</v>
      </c>
      <c r="F122" s="38" t="s">
        <v>644</v>
      </c>
      <c r="G122" s="38" t="s">
        <v>645</v>
      </c>
      <c r="H122" s="38" t="s">
        <v>646</v>
      </c>
    </row>
    <row r="123">
      <c r="A123" s="47" t="s">
        <v>517</v>
      </c>
      <c r="B123" s="47" t="s">
        <v>517</v>
      </c>
      <c r="C123" s="47" t="s">
        <v>517</v>
      </c>
      <c r="D123" s="47" t="s">
        <v>517</v>
      </c>
      <c r="E123" s="47" t="s">
        <v>517</v>
      </c>
      <c r="F123" s="47" t="s">
        <v>517</v>
      </c>
      <c r="G123" s="47" t="s">
        <v>517</v>
      </c>
      <c r="H123" s="47" t="s">
        <v>517</v>
      </c>
    </row>
    <row r="124">
      <c r="A124" s="38">
        <v>1000.0</v>
      </c>
      <c r="B124" s="38">
        <v>0.0</v>
      </c>
      <c r="C124" s="38">
        <v>8000.0</v>
      </c>
      <c r="D124" s="38">
        <v>9000.0</v>
      </c>
      <c r="E124" s="38">
        <v>27000.0</v>
      </c>
      <c r="F124" s="38">
        <v>0.0</v>
      </c>
      <c r="G124" s="38">
        <v>22000.0</v>
      </c>
      <c r="H124" s="38">
        <v>0.0</v>
      </c>
    </row>
    <row r="125">
      <c r="A125" s="26" t="s">
        <v>2432</v>
      </c>
      <c r="C125" s="26" t="s">
        <v>2116</v>
      </c>
      <c r="D125" s="26" t="s">
        <v>2420</v>
      </c>
      <c r="E125" s="26" t="s">
        <v>2433</v>
      </c>
      <c r="G125" s="26" t="s">
        <v>2434</v>
      </c>
    </row>
    <row r="126">
      <c r="A126" s="26" t="s">
        <v>400</v>
      </c>
      <c r="C126" s="26" t="s">
        <v>502</v>
      </c>
      <c r="D126" s="26" t="s">
        <v>400</v>
      </c>
      <c r="E126" s="26" t="s">
        <v>611</v>
      </c>
      <c r="G126" s="26" t="s">
        <v>610</v>
      </c>
    </row>
    <row r="127">
      <c r="D127" s="26" t="s">
        <v>1723</v>
      </c>
      <c r="E127" s="26" t="s">
        <v>832</v>
      </c>
      <c r="G127" s="26" t="s">
        <v>2435</v>
      </c>
    </row>
    <row r="128">
      <c r="D128" s="26" t="s">
        <v>502</v>
      </c>
      <c r="E128" s="26" t="s">
        <v>610</v>
      </c>
      <c r="G128" s="26" t="s">
        <v>426</v>
      </c>
    </row>
  </sheetData>
  <mergeCells count="33">
    <mergeCell ref="A44:H44"/>
    <mergeCell ref="A45:H45"/>
    <mergeCell ref="A46:H46"/>
    <mergeCell ref="A47:H47"/>
    <mergeCell ref="A48:H48"/>
    <mergeCell ref="A49:H49"/>
    <mergeCell ref="A67:J67"/>
    <mergeCell ref="A97:J97"/>
    <mergeCell ref="A98:J98"/>
    <mergeCell ref="A99:J99"/>
    <mergeCell ref="A117:H117"/>
    <mergeCell ref="A118:H118"/>
    <mergeCell ref="A119:H119"/>
    <mergeCell ref="A120:H120"/>
    <mergeCell ref="A121:H121"/>
    <mergeCell ref="A68:J68"/>
    <mergeCell ref="A69:J69"/>
    <mergeCell ref="A70:J70"/>
    <mergeCell ref="A71:J71"/>
    <mergeCell ref="A94:J94"/>
    <mergeCell ref="A95:J95"/>
    <mergeCell ref="A96:J96"/>
    <mergeCell ref="J5:L5"/>
    <mergeCell ref="J6:L6"/>
    <mergeCell ref="J7:L7"/>
    <mergeCell ref="J8:L8"/>
    <mergeCell ref="A1:L1"/>
    <mergeCell ref="A2:L2"/>
    <mergeCell ref="A3:L3"/>
    <mergeCell ref="A4:L4"/>
    <mergeCell ref="G5:I5"/>
    <mergeCell ref="G6:I6"/>
    <mergeCell ref="A43:H4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22.75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</cols>
  <sheetData>
    <row r="1">
      <c r="A1" s="143" t="s">
        <v>2436</v>
      </c>
    </row>
    <row r="2">
      <c r="A2" s="144" t="s">
        <v>2437</v>
      </c>
    </row>
    <row r="3">
      <c r="A3" s="144" t="s">
        <v>654</v>
      </c>
    </row>
    <row r="4">
      <c r="A4" s="145">
        <f>100000+B6+C6+D6+F6+G6+H6+A29+K6</f>
        <v>489600</v>
      </c>
    </row>
    <row r="5">
      <c r="A5" s="47" t="s">
        <v>200</v>
      </c>
      <c r="B5" s="47" t="s">
        <v>655</v>
      </c>
      <c r="C5" s="47" t="s">
        <v>205</v>
      </c>
      <c r="D5" s="47" t="s">
        <v>202</v>
      </c>
      <c r="E5" s="47" t="s">
        <v>204</v>
      </c>
      <c r="F5" s="47" t="s">
        <v>893</v>
      </c>
      <c r="G5" s="47" t="s">
        <v>1801</v>
      </c>
      <c r="H5" s="47" t="s">
        <v>209</v>
      </c>
      <c r="K5" s="47" t="s">
        <v>660</v>
      </c>
    </row>
    <row r="6">
      <c r="A6" s="26" t="s">
        <v>2438</v>
      </c>
      <c r="B6" s="145">
        <v>-60000.0</v>
      </c>
      <c r="C6" s="145">
        <v>14000.0</v>
      </c>
      <c r="D6" s="145">
        <v>43000.0</v>
      </c>
      <c r="E6" s="26" t="s">
        <v>2439</v>
      </c>
      <c r="F6" s="145">
        <v>16400.0</v>
      </c>
      <c r="G6" s="145">
        <v>1000.0</v>
      </c>
      <c r="H6" s="145">
        <v>-13500.0</v>
      </c>
      <c r="K6" s="146">
        <f>K8</f>
        <v>0</v>
      </c>
    </row>
    <row r="7">
      <c r="A7" s="26" t="s">
        <v>2440</v>
      </c>
      <c r="B7" s="79" t="s">
        <v>214</v>
      </c>
      <c r="C7" s="26" t="s">
        <v>2441</v>
      </c>
      <c r="D7" s="26" t="s">
        <v>2442</v>
      </c>
      <c r="E7" s="26" t="s">
        <v>2443</v>
      </c>
      <c r="F7" s="26" t="s">
        <v>222</v>
      </c>
      <c r="G7" s="26" t="s">
        <v>2444</v>
      </c>
      <c r="H7" s="26" t="s">
        <v>222</v>
      </c>
      <c r="I7" s="26" t="s">
        <v>2445</v>
      </c>
      <c r="J7" s="26" t="s">
        <v>224</v>
      </c>
      <c r="K7" s="47" t="s">
        <v>225</v>
      </c>
    </row>
    <row r="8">
      <c r="A8" s="26" t="s">
        <v>2446</v>
      </c>
      <c r="B8" s="4" t="s">
        <v>29</v>
      </c>
      <c r="C8" s="26" t="s">
        <v>1167</v>
      </c>
      <c r="D8" s="26" t="s">
        <v>2447</v>
      </c>
      <c r="E8" s="26" t="s">
        <v>2448</v>
      </c>
      <c r="F8" s="26" t="s">
        <v>2449</v>
      </c>
      <c r="H8" s="26" t="s">
        <v>1170</v>
      </c>
      <c r="I8" s="26" t="s">
        <v>2450</v>
      </c>
      <c r="J8" s="26" t="s">
        <v>2451</v>
      </c>
      <c r="K8" s="147">
        <v>0.0</v>
      </c>
    </row>
    <row r="9">
      <c r="A9" s="26" t="s">
        <v>2452</v>
      </c>
      <c r="B9" s="4" t="s">
        <v>43</v>
      </c>
      <c r="C9" s="26" t="s">
        <v>2453</v>
      </c>
      <c r="D9" s="26" t="s">
        <v>2454</v>
      </c>
      <c r="E9" s="26" t="s">
        <v>2455</v>
      </c>
      <c r="F9" s="26" t="s">
        <v>2456</v>
      </c>
      <c r="H9" s="26" t="s">
        <v>2457</v>
      </c>
      <c r="I9" s="26" t="s">
        <v>2458</v>
      </c>
      <c r="J9" s="26" t="s">
        <v>2459</v>
      </c>
    </row>
    <row r="10">
      <c r="A10" s="26" t="s">
        <v>2460</v>
      </c>
      <c r="B10" s="79" t="s">
        <v>36</v>
      </c>
      <c r="C10" s="26" t="s">
        <v>375</v>
      </c>
      <c r="D10" s="26" t="s">
        <v>2461</v>
      </c>
      <c r="E10" s="26" t="s">
        <v>2462</v>
      </c>
      <c r="F10" s="26" t="s">
        <v>279</v>
      </c>
      <c r="H10" s="26" t="s">
        <v>765</v>
      </c>
      <c r="I10" s="26" t="s">
        <v>2463</v>
      </c>
      <c r="J10" s="26" t="s">
        <v>2464</v>
      </c>
    </row>
    <row r="11">
      <c r="A11" s="26" t="s">
        <v>2465</v>
      </c>
      <c r="B11" s="4" t="s">
        <v>49</v>
      </c>
      <c r="C11" s="26" t="s">
        <v>2466</v>
      </c>
      <c r="D11" s="26" t="s">
        <v>2467</v>
      </c>
      <c r="E11" s="26" t="s">
        <v>2468</v>
      </c>
      <c r="F11" s="26" t="s">
        <v>1837</v>
      </c>
      <c r="H11" s="26" t="s">
        <v>1188</v>
      </c>
      <c r="I11" s="26" t="s">
        <v>2044</v>
      </c>
    </row>
    <row r="12">
      <c r="A12" s="26" t="s">
        <v>2469</v>
      </c>
      <c r="B12" s="79" t="s">
        <v>56</v>
      </c>
      <c r="C12" s="26" t="s">
        <v>965</v>
      </c>
      <c r="D12" s="26" t="s">
        <v>1466</v>
      </c>
      <c r="E12" s="26" t="s">
        <v>2470</v>
      </c>
      <c r="F12" s="26" t="s">
        <v>2471</v>
      </c>
      <c r="H12" s="26" t="s">
        <v>2472</v>
      </c>
      <c r="I12" s="26" t="s">
        <v>702</v>
      </c>
    </row>
    <row r="13">
      <c r="A13" s="26" t="s">
        <v>2473</v>
      </c>
      <c r="B13" s="4" t="s">
        <v>49</v>
      </c>
      <c r="C13" s="26" t="s">
        <v>2474</v>
      </c>
      <c r="D13" s="26" t="s">
        <v>2475</v>
      </c>
      <c r="E13" s="26" t="s">
        <v>2476</v>
      </c>
      <c r="F13" s="26" t="s">
        <v>260</v>
      </c>
      <c r="H13" s="26" t="s">
        <v>260</v>
      </c>
      <c r="I13" s="26" t="s">
        <v>2477</v>
      </c>
    </row>
    <row r="14">
      <c r="A14" s="26" t="s">
        <v>2478</v>
      </c>
      <c r="C14" s="26" t="s">
        <v>2479</v>
      </c>
      <c r="D14" s="26" t="s">
        <v>2480</v>
      </c>
      <c r="F14" s="26" t="s">
        <v>1053</v>
      </c>
      <c r="H14" s="26" t="s">
        <v>772</v>
      </c>
      <c r="I14" s="26" t="s">
        <v>2481</v>
      </c>
    </row>
    <row r="15">
      <c r="A15" s="26" t="s">
        <v>2482</v>
      </c>
      <c r="D15" s="26" t="s">
        <v>2483</v>
      </c>
      <c r="F15" s="26" t="s">
        <v>2484</v>
      </c>
      <c r="H15" s="26" t="s">
        <v>703</v>
      </c>
    </row>
    <row r="16">
      <c r="A16" s="26" t="s">
        <v>2485</v>
      </c>
      <c r="D16" s="26" t="s">
        <v>729</v>
      </c>
      <c r="F16" s="26" t="s">
        <v>279</v>
      </c>
      <c r="H16" s="26" t="s">
        <v>718</v>
      </c>
    </row>
    <row r="17">
      <c r="A17" s="26" t="s">
        <v>2486</v>
      </c>
      <c r="D17" s="26" t="s">
        <v>702</v>
      </c>
      <c r="F17" s="26" t="s">
        <v>986</v>
      </c>
      <c r="H17" s="26" t="s">
        <v>765</v>
      </c>
    </row>
    <row r="18">
      <c r="A18" s="26" t="s">
        <v>2487</v>
      </c>
      <c r="D18" s="26" t="s">
        <v>2376</v>
      </c>
      <c r="F18" s="26" t="s">
        <v>2488</v>
      </c>
      <c r="H18" s="26" t="s">
        <v>773</v>
      </c>
    </row>
    <row r="19">
      <c r="A19" s="26" t="s">
        <v>2489</v>
      </c>
      <c r="D19" s="26" t="s">
        <v>1492</v>
      </c>
      <c r="F19" s="26" t="s">
        <v>279</v>
      </c>
      <c r="H19" s="26" t="s">
        <v>2490</v>
      </c>
    </row>
    <row r="20">
      <c r="A20" s="26" t="s">
        <v>2491</v>
      </c>
      <c r="F20" s="26" t="s">
        <v>1198</v>
      </c>
      <c r="H20" s="26" t="s">
        <v>260</v>
      </c>
    </row>
    <row r="21">
      <c r="A21" s="26" t="s">
        <v>2492</v>
      </c>
      <c r="F21" s="26" t="s">
        <v>349</v>
      </c>
      <c r="H21" s="26" t="s">
        <v>1838</v>
      </c>
    </row>
    <row r="22">
      <c r="A22" s="26" t="s">
        <v>2493</v>
      </c>
      <c r="H22" s="26" t="s">
        <v>703</v>
      </c>
    </row>
    <row r="23">
      <c r="A23" s="26" t="s">
        <v>2494</v>
      </c>
      <c r="F23" s="39" t="s">
        <v>1248</v>
      </c>
      <c r="H23" s="26" t="s">
        <v>707</v>
      </c>
    </row>
    <row r="24">
      <c r="F24" s="26" t="s">
        <v>2456</v>
      </c>
      <c r="H24" s="26" t="s">
        <v>2495</v>
      </c>
    </row>
    <row r="25">
      <c r="F25" s="26" t="s">
        <v>2496</v>
      </c>
      <c r="H25" s="26" t="s">
        <v>260</v>
      </c>
    </row>
    <row r="26">
      <c r="F26" s="39" t="s">
        <v>2497</v>
      </c>
      <c r="H26" s="26" t="s">
        <v>693</v>
      </c>
    </row>
    <row r="27">
      <c r="F27" s="39" t="s">
        <v>2498</v>
      </c>
      <c r="H27" s="26" t="s">
        <v>765</v>
      </c>
    </row>
    <row r="28">
      <c r="A28" s="36" t="s">
        <v>384</v>
      </c>
      <c r="H28" s="26" t="s">
        <v>718</v>
      </c>
    </row>
    <row r="29">
      <c r="A29" s="36">
        <f>A31+A47+A70+A92+A112+A133+A154</f>
        <v>388700</v>
      </c>
    </row>
    <row r="30">
      <c r="A30" s="37" t="s">
        <v>776</v>
      </c>
    </row>
    <row r="31">
      <c r="A31" s="37">
        <v>29550.0</v>
      </c>
    </row>
    <row r="32">
      <c r="A32" s="37">
        <v>2026.0</v>
      </c>
    </row>
    <row r="33">
      <c r="A33" s="38" t="s">
        <v>386</v>
      </c>
      <c r="B33" s="38" t="s">
        <v>102</v>
      </c>
      <c r="C33" s="38" t="s">
        <v>126</v>
      </c>
      <c r="D33" s="38" t="s">
        <v>112</v>
      </c>
      <c r="E33" s="38" t="s">
        <v>117</v>
      </c>
    </row>
    <row r="34">
      <c r="A34" s="26" t="s">
        <v>2499</v>
      </c>
      <c r="C34" s="26" t="s">
        <v>2500</v>
      </c>
      <c r="D34" s="26" t="s">
        <v>2501</v>
      </c>
      <c r="E34" s="39" t="s">
        <v>2502</v>
      </c>
    </row>
    <row r="35">
      <c r="A35" s="26" t="s">
        <v>395</v>
      </c>
      <c r="C35" s="26" t="s">
        <v>406</v>
      </c>
      <c r="D35" s="26" t="s">
        <v>426</v>
      </c>
      <c r="E35" s="26" t="s">
        <v>2503</v>
      </c>
    </row>
    <row r="36">
      <c r="A36" s="26" t="s">
        <v>2504</v>
      </c>
      <c r="D36" s="26" t="s">
        <v>403</v>
      </c>
      <c r="E36" s="26" t="s">
        <v>395</v>
      </c>
    </row>
    <row r="37">
      <c r="A37" s="26" t="s">
        <v>1258</v>
      </c>
      <c r="E37" s="26" t="s">
        <v>1926</v>
      </c>
    </row>
    <row r="38">
      <c r="A38" s="83" t="s">
        <v>2505</v>
      </c>
      <c r="E38" s="26" t="s">
        <v>2506</v>
      </c>
    </row>
    <row r="39">
      <c r="A39" s="83" t="s">
        <v>400</v>
      </c>
      <c r="E39" s="26" t="s">
        <v>1258</v>
      </c>
    </row>
    <row r="40">
      <c r="A40" s="26" t="s">
        <v>2507</v>
      </c>
      <c r="E40" s="26" t="s">
        <v>1926</v>
      </c>
    </row>
    <row r="41">
      <c r="A41" s="26" t="s">
        <v>400</v>
      </c>
      <c r="E41" s="26" t="s">
        <v>2508</v>
      </c>
    </row>
    <row r="42">
      <c r="E42" s="26" t="s">
        <v>400</v>
      </c>
    </row>
    <row r="43">
      <c r="E43" s="26" t="s">
        <v>1926</v>
      </c>
    </row>
    <row r="45">
      <c r="A45" s="40"/>
    </row>
    <row r="46">
      <c r="A46" s="41" t="s">
        <v>2509</v>
      </c>
    </row>
    <row r="47">
      <c r="A47" s="41">
        <v>37140.0</v>
      </c>
    </row>
    <row r="48">
      <c r="A48" s="42">
        <v>2026.0</v>
      </c>
    </row>
    <row r="49">
      <c r="A49" s="38" t="s">
        <v>409</v>
      </c>
      <c r="B49" s="38" t="s">
        <v>410</v>
      </c>
      <c r="C49" s="38" t="s">
        <v>411</v>
      </c>
      <c r="D49" s="38" t="s">
        <v>412</v>
      </c>
      <c r="E49" s="38" t="s">
        <v>413</v>
      </c>
      <c r="F49" s="38" t="s">
        <v>414</v>
      </c>
    </row>
    <row r="50">
      <c r="A50" s="39" t="s">
        <v>2510</v>
      </c>
      <c r="B50" s="39" t="s">
        <v>2511</v>
      </c>
      <c r="E50" s="39" t="s">
        <v>2512</v>
      </c>
      <c r="F50" s="39" t="s">
        <v>2513</v>
      </c>
    </row>
    <row r="51">
      <c r="A51" s="26" t="s">
        <v>2514</v>
      </c>
      <c r="B51" s="26" t="s">
        <v>2515</v>
      </c>
      <c r="E51" s="26" t="s">
        <v>2499</v>
      </c>
      <c r="F51" s="26" t="s">
        <v>2516</v>
      </c>
    </row>
    <row r="52">
      <c r="A52" s="26" t="s">
        <v>400</v>
      </c>
      <c r="B52" s="26" t="s">
        <v>452</v>
      </c>
      <c r="E52" s="26" t="s">
        <v>2517</v>
      </c>
      <c r="F52" s="26" t="s">
        <v>425</v>
      </c>
    </row>
    <row r="53">
      <c r="A53" s="26" t="s">
        <v>788</v>
      </c>
      <c r="E53" s="26" t="s">
        <v>1268</v>
      </c>
      <c r="F53" s="26" t="s">
        <v>436</v>
      </c>
    </row>
    <row r="54">
      <c r="A54" s="26" t="s">
        <v>2518</v>
      </c>
      <c r="E54" s="26" t="s">
        <v>2519</v>
      </c>
      <c r="F54" s="26" t="s">
        <v>2520</v>
      </c>
    </row>
    <row r="55">
      <c r="A55" s="26" t="s">
        <v>400</v>
      </c>
      <c r="E55" s="26" t="s">
        <v>633</v>
      </c>
      <c r="F55" s="26" t="s">
        <v>425</v>
      </c>
    </row>
    <row r="56">
      <c r="A56" s="26" t="s">
        <v>788</v>
      </c>
      <c r="E56" s="26" t="s">
        <v>1678</v>
      </c>
      <c r="F56" s="26" t="s">
        <v>436</v>
      </c>
    </row>
    <row r="57">
      <c r="E57" s="26" t="s">
        <v>1268</v>
      </c>
    </row>
    <row r="58">
      <c r="E58" s="26" t="s">
        <v>2521</v>
      </c>
    </row>
    <row r="59">
      <c r="E59" s="26" t="s">
        <v>425</v>
      </c>
    </row>
    <row r="60">
      <c r="E60" s="26" t="s">
        <v>1268</v>
      </c>
    </row>
    <row r="61">
      <c r="E61" s="26" t="s">
        <v>2522</v>
      </c>
    </row>
    <row r="62">
      <c r="E62" s="26" t="s">
        <v>425</v>
      </c>
    </row>
    <row r="63">
      <c r="E63" s="26" t="s">
        <v>1086</v>
      </c>
    </row>
    <row r="64">
      <c r="E64" s="26" t="s">
        <v>1268</v>
      </c>
    </row>
    <row r="65">
      <c r="E65" s="26" t="s">
        <v>2523</v>
      </c>
    </row>
    <row r="66">
      <c r="E66" s="26" t="s">
        <v>425</v>
      </c>
    </row>
    <row r="67">
      <c r="E67" s="26" t="s">
        <v>1268</v>
      </c>
    </row>
    <row r="68">
      <c r="A68" s="40"/>
    </row>
    <row r="69">
      <c r="A69" s="21" t="s">
        <v>2524</v>
      </c>
    </row>
    <row r="70">
      <c r="A70" s="21">
        <v>44500.0</v>
      </c>
    </row>
    <row r="71">
      <c r="A71" s="18">
        <v>2026.0</v>
      </c>
    </row>
    <row r="72">
      <c r="A72" s="43" t="s">
        <v>2525</v>
      </c>
    </row>
    <row r="73">
      <c r="A73" s="38" t="s">
        <v>457</v>
      </c>
      <c r="B73" s="38" t="s">
        <v>169</v>
      </c>
      <c r="C73" s="38" t="s">
        <v>458</v>
      </c>
      <c r="D73" s="38" t="s">
        <v>459</v>
      </c>
      <c r="E73" s="38" t="s">
        <v>164</v>
      </c>
      <c r="F73" s="38" t="s">
        <v>460</v>
      </c>
      <c r="G73" s="38" t="s">
        <v>157</v>
      </c>
      <c r="H73" s="38" t="s">
        <v>461</v>
      </c>
    </row>
    <row r="74">
      <c r="A74" s="44" t="s">
        <v>2526</v>
      </c>
      <c r="B74" s="44" t="s">
        <v>517</v>
      </c>
      <c r="C74" s="44" t="s">
        <v>517</v>
      </c>
      <c r="D74" s="44" t="s">
        <v>1515</v>
      </c>
      <c r="E74" s="44" t="s">
        <v>2527</v>
      </c>
      <c r="F74" s="44" t="s">
        <v>2528</v>
      </c>
      <c r="G74" s="44" t="s">
        <v>517</v>
      </c>
      <c r="H74" s="44" t="s">
        <v>517</v>
      </c>
    </row>
    <row r="75">
      <c r="A75" s="26" t="s">
        <v>2529</v>
      </c>
      <c r="D75" s="26" t="s">
        <v>2530</v>
      </c>
      <c r="E75" s="26" t="s">
        <v>2531</v>
      </c>
      <c r="F75" s="26" t="s">
        <v>2503</v>
      </c>
    </row>
    <row r="76">
      <c r="A76" s="26" t="s">
        <v>400</v>
      </c>
      <c r="D76" s="26" t="s">
        <v>441</v>
      </c>
      <c r="E76" s="26" t="s">
        <v>550</v>
      </c>
      <c r="F76" s="26" t="s">
        <v>424</v>
      </c>
    </row>
    <row r="77">
      <c r="A77" s="26" t="s">
        <v>2532</v>
      </c>
      <c r="D77" s="26" t="s">
        <v>303</v>
      </c>
      <c r="E77" s="26" t="s">
        <v>505</v>
      </c>
      <c r="F77" s="26" t="s">
        <v>2466</v>
      </c>
    </row>
    <row r="78">
      <c r="A78" s="26" t="s">
        <v>396</v>
      </c>
      <c r="D78" s="26" t="s">
        <v>280</v>
      </c>
      <c r="E78" s="26" t="s">
        <v>2533</v>
      </c>
      <c r="F78" s="26" t="s">
        <v>651</v>
      </c>
    </row>
    <row r="79">
      <c r="A79" s="26" t="s">
        <v>2534</v>
      </c>
      <c r="E79" s="26" t="s">
        <v>425</v>
      </c>
      <c r="F79" s="26" t="s">
        <v>2521</v>
      </c>
    </row>
    <row r="80">
      <c r="A80" s="26" t="s">
        <v>394</v>
      </c>
      <c r="E80" s="26" t="s">
        <v>505</v>
      </c>
      <c r="F80" s="26" t="s">
        <v>1258</v>
      </c>
    </row>
    <row r="81">
      <c r="A81" s="26" t="s">
        <v>2535</v>
      </c>
      <c r="E81" s="26" t="s">
        <v>2536</v>
      </c>
      <c r="F81" s="26" t="s">
        <v>2537</v>
      </c>
    </row>
    <row r="82">
      <c r="A82" s="26" t="s">
        <v>425</v>
      </c>
      <c r="E82" s="26" t="s">
        <v>2538</v>
      </c>
      <c r="F82" s="26" t="s">
        <v>400</v>
      </c>
    </row>
    <row r="83">
      <c r="E83" s="26" t="s">
        <v>280</v>
      </c>
      <c r="F83" s="26" t="s">
        <v>2523</v>
      </c>
    </row>
    <row r="84">
      <c r="E84" s="26" t="s">
        <v>505</v>
      </c>
      <c r="F84" s="26" t="s">
        <v>423</v>
      </c>
    </row>
    <row r="91">
      <c r="A91" s="46" t="s">
        <v>825</v>
      </c>
    </row>
    <row r="92">
      <c r="A92" s="46">
        <f>A95</f>
        <v>145710</v>
      </c>
    </row>
    <row r="93">
      <c r="A93" s="46">
        <v>2026.0</v>
      </c>
    </row>
    <row r="94">
      <c r="A94" s="46" t="s">
        <v>554</v>
      </c>
    </row>
    <row r="95">
      <c r="A95" s="46">
        <f>A98+B98+C98+D98+E98+F98+G98+H98</f>
        <v>145710</v>
      </c>
    </row>
    <row r="96">
      <c r="A96" s="38" t="s">
        <v>512</v>
      </c>
      <c r="B96" s="38" t="s">
        <v>513</v>
      </c>
      <c r="C96" s="38" t="s">
        <v>196</v>
      </c>
      <c r="D96" s="38" t="s">
        <v>514</v>
      </c>
      <c r="E96" s="38" t="s">
        <v>182</v>
      </c>
      <c r="F96" s="38" t="s">
        <v>515</v>
      </c>
      <c r="G96" s="38" t="s">
        <v>516</v>
      </c>
      <c r="H96" s="38" t="s">
        <v>185</v>
      </c>
    </row>
    <row r="97">
      <c r="A97" s="47" t="s">
        <v>517</v>
      </c>
      <c r="B97" s="47" t="s">
        <v>517</v>
      </c>
      <c r="C97" s="47" t="s">
        <v>517</v>
      </c>
      <c r="D97" s="47" t="s">
        <v>517</v>
      </c>
      <c r="E97" s="47" t="s">
        <v>517</v>
      </c>
      <c r="F97" s="47" t="s">
        <v>517</v>
      </c>
      <c r="G97" s="47" t="s">
        <v>517</v>
      </c>
      <c r="H97" s="47" t="s">
        <v>517</v>
      </c>
    </row>
    <row r="98">
      <c r="A98" s="38">
        <v>8750.0</v>
      </c>
      <c r="B98" s="38">
        <v>20000.0</v>
      </c>
      <c r="C98" s="38">
        <v>14110.0</v>
      </c>
      <c r="D98" s="38">
        <v>0.0</v>
      </c>
      <c r="E98" s="38">
        <v>86600.0</v>
      </c>
      <c r="F98" s="38">
        <v>10250.0</v>
      </c>
      <c r="G98" s="38">
        <v>6000.0</v>
      </c>
      <c r="H98" s="38">
        <v>0.0</v>
      </c>
    </row>
    <row r="99">
      <c r="A99" s="26" t="s">
        <v>2500</v>
      </c>
      <c r="B99" s="26" t="s">
        <v>2457</v>
      </c>
      <c r="C99" s="26" t="s">
        <v>2539</v>
      </c>
      <c r="E99" s="26" t="s">
        <v>2530</v>
      </c>
      <c r="F99" s="26" t="s">
        <v>2540</v>
      </c>
      <c r="G99" s="26" t="s">
        <v>2499</v>
      </c>
    </row>
    <row r="100">
      <c r="A100" s="26" t="s">
        <v>569</v>
      </c>
      <c r="B100" s="26" t="s">
        <v>523</v>
      </c>
      <c r="C100" s="26" t="s">
        <v>400</v>
      </c>
      <c r="E100" s="26" t="s">
        <v>633</v>
      </c>
      <c r="F100" s="26" t="s">
        <v>633</v>
      </c>
      <c r="G100" s="26" t="s">
        <v>491</v>
      </c>
    </row>
    <row r="101">
      <c r="A101" s="26" t="s">
        <v>531</v>
      </c>
      <c r="C101" s="26" t="s">
        <v>535</v>
      </c>
      <c r="E101" s="26" t="s">
        <v>537</v>
      </c>
      <c r="F101" s="26" t="s">
        <v>530</v>
      </c>
    </row>
    <row r="102">
      <c r="A102" s="26" t="s">
        <v>2504</v>
      </c>
      <c r="C102" s="26" t="s">
        <v>2541</v>
      </c>
      <c r="E102" s="26" t="s">
        <v>2520</v>
      </c>
      <c r="F102" s="26" t="s">
        <v>2506</v>
      </c>
    </row>
    <row r="103">
      <c r="A103" s="26" t="s">
        <v>400</v>
      </c>
      <c r="C103" s="26" t="s">
        <v>550</v>
      </c>
      <c r="E103" s="26" t="s">
        <v>425</v>
      </c>
      <c r="F103" s="26" t="s">
        <v>441</v>
      </c>
    </row>
    <row r="104">
      <c r="A104" s="26" t="s">
        <v>2505</v>
      </c>
      <c r="C104" s="26" t="s">
        <v>535</v>
      </c>
      <c r="E104" s="26" t="s">
        <v>537</v>
      </c>
      <c r="F104" s="26" t="s">
        <v>2542</v>
      </c>
    </row>
    <row r="105">
      <c r="A105" s="26" t="s">
        <v>550</v>
      </c>
      <c r="E105" s="26" t="s">
        <v>2543</v>
      </c>
      <c r="F105" s="26" t="s">
        <v>400</v>
      </c>
    </row>
    <row r="106">
      <c r="E106" s="26" t="s">
        <v>425</v>
      </c>
    </row>
    <row r="107">
      <c r="E107" s="26" t="s">
        <v>537</v>
      </c>
    </row>
    <row r="108">
      <c r="E108" s="26" t="s">
        <v>2544</v>
      </c>
    </row>
    <row r="109">
      <c r="E109" s="26" t="s">
        <v>425</v>
      </c>
    </row>
    <row r="110">
      <c r="E110" s="26" t="s">
        <v>537</v>
      </c>
    </row>
    <row r="111">
      <c r="A111" s="148" t="s">
        <v>553</v>
      </c>
    </row>
    <row r="112">
      <c r="A112" s="148">
        <f>A115</f>
        <v>45800</v>
      </c>
    </row>
    <row r="113">
      <c r="A113" s="148">
        <v>2026.0</v>
      </c>
    </row>
    <row r="114">
      <c r="A114" s="148" t="s">
        <v>554</v>
      </c>
    </row>
    <row r="115">
      <c r="A115" s="149">
        <f>A118+B118+C118+D118+E118+F118+G118+H118+I118+J118</f>
        <v>45800</v>
      </c>
    </row>
    <row r="116">
      <c r="A116" s="140" t="s">
        <v>555</v>
      </c>
      <c r="B116" s="140" t="s">
        <v>556</v>
      </c>
      <c r="C116" s="140" t="s">
        <v>557</v>
      </c>
      <c r="D116" s="140" t="s">
        <v>558</v>
      </c>
      <c r="E116" s="140" t="s">
        <v>559</v>
      </c>
      <c r="F116" s="140" t="s">
        <v>560</v>
      </c>
      <c r="G116" s="73" t="s">
        <v>561</v>
      </c>
      <c r="H116" s="73" t="s">
        <v>562</v>
      </c>
      <c r="I116" s="74" t="s">
        <v>563</v>
      </c>
      <c r="J116" s="74" t="s">
        <v>564</v>
      </c>
    </row>
    <row r="117">
      <c r="A117" s="150" t="s">
        <v>517</v>
      </c>
      <c r="B117" s="150" t="s">
        <v>517</v>
      </c>
      <c r="C117" s="150" t="s">
        <v>517</v>
      </c>
      <c r="D117" s="150" t="s">
        <v>517</v>
      </c>
      <c r="E117" s="150" t="s">
        <v>517</v>
      </c>
      <c r="F117" s="150" t="s">
        <v>517</v>
      </c>
      <c r="G117" s="30" t="s">
        <v>517</v>
      </c>
      <c r="H117" s="30" t="s">
        <v>517</v>
      </c>
      <c r="I117" s="30" t="s">
        <v>517</v>
      </c>
      <c r="J117" s="30" t="s">
        <v>517</v>
      </c>
    </row>
    <row r="118">
      <c r="A118" s="140">
        <v>0.0</v>
      </c>
      <c r="B118" s="56">
        <v>1300.0</v>
      </c>
      <c r="C118" s="56">
        <v>9000.0</v>
      </c>
      <c r="D118" s="140">
        <v>0.0</v>
      </c>
      <c r="E118" s="140">
        <v>0.0</v>
      </c>
      <c r="F118" s="140">
        <v>0.0</v>
      </c>
      <c r="G118" s="56">
        <v>4000.0</v>
      </c>
      <c r="H118" s="56">
        <v>5500.0</v>
      </c>
      <c r="I118" s="56">
        <v>23900.0</v>
      </c>
      <c r="J118" s="56">
        <v>2100.0</v>
      </c>
    </row>
    <row r="119">
      <c r="B119" s="26" t="s">
        <v>2540</v>
      </c>
      <c r="C119" s="26" t="s">
        <v>2530</v>
      </c>
      <c r="G119" s="26" t="s">
        <v>2545</v>
      </c>
      <c r="H119" s="26" t="s">
        <v>2546</v>
      </c>
      <c r="I119" s="26" t="s">
        <v>2457</v>
      </c>
      <c r="J119" s="26" t="s">
        <v>2516</v>
      </c>
    </row>
    <row r="120">
      <c r="B120" s="26" t="s">
        <v>872</v>
      </c>
      <c r="C120" s="26" t="s">
        <v>627</v>
      </c>
      <c r="G120" s="26" t="s">
        <v>426</v>
      </c>
      <c r="H120" s="26" t="s">
        <v>1696</v>
      </c>
      <c r="I120" s="26" t="s">
        <v>573</v>
      </c>
      <c r="J120" s="26" t="s">
        <v>425</v>
      </c>
    </row>
    <row r="121">
      <c r="C121" s="26" t="s">
        <v>2504</v>
      </c>
      <c r="H121" s="26" t="s">
        <v>2471</v>
      </c>
      <c r="I121" s="26" t="s">
        <v>2547</v>
      </c>
      <c r="J121" s="26" t="s">
        <v>2506</v>
      </c>
    </row>
    <row r="122">
      <c r="C122" s="26" t="s">
        <v>627</v>
      </c>
      <c r="H122" s="26" t="s">
        <v>450</v>
      </c>
      <c r="I122" s="26" t="s">
        <v>452</v>
      </c>
      <c r="J122" s="26" t="s">
        <v>869</v>
      </c>
    </row>
    <row r="123">
      <c r="H123" s="26" t="s">
        <v>2548</v>
      </c>
      <c r="I123" s="26" t="s">
        <v>2549</v>
      </c>
    </row>
    <row r="124">
      <c r="H124" s="26" t="s">
        <v>865</v>
      </c>
      <c r="I124" s="26" t="s">
        <v>425</v>
      </c>
    </row>
    <row r="125">
      <c r="H125" s="26" t="s">
        <v>2550</v>
      </c>
      <c r="I125" s="26" t="s">
        <v>2551</v>
      </c>
    </row>
    <row r="126">
      <c r="H126" s="26" t="s">
        <v>450</v>
      </c>
      <c r="I126" s="26" t="s">
        <v>425</v>
      </c>
    </row>
    <row r="127">
      <c r="I127" s="26" t="s">
        <v>2552</v>
      </c>
    </row>
    <row r="128">
      <c r="I128" s="26" t="s">
        <v>2553</v>
      </c>
    </row>
    <row r="129">
      <c r="I129" s="26" t="s">
        <v>2554</v>
      </c>
    </row>
    <row r="130">
      <c r="I130" s="26" t="s">
        <v>425</v>
      </c>
    </row>
    <row r="131">
      <c r="A131" s="53" t="s">
        <v>596</v>
      </c>
    </row>
    <row r="132">
      <c r="A132" s="54" t="s">
        <v>597</v>
      </c>
    </row>
    <row r="133">
      <c r="A133" s="54">
        <f>A136</f>
        <v>67000</v>
      </c>
    </row>
    <row r="134">
      <c r="A134" s="54">
        <v>2026.0</v>
      </c>
    </row>
    <row r="135">
      <c r="A135" s="54" t="s">
        <v>554</v>
      </c>
    </row>
    <row r="136">
      <c r="A136" s="55">
        <f>A139+B139+C139+D139+E139+F139+G139+H139+I139+J139</f>
        <v>67000</v>
      </c>
    </row>
    <row r="137">
      <c r="A137" s="38" t="s">
        <v>598</v>
      </c>
      <c r="B137" s="38" t="s">
        <v>599</v>
      </c>
      <c r="C137" s="38" t="s">
        <v>600</v>
      </c>
      <c r="D137" s="38" t="s">
        <v>601</v>
      </c>
      <c r="E137" s="38" t="s">
        <v>602</v>
      </c>
      <c r="F137" s="38" t="s">
        <v>603</v>
      </c>
      <c r="G137" s="51" t="s">
        <v>604</v>
      </c>
      <c r="H137" s="56" t="s">
        <v>605</v>
      </c>
      <c r="I137" s="56" t="s">
        <v>606</v>
      </c>
      <c r="J137" s="56" t="s">
        <v>607</v>
      </c>
    </row>
    <row r="138">
      <c r="A138" s="47" t="s">
        <v>517</v>
      </c>
      <c r="B138" s="47" t="s">
        <v>517</v>
      </c>
      <c r="C138" s="47" t="s">
        <v>517</v>
      </c>
      <c r="D138" s="47" t="s">
        <v>517</v>
      </c>
      <c r="E138" s="47" t="s">
        <v>517</v>
      </c>
      <c r="F138" s="47" t="s">
        <v>517</v>
      </c>
      <c r="G138" s="47" t="s">
        <v>517</v>
      </c>
      <c r="H138" s="30" t="s">
        <v>517</v>
      </c>
      <c r="I138" s="30" t="s">
        <v>517</v>
      </c>
      <c r="J138" s="30" t="s">
        <v>517</v>
      </c>
    </row>
    <row r="139">
      <c r="A139" s="38"/>
      <c r="B139" s="38"/>
      <c r="C139" s="38">
        <v>10000.0</v>
      </c>
      <c r="D139" s="38">
        <v>24500.0</v>
      </c>
      <c r="E139" s="38">
        <v>12000.0</v>
      </c>
      <c r="F139" s="38"/>
      <c r="G139" s="38">
        <v>6500.0</v>
      </c>
      <c r="H139" s="38"/>
      <c r="I139" s="38"/>
      <c r="J139" s="38">
        <v>14000.0</v>
      </c>
    </row>
    <row r="140">
      <c r="C140" s="26" t="s">
        <v>2540</v>
      </c>
      <c r="D140" s="26" t="s">
        <v>2457</v>
      </c>
      <c r="E140" s="26" t="s">
        <v>2545</v>
      </c>
      <c r="G140" s="26" t="s">
        <v>2546</v>
      </c>
      <c r="J140" s="26" t="s">
        <v>2555</v>
      </c>
    </row>
    <row r="141">
      <c r="C141" s="26" t="s">
        <v>544</v>
      </c>
      <c r="D141" s="26" t="s">
        <v>1308</v>
      </c>
      <c r="E141" s="26" t="s">
        <v>1398</v>
      </c>
      <c r="G141" s="26" t="s">
        <v>533</v>
      </c>
      <c r="J141" s="26" t="s">
        <v>400</v>
      </c>
    </row>
    <row r="142">
      <c r="D142" s="26" t="s">
        <v>614</v>
      </c>
      <c r="J142" s="26" t="s">
        <v>2471</v>
      </c>
    </row>
    <row r="143">
      <c r="D143" s="26" t="s">
        <v>621</v>
      </c>
      <c r="J143" s="26" t="s">
        <v>400</v>
      </c>
    </row>
    <row r="144">
      <c r="J144" s="26" t="s">
        <v>2490</v>
      </c>
    </row>
    <row r="145">
      <c r="J145" s="26" t="s">
        <v>1398</v>
      </c>
    </row>
    <row r="153">
      <c r="A153" s="57" t="s">
        <v>638</v>
      </c>
    </row>
    <row r="154">
      <c r="A154" s="57">
        <f>A157</f>
        <v>19000</v>
      </c>
    </row>
    <row r="155">
      <c r="A155" s="57">
        <v>2026.0</v>
      </c>
    </row>
    <row r="156">
      <c r="A156" s="57" t="s">
        <v>554</v>
      </c>
    </row>
    <row r="157">
      <c r="A157" s="57">
        <f>A160+B160+C160+D160+E160+F160+G160+H160</f>
        <v>19000</v>
      </c>
    </row>
    <row r="158">
      <c r="A158" s="38" t="s">
        <v>639</v>
      </c>
      <c r="B158" s="38" t="s">
        <v>640</v>
      </c>
      <c r="C158" s="38" t="s">
        <v>641</v>
      </c>
      <c r="D158" s="38" t="s">
        <v>642</v>
      </c>
      <c r="E158" s="38" t="s">
        <v>643</v>
      </c>
      <c r="F158" s="38" t="s">
        <v>644</v>
      </c>
      <c r="G158" s="38" t="s">
        <v>645</v>
      </c>
      <c r="H158" s="38" t="s">
        <v>646</v>
      </c>
    </row>
    <row r="159">
      <c r="A159" s="47" t="s">
        <v>517</v>
      </c>
      <c r="B159" s="47" t="s">
        <v>517</v>
      </c>
      <c r="C159" s="47" t="s">
        <v>517</v>
      </c>
      <c r="D159" s="47" t="s">
        <v>517</v>
      </c>
      <c r="E159" s="47" t="s">
        <v>517</v>
      </c>
      <c r="F159" s="47" t="s">
        <v>517</v>
      </c>
      <c r="G159" s="47" t="s">
        <v>517</v>
      </c>
      <c r="H159" s="47" t="s">
        <v>517</v>
      </c>
    </row>
    <row r="160">
      <c r="A160" s="38">
        <v>0.0</v>
      </c>
      <c r="B160" s="38">
        <v>0.0</v>
      </c>
      <c r="C160" s="38">
        <v>1000.0</v>
      </c>
      <c r="D160" s="38">
        <v>10000.0</v>
      </c>
      <c r="E160" s="38">
        <v>5000.0</v>
      </c>
      <c r="F160" s="38">
        <v>2000.0</v>
      </c>
      <c r="G160" s="38">
        <v>0.0</v>
      </c>
      <c r="H160" s="38">
        <v>1000.0</v>
      </c>
    </row>
    <row r="161">
      <c r="C161" s="26" t="s">
        <v>2556</v>
      </c>
      <c r="D161" s="26" t="s">
        <v>2441</v>
      </c>
      <c r="E161" s="26" t="s">
        <v>2545</v>
      </c>
      <c r="F161" s="26" t="s">
        <v>2516</v>
      </c>
      <c r="H161" s="26" t="s">
        <v>2557</v>
      </c>
    </row>
    <row r="162">
      <c r="C162" s="26" t="s">
        <v>400</v>
      </c>
      <c r="D162" s="26" t="s">
        <v>544</v>
      </c>
      <c r="E162" s="26" t="s">
        <v>569</v>
      </c>
      <c r="F162" s="26" t="s">
        <v>400</v>
      </c>
      <c r="H162" s="26" t="s">
        <v>400</v>
      </c>
    </row>
    <row r="163">
      <c r="F163" s="26" t="s">
        <v>2472</v>
      </c>
    </row>
    <row r="164">
      <c r="F164" s="26" t="s">
        <v>400</v>
      </c>
    </row>
  </sheetData>
  <mergeCells count="45">
    <mergeCell ref="A29:E29"/>
    <mergeCell ref="A30:E30"/>
    <mergeCell ref="A31:E31"/>
    <mergeCell ref="A32:E32"/>
    <mergeCell ref="A45:F45"/>
    <mergeCell ref="A46:F46"/>
    <mergeCell ref="A47:F47"/>
    <mergeCell ref="A48:F48"/>
    <mergeCell ref="A68:H68"/>
    <mergeCell ref="A69:H69"/>
    <mergeCell ref="A70:H70"/>
    <mergeCell ref="A71:H71"/>
    <mergeCell ref="A72:H72"/>
    <mergeCell ref="A91:H91"/>
    <mergeCell ref="A92:H92"/>
    <mergeCell ref="A93:H93"/>
    <mergeCell ref="A94:H94"/>
    <mergeCell ref="A95:H95"/>
    <mergeCell ref="A111:J111"/>
    <mergeCell ref="A112:J112"/>
    <mergeCell ref="A113:J113"/>
    <mergeCell ref="A136:J136"/>
    <mergeCell ref="A153:H153"/>
    <mergeCell ref="A154:H154"/>
    <mergeCell ref="A155:H155"/>
    <mergeCell ref="A156:H156"/>
    <mergeCell ref="A157:H157"/>
    <mergeCell ref="A114:J114"/>
    <mergeCell ref="A115:J115"/>
    <mergeCell ref="A131:J131"/>
    <mergeCell ref="A132:J132"/>
    <mergeCell ref="A133:J133"/>
    <mergeCell ref="A134:J134"/>
    <mergeCell ref="A135:J135"/>
    <mergeCell ref="K6:M6"/>
    <mergeCell ref="K7:M7"/>
    <mergeCell ref="K8:M8"/>
    <mergeCell ref="K5:M5"/>
    <mergeCell ref="H5:J5"/>
    <mergeCell ref="H6:J6"/>
    <mergeCell ref="A28:E28"/>
    <mergeCell ref="A1:M1"/>
    <mergeCell ref="A2:M2"/>
    <mergeCell ref="A3:M3"/>
    <mergeCell ref="A4:M4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151" t="s">
        <v>2558</v>
      </c>
    </row>
    <row r="2">
      <c r="A2" s="152" t="s">
        <v>2559</v>
      </c>
    </row>
    <row r="3">
      <c r="A3" s="151" t="s">
        <v>654</v>
      </c>
    </row>
    <row r="4">
      <c r="A4" s="153">
        <f>100000+B6+C6+E6+H6</f>
        <v>43500</v>
      </c>
    </row>
    <row r="5">
      <c r="A5" s="47" t="s">
        <v>2364</v>
      </c>
      <c r="B5" s="47" t="s">
        <v>655</v>
      </c>
      <c r="C5" s="47" t="s">
        <v>1157</v>
      </c>
      <c r="D5" s="47" t="s">
        <v>204</v>
      </c>
      <c r="E5" s="47" t="s">
        <v>658</v>
      </c>
      <c r="H5" s="30" t="s">
        <v>660</v>
      </c>
    </row>
    <row r="6">
      <c r="A6" s="26" t="s">
        <v>2560</v>
      </c>
      <c r="B6" s="145">
        <v>-30000.0</v>
      </c>
      <c r="C6" s="145">
        <v>-13000.0</v>
      </c>
      <c r="E6" s="154">
        <v>-13500.0</v>
      </c>
      <c r="H6" s="155">
        <f>H8</f>
        <v>0</v>
      </c>
    </row>
    <row r="7">
      <c r="A7" s="26" t="s">
        <v>1116</v>
      </c>
      <c r="B7" s="79" t="s">
        <v>214</v>
      </c>
      <c r="C7" s="26" t="s">
        <v>1492</v>
      </c>
      <c r="E7" s="4" t="s">
        <v>222</v>
      </c>
      <c r="F7" s="4" t="s">
        <v>1810</v>
      </c>
      <c r="G7" s="4" t="s">
        <v>224</v>
      </c>
      <c r="H7" s="30" t="s">
        <v>225</v>
      </c>
    </row>
    <row r="8">
      <c r="A8" s="26" t="s">
        <v>2561</v>
      </c>
      <c r="B8" s="4" t="s">
        <v>30</v>
      </c>
      <c r="C8" s="26" t="s">
        <v>2562</v>
      </c>
      <c r="E8" s="4" t="s">
        <v>2563</v>
      </c>
      <c r="F8" s="4" t="s">
        <v>2564</v>
      </c>
      <c r="G8" s="5"/>
      <c r="H8" s="80">
        <v>0.0</v>
      </c>
    </row>
    <row r="9">
      <c r="A9" s="26" t="s">
        <v>2565</v>
      </c>
      <c r="B9" s="79" t="s">
        <v>36</v>
      </c>
      <c r="C9" s="26" t="s">
        <v>717</v>
      </c>
      <c r="E9" s="4" t="s">
        <v>1403</v>
      </c>
      <c r="F9" s="4" t="s">
        <v>2566</v>
      </c>
      <c r="G9" s="5"/>
    </row>
    <row r="10">
      <c r="A10" s="26" t="s">
        <v>2567</v>
      </c>
      <c r="B10" s="4" t="s">
        <v>49</v>
      </c>
      <c r="E10" s="4" t="s">
        <v>703</v>
      </c>
      <c r="F10" s="5"/>
      <c r="G10" s="5"/>
    </row>
    <row r="11">
      <c r="A11" s="26" t="s">
        <v>2568</v>
      </c>
      <c r="B11" s="79" t="s">
        <v>56</v>
      </c>
      <c r="E11" s="4" t="s">
        <v>747</v>
      </c>
      <c r="F11" s="5"/>
      <c r="G11" s="5"/>
    </row>
    <row r="12">
      <c r="A12" s="26" t="s">
        <v>2569</v>
      </c>
      <c r="B12" s="4" t="s">
        <v>49</v>
      </c>
      <c r="E12" s="4" t="s">
        <v>1116</v>
      </c>
      <c r="F12" s="5"/>
      <c r="G12" s="5"/>
    </row>
    <row r="13">
      <c r="A13" s="26" t="s">
        <v>2570</v>
      </c>
      <c r="E13" s="4" t="s">
        <v>703</v>
      </c>
      <c r="F13" s="5"/>
      <c r="G13" s="5"/>
    </row>
    <row r="14">
      <c r="A14" s="26" t="s">
        <v>2571</v>
      </c>
      <c r="E14" s="4" t="s">
        <v>747</v>
      </c>
      <c r="F14" s="5"/>
      <c r="G14" s="5"/>
    </row>
    <row r="15">
      <c r="A15" s="26" t="s">
        <v>2572</v>
      </c>
      <c r="E15" s="4" t="s">
        <v>2573</v>
      </c>
      <c r="F15" s="5"/>
      <c r="G15" s="5"/>
    </row>
    <row r="16">
      <c r="A16" s="26" t="s">
        <v>2574</v>
      </c>
      <c r="E16" s="4" t="s">
        <v>765</v>
      </c>
      <c r="F16" s="5"/>
      <c r="G16" s="5"/>
    </row>
    <row r="17">
      <c r="A17" s="26" t="s">
        <v>2575</v>
      </c>
      <c r="E17" s="4" t="s">
        <v>747</v>
      </c>
      <c r="F17" s="5"/>
      <c r="G17" s="5"/>
    </row>
    <row r="18">
      <c r="A18" s="26" t="s">
        <v>2576</v>
      </c>
      <c r="E18" s="5"/>
      <c r="F18" s="5"/>
      <c r="G18" s="5"/>
    </row>
    <row r="19">
      <c r="A19" s="26" t="s">
        <v>2577</v>
      </c>
      <c r="E19" s="5"/>
      <c r="F19" s="5"/>
      <c r="G19" s="5"/>
    </row>
    <row r="20">
      <c r="A20" s="26" t="s">
        <v>2578</v>
      </c>
      <c r="E20" s="5"/>
      <c r="F20" s="5"/>
      <c r="G20" s="5"/>
    </row>
    <row r="21">
      <c r="A21" s="26" t="s">
        <v>2579</v>
      </c>
      <c r="E21" s="5"/>
      <c r="F21" s="5"/>
      <c r="G21" s="5"/>
    </row>
    <row r="22">
      <c r="A22" s="26" t="s">
        <v>2580</v>
      </c>
      <c r="E22" s="5"/>
      <c r="F22" s="5"/>
      <c r="G22" s="5"/>
    </row>
    <row r="23">
      <c r="E23" s="5"/>
      <c r="F23" s="5"/>
      <c r="G23" s="5"/>
    </row>
    <row r="24">
      <c r="E24" s="5"/>
      <c r="F24" s="5"/>
      <c r="G24" s="5"/>
    </row>
    <row r="25">
      <c r="E25" s="5"/>
      <c r="F25" s="5"/>
      <c r="G25" s="5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E6:G6"/>
    <mergeCell ref="H5:J5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43.75"/>
    <col customWidth="1" min="3" max="3" width="37.75"/>
    <col customWidth="1" min="4" max="4" width="31.7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</cols>
  <sheetData>
    <row r="1">
      <c r="A1" s="156" t="s">
        <v>2581</v>
      </c>
    </row>
    <row r="2">
      <c r="A2" s="156" t="s">
        <v>2582</v>
      </c>
    </row>
    <row r="3">
      <c r="A3" s="156" t="s">
        <v>654</v>
      </c>
    </row>
    <row r="4">
      <c r="A4" s="118">
        <f>100000+B6+C6+E6+F6+G6+J6+J11+K6+A43+L6+D27+N6</f>
        <v>1798800</v>
      </c>
    </row>
    <row r="5">
      <c r="A5" s="47" t="s">
        <v>200</v>
      </c>
      <c r="B5" s="47" t="s">
        <v>655</v>
      </c>
      <c r="C5" s="47" t="s">
        <v>1157</v>
      </c>
      <c r="D5" s="47" t="s">
        <v>204</v>
      </c>
      <c r="E5" s="47" t="s">
        <v>1430</v>
      </c>
      <c r="F5" s="47" t="s">
        <v>207</v>
      </c>
      <c r="G5" s="47" t="s">
        <v>209</v>
      </c>
      <c r="J5" s="47" t="s">
        <v>978</v>
      </c>
      <c r="K5" s="47" t="s">
        <v>1801</v>
      </c>
      <c r="L5" s="47" t="s">
        <v>894</v>
      </c>
      <c r="N5" s="25" t="s">
        <v>210</v>
      </c>
    </row>
    <row r="6">
      <c r="A6" s="26" t="s">
        <v>2583</v>
      </c>
      <c r="B6" s="118">
        <v>-60000.0</v>
      </c>
      <c r="C6" s="118">
        <v>48000.0</v>
      </c>
      <c r="D6" s="26" t="s">
        <v>2584</v>
      </c>
      <c r="E6" s="118">
        <v>4750.0</v>
      </c>
      <c r="F6" s="118">
        <v>35100.0</v>
      </c>
      <c r="G6" s="118">
        <v>20000.0</v>
      </c>
      <c r="J6" s="118">
        <v>-30000.0</v>
      </c>
      <c r="K6" s="118">
        <v>1000.0</v>
      </c>
      <c r="L6" s="116">
        <v>40000.0</v>
      </c>
      <c r="N6" s="101">
        <f>N8</f>
        <v>0</v>
      </c>
    </row>
    <row r="7">
      <c r="A7" s="26" t="s">
        <v>2585</v>
      </c>
      <c r="B7" s="79" t="s">
        <v>214</v>
      </c>
      <c r="C7" s="26" t="s">
        <v>2586</v>
      </c>
      <c r="D7" s="26" t="s">
        <v>2587</v>
      </c>
      <c r="E7" s="26" t="s">
        <v>2588</v>
      </c>
      <c r="F7" s="26" t="s">
        <v>222</v>
      </c>
      <c r="G7" s="26" t="s">
        <v>222</v>
      </c>
      <c r="H7" s="26" t="s">
        <v>2589</v>
      </c>
      <c r="I7" s="26" t="s">
        <v>224</v>
      </c>
      <c r="J7" s="26" t="s">
        <v>221</v>
      </c>
      <c r="K7" s="26" t="s">
        <v>2590</v>
      </c>
      <c r="L7" s="39" t="s">
        <v>906</v>
      </c>
      <c r="M7" s="39" t="s">
        <v>89</v>
      </c>
      <c r="N7" s="30" t="s">
        <v>225</v>
      </c>
    </row>
    <row r="8">
      <c r="A8" s="26" t="s">
        <v>2591</v>
      </c>
      <c r="B8" s="4" t="s">
        <v>31</v>
      </c>
      <c r="C8" s="26" t="s">
        <v>2592</v>
      </c>
      <c r="D8" s="26" t="s">
        <v>2593</v>
      </c>
      <c r="E8" s="26" t="s">
        <v>301</v>
      </c>
      <c r="F8" s="26" t="s">
        <v>2594</v>
      </c>
      <c r="G8" s="26" t="s">
        <v>2029</v>
      </c>
      <c r="H8" s="26" t="s">
        <v>2595</v>
      </c>
      <c r="I8" s="26" t="s">
        <v>2596</v>
      </c>
      <c r="J8" s="26" t="s">
        <v>1447</v>
      </c>
      <c r="L8" s="26" t="s">
        <v>918</v>
      </c>
      <c r="M8" s="26" t="s">
        <v>919</v>
      </c>
      <c r="N8" s="102">
        <v>0.0</v>
      </c>
    </row>
    <row r="9">
      <c r="A9" s="26" t="s">
        <v>2597</v>
      </c>
      <c r="B9" s="4" t="s">
        <v>44</v>
      </c>
      <c r="C9" s="26" t="s">
        <v>2598</v>
      </c>
      <c r="D9" s="26" t="s">
        <v>2599</v>
      </c>
      <c r="E9" s="26" t="s">
        <v>2600</v>
      </c>
      <c r="F9" s="26" t="s">
        <v>2588</v>
      </c>
      <c r="G9" s="26" t="s">
        <v>2601</v>
      </c>
      <c r="H9" s="26" t="s">
        <v>2602</v>
      </c>
      <c r="I9" s="26" t="s">
        <v>2603</v>
      </c>
      <c r="J9" s="26" t="s">
        <v>2604</v>
      </c>
      <c r="L9" s="26" t="s">
        <v>930</v>
      </c>
      <c r="M9" s="26" t="s">
        <v>2605</v>
      </c>
    </row>
    <row r="10">
      <c r="A10" s="26" t="s">
        <v>2606</v>
      </c>
      <c r="B10" s="79" t="s">
        <v>36</v>
      </c>
      <c r="C10" s="26" t="s">
        <v>2607</v>
      </c>
      <c r="D10" s="26" t="s">
        <v>2608</v>
      </c>
      <c r="E10" s="26" t="s">
        <v>339</v>
      </c>
      <c r="F10" s="26" t="s">
        <v>1661</v>
      </c>
      <c r="G10" s="26" t="s">
        <v>2609</v>
      </c>
      <c r="H10" s="26" t="s">
        <v>1873</v>
      </c>
      <c r="I10" s="26" t="s">
        <v>2610</v>
      </c>
      <c r="J10" s="47" t="s">
        <v>2611</v>
      </c>
      <c r="L10" s="26" t="s">
        <v>2612</v>
      </c>
      <c r="M10" s="26" t="s">
        <v>2613</v>
      </c>
    </row>
    <row r="11">
      <c r="A11" s="26" t="s">
        <v>2614</v>
      </c>
      <c r="B11" s="4" t="s">
        <v>49</v>
      </c>
      <c r="C11" s="26" t="s">
        <v>2615</v>
      </c>
      <c r="D11" s="26" t="s">
        <v>2616</v>
      </c>
      <c r="E11" s="26" t="s">
        <v>2617</v>
      </c>
      <c r="F11" s="26" t="s">
        <v>1025</v>
      </c>
      <c r="G11" s="26" t="s">
        <v>1618</v>
      </c>
      <c r="H11" s="26" t="s">
        <v>2618</v>
      </c>
      <c r="I11" s="26" t="s">
        <v>2619</v>
      </c>
      <c r="J11" s="118">
        <v>30000.0</v>
      </c>
    </row>
    <row r="12">
      <c r="A12" s="26" t="s">
        <v>2620</v>
      </c>
      <c r="B12" s="79" t="s">
        <v>56</v>
      </c>
      <c r="C12" s="26" t="s">
        <v>2621</v>
      </c>
      <c r="D12" s="26" t="s">
        <v>2622</v>
      </c>
      <c r="E12" s="26" t="s">
        <v>766</v>
      </c>
      <c r="F12" s="26" t="s">
        <v>269</v>
      </c>
      <c r="G12" s="26" t="s">
        <v>2623</v>
      </c>
      <c r="H12" s="26" t="s">
        <v>2624</v>
      </c>
      <c r="I12" s="26" t="s">
        <v>2625</v>
      </c>
      <c r="J12" s="26" t="s">
        <v>2626</v>
      </c>
    </row>
    <row r="13">
      <c r="A13" s="26" t="s">
        <v>2627</v>
      </c>
      <c r="B13" s="4" t="s">
        <v>65</v>
      </c>
      <c r="C13" s="26" t="s">
        <v>2628</v>
      </c>
      <c r="D13" s="26" t="s">
        <v>2629</v>
      </c>
      <c r="E13" s="26" t="s">
        <v>1639</v>
      </c>
      <c r="F13" s="26" t="s">
        <v>1053</v>
      </c>
      <c r="G13" s="26" t="s">
        <v>2630</v>
      </c>
      <c r="H13" s="26" t="s">
        <v>2631</v>
      </c>
      <c r="I13" s="26" t="s">
        <v>2632</v>
      </c>
      <c r="J13" s="26" t="s">
        <v>2633</v>
      </c>
    </row>
    <row r="14">
      <c r="A14" s="26" t="s">
        <v>2634</v>
      </c>
      <c r="B14" s="4" t="s">
        <v>68</v>
      </c>
      <c r="C14" s="26" t="s">
        <v>2635</v>
      </c>
      <c r="D14" s="26" t="s">
        <v>2636</v>
      </c>
      <c r="F14" s="26" t="s">
        <v>279</v>
      </c>
      <c r="G14" s="26" t="s">
        <v>693</v>
      </c>
      <c r="H14" s="26" t="s">
        <v>2637</v>
      </c>
    </row>
    <row r="15">
      <c r="A15" s="26" t="s">
        <v>2638</v>
      </c>
      <c r="B15" s="4" t="s">
        <v>74</v>
      </c>
      <c r="C15" s="26" t="s">
        <v>2639</v>
      </c>
      <c r="D15" s="26" t="s">
        <v>2640</v>
      </c>
      <c r="F15" s="26" t="s">
        <v>287</v>
      </c>
      <c r="G15" s="26" t="s">
        <v>2641</v>
      </c>
      <c r="H15" s="26" t="s">
        <v>1195</v>
      </c>
    </row>
    <row r="16">
      <c r="A16" s="26" t="s">
        <v>2642</v>
      </c>
      <c r="B16" s="4" t="s">
        <v>79</v>
      </c>
      <c r="C16" s="26" t="s">
        <v>2643</v>
      </c>
      <c r="D16" s="26" t="s">
        <v>2644</v>
      </c>
      <c r="F16" s="26" t="s">
        <v>2645</v>
      </c>
      <c r="G16" s="26" t="s">
        <v>713</v>
      </c>
      <c r="H16" s="26" t="s">
        <v>2646</v>
      </c>
    </row>
    <row r="17">
      <c r="A17" s="26" t="s">
        <v>2647</v>
      </c>
      <c r="B17" s="4" t="s">
        <v>82</v>
      </c>
      <c r="C17" s="26" t="s">
        <v>2648</v>
      </c>
      <c r="D17" s="26" t="s">
        <v>2649</v>
      </c>
      <c r="F17" s="26" t="s">
        <v>1228</v>
      </c>
      <c r="G17" s="26" t="s">
        <v>1631</v>
      </c>
      <c r="H17" s="26" t="s">
        <v>2650</v>
      </c>
    </row>
    <row r="18">
      <c r="A18" s="26" t="s">
        <v>2651</v>
      </c>
      <c r="B18" s="4" t="s">
        <v>84</v>
      </c>
      <c r="C18" s="26" t="s">
        <v>2231</v>
      </c>
      <c r="D18" s="26" t="s">
        <v>2652</v>
      </c>
      <c r="F18" s="26" t="s">
        <v>308</v>
      </c>
      <c r="G18" s="26" t="s">
        <v>718</v>
      </c>
    </row>
    <row r="19">
      <c r="A19" s="26" t="s">
        <v>2653</v>
      </c>
      <c r="C19" s="26" t="s">
        <v>2654</v>
      </c>
      <c r="D19" s="26" t="s">
        <v>2655</v>
      </c>
      <c r="F19" s="26" t="s">
        <v>287</v>
      </c>
      <c r="G19" s="26" t="s">
        <v>1188</v>
      </c>
    </row>
    <row r="20">
      <c r="A20" s="26" t="s">
        <v>2656</v>
      </c>
      <c r="C20" s="26" t="s">
        <v>2657</v>
      </c>
      <c r="F20" s="26" t="s">
        <v>2658</v>
      </c>
      <c r="G20" s="26" t="s">
        <v>2659</v>
      </c>
    </row>
    <row r="21">
      <c r="A21" s="26" t="s">
        <v>2660</v>
      </c>
      <c r="C21" s="26" t="s">
        <v>2661</v>
      </c>
      <c r="F21" s="26" t="s">
        <v>1009</v>
      </c>
      <c r="G21" s="26" t="s">
        <v>2609</v>
      </c>
    </row>
    <row r="22">
      <c r="A22" s="26" t="s">
        <v>2662</v>
      </c>
      <c r="C22" s="26" t="s">
        <v>2663</v>
      </c>
      <c r="F22" s="26" t="s">
        <v>308</v>
      </c>
      <c r="G22" s="26" t="s">
        <v>1618</v>
      </c>
    </row>
    <row r="23">
      <c r="A23" s="26" t="s">
        <v>2664</v>
      </c>
      <c r="C23" s="26" t="s">
        <v>697</v>
      </c>
      <c r="F23" s="26" t="s">
        <v>2665</v>
      </c>
      <c r="G23" s="26" t="s">
        <v>2666</v>
      </c>
    </row>
    <row r="24">
      <c r="A24" s="65" t="s">
        <v>2667</v>
      </c>
      <c r="C24" s="26" t="s">
        <v>2668</v>
      </c>
      <c r="F24" s="26" t="s">
        <v>2669</v>
      </c>
      <c r="G24" s="26" t="s">
        <v>703</v>
      </c>
    </row>
    <row r="25">
      <c r="A25" s="26" t="s">
        <v>2670</v>
      </c>
      <c r="C25" s="26" t="s">
        <v>1182</v>
      </c>
      <c r="F25" s="26" t="s">
        <v>947</v>
      </c>
      <c r="G25" s="26" t="s">
        <v>1631</v>
      </c>
    </row>
    <row r="26">
      <c r="A26" s="26" t="s">
        <v>2671</v>
      </c>
      <c r="C26" s="26" t="s">
        <v>2672</v>
      </c>
      <c r="D26" s="47" t="s">
        <v>746</v>
      </c>
      <c r="F26" s="26" t="s">
        <v>1606</v>
      </c>
      <c r="G26" s="26" t="s">
        <v>2673</v>
      </c>
    </row>
    <row r="27">
      <c r="A27" s="26" t="s">
        <v>2674</v>
      </c>
      <c r="C27" s="26" t="s">
        <v>1001</v>
      </c>
      <c r="D27" s="116">
        <v>50000.0</v>
      </c>
      <c r="F27" s="26" t="s">
        <v>1009</v>
      </c>
      <c r="G27" s="26" t="s">
        <v>2609</v>
      </c>
    </row>
    <row r="28">
      <c r="A28" s="26" t="s">
        <v>2675</v>
      </c>
      <c r="C28" s="26" t="s">
        <v>2676</v>
      </c>
      <c r="D28" s="4" t="s">
        <v>148</v>
      </c>
      <c r="F28" s="26" t="s">
        <v>1837</v>
      </c>
      <c r="G28" s="26" t="s">
        <v>763</v>
      </c>
    </row>
    <row r="29">
      <c r="A29" s="26" t="s">
        <v>2677</v>
      </c>
      <c r="C29" s="26" t="s">
        <v>2678</v>
      </c>
      <c r="D29" s="4" t="s">
        <v>2679</v>
      </c>
      <c r="F29" s="26" t="s">
        <v>326</v>
      </c>
      <c r="G29" s="26" t="s">
        <v>2680</v>
      </c>
    </row>
    <row r="30">
      <c r="A30" s="26" t="s">
        <v>2681</v>
      </c>
      <c r="C30" s="26" t="s">
        <v>321</v>
      </c>
      <c r="F30" s="26" t="s">
        <v>1837</v>
      </c>
      <c r="G30" s="26" t="s">
        <v>703</v>
      </c>
    </row>
    <row r="31">
      <c r="A31" s="26" t="s">
        <v>2682</v>
      </c>
      <c r="C31" s="26" t="s">
        <v>1888</v>
      </c>
      <c r="F31" s="26" t="s">
        <v>2683</v>
      </c>
      <c r="G31" s="26" t="s">
        <v>728</v>
      </c>
    </row>
    <row r="32">
      <c r="A32" s="65" t="s">
        <v>2684</v>
      </c>
      <c r="C32" s="26" t="s">
        <v>2685</v>
      </c>
      <c r="F32" s="26" t="s">
        <v>1844</v>
      </c>
      <c r="G32" s="26" t="s">
        <v>2686</v>
      </c>
    </row>
    <row r="33">
      <c r="A33" s="65" t="s">
        <v>2687</v>
      </c>
      <c r="F33" s="26" t="s">
        <v>1030</v>
      </c>
      <c r="G33" s="26" t="s">
        <v>703</v>
      </c>
    </row>
    <row r="34">
      <c r="A34" s="65" t="s">
        <v>2688</v>
      </c>
      <c r="F34" s="26" t="s">
        <v>279</v>
      </c>
      <c r="G34" s="26" t="s">
        <v>1188</v>
      </c>
    </row>
    <row r="35">
      <c r="A35" s="65" t="s">
        <v>2689</v>
      </c>
      <c r="F35" s="26" t="s">
        <v>1039</v>
      </c>
      <c r="G35" s="26" t="s">
        <v>765</v>
      </c>
    </row>
    <row r="36">
      <c r="A36" s="65" t="s">
        <v>2690</v>
      </c>
      <c r="F36" s="44" t="s">
        <v>1247</v>
      </c>
      <c r="G36" s="26" t="s">
        <v>1498</v>
      </c>
    </row>
    <row r="37">
      <c r="A37" s="65" t="s">
        <v>2691</v>
      </c>
      <c r="G37" s="26" t="s">
        <v>2692</v>
      </c>
    </row>
    <row r="38">
      <c r="A38" s="65" t="s">
        <v>2693</v>
      </c>
      <c r="F38" s="39" t="s">
        <v>1248</v>
      </c>
      <c r="G38" s="26" t="s">
        <v>765</v>
      </c>
    </row>
    <row r="39">
      <c r="A39" s="26" t="s">
        <v>2694</v>
      </c>
      <c r="F39" s="26" t="s">
        <v>2695</v>
      </c>
      <c r="G39" s="26" t="s">
        <v>1239</v>
      </c>
    </row>
    <row r="40">
      <c r="F40" s="26" t="s">
        <v>2696</v>
      </c>
      <c r="G40" s="26" t="s">
        <v>2697</v>
      </c>
    </row>
    <row r="41">
      <c r="F41" s="39" t="s">
        <v>2698</v>
      </c>
      <c r="G41" s="26" t="s">
        <v>2609</v>
      </c>
    </row>
    <row r="42">
      <c r="A42" s="36" t="s">
        <v>384</v>
      </c>
      <c r="F42" s="39" t="s">
        <v>2699</v>
      </c>
      <c r="G42" s="26" t="s">
        <v>2078</v>
      </c>
    </row>
    <row r="43">
      <c r="A43" s="36">
        <f>A45+A60+A72+A84+A100+A112+A129</f>
        <v>1559950</v>
      </c>
      <c r="F43" s="39"/>
      <c r="G43" s="26" t="s">
        <v>765</v>
      </c>
    </row>
    <row r="44">
      <c r="A44" s="37" t="s">
        <v>776</v>
      </c>
      <c r="G44" s="26" t="s">
        <v>1498</v>
      </c>
    </row>
    <row r="45">
      <c r="A45" s="37">
        <v>22000.0</v>
      </c>
      <c r="G45" s="26" t="s">
        <v>2700</v>
      </c>
    </row>
    <row r="46">
      <c r="A46" s="37">
        <v>2026.0</v>
      </c>
      <c r="G46" s="26" t="s">
        <v>703</v>
      </c>
    </row>
    <row r="47">
      <c r="A47" s="38" t="s">
        <v>386</v>
      </c>
      <c r="B47" s="38" t="s">
        <v>102</v>
      </c>
      <c r="C47" s="38" t="s">
        <v>126</v>
      </c>
      <c r="D47" s="38" t="s">
        <v>112</v>
      </c>
      <c r="E47" s="38" t="s">
        <v>117</v>
      </c>
      <c r="G47" s="26" t="s">
        <v>1498</v>
      </c>
    </row>
    <row r="48">
      <c r="B48" s="39" t="s">
        <v>2701</v>
      </c>
      <c r="C48" s="39" t="s">
        <v>2702</v>
      </c>
      <c r="D48" s="39" t="s">
        <v>1707</v>
      </c>
    </row>
    <row r="49">
      <c r="B49" s="26" t="s">
        <v>2703</v>
      </c>
      <c r="C49" s="26" t="s">
        <v>2704</v>
      </c>
      <c r="D49" s="26" t="s">
        <v>2705</v>
      </c>
    </row>
    <row r="50">
      <c r="B50" s="26" t="s">
        <v>441</v>
      </c>
      <c r="C50" s="26" t="s">
        <v>550</v>
      </c>
      <c r="D50" s="26" t="s">
        <v>1261</v>
      </c>
    </row>
    <row r="51">
      <c r="B51" s="157" t="s">
        <v>2706</v>
      </c>
      <c r="C51" s="26" t="s">
        <v>2707</v>
      </c>
      <c r="D51" s="26" t="s">
        <v>403</v>
      </c>
    </row>
    <row r="52">
      <c r="B52" s="157" t="s">
        <v>550</v>
      </c>
      <c r="C52" s="26" t="s">
        <v>400</v>
      </c>
    </row>
    <row r="53">
      <c r="B53" s="26" t="s">
        <v>2708</v>
      </c>
      <c r="C53" s="26" t="s">
        <v>399</v>
      </c>
    </row>
    <row r="54">
      <c r="B54" s="26" t="s">
        <v>406</v>
      </c>
      <c r="C54" s="26" t="s">
        <v>2709</v>
      </c>
    </row>
    <row r="55">
      <c r="C55" s="26" t="s">
        <v>426</v>
      </c>
    </row>
    <row r="56">
      <c r="C56" s="26" t="s">
        <v>2710</v>
      </c>
    </row>
    <row r="57">
      <c r="C57" s="26" t="s">
        <v>394</v>
      </c>
    </row>
    <row r="58">
      <c r="A58" s="40"/>
    </row>
    <row r="59">
      <c r="A59" s="41" t="s">
        <v>408</v>
      </c>
    </row>
    <row r="60">
      <c r="A60" s="41">
        <v>26250.0</v>
      </c>
    </row>
    <row r="61">
      <c r="A61" s="42">
        <v>2026.0</v>
      </c>
    </row>
    <row r="62">
      <c r="A62" s="38" t="s">
        <v>409</v>
      </c>
      <c r="B62" s="38" t="s">
        <v>410</v>
      </c>
      <c r="C62" s="38" t="s">
        <v>411</v>
      </c>
      <c r="D62" s="38" t="s">
        <v>412</v>
      </c>
      <c r="E62" s="38" t="s">
        <v>413</v>
      </c>
      <c r="F62" s="38" t="s">
        <v>414</v>
      </c>
    </row>
    <row r="63">
      <c r="A63" s="39" t="s">
        <v>2711</v>
      </c>
      <c r="D63" s="39" t="s">
        <v>2712</v>
      </c>
      <c r="E63" s="39" t="s">
        <v>2713</v>
      </c>
      <c r="F63" s="39" t="s">
        <v>2714</v>
      </c>
    </row>
    <row r="64">
      <c r="A64" s="26" t="s">
        <v>2715</v>
      </c>
      <c r="D64" s="26" t="s">
        <v>2716</v>
      </c>
      <c r="E64" s="26" t="s">
        <v>2705</v>
      </c>
      <c r="F64" s="26" t="s">
        <v>2717</v>
      </c>
    </row>
    <row r="65">
      <c r="A65" s="26" t="s">
        <v>425</v>
      </c>
      <c r="D65" s="26" t="s">
        <v>425</v>
      </c>
      <c r="E65" s="26" t="s">
        <v>550</v>
      </c>
      <c r="F65" s="26" t="s">
        <v>407</v>
      </c>
    </row>
    <row r="66">
      <c r="A66" s="26" t="s">
        <v>2718</v>
      </c>
      <c r="D66" s="26" t="s">
        <v>440</v>
      </c>
      <c r="E66" s="26" t="s">
        <v>1098</v>
      </c>
      <c r="F66" s="26" t="s">
        <v>1086</v>
      </c>
    </row>
    <row r="67">
      <c r="A67" s="26" t="s">
        <v>1086</v>
      </c>
      <c r="E67" s="26" t="s">
        <v>2719</v>
      </c>
      <c r="F67" s="26" t="s">
        <v>436</v>
      </c>
    </row>
    <row r="68">
      <c r="A68" s="26" t="s">
        <v>788</v>
      </c>
      <c r="E68" s="26" t="s">
        <v>1520</v>
      </c>
    </row>
    <row r="69">
      <c r="E69" s="26" t="s">
        <v>1268</v>
      </c>
    </row>
    <row r="70">
      <c r="A70" s="40"/>
    </row>
    <row r="71">
      <c r="A71" s="21" t="s">
        <v>803</v>
      </c>
    </row>
    <row r="72">
      <c r="A72" s="21">
        <v>43900.0</v>
      </c>
    </row>
    <row r="73">
      <c r="A73" s="18">
        <v>2026.0</v>
      </c>
    </row>
    <row r="74">
      <c r="A74" s="43" t="s">
        <v>2720</v>
      </c>
    </row>
    <row r="75">
      <c r="A75" s="38" t="s">
        <v>457</v>
      </c>
      <c r="B75" s="38" t="s">
        <v>169</v>
      </c>
      <c r="C75" s="38" t="s">
        <v>458</v>
      </c>
      <c r="D75" s="38" t="s">
        <v>459</v>
      </c>
      <c r="E75" s="38" t="s">
        <v>164</v>
      </c>
      <c r="F75" s="38" t="s">
        <v>460</v>
      </c>
      <c r="G75" s="38" t="s">
        <v>157</v>
      </c>
      <c r="H75" s="38" t="s">
        <v>461</v>
      </c>
    </row>
    <row r="76">
      <c r="A76" s="44" t="s">
        <v>517</v>
      </c>
      <c r="B76" s="44" t="s">
        <v>2721</v>
      </c>
      <c r="C76" s="44" t="s">
        <v>517</v>
      </c>
      <c r="D76" s="44" t="s">
        <v>809</v>
      </c>
      <c r="E76" s="44" t="s">
        <v>2722</v>
      </c>
      <c r="F76" s="44" t="s">
        <v>1384</v>
      </c>
      <c r="G76" s="44" t="s">
        <v>1121</v>
      </c>
      <c r="H76" s="44" t="s">
        <v>1384</v>
      </c>
    </row>
    <row r="77">
      <c r="B77" s="26" t="s">
        <v>2695</v>
      </c>
      <c r="D77" s="26" t="s">
        <v>2716</v>
      </c>
      <c r="E77" s="26" t="s">
        <v>2723</v>
      </c>
      <c r="F77" s="26" t="s">
        <v>2717</v>
      </c>
      <c r="G77" s="26" t="s">
        <v>2724</v>
      </c>
      <c r="H77" s="26" t="s">
        <v>2725</v>
      </c>
    </row>
    <row r="78">
      <c r="B78" s="26" t="s">
        <v>424</v>
      </c>
      <c r="D78" s="26" t="s">
        <v>400</v>
      </c>
      <c r="E78" s="26" t="s">
        <v>544</v>
      </c>
      <c r="F78" s="26" t="s">
        <v>425</v>
      </c>
      <c r="G78" s="26" t="s">
        <v>400</v>
      </c>
      <c r="H78" s="26" t="s">
        <v>425</v>
      </c>
    </row>
    <row r="79">
      <c r="B79" s="26" t="s">
        <v>496</v>
      </c>
      <c r="D79" s="26" t="s">
        <v>2600</v>
      </c>
      <c r="E79" s="26" t="s">
        <v>505</v>
      </c>
      <c r="F79" s="26" t="s">
        <v>2726</v>
      </c>
      <c r="G79" s="26" t="s">
        <v>509</v>
      </c>
      <c r="H79" s="26" t="s">
        <v>2727</v>
      </c>
    </row>
    <row r="80">
      <c r="B80" s="26" t="s">
        <v>2728</v>
      </c>
      <c r="D80" s="26" t="s">
        <v>425</v>
      </c>
      <c r="F80" s="26" t="s">
        <v>425</v>
      </c>
      <c r="H80" s="26" t="s">
        <v>425</v>
      </c>
    </row>
    <row r="81">
      <c r="B81" s="26" t="s">
        <v>425</v>
      </c>
      <c r="D81" s="26" t="s">
        <v>355</v>
      </c>
    </row>
    <row r="82">
      <c r="B82" s="26" t="s">
        <v>496</v>
      </c>
    </row>
    <row r="83">
      <c r="A83" s="46" t="s">
        <v>825</v>
      </c>
    </row>
    <row r="84">
      <c r="A84" s="46">
        <f>A87</f>
        <v>58800</v>
      </c>
    </row>
    <row r="85">
      <c r="A85" s="46">
        <v>2026.0</v>
      </c>
    </row>
    <row r="86">
      <c r="A86" s="46" t="s">
        <v>554</v>
      </c>
    </row>
    <row r="87">
      <c r="A87" s="46">
        <f>A90+B90+C90+D90+E90+F90+G90+H90</f>
        <v>58800</v>
      </c>
    </row>
    <row r="88">
      <c r="A88" s="38" t="s">
        <v>512</v>
      </c>
      <c r="B88" s="38" t="s">
        <v>513</v>
      </c>
      <c r="C88" s="38" t="s">
        <v>196</v>
      </c>
      <c r="D88" s="38" t="s">
        <v>514</v>
      </c>
      <c r="E88" s="38" t="s">
        <v>182</v>
      </c>
      <c r="F88" s="38" t="s">
        <v>515</v>
      </c>
      <c r="G88" s="38" t="s">
        <v>516</v>
      </c>
      <c r="H88" s="38" t="s">
        <v>185</v>
      </c>
    </row>
    <row r="89">
      <c r="A89" s="47" t="s">
        <v>517</v>
      </c>
      <c r="B89" s="47" t="s">
        <v>517</v>
      </c>
      <c r="C89" s="47" t="s">
        <v>517</v>
      </c>
      <c r="D89" s="47" t="s">
        <v>517</v>
      </c>
      <c r="E89" s="47" t="s">
        <v>517</v>
      </c>
      <c r="F89" s="47" t="s">
        <v>517</v>
      </c>
      <c r="G89" s="47" t="s">
        <v>517</v>
      </c>
      <c r="H89" s="47" t="s">
        <v>517</v>
      </c>
    </row>
    <row r="90">
      <c r="A90" s="38">
        <v>0.0</v>
      </c>
      <c r="B90" s="38">
        <v>0.0</v>
      </c>
      <c r="C90" s="38">
        <v>2000.0</v>
      </c>
      <c r="D90" s="38">
        <v>11500.0</v>
      </c>
      <c r="E90" s="38">
        <v>41300.0</v>
      </c>
      <c r="F90" s="38">
        <v>500.0</v>
      </c>
      <c r="G90" s="38">
        <v>3500.0</v>
      </c>
      <c r="H90" s="38">
        <v>0.0</v>
      </c>
    </row>
    <row r="91">
      <c r="C91" s="48" t="s">
        <v>2729</v>
      </c>
      <c r="D91" s="26" t="s">
        <v>2723</v>
      </c>
      <c r="E91" s="26" t="s">
        <v>2715</v>
      </c>
      <c r="F91" s="26" t="s">
        <v>2730</v>
      </c>
      <c r="G91" s="26" t="s">
        <v>2731</v>
      </c>
    </row>
    <row r="92">
      <c r="C92" s="48" t="s">
        <v>521</v>
      </c>
      <c r="D92" s="26" t="s">
        <v>2732</v>
      </c>
      <c r="E92" s="26" t="s">
        <v>834</v>
      </c>
      <c r="F92" s="26" t="s">
        <v>425</v>
      </c>
      <c r="G92" s="26" t="s">
        <v>545</v>
      </c>
    </row>
    <row r="93">
      <c r="D93" s="26" t="s">
        <v>2600</v>
      </c>
      <c r="E93" s="26" t="s">
        <v>537</v>
      </c>
    </row>
    <row r="94">
      <c r="D94" s="26" t="s">
        <v>2733</v>
      </c>
      <c r="E94" s="26" t="s">
        <v>2734</v>
      </c>
    </row>
    <row r="95">
      <c r="D95" s="26" t="s">
        <v>2735</v>
      </c>
      <c r="E95" s="26" t="s">
        <v>543</v>
      </c>
    </row>
    <row r="96">
      <c r="D96" s="26" t="s">
        <v>834</v>
      </c>
      <c r="E96" s="26" t="s">
        <v>537</v>
      </c>
    </row>
    <row r="99">
      <c r="A99" s="148" t="s">
        <v>553</v>
      </c>
    </row>
    <row r="100">
      <c r="A100" s="148">
        <f>A103</f>
        <v>3000</v>
      </c>
    </row>
    <row r="101">
      <c r="A101" s="148">
        <v>2026.0</v>
      </c>
    </row>
    <row r="102">
      <c r="A102" s="148" t="s">
        <v>554</v>
      </c>
    </row>
    <row r="103">
      <c r="A103" s="149">
        <f>A106+B106+C106+D106+E106+F106+G106+H106+I106+J106</f>
        <v>3000</v>
      </c>
    </row>
    <row r="104">
      <c r="A104" s="140" t="s">
        <v>555</v>
      </c>
      <c r="B104" s="140" t="s">
        <v>556</v>
      </c>
      <c r="C104" s="140" t="s">
        <v>557</v>
      </c>
      <c r="D104" s="140" t="s">
        <v>558</v>
      </c>
      <c r="E104" s="140" t="s">
        <v>559</v>
      </c>
      <c r="F104" s="140" t="s">
        <v>560</v>
      </c>
      <c r="G104" s="73" t="s">
        <v>561</v>
      </c>
      <c r="H104" s="73" t="s">
        <v>562</v>
      </c>
      <c r="I104" s="74" t="s">
        <v>563</v>
      </c>
      <c r="J104" s="74" t="s">
        <v>564</v>
      </c>
    </row>
    <row r="105">
      <c r="A105" s="150" t="s">
        <v>517</v>
      </c>
      <c r="B105" s="150" t="s">
        <v>517</v>
      </c>
      <c r="C105" s="150" t="s">
        <v>517</v>
      </c>
      <c r="D105" s="150" t="s">
        <v>517</v>
      </c>
      <c r="E105" s="150" t="s">
        <v>517</v>
      </c>
      <c r="F105" s="150" t="s">
        <v>517</v>
      </c>
      <c r="G105" s="30" t="s">
        <v>517</v>
      </c>
      <c r="H105" s="30" t="s">
        <v>517</v>
      </c>
      <c r="I105" s="30" t="s">
        <v>517</v>
      </c>
      <c r="J105" s="30" t="s">
        <v>517</v>
      </c>
    </row>
    <row r="106">
      <c r="A106" s="140">
        <v>0.0</v>
      </c>
      <c r="B106" s="140">
        <v>0.0</v>
      </c>
      <c r="C106" s="140">
        <v>0.0</v>
      </c>
      <c r="D106" s="56">
        <v>3000.0</v>
      </c>
      <c r="E106" s="140">
        <v>0.0</v>
      </c>
      <c r="F106" s="140">
        <v>0.0</v>
      </c>
      <c r="G106" s="73">
        <v>0.0</v>
      </c>
      <c r="H106" s="73">
        <v>0.0</v>
      </c>
      <c r="I106" s="73">
        <v>0.0</v>
      </c>
      <c r="J106" s="73">
        <v>0.0</v>
      </c>
    </row>
    <row r="107">
      <c r="D107" s="26" t="s">
        <v>2588</v>
      </c>
    </row>
    <row r="108">
      <c r="D108" s="26" t="s">
        <v>550</v>
      </c>
    </row>
    <row r="109">
      <c r="D109" s="26" t="s">
        <v>852</v>
      </c>
    </row>
    <row r="110">
      <c r="A110" s="53" t="s">
        <v>596</v>
      </c>
    </row>
    <row r="111">
      <c r="A111" s="54" t="s">
        <v>597</v>
      </c>
    </row>
    <row r="112">
      <c r="A112" s="54">
        <f>A115</f>
        <v>138000</v>
      </c>
    </row>
    <row r="113">
      <c r="A113" s="54">
        <v>2026.0</v>
      </c>
    </row>
    <row r="114">
      <c r="A114" s="54" t="s">
        <v>554</v>
      </c>
    </row>
    <row r="115">
      <c r="A115" s="55">
        <f>A118+B118+C118+D118+E118+F118+G118+H118+I118+J118</f>
        <v>138000</v>
      </c>
    </row>
    <row r="116">
      <c r="A116" s="38" t="s">
        <v>598</v>
      </c>
      <c r="B116" s="38" t="s">
        <v>599</v>
      </c>
      <c r="C116" s="38" t="s">
        <v>600</v>
      </c>
      <c r="D116" s="38" t="s">
        <v>601</v>
      </c>
      <c r="E116" s="38" t="s">
        <v>602</v>
      </c>
      <c r="F116" s="38" t="s">
        <v>603</v>
      </c>
      <c r="G116" s="51" t="s">
        <v>604</v>
      </c>
      <c r="H116" s="56" t="s">
        <v>605</v>
      </c>
      <c r="I116" s="56" t="s">
        <v>606</v>
      </c>
      <c r="J116" s="56" t="s">
        <v>607</v>
      </c>
    </row>
    <row r="117">
      <c r="A117" s="47" t="s">
        <v>517</v>
      </c>
      <c r="B117" s="47" t="s">
        <v>517</v>
      </c>
      <c r="C117" s="47" t="s">
        <v>517</v>
      </c>
      <c r="D117" s="47" t="s">
        <v>517</v>
      </c>
      <c r="E117" s="47" t="s">
        <v>517</v>
      </c>
      <c r="F117" s="47" t="s">
        <v>517</v>
      </c>
      <c r="G117" s="47" t="s">
        <v>517</v>
      </c>
      <c r="H117" s="30" t="s">
        <v>517</v>
      </c>
      <c r="I117" s="30" t="s">
        <v>517</v>
      </c>
      <c r="J117" s="30" t="s">
        <v>517</v>
      </c>
    </row>
    <row r="118">
      <c r="A118" s="38">
        <v>38500.0</v>
      </c>
      <c r="B118" s="38">
        <v>13000.0</v>
      </c>
      <c r="C118" s="38"/>
      <c r="D118" s="38">
        <v>42500.0</v>
      </c>
      <c r="E118" s="38"/>
      <c r="F118" s="38"/>
      <c r="G118" s="38">
        <v>11500.0</v>
      </c>
      <c r="H118" s="38">
        <v>6500.0</v>
      </c>
      <c r="I118" s="38">
        <v>9000.0</v>
      </c>
      <c r="J118" s="38">
        <v>17000.0</v>
      </c>
    </row>
    <row r="119">
      <c r="A119" s="26" t="s">
        <v>2705</v>
      </c>
      <c r="B119" s="26" t="s">
        <v>2736</v>
      </c>
      <c r="D119" s="26" t="s">
        <v>2737</v>
      </c>
      <c r="G119" s="26" t="s">
        <v>2716</v>
      </c>
      <c r="H119" s="26" t="s">
        <v>2738</v>
      </c>
      <c r="I119" s="26" t="s">
        <v>2739</v>
      </c>
      <c r="J119" s="26" t="s">
        <v>2740</v>
      </c>
    </row>
    <row r="120">
      <c r="A120" s="26" t="s">
        <v>886</v>
      </c>
      <c r="B120" s="26" t="s">
        <v>400</v>
      </c>
      <c r="D120" s="26" t="s">
        <v>426</v>
      </c>
      <c r="G120" s="26" t="s">
        <v>544</v>
      </c>
      <c r="H120" s="26" t="s">
        <v>396</v>
      </c>
      <c r="I120" s="26" t="s">
        <v>611</v>
      </c>
      <c r="J120" s="26" t="s">
        <v>441</v>
      </c>
    </row>
    <row r="121">
      <c r="A121" s="26" t="s">
        <v>621</v>
      </c>
      <c r="B121" s="26" t="s">
        <v>2741</v>
      </c>
      <c r="D121" s="26" t="s">
        <v>2742</v>
      </c>
      <c r="G121" s="26" t="s">
        <v>615</v>
      </c>
      <c r="H121" s="26" t="s">
        <v>2600</v>
      </c>
      <c r="J121" s="26" t="s">
        <v>1409</v>
      </c>
    </row>
    <row r="122">
      <c r="A122" s="26" t="s">
        <v>2743</v>
      </c>
      <c r="B122" s="26" t="s">
        <v>611</v>
      </c>
      <c r="D122" s="26" t="s">
        <v>1786</v>
      </c>
      <c r="G122" s="26" t="s">
        <v>2744</v>
      </c>
      <c r="H122" s="26" t="s">
        <v>441</v>
      </c>
      <c r="J122" s="26" t="s">
        <v>400</v>
      </c>
    </row>
    <row r="123">
      <c r="A123" s="26" t="s">
        <v>400</v>
      </c>
      <c r="B123" s="26" t="s">
        <v>617</v>
      </c>
      <c r="D123" s="26" t="s">
        <v>615</v>
      </c>
      <c r="G123" s="26" t="s">
        <v>634</v>
      </c>
      <c r="J123" s="26" t="s">
        <v>2745</v>
      </c>
    </row>
    <row r="124">
      <c r="A124" s="26" t="s">
        <v>2746</v>
      </c>
      <c r="J124" s="26" t="s">
        <v>1770</v>
      </c>
    </row>
    <row r="125">
      <c r="A125" s="26" t="s">
        <v>489</v>
      </c>
    </row>
    <row r="128">
      <c r="A128" s="57" t="s">
        <v>2747</v>
      </c>
    </row>
    <row r="129">
      <c r="A129" s="57">
        <f>-400000+A133</f>
        <v>1268000</v>
      </c>
    </row>
    <row r="130">
      <c r="A130" s="57">
        <v>2026.0</v>
      </c>
    </row>
    <row r="131">
      <c r="A131" s="158" t="s">
        <v>2748</v>
      </c>
    </row>
    <row r="132">
      <c r="A132" s="57" t="s">
        <v>1285</v>
      </c>
    </row>
    <row r="133">
      <c r="A133" s="57">
        <f>A136+B136+C136+D136+E136+F136+G136+H136</f>
        <v>1668000</v>
      </c>
    </row>
    <row r="134">
      <c r="A134" s="38" t="s">
        <v>639</v>
      </c>
      <c r="B134" s="38" t="s">
        <v>640</v>
      </c>
      <c r="C134" s="38" t="s">
        <v>641</v>
      </c>
      <c r="D134" s="38" t="s">
        <v>642</v>
      </c>
      <c r="E134" s="38" t="s">
        <v>643</v>
      </c>
      <c r="F134" s="38" t="s">
        <v>644</v>
      </c>
      <c r="G134" s="38" t="s">
        <v>645</v>
      </c>
      <c r="H134" s="38" t="s">
        <v>646</v>
      </c>
    </row>
    <row r="135">
      <c r="A135" s="47" t="s">
        <v>517</v>
      </c>
      <c r="B135" s="47" t="s">
        <v>415</v>
      </c>
      <c r="C135" s="47" t="s">
        <v>415</v>
      </c>
      <c r="D135" s="47" t="s">
        <v>415</v>
      </c>
      <c r="E135" s="47" t="s">
        <v>415</v>
      </c>
      <c r="F135" s="47" t="s">
        <v>415</v>
      </c>
      <c r="G135" s="47" t="s">
        <v>517</v>
      </c>
      <c r="H135" s="47" t="s">
        <v>415</v>
      </c>
    </row>
    <row r="136">
      <c r="A136" s="38">
        <v>200000.0</v>
      </c>
      <c r="B136" s="38">
        <v>334000.0</v>
      </c>
      <c r="C136" s="38">
        <v>241000.0</v>
      </c>
      <c r="D136" s="38">
        <v>277000.0</v>
      </c>
      <c r="E136" s="38">
        <v>160000.0</v>
      </c>
      <c r="F136" s="38">
        <v>200000.0</v>
      </c>
      <c r="G136" s="38">
        <v>14000.0</v>
      </c>
      <c r="H136" s="38">
        <v>242000.0</v>
      </c>
    </row>
    <row r="137">
      <c r="A137" s="26" t="s">
        <v>2716</v>
      </c>
      <c r="B137" s="26" t="s">
        <v>2731</v>
      </c>
      <c r="C137" s="26" t="s">
        <v>2749</v>
      </c>
      <c r="D137" s="26" t="s">
        <v>2601</v>
      </c>
      <c r="E137" s="26" t="s">
        <v>2737</v>
      </c>
      <c r="F137" s="26" t="s">
        <v>2750</v>
      </c>
      <c r="G137" s="26" t="s">
        <v>568</v>
      </c>
      <c r="H137" s="26" t="s">
        <v>2703</v>
      </c>
    </row>
    <row r="138">
      <c r="A138" s="26" t="s">
        <v>2751</v>
      </c>
      <c r="B138" s="26" t="s">
        <v>2751</v>
      </c>
      <c r="C138" s="26" t="s">
        <v>2751</v>
      </c>
      <c r="D138" s="26" t="s">
        <v>2751</v>
      </c>
      <c r="E138" s="26" t="s">
        <v>2751</v>
      </c>
      <c r="F138" s="26" t="s">
        <v>2751</v>
      </c>
      <c r="G138" s="26" t="s">
        <v>502</v>
      </c>
      <c r="H138" s="26" t="s">
        <v>2751</v>
      </c>
    </row>
    <row r="139">
      <c r="A139" s="26" t="s">
        <v>2744</v>
      </c>
      <c r="B139" s="26" t="s">
        <v>2752</v>
      </c>
      <c r="C139" s="26" t="s">
        <v>2753</v>
      </c>
      <c r="D139" s="26" t="s">
        <v>2754</v>
      </c>
      <c r="E139" s="26" t="s">
        <v>2742</v>
      </c>
      <c r="F139" s="26" t="s">
        <v>2741</v>
      </c>
      <c r="G139" s="26" t="s">
        <v>2755</v>
      </c>
      <c r="H139" s="26" t="s">
        <v>2756</v>
      </c>
    </row>
    <row r="140">
      <c r="A140" s="26" t="s">
        <v>649</v>
      </c>
      <c r="B140" s="26" t="s">
        <v>649</v>
      </c>
      <c r="C140" s="26" t="s">
        <v>649</v>
      </c>
      <c r="D140" s="26" t="s">
        <v>649</v>
      </c>
      <c r="E140" s="26" t="s">
        <v>649</v>
      </c>
      <c r="F140" s="26" t="s">
        <v>649</v>
      </c>
      <c r="G140" s="26" t="s">
        <v>491</v>
      </c>
      <c r="H140" s="26" t="s">
        <v>649</v>
      </c>
    </row>
    <row r="141">
      <c r="A141" s="26" t="s">
        <v>2757</v>
      </c>
      <c r="B141" s="26" t="s">
        <v>2758</v>
      </c>
      <c r="C141" s="26" t="s">
        <v>2658</v>
      </c>
      <c r="D141" s="26" t="s">
        <v>2759</v>
      </c>
      <c r="F141" s="26" t="s">
        <v>2760</v>
      </c>
      <c r="H141" s="26" t="s">
        <v>2761</v>
      </c>
    </row>
    <row r="142">
      <c r="A142" s="26" t="s">
        <v>1325</v>
      </c>
      <c r="B142" s="26" t="s">
        <v>1325</v>
      </c>
      <c r="C142" s="26" t="s">
        <v>1325</v>
      </c>
      <c r="D142" s="26" t="s">
        <v>1325</v>
      </c>
      <c r="F142" s="26" t="s">
        <v>1325</v>
      </c>
      <c r="H142" s="26" t="s">
        <v>1325</v>
      </c>
    </row>
    <row r="143">
      <c r="B143" s="26" t="s">
        <v>2762</v>
      </c>
      <c r="C143" s="26" t="s">
        <v>2763</v>
      </c>
      <c r="D143" s="26" t="s">
        <v>2764</v>
      </c>
      <c r="F143" s="26" t="s">
        <v>2765</v>
      </c>
      <c r="H143" s="26" t="s">
        <v>2766</v>
      </c>
    </row>
    <row r="144">
      <c r="B144" s="26" t="s">
        <v>611</v>
      </c>
      <c r="C144" s="26" t="s">
        <v>2767</v>
      </c>
      <c r="D144" s="26" t="s">
        <v>491</v>
      </c>
      <c r="F144" s="26" t="s">
        <v>589</v>
      </c>
      <c r="H144" s="26" t="s">
        <v>489</v>
      </c>
    </row>
    <row r="145">
      <c r="B145" s="26" t="s">
        <v>2768</v>
      </c>
      <c r="C145" s="26" t="s">
        <v>2356</v>
      </c>
      <c r="D145" s="26" t="s">
        <v>2769</v>
      </c>
      <c r="F145" s="26" t="s">
        <v>2770</v>
      </c>
      <c r="H145" s="26" t="s">
        <v>2771</v>
      </c>
    </row>
    <row r="146">
      <c r="B146" s="26" t="s">
        <v>616</v>
      </c>
      <c r="C146" s="26" t="s">
        <v>589</v>
      </c>
      <c r="D146" s="26" t="s">
        <v>2772</v>
      </c>
      <c r="F146" s="26" t="s">
        <v>2773</v>
      </c>
      <c r="H146" s="26" t="s">
        <v>589</v>
      </c>
    </row>
    <row r="147">
      <c r="B147" s="26" t="s">
        <v>2774</v>
      </c>
      <c r="D147" s="26" t="s">
        <v>2775</v>
      </c>
    </row>
    <row r="148">
      <c r="B148" s="26" t="s">
        <v>616</v>
      </c>
      <c r="D148" s="26" t="s">
        <v>2776</v>
      </c>
    </row>
    <row r="149">
      <c r="B149" s="26" t="s">
        <v>2777</v>
      </c>
    </row>
    <row r="150">
      <c r="B150" s="26" t="s">
        <v>1323</v>
      </c>
    </row>
    <row r="165">
      <c r="A165" s="65"/>
    </row>
    <row r="173">
      <c r="A173" s="65"/>
    </row>
    <row r="174">
      <c r="A174" s="65"/>
    </row>
    <row r="177">
      <c r="A177" s="65"/>
    </row>
  </sheetData>
  <mergeCells count="48">
    <mergeCell ref="G6:I6"/>
    <mergeCell ref="A42:E42"/>
    <mergeCell ref="A43:E43"/>
    <mergeCell ref="A44:E44"/>
    <mergeCell ref="A45:E45"/>
    <mergeCell ref="A46:E46"/>
    <mergeCell ref="A58:F58"/>
    <mergeCell ref="A59:F59"/>
    <mergeCell ref="A60:F60"/>
    <mergeCell ref="A61:F61"/>
    <mergeCell ref="A70:H70"/>
    <mergeCell ref="A71:H71"/>
    <mergeCell ref="A72:H72"/>
    <mergeCell ref="A73:H73"/>
    <mergeCell ref="A74:H74"/>
    <mergeCell ref="A83:H83"/>
    <mergeCell ref="A84:H84"/>
    <mergeCell ref="A85:H85"/>
    <mergeCell ref="A86:H86"/>
    <mergeCell ref="A87:H87"/>
    <mergeCell ref="A99:J99"/>
    <mergeCell ref="A100:J100"/>
    <mergeCell ref="A101:J101"/>
    <mergeCell ref="A102:J102"/>
    <mergeCell ref="A103:J103"/>
    <mergeCell ref="A110:J110"/>
    <mergeCell ref="A111:J111"/>
    <mergeCell ref="A112:J112"/>
    <mergeCell ref="A132:H132"/>
    <mergeCell ref="A133:H133"/>
    <mergeCell ref="A113:J113"/>
    <mergeCell ref="A114:J114"/>
    <mergeCell ref="A115:J115"/>
    <mergeCell ref="A128:H128"/>
    <mergeCell ref="A129:H129"/>
    <mergeCell ref="A130:H130"/>
    <mergeCell ref="A131:H131"/>
    <mergeCell ref="N5:P5"/>
    <mergeCell ref="N6:P6"/>
    <mergeCell ref="N7:P7"/>
    <mergeCell ref="N8:P8"/>
    <mergeCell ref="G5:I5"/>
    <mergeCell ref="L5:M5"/>
    <mergeCell ref="L6:M6"/>
    <mergeCell ref="A1:P1"/>
    <mergeCell ref="A2:P2"/>
    <mergeCell ref="A3:P3"/>
    <mergeCell ref="A4:P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36" t="s">
        <v>2778</v>
      </c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0" t="s">
        <v>2779</v>
      </c>
      <c r="B2" s="110" t="s">
        <v>2780</v>
      </c>
      <c r="C2" s="110" t="s">
        <v>2781</v>
      </c>
      <c r="D2" s="47"/>
      <c r="J2" s="7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2782</v>
      </c>
      <c r="B3" s="4" t="s">
        <v>2783</v>
      </c>
      <c r="C3" s="4" t="s">
        <v>13</v>
      </c>
      <c r="D3" s="4"/>
      <c r="J3" s="7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2784</v>
      </c>
      <c r="B4" s="4" t="s">
        <v>2785</v>
      </c>
      <c r="C4" s="4" t="s">
        <v>17</v>
      </c>
      <c r="D4" s="4"/>
      <c r="J4" s="7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2786</v>
      </c>
      <c r="B5" s="4" t="s">
        <v>2787</v>
      </c>
      <c r="C5" s="4" t="s">
        <v>6</v>
      </c>
      <c r="D5" s="4"/>
      <c r="J5" s="7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2788</v>
      </c>
      <c r="B6" s="4" t="s">
        <v>2789</v>
      </c>
      <c r="C6" s="4" t="s">
        <v>7</v>
      </c>
      <c r="D6" s="4"/>
      <c r="J6" s="7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2790</v>
      </c>
      <c r="B7" s="4" t="s">
        <v>2791</v>
      </c>
      <c r="C7" s="4" t="s">
        <v>14</v>
      </c>
      <c r="D7" s="4"/>
      <c r="J7" s="7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/>
      <c r="C8" s="4" t="s">
        <v>10</v>
      </c>
      <c r="D8" s="4"/>
      <c r="J8" s="7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0" t="s">
        <v>2792</v>
      </c>
      <c r="J9" s="7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59" t="s">
        <v>2793</v>
      </c>
      <c r="B10" s="159" t="s">
        <v>2794</v>
      </c>
      <c r="C10" s="159" t="s">
        <v>2795</v>
      </c>
      <c r="D10" s="159" t="s">
        <v>2796</v>
      </c>
      <c r="E10" s="159" t="s">
        <v>120</v>
      </c>
      <c r="F10" s="159" t="s">
        <v>115</v>
      </c>
      <c r="J10" s="7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2797</v>
      </c>
      <c r="B11" s="4" t="s">
        <v>10</v>
      </c>
      <c r="C11" s="4" t="s">
        <v>2798</v>
      </c>
      <c r="D11" s="4" t="s">
        <v>2799</v>
      </c>
      <c r="E11" s="4" t="s">
        <v>2799</v>
      </c>
      <c r="F11" s="4" t="s">
        <v>2800</v>
      </c>
      <c r="J11" s="7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2801</v>
      </c>
      <c r="B12" s="4" t="s">
        <v>7</v>
      </c>
      <c r="C12" s="4" t="s">
        <v>2802</v>
      </c>
      <c r="D12" s="4" t="s">
        <v>132</v>
      </c>
      <c r="E12" s="4" t="s">
        <v>2803</v>
      </c>
      <c r="F12" s="4" t="s">
        <v>132</v>
      </c>
      <c r="J12" s="7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2804</v>
      </c>
      <c r="B13" s="4" t="s">
        <v>7</v>
      </c>
      <c r="C13" s="4" t="s">
        <v>2805</v>
      </c>
      <c r="D13" s="4" t="s">
        <v>2806</v>
      </c>
      <c r="E13" s="4" t="s">
        <v>2807</v>
      </c>
      <c r="F13" s="4" t="s">
        <v>2806</v>
      </c>
      <c r="J13" s="7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2808</v>
      </c>
      <c r="B14" s="4" t="s">
        <v>14</v>
      </c>
      <c r="C14" s="4" t="s">
        <v>2805</v>
      </c>
      <c r="D14" s="4" t="s">
        <v>2809</v>
      </c>
      <c r="E14" s="4" t="s">
        <v>2810</v>
      </c>
      <c r="F14" s="4" t="s">
        <v>2809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2811</v>
      </c>
      <c r="B15" s="4" t="s">
        <v>15</v>
      </c>
      <c r="C15" s="4" t="s">
        <v>2798</v>
      </c>
      <c r="D15" s="4" t="s">
        <v>2812</v>
      </c>
      <c r="E15" s="4" t="s">
        <v>2813</v>
      </c>
      <c r="F15" s="4" t="s">
        <v>2812</v>
      </c>
      <c r="J15" s="160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2814</v>
      </c>
      <c r="B16" s="4" t="s">
        <v>7</v>
      </c>
      <c r="C16" s="4" t="s">
        <v>2802</v>
      </c>
      <c r="D16" s="4" t="s">
        <v>2815</v>
      </c>
      <c r="E16" s="4" t="s">
        <v>2816</v>
      </c>
      <c r="F16" s="4" t="s">
        <v>2815</v>
      </c>
      <c r="J16" s="160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2817</v>
      </c>
      <c r="B17" s="4" t="s">
        <v>10</v>
      </c>
      <c r="C17" s="4" t="s">
        <v>2818</v>
      </c>
      <c r="D17" s="4" t="s">
        <v>2819</v>
      </c>
      <c r="E17" s="4" t="s">
        <v>2819</v>
      </c>
      <c r="F17" s="4" t="s">
        <v>2820</v>
      </c>
      <c r="J17" s="160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2821</v>
      </c>
      <c r="B18" s="4" t="s">
        <v>14</v>
      </c>
      <c r="C18" s="4" t="s">
        <v>2822</v>
      </c>
      <c r="D18" s="4" t="s">
        <v>2823</v>
      </c>
      <c r="E18" s="4" t="s">
        <v>2824</v>
      </c>
      <c r="F18" s="4" t="s">
        <v>2823</v>
      </c>
      <c r="J18" s="160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2825</v>
      </c>
      <c r="B19" s="4" t="s">
        <v>10</v>
      </c>
      <c r="C19" s="4" t="s">
        <v>2802</v>
      </c>
      <c r="D19" s="4" t="s">
        <v>2799</v>
      </c>
      <c r="E19" s="4" t="s">
        <v>2806</v>
      </c>
      <c r="F19" s="4" t="s">
        <v>2799</v>
      </c>
      <c r="J19" s="160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2826</v>
      </c>
      <c r="B20" s="4" t="s">
        <v>11</v>
      </c>
      <c r="C20" s="4" t="s">
        <v>2827</v>
      </c>
      <c r="D20" s="4" t="s">
        <v>2803</v>
      </c>
      <c r="E20" s="4" t="s">
        <v>2803</v>
      </c>
      <c r="F20" s="4" t="s">
        <v>2828</v>
      </c>
      <c r="J20" s="160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10" t="s">
        <v>2829</v>
      </c>
      <c r="J21" s="160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59" t="s">
        <v>2793</v>
      </c>
      <c r="B22" s="159" t="s">
        <v>2794</v>
      </c>
      <c r="C22" s="159" t="s">
        <v>2795</v>
      </c>
      <c r="D22" s="159" t="s">
        <v>2796</v>
      </c>
      <c r="E22" s="159" t="s">
        <v>120</v>
      </c>
      <c r="F22" s="159" t="s">
        <v>115</v>
      </c>
      <c r="J22" s="160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2830</v>
      </c>
      <c r="B23" s="4" t="s">
        <v>6</v>
      </c>
      <c r="C23" s="4" t="s">
        <v>2831</v>
      </c>
      <c r="D23" s="4" t="s">
        <v>2832</v>
      </c>
      <c r="E23" s="4" t="s">
        <v>2798</v>
      </c>
      <c r="F23" s="4" t="s">
        <v>2832</v>
      </c>
      <c r="J23" s="160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2833</v>
      </c>
      <c r="B24" s="4" t="s">
        <v>17</v>
      </c>
      <c r="C24" s="4" t="s">
        <v>2802</v>
      </c>
      <c r="D24" s="4" t="s">
        <v>2834</v>
      </c>
      <c r="E24" s="4" t="s">
        <v>2835</v>
      </c>
      <c r="F24" s="4" t="s">
        <v>2834</v>
      </c>
      <c r="J24" s="160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2836</v>
      </c>
      <c r="B25" s="4" t="s">
        <v>4</v>
      </c>
      <c r="C25" s="4" t="s">
        <v>2827</v>
      </c>
      <c r="D25" s="4" t="s">
        <v>137</v>
      </c>
      <c r="E25" s="4" t="s">
        <v>137</v>
      </c>
      <c r="F25" s="4" t="s">
        <v>2837</v>
      </c>
      <c r="G25" s="5"/>
      <c r="H25" s="5"/>
      <c r="I25" s="5"/>
      <c r="J25" s="160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2838</v>
      </c>
      <c r="B26" s="4" t="s">
        <v>6</v>
      </c>
      <c r="C26" s="4" t="s">
        <v>2822</v>
      </c>
      <c r="D26" s="4" t="s">
        <v>2839</v>
      </c>
      <c r="E26" s="4" t="s">
        <v>2840</v>
      </c>
      <c r="F26" s="4" t="s">
        <v>2839</v>
      </c>
      <c r="J26" s="160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2841</v>
      </c>
      <c r="B27" s="4" t="s">
        <v>17</v>
      </c>
      <c r="C27" s="4" t="s">
        <v>2802</v>
      </c>
      <c r="D27" s="4" t="s">
        <v>2834</v>
      </c>
      <c r="E27" s="4" t="s">
        <v>2834</v>
      </c>
      <c r="F27" s="4" t="s">
        <v>2834</v>
      </c>
      <c r="J27" s="160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2842</v>
      </c>
      <c r="B28" s="4" t="s">
        <v>107</v>
      </c>
      <c r="C28" s="4" t="s">
        <v>2843</v>
      </c>
      <c r="D28" s="4" t="s">
        <v>2844</v>
      </c>
      <c r="E28" s="4" t="s">
        <v>2798</v>
      </c>
      <c r="F28" s="4" t="s">
        <v>2844</v>
      </c>
      <c r="J28" s="160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2845</v>
      </c>
      <c r="B29" s="4" t="s">
        <v>6</v>
      </c>
      <c r="C29" s="4" t="s">
        <v>2802</v>
      </c>
      <c r="D29" s="4" t="s">
        <v>2846</v>
      </c>
      <c r="E29" s="4" t="s">
        <v>2846</v>
      </c>
      <c r="F29" s="4" t="s">
        <v>2847</v>
      </c>
      <c r="J29" s="160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2848</v>
      </c>
      <c r="B30" s="4" t="s">
        <v>13</v>
      </c>
      <c r="C30" s="4" t="s">
        <v>2827</v>
      </c>
      <c r="D30" s="4" t="s">
        <v>149</v>
      </c>
      <c r="E30" s="4" t="s">
        <v>2849</v>
      </c>
      <c r="F30" s="4" t="s">
        <v>149</v>
      </c>
      <c r="J30" s="160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2850</v>
      </c>
      <c r="B31" s="4" t="s">
        <v>17</v>
      </c>
      <c r="C31" s="4" t="s">
        <v>2843</v>
      </c>
      <c r="D31" s="4" t="s">
        <v>2851</v>
      </c>
      <c r="E31" s="4" t="s">
        <v>2852</v>
      </c>
      <c r="F31" s="4" t="s">
        <v>2851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2853</v>
      </c>
      <c r="B32" s="4" t="s">
        <v>6</v>
      </c>
      <c r="C32" s="4" t="s">
        <v>2822</v>
      </c>
      <c r="D32" s="4" t="s">
        <v>2847</v>
      </c>
      <c r="E32" s="4" t="s">
        <v>2854</v>
      </c>
      <c r="F32" s="4" t="s">
        <v>2847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10" t="s">
        <v>2781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59" t="s">
        <v>2793</v>
      </c>
      <c r="B34" s="159" t="s">
        <v>2794</v>
      </c>
      <c r="C34" s="159" t="s">
        <v>2795</v>
      </c>
      <c r="D34" s="159" t="s">
        <v>2796</v>
      </c>
      <c r="E34" s="159" t="s">
        <v>120</v>
      </c>
      <c r="F34" s="159" t="s">
        <v>115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2855</v>
      </c>
      <c r="B35" s="4" t="s">
        <v>17</v>
      </c>
      <c r="C35" s="4" t="s">
        <v>2843</v>
      </c>
      <c r="D35" s="4" t="s">
        <v>2834</v>
      </c>
      <c r="E35" s="4" t="s">
        <v>2834</v>
      </c>
      <c r="F35" s="4" t="s">
        <v>2834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2856</v>
      </c>
      <c r="B36" s="4" t="s">
        <v>13</v>
      </c>
      <c r="C36" s="4" t="s">
        <v>2827</v>
      </c>
      <c r="D36" s="4" t="s">
        <v>149</v>
      </c>
      <c r="E36" s="4" t="s">
        <v>2857</v>
      </c>
      <c r="F36" s="4" t="s">
        <v>149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2858</v>
      </c>
      <c r="B37" s="4" t="s">
        <v>6</v>
      </c>
      <c r="C37" s="4" t="s">
        <v>2843</v>
      </c>
      <c r="D37" s="4" t="s">
        <v>2839</v>
      </c>
      <c r="E37" s="4" t="s">
        <v>2859</v>
      </c>
      <c r="F37" s="4" t="s">
        <v>2839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2860</v>
      </c>
      <c r="B38" s="4" t="s">
        <v>6</v>
      </c>
      <c r="C38" s="4" t="s">
        <v>2822</v>
      </c>
      <c r="D38" s="4" t="s">
        <v>2846</v>
      </c>
      <c r="E38" s="4" t="s">
        <v>2846</v>
      </c>
      <c r="F38" s="4" t="s">
        <v>2861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2862</v>
      </c>
      <c r="B39" s="4" t="s">
        <v>7</v>
      </c>
      <c r="C39" s="4" t="s">
        <v>2843</v>
      </c>
      <c r="D39" s="4" t="s">
        <v>2863</v>
      </c>
      <c r="E39" s="4" t="s">
        <v>2864</v>
      </c>
      <c r="F39" s="4" t="s">
        <v>2806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2865</v>
      </c>
      <c r="B40" s="4" t="s">
        <v>13</v>
      </c>
      <c r="C40" s="4" t="s">
        <v>2805</v>
      </c>
      <c r="D40" s="4" t="s">
        <v>2866</v>
      </c>
      <c r="E40" s="4" t="s">
        <v>2867</v>
      </c>
      <c r="F40" s="4" t="s">
        <v>2866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2868</v>
      </c>
      <c r="B41" s="4" t="s">
        <v>17</v>
      </c>
      <c r="C41" s="4" t="s">
        <v>2869</v>
      </c>
      <c r="D41" s="4" t="s">
        <v>2870</v>
      </c>
      <c r="E41" s="4" t="s">
        <v>2870</v>
      </c>
      <c r="F41" s="4" t="s">
        <v>2870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2871</v>
      </c>
      <c r="B42" s="4" t="s">
        <v>13</v>
      </c>
      <c r="C42" s="4" t="s">
        <v>2818</v>
      </c>
      <c r="D42" s="4" t="s">
        <v>149</v>
      </c>
      <c r="E42" s="4" t="s">
        <v>2867</v>
      </c>
      <c r="F42" s="4" t="s">
        <v>149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2872</v>
      </c>
      <c r="B43" s="4" t="s">
        <v>17</v>
      </c>
      <c r="C43" s="4" t="s">
        <v>2843</v>
      </c>
      <c r="D43" s="4" t="s">
        <v>2851</v>
      </c>
      <c r="E43" s="4" t="s">
        <v>2851</v>
      </c>
      <c r="F43" s="4" t="s">
        <v>2815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10" t="s">
        <v>2873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59" t="s">
        <v>2793</v>
      </c>
      <c r="B45" s="159" t="s">
        <v>2794</v>
      </c>
      <c r="C45" s="159" t="s">
        <v>2795</v>
      </c>
      <c r="D45" s="159" t="s">
        <v>2796</v>
      </c>
      <c r="E45" s="159" t="s">
        <v>120</v>
      </c>
      <c r="F45" s="159" t="s">
        <v>115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2874</v>
      </c>
      <c r="B46" s="4" t="s">
        <v>6</v>
      </c>
      <c r="C46" s="4" t="s">
        <v>2843</v>
      </c>
      <c r="D46" s="4" t="s">
        <v>2875</v>
      </c>
      <c r="E46" s="4" t="s">
        <v>2876</v>
      </c>
      <c r="F46" s="4" t="s">
        <v>2875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2856</v>
      </c>
      <c r="B47" s="4" t="s">
        <v>13</v>
      </c>
      <c r="C47" s="4" t="s">
        <v>2869</v>
      </c>
      <c r="D47" s="4" t="s">
        <v>149</v>
      </c>
      <c r="E47" s="4" t="s">
        <v>2877</v>
      </c>
      <c r="F47" s="4" t="s">
        <v>2866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10" t="s">
        <v>2878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59" t="s">
        <v>2793</v>
      </c>
      <c r="B49" s="159" t="s">
        <v>2794</v>
      </c>
      <c r="C49" s="159" t="s">
        <v>2795</v>
      </c>
      <c r="D49" s="159" t="s">
        <v>2796</v>
      </c>
      <c r="E49" s="159" t="s">
        <v>120</v>
      </c>
      <c r="F49" s="159" t="s">
        <v>115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2853</v>
      </c>
      <c r="B50" s="4" t="s">
        <v>13</v>
      </c>
      <c r="C50" s="4" t="s">
        <v>2843</v>
      </c>
      <c r="D50" s="4" t="s">
        <v>2879</v>
      </c>
      <c r="E50" s="4" t="s">
        <v>2880</v>
      </c>
      <c r="F50" s="4" t="s">
        <v>2881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61" t="s">
        <v>88</v>
      </c>
      <c r="E53" s="8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6" t="s">
        <v>92</v>
      </c>
      <c r="B54" s="106" t="s">
        <v>93</v>
      </c>
      <c r="C54" s="106" t="s">
        <v>2882</v>
      </c>
      <c r="D54" s="106" t="s">
        <v>2883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97</v>
      </c>
      <c r="B55" s="4" t="s">
        <v>98</v>
      </c>
      <c r="C55" s="4" t="s">
        <v>6</v>
      </c>
      <c r="D55" s="4">
        <v>5000.0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103</v>
      </c>
      <c r="B56" s="4" t="s">
        <v>104</v>
      </c>
      <c r="C56" s="4" t="s">
        <v>4</v>
      </c>
      <c r="D56" s="4">
        <v>5000.0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108</v>
      </c>
      <c r="B57" s="4" t="s">
        <v>109</v>
      </c>
      <c r="C57" s="4" t="s">
        <v>15</v>
      </c>
      <c r="D57" s="4">
        <v>5000.0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113</v>
      </c>
      <c r="B58" s="4" t="s">
        <v>114</v>
      </c>
      <c r="C58" s="4" t="s">
        <v>11</v>
      </c>
      <c r="D58" s="4">
        <v>5000.0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118</v>
      </c>
      <c r="B59" s="4" t="s">
        <v>119</v>
      </c>
      <c r="C59" s="4" t="s">
        <v>6</v>
      </c>
      <c r="D59" s="4">
        <v>5000.0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122</v>
      </c>
      <c r="B60" s="4" t="s">
        <v>123</v>
      </c>
      <c r="C60" s="4" t="s">
        <v>6</v>
      </c>
      <c r="D60" s="4">
        <v>5000.0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127</v>
      </c>
      <c r="B61" s="4" t="s">
        <v>119</v>
      </c>
      <c r="C61" s="4" t="s">
        <v>6</v>
      </c>
      <c r="D61" s="4">
        <v>5000.0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110</v>
      </c>
      <c r="B62" s="4" t="s">
        <v>129</v>
      </c>
      <c r="C62" s="4" t="s">
        <v>13</v>
      </c>
      <c r="D62" s="4">
        <v>5000.0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131</v>
      </c>
      <c r="B63" s="4" t="s">
        <v>132</v>
      </c>
      <c r="C63" s="4" t="s">
        <v>13</v>
      </c>
      <c r="D63" s="4">
        <v>5000.0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136</v>
      </c>
      <c r="B64" s="4" t="s">
        <v>137</v>
      </c>
      <c r="C64" s="4" t="s">
        <v>4</v>
      </c>
      <c r="D64" s="4">
        <v>5000.0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139</v>
      </c>
      <c r="B65" s="4" t="s">
        <v>140</v>
      </c>
      <c r="C65" s="4" t="s">
        <v>11</v>
      </c>
      <c r="D65" s="4">
        <v>5000.0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143</v>
      </c>
      <c r="B66" s="4" t="s">
        <v>144</v>
      </c>
      <c r="C66" s="4" t="s">
        <v>4</v>
      </c>
      <c r="D66" s="4">
        <v>5000.0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147</v>
      </c>
      <c r="B67" s="4" t="s">
        <v>148</v>
      </c>
      <c r="C67" s="4" t="s">
        <v>17</v>
      </c>
      <c r="D67" s="4">
        <v>5000.0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141</v>
      </c>
      <c r="B68" s="4" t="s">
        <v>149</v>
      </c>
      <c r="C68" s="4" t="s">
        <v>13</v>
      </c>
      <c r="D68" s="4">
        <v>10000.0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120</v>
      </c>
      <c r="B69" s="4" t="s">
        <v>119</v>
      </c>
      <c r="C69" s="4" t="s">
        <v>6</v>
      </c>
      <c r="D69" s="4">
        <v>10000.0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153</v>
      </c>
      <c r="B70" s="4" t="s">
        <v>149</v>
      </c>
      <c r="C70" s="4" t="s">
        <v>13</v>
      </c>
      <c r="D70" s="4">
        <v>20000.0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128</v>
      </c>
      <c r="C71" s="4" t="s">
        <v>6</v>
      </c>
      <c r="D71" s="4">
        <v>40000.0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130</v>
      </c>
      <c r="C72" s="4" t="s">
        <v>13</v>
      </c>
      <c r="D72" s="4">
        <v>80000.0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62" t="s">
        <v>2884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8" t="s">
        <v>92</v>
      </c>
      <c r="B75" s="18" t="s">
        <v>93</v>
      </c>
      <c r="C75" s="18" t="s">
        <v>2882</v>
      </c>
      <c r="D75" s="18" t="s">
        <v>2883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2794</v>
      </c>
      <c r="B76" s="4" t="s">
        <v>2885</v>
      </c>
      <c r="C76" s="4" t="s">
        <v>107</v>
      </c>
      <c r="D76" s="4">
        <v>30000.0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2886</v>
      </c>
      <c r="B77" s="4" t="s">
        <v>2887</v>
      </c>
      <c r="C77" s="4" t="s">
        <v>16</v>
      </c>
      <c r="D77" s="4">
        <v>20000.0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2888</v>
      </c>
      <c r="B78" s="4" t="s">
        <v>2889</v>
      </c>
      <c r="C78" s="4" t="s">
        <v>17</v>
      </c>
      <c r="D78" s="4">
        <v>100000.0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2890</v>
      </c>
      <c r="B79" s="4" t="s">
        <v>2891</v>
      </c>
      <c r="C79" s="4" t="s">
        <v>15</v>
      </c>
      <c r="D79" s="4">
        <v>5000.0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2892</v>
      </c>
      <c r="B80" s="4" t="s">
        <v>2893</v>
      </c>
      <c r="C80" s="4" t="s">
        <v>16</v>
      </c>
      <c r="D80" s="4">
        <v>5000.0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8" t="s">
        <v>2894</v>
      </c>
      <c r="D82" s="84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63" t="s">
        <v>92</v>
      </c>
      <c r="B83" s="163" t="s">
        <v>2882</v>
      </c>
      <c r="C83" s="163" t="s">
        <v>2883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2895</v>
      </c>
      <c r="B84" s="4" t="s">
        <v>6</v>
      </c>
      <c r="C84" s="4">
        <v>20000.0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2896</v>
      </c>
      <c r="B85" s="4" t="s">
        <v>7</v>
      </c>
      <c r="C85" s="4">
        <v>10000.0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2897</v>
      </c>
      <c r="B86" s="4" t="s">
        <v>4</v>
      </c>
      <c r="C86" s="4">
        <v>5000.0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2898</v>
      </c>
      <c r="B87" s="4" t="s">
        <v>13</v>
      </c>
      <c r="C87" s="4">
        <v>5000.0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8" t="s">
        <v>2899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63" t="s">
        <v>2900</v>
      </c>
      <c r="B90" s="163" t="s">
        <v>2882</v>
      </c>
      <c r="C90" s="163" t="s">
        <v>2901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2902</v>
      </c>
      <c r="B91" s="4" t="s">
        <v>4</v>
      </c>
      <c r="C91" s="4">
        <v>30000.0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2903</v>
      </c>
      <c r="B92" s="4" t="s">
        <v>11</v>
      </c>
      <c r="C92" s="4">
        <v>10000.0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B93" s="4" t="s">
        <v>15</v>
      </c>
      <c r="C93" s="4">
        <v>10000.0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B94" s="4" t="s">
        <v>4</v>
      </c>
      <c r="C94" s="4">
        <v>10000.0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B95" s="4" t="s">
        <v>107</v>
      </c>
      <c r="C95" s="4">
        <v>10000.0</v>
      </c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2904</v>
      </c>
      <c r="B96" s="4" t="s">
        <v>10</v>
      </c>
      <c r="C96" s="4">
        <v>15000.0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B97" s="4" t="s">
        <v>14</v>
      </c>
      <c r="C97" s="4">
        <v>15000.0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187</v>
      </c>
      <c r="B98" s="4" t="s">
        <v>17</v>
      </c>
      <c r="C98" s="4">
        <v>20000.0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B99" s="4" t="s">
        <v>7</v>
      </c>
      <c r="C99" s="4">
        <v>20000.0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47" t="s">
        <v>2905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64" t="s">
        <v>2906</v>
      </c>
      <c r="B2" s="164" t="s">
        <v>2902</v>
      </c>
      <c r="C2" s="164" t="s">
        <v>2907</v>
      </c>
      <c r="D2" s="164" t="s">
        <v>2908</v>
      </c>
      <c r="E2" s="164" t="s">
        <v>2909</v>
      </c>
      <c r="F2" s="164" t="s">
        <v>2910</v>
      </c>
      <c r="G2" s="164" t="s">
        <v>2911</v>
      </c>
      <c r="H2" s="164" t="s">
        <v>2912</v>
      </c>
      <c r="I2" s="164" t="s">
        <v>2913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6" t="s">
        <v>2914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2915</v>
      </c>
      <c r="B4" s="4" t="s">
        <v>4</v>
      </c>
      <c r="C4" s="4" t="s">
        <v>11</v>
      </c>
      <c r="D4" s="4" t="s">
        <v>2916</v>
      </c>
      <c r="E4" s="4" t="s">
        <v>11</v>
      </c>
      <c r="F4" s="4" t="s">
        <v>4</v>
      </c>
      <c r="G4" s="165">
        <v>46024.0</v>
      </c>
      <c r="H4" s="4">
        <v>5000.0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2917</v>
      </c>
      <c r="B5" s="4" t="s">
        <v>15</v>
      </c>
      <c r="C5" s="4" t="s">
        <v>11</v>
      </c>
      <c r="D5" s="4" t="s">
        <v>2918</v>
      </c>
      <c r="E5" s="4" t="s">
        <v>15</v>
      </c>
      <c r="F5" s="4" t="s">
        <v>11</v>
      </c>
      <c r="G5" s="165">
        <v>46054.0</v>
      </c>
      <c r="H5" s="4">
        <v>6000.0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2919</v>
      </c>
      <c r="B6" s="4" t="s">
        <v>4</v>
      </c>
      <c r="C6" s="4" t="s">
        <v>14</v>
      </c>
      <c r="D6" s="4" t="s">
        <v>2920</v>
      </c>
      <c r="E6" s="4" t="s">
        <v>4</v>
      </c>
      <c r="F6" s="4" t="s">
        <v>14</v>
      </c>
      <c r="G6" s="4" t="s">
        <v>2921</v>
      </c>
      <c r="H6" s="4">
        <v>5000.0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2922</v>
      </c>
      <c r="B7" s="4" t="s">
        <v>10</v>
      </c>
      <c r="C7" s="4" t="s">
        <v>107</v>
      </c>
      <c r="D7" s="4" t="s">
        <v>2920</v>
      </c>
      <c r="E7" s="4" t="s">
        <v>10</v>
      </c>
      <c r="F7" s="4" t="s">
        <v>107</v>
      </c>
      <c r="G7" s="165">
        <v>46054.0</v>
      </c>
      <c r="H7" s="4">
        <v>3000.0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4" t="s">
        <v>2923</v>
      </c>
      <c r="B8" s="4" t="s">
        <v>17</v>
      </c>
      <c r="C8" s="4" t="s">
        <v>6</v>
      </c>
      <c r="D8" s="4" t="s">
        <v>2920</v>
      </c>
      <c r="E8" s="4" t="s">
        <v>6</v>
      </c>
      <c r="F8" s="4" t="s">
        <v>17</v>
      </c>
      <c r="G8" s="165">
        <v>46024.0</v>
      </c>
      <c r="H8" s="4">
        <v>10000.0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" t="s">
        <v>2924</v>
      </c>
      <c r="B9" s="4" t="s">
        <v>10</v>
      </c>
      <c r="C9" s="4" t="s">
        <v>11</v>
      </c>
      <c r="D9" s="4" t="s">
        <v>2925</v>
      </c>
      <c r="E9" s="4" t="s">
        <v>10</v>
      </c>
      <c r="F9" s="4" t="s">
        <v>11</v>
      </c>
      <c r="G9" s="4" t="s">
        <v>2921</v>
      </c>
      <c r="H9" s="4">
        <v>3000.0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4" t="s">
        <v>2926</v>
      </c>
      <c r="B10" s="4" t="s">
        <v>6</v>
      </c>
      <c r="C10" s="4" t="s">
        <v>7</v>
      </c>
      <c r="D10" s="4" t="s">
        <v>2927</v>
      </c>
      <c r="E10" s="4" t="s">
        <v>7</v>
      </c>
      <c r="F10" s="4" t="s">
        <v>6</v>
      </c>
      <c r="G10" s="4" t="s">
        <v>2928</v>
      </c>
      <c r="H10" s="4">
        <v>5000.0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2929</v>
      </c>
      <c r="B11" s="4" t="s">
        <v>17</v>
      </c>
      <c r="C11" s="4" t="s">
        <v>2930</v>
      </c>
      <c r="D11" s="4" t="s">
        <v>2931</v>
      </c>
      <c r="E11" s="4" t="s">
        <v>4</v>
      </c>
      <c r="F11" s="4" t="s">
        <v>17</v>
      </c>
      <c r="G11" s="4" t="s">
        <v>2932</v>
      </c>
      <c r="H11" s="4">
        <v>5000.0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2933</v>
      </c>
      <c r="B12" s="4" t="s">
        <v>10</v>
      </c>
      <c r="C12" s="4" t="s">
        <v>17</v>
      </c>
      <c r="D12" s="4" t="s">
        <v>2934</v>
      </c>
      <c r="E12" s="4" t="s">
        <v>10</v>
      </c>
      <c r="F12" s="4" t="s">
        <v>17</v>
      </c>
      <c r="G12" s="165">
        <v>46054.0</v>
      </c>
      <c r="H12" s="4">
        <v>5000.0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2935</v>
      </c>
      <c r="B13" s="4" t="s">
        <v>107</v>
      </c>
      <c r="C13" s="4" t="s">
        <v>15</v>
      </c>
      <c r="D13" s="4" t="s">
        <v>2936</v>
      </c>
      <c r="E13" s="4" t="s">
        <v>15</v>
      </c>
      <c r="F13" s="4" t="s">
        <v>107</v>
      </c>
      <c r="G13" s="165">
        <v>46024.0</v>
      </c>
      <c r="H13" s="4">
        <v>5000.0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2937</v>
      </c>
      <c r="B14" s="4" t="s">
        <v>4</v>
      </c>
      <c r="C14" s="4" t="s">
        <v>10</v>
      </c>
      <c r="D14" s="4" t="s">
        <v>2938</v>
      </c>
      <c r="E14" s="4" t="s">
        <v>10</v>
      </c>
      <c r="F14" s="4" t="s">
        <v>4</v>
      </c>
      <c r="G14" s="4" t="s">
        <v>2928</v>
      </c>
      <c r="H14" s="4">
        <v>5000.0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2939</v>
      </c>
      <c r="B15" s="4" t="s">
        <v>17</v>
      </c>
      <c r="C15" s="4" t="s">
        <v>14</v>
      </c>
      <c r="D15" s="4" t="s">
        <v>2938</v>
      </c>
      <c r="E15" s="4" t="s">
        <v>14</v>
      </c>
      <c r="F15" s="4" t="s">
        <v>17</v>
      </c>
      <c r="G15" s="165">
        <v>46024.0</v>
      </c>
      <c r="H15" s="4">
        <v>5000.0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2940</v>
      </c>
      <c r="B16" s="4" t="s">
        <v>15</v>
      </c>
      <c r="C16" s="4" t="s">
        <v>7</v>
      </c>
      <c r="D16" s="4" t="s">
        <v>2941</v>
      </c>
      <c r="E16" s="4" t="s">
        <v>15</v>
      </c>
      <c r="F16" s="4" t="s">
        <v>7</v>
      </c>
      <c r="G16" s="165">
        <v>46054.0</v>
      </c>
      <c r="H16" s="4">
        <v>6000.0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2942</v>
      </c>
      <c r="B17" s="4" t="s">
        <v>6</v>
      </c>
      <c r="C17" s="4" t="s">
        <v>13</v>
      </c>
      <c r="D17" s="4" t="s">
        <v>2941</v>
      </c>
      <c r="E17" s="4" t="s">
        <v>6</v>
      </c>
      <c r="F17" s="4" t="s">
        <v>13</v>
      </c>
      <c r="G17" s="165">
        <v>46054.0</v>
      </c>
      <c r="H17" s="4">
        <v>5000.0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2943</v>
      </c>
      <c r="B18" s="4" t="s">
        <v>107</v>
      </c>
      <c r="C18" s="4" t="s">
        <v>6</v>
      </c>
      <c r="D18" s="4" t="s">
        <v>2944</v>
      </c>
      <c r="E18" s="4" t="s">
        <v>107</v>
      </c>
      <c r="F18" s="4" t="s">
        <v>6</v>
      </c>
      <c r="G18" s="165">
        <v>46054.0</v>
      </c>
      <c r="H18" s="4">
        <v>3000.0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2945</v>
      </c>
      <c r="B19" s="4" t="s">
        <v>11</v>
      </c>
      <c r="C19" s="4" t="s">
        <v>17</v>
      </c>
      <c r="D19" s="4" t="s">
        <v>2946</v>
      </c>
      <c r="E19" s="4" t="s">
        <v>17</v>
      </c>
      <c r="F19" s="4" t="s">
        <v>11</v>
      </c>
      <c r="G19" s="165">
        <v>46024.0</v>
      </c>
      <c r="H19" s="4">
        <v>5000.0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2947</v>
      </c>
      <c r="B20" s="4" t="s">
        <v>10</v>
      </c>
      <c r="C20" s="4" t="s">
        <v>14</v>
      </c>
      <c r="D20" s="4" t="s">
        <v>2948</v>
      </c>
      <c r="E20" s="4" t="s">
        <v>14</v>
      </c>
      <c r="F20" s="4" t="s">
        <v>10</v>
      </c>
      <c r="G20" s="165">
        <v>46024.0</v>
      </c>
      <c r="H20" s="4">
        <v>5000.0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4" t="s">
        <v>2949</v>
      </c>
      <c r="B21" s="4" t="s">
        <v>4</v>
      </c>
      <c r="C21" s="4" t="s">
        <v>17</v>
      </c>
      <c r="D21" s="4" t="s">
        <v>2950</v>
      </c>
      <c r="E21" s="4" t="s">
        <v>17</v>
      </c>
      <c r="F21" s="4" t="s">
        <v>4</v>
      </c>
      <c r="G21" s="165">
        <v>46024.0</v>
      </c>
      <c r="H21" s="4">
        <v>5000.0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4" t="s">
        <v>2951</v>
      </c>
      <c r="B22" s="4" t="s">
        <v>10</v>
      </c>
      <c r="C22" s="4" t="s">
        <v>13</v>
      </c>
      <c r="D22" s="4" t="s">
        <v>2950</v>
      </c>
      <c r="E22" s="4" t="s">
        <v>13</v>
      </c>
      <c r="F22" s="4" t="s">
        <v>10</v>
      </c>
      <c r="G22" s="4" t="s">
        <v>2928</v>
      </c>
      <c r="H22" s="4">
        <v>5000.0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2952</v>
      </c>
      <c r="B23" s="4" t="s">
        <v>13</v>
      </c>
      <c r="C23" s="4" t="s">
        <v>11</v>
      </c>
      <c r="D23" s="4" t="s">
        <v>2950</v>
      </c>
      <c r="E23" s="4" t="s">
        <v>11</v>
      </c>
      <c r="F23" s="4" t="s">
        <v>13</v>
      </c>
      <c r="G23" s="4" t="s">
        <v>2928</v>
      </c>
      <c r="H23" s="4">
        <v>5000.0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2953</v>
      </c>
      <c r="B24" s="4" t="s">
        <v>6</v>
      </c>
      <c r="C24" s="4" t="s">
        <v>15</v>
      </c>
      <c r="D24" s="4" t="s">
        <v>2950</v>
      </c>
      <c r="E24" s="4" t="s">
        <v>15</v>
      </c>
      <c r="F24" s="4" t="s">
        <v>6</v>
      </c>
      <c r="G24" s="165">
        <v>46024.0</v>
      </c>
      <c r="H24" s="4">
        <v>5000.0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2954</v>
      </c>
      <c r="B25" s="4" t="s">
        <v>14</v>
      </c>
      <c r="C25" s="4" t="s">
        <v>107</v>
      </c>
      <c r="D25" s="4" t="s">
        <v>2955</v>
      </c>
      <c r="E25" s="4" t="s">
        <v>14</v>
      </c>
      <c r="F25" s="4" t="s">
        <v>107</v>
      </c>
      <c r="G25" s="165">
        <v>46054.0</v>
      </c>
      <c r="H25" s="4">
        <v>6000.0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2956</v>
      </c>
      <c r="B26" s="4" t="s">
        <v>13</v>
      </c>
      <c r="C26" s="4" t="s">
        <v>2957</v>
      </c>
      <c r="D26" s="4" t="s">
        <v>2958</v>
      </c>
      <c r="E26" s="4" t="s">
        <v>13</v>
      </c>
      <c r="F26" s="4" t="s">
        <v>4</v>
      </c>
      <c r="G26" s="4" t="s">
        <v>2921</v>
      </c>
      <c r="H26" s="4">
        <v>5000.0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2959</v>
      </c>
      <c r="B27" s="4" t="s">
        <v>6</v>
      </c>
      <c r="C27" s="4" t="s">
        <v>10</v>
      </c>
      <c r="D27" s="4" t="s">
        <v>2960</v>
      </c>
      <c r="E27" s="4" t="s">
        <v>6</v>
      </c>
      <c r="F27" s="4" t="s">
        <v>10</v>
      </c>
      <c r="G27" s="165">
        <v>46054.0</v>
      </c>
      <c r="H27" s="4">
        <v>5000.0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2961</v>
      </c>
      <c r="B28" s="4" t="s">
        <v>15</v>
      </c>
      <c r="C28" s="4" t="s">
        <v>2962</v>
      </c>
      <c r="D28" s="4" t="s">
        <v>2963</v>
      </c>
      <c r="E28" s="4" t="s">
        <v>13</v>
      </c>
      <c r="F28" s="4" t="s">
        <v>11</v>
      </c>
      <c r="G28" s="4" t="s">
        <v>2964</v>
      </c>
      <c r="H28" s="4">
        <v>6000.0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2965</v>
      </c>
      <c r="B29" s="4" t="s">
        <v>14</v>
      </c>
      <c r="C29" s="4" t="s">
        <v>17</v>
      </c>
      <c r="D29" s="4" t="s">
        <v>2966</v>
      </c>
      <c r="E29" s="4" t="s">
        <v>17</v>
      </c>
      <c r="F29" s="4" t="s">
        <v>14</v>
      </c>
      <c r="G29" s="165">
        <v>46056.0</v>
      </c>
      <c r="H29" s="4">
        <v>6000.0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2967</v>
      </c>
      <c r="B30" s="4" t="s">
        <v>4</v>
      </c>
      <c r="C30" s="4" t="s">
        <v>107</v>
      </c>
      <c r="D30" s="4" t="s">
        <v>2968</v>
      </c>
      <c r="E30" s="4" t="s">
        <v>4</v>
      </c>
      <c r="F30" s="4" t="s">
        <v>107</v>
      </c>
      <c r="G30" s="4" t="s">
        <v>2921</v>
      </c>
      <c r="H30" s="4">
        <v>7000.0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2969</v>
      </c>
      <c r="B31" s="4" t="s">
        <v>6</v>
      </c>
      <c r="C31" s="4" t="s">
        <v>11</v>
      </c>
      <c r="D31" s="4" t="s">
        <v>2970</v>
      </c>
      <c r="E31" s="4" t="s">
        <v>6</v>
      </c>
      <c r="F31" s="4" t="s">
        <v>11</v>
      </c>
      <c r="G31" s="165">
        <v>46054.0</v>
      </c>
      <c r="H31" s="4">
        <v>5000.0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36" t="s">
        <v>2971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2972</v>
      </c>
      <c r="B33" s="4" t="s">
        <v>9</v>
      </c>
      <c r="C33" s="4" t="s">
        <v>107</v>
      </c>
      <c r="D33" s="4" t="s">
        <v>2973</v>
      </c>
      <c r="E33" s="4" t="s">
        <v>107</v>
      </c>
      <c r="F33" s="4" t="s">
        <v>9</v>
      </c>
      <c r="G33" s="165">
        <v>46024.0</v>
      </c>
      <c r="H33" s="4">
        <v>5000.0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2974</v>
      </c>
      <c r="B34" s="4" t="s">
        <v>17</v>
      </c>
      <c r="C34" s="4" t="s">
        <v>107</v>
      </c>
      <c r="D34" s="4" t="s">
        <v>2975</v>
      </c>
      <c r="E34" s="4" t="s">
        <v>17</v>
      </c>
      <c r="F34" s="4" t="s">
        <v>107</v>
      </c>
      <c r="G34" s="165">
        <v>46054.0</v>
      </c>
      <c r="H34" s="4">
        <v>3000.0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2976</v>
      </c>
      <c r="B35" s="4" t="s">
        <v>9</v>
      </c>
      <c r="C35" s="4" t="s">
        <v>16</v>
      </c>
      <c r="D35" s="4" t="s">
        <v>2975</v>
      </c>
      <c r="E35" s="4" t="s">
        <v>16</v>
      </c>
      <c r="F35" s="4" t="s">
        <v>9</v>
      </c>
      <c r="G35" s="165">
        <v>46024.0</v>
      </c>
      <c r="H35" s="4">
        <v>5000.0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2977</v>
      </c>
      <c r="B36" s="4" t="s">
        <v>15</v>
      </c>
      <c r="C36" s="4" t="s">
        <v>2978</v>
      </c>
      <c r="D36" s="4" t="s">
        <v>2979</v>
      </c>
      <c r="E36" s="4" t="s">
        <v>15</v>
      </c>
      <c r="F36" s="4" t="s">
        <v>2978</v>
      </c>
      <c r="G36" s="4" t="s">
        <v>2921</v>
      </c>
      <c r="H36" s="4">
        <v>5000.0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2980</v>
      </c>
      <c r="B37" s="4" t="s">
        <v>6</v>
      </c>
      <c r="C37" s="4" t="s">
        <v>4</v>
      </c>
      <c r="D37" s="4" t="s">
        <v>2981</v>
      </c>
      <c r="E37" s="4" t="s">
        <v>4</v>
      </c>
      <c r="F37" s="4" t="s">
        <v>6</v>
      </c>
      <c r="G37" s="4" t="s">
        <v>2928</v>
      </c>
      <c r="H37" s="4">
        <v>10000.0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2982</v>
      </c>
      <c r="B38" s="4" t="s">
        <v>17</v>
      </c>
      <c r="C38" s="4" t="s">
        <v>16</v>
      </c>
      <c r="D38" s="4" t="s">
        <v>2983</v>
      </c>
      <c r="E38" s="4" t="s">
        <v>16</v>
      </c>
      <c r="F38" s="4" t="s">
        <v>17</v>
      </c>
      <c r="G38" s="165">
        <v>46024.0</v>
      </c>
      <c r="H38" s="4">
        <v>5000.0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2984</v>
      </c>
      <c r="B39" s="4" t="s">
        <v>13</v>
      </c>
      <c r="C39" s="4" t="s">
        <v>11</v>
      </c>
      <c r="D39" s="4" t="s">
        <v>2985</v>
      </c>
      <c r="E39" s="4" t="s">
        <v>11</v>
      </c>
      <c r="F39" s="4" t="s">
        <v>13</v>
      </c>
      <c r="G39" s="4" t="s">
        <v>2986</v>
      </c>
      <c r="H39" s="4">
        <v>10000.0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2987</v>
      </c>
      <c r="B40" s="4" t="s">
        <v>9</v>
      </c>
      <c r="C40" s="4" t="s">
        <v>10</v>
      </c>
      <c r="D40" s="4" t="s">
        <v>2983</v>
      </c>
      <c r="E40" s="4" t="s">
        <v>10</v>
      </c>
      <c r="F40" s="4" t="s">
        <v>9</v>
      </c>
      <c r="G40" s="165">
        <v>46024.0</v>
      </c>
      <c r="H40" s="4">
        <v>5000.0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2988</v>
      </c>
      <c r="B41" s="4" t="s">
        <v>10</v>
      </c>
      <c r="C41" s="4" t="s">
        <v>15</v>
      </c>
      <c r="D41" s="4" t="s">
        <v>2989</v>
      </c>
      <c r="E41" s="4" t="s">
        <v>10</v>
      </c>
      <c r="F41" s="4" t="s">
        <v>15</v>
      </c>
      <c r="G41" s="165">
        <v>46054.0</v>
      </c>
      <c r="H41" s="4">
        <v>5000.0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2990</v>
      </c>
      <c r="B42" s="4" t="s">
        <v>2978</v>
      </c>
      <c r="C42" s="4" t="s">
        <v>17</v>
      </c>
      <c r="D42" s="4" t="s">
        <v>2989</v>
      </c>
      <c r="E42" s="4" t="s">
        <v>17</v>
      </c>
      <c r="F42" s="4" t="s">
        <v>2978</v>
      </c>
      <c r="G42" s="165">
        <v>46024.0</v>
      </c>
      <c r="H42" s="4">
        <v>5000.0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2991</v>
      </c>
      <c r="B43" s="4" t="s">
        <v>7</v>
      </c>
      <c r="C43" s="4" t="s">
        <v>6</v>
      </c>
      <c r="D43" s="4" t="s">
        <v>2992</v>
      </c>
      <c r="E43" s="4" t="s">
        <v>6</v>
      </c>
      <c r="F43" s="4" t="s">
        <v>7</v>
      </c>
      <c r="G43" s="165">
        <v>46024.0</v>
      </c>
      <c r="H43" s="4">
        <v>10000.0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4" t="s">
        <v>2993</v>
      </c>
      <c r="B44" s="4" t="s">
        <v>9</v>
      </c>
      <c r="C44" s="4" t="s">
        <v>17</v>
      </c>
      <c r="D44" s="4" t="s">
        <v>2992</v>
      </c>
      <c r="E44" s="4" t="s">
        <v>17</v>
      </c>
      <c r="F44" s="4" t="s">
        <v>9</v>
      </c>
      <c r="G44" s="4" t="s">
        <v>2928</v>
      </c>
      <c r="H44" s="4">
        <v>5000.0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4" t="s">
        <v>2994</v>
      </c>
      <c r="B45" s="4" t="s">
        <v>16</v>
      </c>
      <c r="C45" s="4" t="s">
        <v>11</v>
      </c>
      <c r="D45" s="4" t="s">
        <v>2995</v>
      </c>
      <c r="E45" s="4" t="s">
        <v>16</v>
      </c>
      <c r="F45" s="4" t="s">
        <v>11</v>
      </c>
      <c r="G45" s="165">
        <v>46113.0</v>
      </c>
      <c r="H45" s="4">
        <v>5000.0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2996</v>
      </c>
      <c r="B46" s="4" t="s">
        <v>5</v>
      </c>
      <c r="C46" s="4" t="s">
        <v>107</v>
      </c>
      <c r="D46" s="4" t="s">
        <v>2997</v>
      </c>
      <c r="E46" s="4" t="s">
        <v>5</v>
      </c>
      <c r="F46" s="4" t="s">
        <v>107</v>
      </c>
      <c r="G46" s="165">
        <v>46083.0</v>
      </c>
      <c r="H46" s="4">
        <v>5000.0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2998</v>
      </c>
      <c r="B47" s="4" t="s">
        <v>13</v>
      </c>
      <c r="C47" s="4" t="s">
        <v>15</v>
      </c>
      <c r="D47" s="4" t="s">
        <v>2999</v>
      </c>
      <c r="E47" s="4" t="s">
        <v>15</v>
      </c>
      <c r="F47" s="4" t="s">
        <v>13</v>
      </c>
      <c r="G47" s="165">
        <v>46024.0</v>
      </c>
      <c r="H47" s="4">
        <v>5000.0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4" t="s">
        <v>3000</v>
      </c>
      <c r="B48" s="4" t="s">
        <v>9</v>
      </c>
      <c r="C48" s="4" t="s">
        <v>2978</v>
      </c>
      <c r="D48" s="4" t="s">
        <v>2999</v>
      </c>
      <c r="E48" s="4" t="s">
        <v>9</v>
      </c>
      <c r="F48" s="4" t="s">
        <v>2978</v>
      </c>
      <c r="G48" s="165">
        <v>46054.0</v>
      </c>
      <c r="H48" s="4">
        <v>5000.0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4" t="s">
        <v>3001</v>
      </c>
      <c r="B49" s="4" t="s">
        <v>6</v>
      </c>
      <c r="C49" s="4" t="s">
        <v>4</v>
      </c>
      <c r="D49" s="4" t="s">
        <v>2999</v>
      </c>
      <c r="E49" s="4" t="s">
        <v>6</v>
      </c>
      <c r="F49" s="4" t="s">
        <v>4</v>
      </c>
      <c r="G49" s="165">
        <v>46054.0</v>
      </c>
      <c r="H49" s="4">
        <v>5000.0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3002</v>
      </c>
      <c r="B50" s="4" t="s">
        <v>8</v>
      </c>
      <c r="C50" s="4" t="s">
        <v>17</v>
      </c>
      <c r="D50" s="4" t="s">
        <v>3003</v>
      </c>
      <c r="E50" s="4" t="s">
        <v>3004</v>
      </c>
      <c r="F50" s="4" t="s">
        <v>17</v>
      </c>
      <c r="G50" s="165">
        <v>46113.0</v>
      </c>
      <c r="H50" s="4">
        <v>5000.0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4" t="s">
        <v>3005</v>
      </c>
      <c r="B51" s="4" t="s">
        <v>10</v>
      </c>
      <c r="C51" s="4" t="s">
        <v>2978</v>
      </c>
      <c r="D51" s="4" t="s">
        <v>3006</v>
      </c>
      <c r="E51" s="4" t="s">
        <v>10</v>
      </c>
      <c r="F51" s="4" t="s">
        <v>2978</v>
      </c>
      <c r="G51" s="165">
        <v>46054.0</v>
      </c>
      <c r="H51" s="4">
        <v>5000.0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4" t="s">
        <v>3007</v>
      </c>
      <c r="B52" s="4" t="s">
        <v>11</v>
      </c>
      <c r="C52" s="4" t="s">
        <v>107</v>
      </c>
      <c r="D52" s="4" t="s">
        <v>3008</v>
      </c>
      <c r="E52" s="4" t="s">
        <v>107</v>
      </c>
      <c r="F52" s="4" t="s">
        <v>11</v>
      </c>
      <c r="G52" s="165">
        <v>46024.0</v>
      </c>
      <c r="H52" s="4">
        <v>5000.0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4" t="s">
        <v>3009</v>
      </c>
      <c r="B53" s="4" t="s">
        <v>16</v>
      </c>
      <c r="C53" s="4" t="s">
        <v>4</v>
      </c>
      <c r="D53" s="4" t="s">
        <v>3010</v>
      </c>
      <c r="E53" s="4" t="s">
        <v>16</v>
      </c>
      <c r="F53" s="4" t="s">
        <v>4</v>
      </c>
      <c r="G53" s="165">
        <v>46083.0</v>
      </c>
      <c r="H53" s="4">
        <v>5000.0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4" t="s">
        <v>3011</v>
      </c>
      <c r="B54" s="4" t="s">
        <v>9</v>
      </c>
      <c r="C54" s="4" t="s">
        <v>13</v>
      </c>
      <c r="D54" s="4" t="s">
        <v>3012</v>
      </c>
      <c r="E54" s="4" t="s">
        <v>13</v>
      </c>
      <c r="F54" s="4" t="s">
        <v>9</v>
      </c>
      <c r="G54" s="165">
        <v>46026.0</v>
      </c>
      <c r="H54" s="4">
        <v>5000.0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3013</v>
      </c>
      <c r="B55" s="4" t="s">
        <v>9</v>
      </c>
      <c r="C55" s="4" t="s">
        <v>11</v>
      </c>
      <c r="D55" s="4" t="s">
        <v>3014</v>
      </c>
      <c r="E55" s="4" t="s">
        <v>11</v>
      </c>
      <c r="F55" s="4" t="s">
        <v>9</v>
      </c>
      <c r="G55" s="165">
        <v>46024.0</v>
      </c>
      <c r="H55" s="4">
        <v>3000.0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3015</v>
      </c>
      <c r="B56" s="4" t="s">
        <v>10</v>
      </c>
      <c r="C56" s="4" t="s">
        <v>5</v>
      </c>
      <c r="D56" s="4" t="s">
        <v>3014</v>
      </c>
      <c r="E56" s="4" t="s">
        <v>5</v>
      </c>
      <c r="F56" s="4" t="s">
        <v>10</v>
      </c>
      <c r="G56" s="165">
        <v>46024.0</v>
      </c>
      <c r="H56" s="4">
        <v>5000.0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3016</v>
      </c>
      <c r="B57" s="4" t="s">
        <v>10</v>
      </c>
      <c r="C57" s="4" t="s">
        <v>107</v>
      </c>
      <c r="D57" s="4" t="s">
        <v>3017</v>
      </c>
      <c r="E57" s="4" t="s">
        <v>10</v>
      </c>
      <c r="F57" s="4" t="s">
        <v>107</v>
      </c>
      <c r="G57" s="165">
        <v>46054.0</v>
      </c>
      <c r="H57" s="4">
        <v>5000.0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3018</v>
      </c>
      <c r="B58" s="4" t="s">
        <v>10</v>
      </c>
      <c r="C58" s="4" t="s">
        <v>4</v>
      </c>
      <c r="D58" s="4" t="s">
        <v>3017</v>
      </c>
      <c r="E58" s="4" t="s">
        <v>4</v>
      </c>
      <c r="F58" s="4" t="s">
        <v>10</v>
      </c>
      <c r="G58" s="4" t="s">
        <v>2928</v>
      </c>
      <c r="H58" s="4">
        <v>5000.0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36" t="s">
        <v>3019</v>
      </c>
      <c r="I59" s="4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3020</v>
      </c>
      <c r="B60" s="4" t="s">
        <v>11</v>
      </c>
      <c r="C60" s="4" t="s">
        <v>4</v>
      </c>
      <c r="D60" s="4" t="s">
        <v>3021</v>
      </c>
      <c r="E60" s="4" t="s">
        <v>4</v>
      </c>
      <c r="F60" s="4" t="s">
        <v>11</v>
      </c>
      <c r="G60" s="165">
        <v>46024.0</v>
      </c>
      <c r="H60" s="4">
        <v>10000.0</v>
      </c>
      <c r="I60" s="4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3022</v>
      </c>
      <c r="B61" s="4" t="s">
        <v>5</v>
      </c>
      <c r="C61" s="4" t="s">
        <v>17</v>
      </c>
      <c r="D61" s="4" t="s">
        <v>3021</v>
      </c>
      <c r="E61" s="4" t="s">
        <v>17</v>
      </c>
      <c r="F61" s="4" t="s">
        <v>5</v>
      </c>
      <c r="G61" s="165">
        <v>46024.0</v>
      </c>
      <c r="H61" s="4">
        <v>7000.0</v>
      </c>
      <c r="I61" s="4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3023</v>
      </c>
      <c r="B62" s="4" t="s">
        <v>15</v>
      </c>
      <c r="C62" s="4" t="s">
        <v>3004</v>
      </c>
      <c r="D62" s="4" t="s">
        <v>3024</v>
      </c>
      <c r="E62" s="4" t="s">
        <v>3004</v>
      </c>
      <c r="F62" s="4" t="s">
        <v>15</v>
      </c>
      <c r="G62" s="165">
        <v>46024.0</v>
      </c>
      <c r="H62" s="4">
        <v>6000.0</v>
      </c>
      <c r="I62" s="4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3025</v>
      </c>
      <c r="B63" s="4" t="s">
        <v>9</v>
      </c>
      <c r="C63" s="4" t="s">
        <v>6</v>
      </c>
      <c r="D63" s="4" t="s">
        <v>3021</v>
      </c>
      <c r="E63" s="4" t="s">
        <v>6</v>
      </c>
      <c r="F63" s="4" t="s">
        <v>9</v>
      </c>
      <c r="G63" s="165">
        <v>46024.0</v>
      </c>
      <c r="H63" s="4">
        <v>5000.0</v>
      </c>
      <c r="I63" s="4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3026</v>
      </c>
      <c r="B64" s="4" t="s">
        <v>6</v>
      </c>
      <c r="C64" s="4" t="s">
        <v>17</v>
      </c>
      <c r="D64" s="4" t="s">
        <v>3027</v>
      </c>
      <c r="E64" s="4" t="s">
        <v>17</v>
      </c>
      <c r="F64" s="4" t="s">
        <v>6</v>
      </c>
      <c r="G64" s="165">
        <v>46024.0</v>
      </c>
      <c r="H64" s="4">
        <v>6000.0</v>
      </c>
      <c r="I64" s="4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3028</v>
      </c>
      <c r="B65" s="4" t="s">
        <v>6</v>
      </c>
      <c r="C65" s="4" t="s">
        <v>3004</v>
      </c>
      <c r="D65" s="4" t="s">
        <v>3029</v>
      </c>
      <c r="E65" s="4" t="s">
        <v>3004</v>
      </c>
      <c r="F65" s="4" t="s">
        <v>6</v>
      </c>
      <c r="G65" s="165">
        <v>46024.0</v>
      </c>
      <c r="H65" s="4">
        <v>5000.0</v>
      </c>
      <c r="I65" s="4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3030</v>
      </c>
      <c r="B66" s="4" t="s">
        <v>6</v>
      </c>
      <c r="C66" s="4" t="s">
        <v>5</v>
      </c>
      <c r="D66" s="4" t="s">
        <v>3031</v>
      </c>
      <c r="E66" s="4" t="s">
        <v>5</v>
      </c>
      <c r="F66" s="4" t="s">
        <v>6</v>
      </c>
      <c r="G66" s="165">
        <v>46024.0</v>
      </c>
      <c r="H66" s="4">
        <v>10000.0</v>
      </c>
      <c r="I66" s="4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3032</v>
      </c>
      <c r="B67" s="4" t="s">
        <v>9</v>
      </c>
      <c r="C67" s="4" t="s">
        <v>7</v>
      </c>
      <c r="D67" s="4" t="s">
        <v>3033</v>
      </c>
      <c r="E67" s="4" t="s">
        <v>3034</v>
      </c>
      <c r="F67" s="4" t="s">
        <v>7</v>
      </c>
      <c r="G67" s="4" t="s">
        <v>3035</v>
      </c>
      <c r="H67" s="4">
        <v>2000.0</v>
      </c>
      <c r="I67" s="4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3036</v>
      </c>
      <c r="B68" s="4" t="s">
        <v>10</v>
      </c>
      <c r="C68" s="4" t="s">
        <v>17</v>
      </c>
      <c r="D68" s="4" t="s">
        <v>3037</v>
      </c>
      <c r="E68" s="4" t="s">
        <v>10</v>
      </c>
      <c r="F68" s="4" t="s">
        <v>17</v>
      </c>
      <c r="G68" s="165">
        <v>46054.0</v>
      </c>
      <c r="H68" s="4">
        <v>5000.0</v>
      </c>
      <c r="I68" s="4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36" t="s">
        <v>3038</v>
      </c>
      <c r="I69" s="4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3039</v>
      </c>
      <c r="B70" s="4" t="s">
        <v>10</v>
      </c>
      <c r="C70" s="4" t="s">
        <v>4</v>
      </c>
      <c r="D70" s="4" t="s">
        <v>3040</v>
      </c>
      <c r="E70" s="4" t="s">
        <v>4</v>
      </c>
      <c r="F70" s="4" t="s">
        <v>10</v>
      </c>
      <c r="G70" s="4" t="s">
        <v>2928</v>
      </c>
      <c r="H70" s="4">
        <v>5000.0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3041</v>
      </c>
      <c r="B71" s="4" t="s">
        <v>107</v>
      </c>
      <c r="C71" s="4" t="s">
        <v>11</v>
      </c>
      <c r="D71" s="4" t="s">
        <v>3042</v>
      </c>
      <c r="E71" s="4" t="s">
        <v>11</v>
      </c>
      <c r="F71" s="4" t="s">
        <v>107</v>
      </c>
      <c r="G71" s="165">
        <v>46024.0</v>
      </c>
      <c r="H71" s="4">
        <v>5000.0</v>
      </c>
      <c r="I71" s="4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3043</v>
      </c>
      <c r="B72" s="4" t="s">
        <v>17</v>
      </c>
      <c r="C72" s="4" t="s">
        <v>11</v>
      </c>
      <c r="D72" s="4" t="s">
        <v>3044</v>
      </c>
      <c r="E72" s="4" t="s">
        <v>11</v>
      </c>
      <c r="F72" s="4" t="s">
        <v>17</v>
      </c>
      <c r="G72" s="4" t="s">
        <v>3045</v>
      </c>
      <c r="H72" s="4">
        <v>5000.0</v>
      </c>
      <c r="I72" s="4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3046</v>
      </c>
      <c r="B73" s="4" t="s">
        <v>107</v>
      </c>
      <c r="C73" s="4" t="s">
        <v>9</v>
      </c>
      <c r="D73" s="4" t="s">
        <v>3047</v>
      </c>
      <c r="E73" s="4" t="s">
        <v>107</v>
      </c>
      <c r="F73" s="4" t="s">
        <v>9</v>
      </c>
      <c r="G73" s="165">
        <v>46083.0</v>
      </c>
      <c r="H73" s="4">
        <v>4000.0</v>
      </c>
      <c r="I73" s="4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3048</v>
      </c>
      <c r="B74" s="4" t="s">
        <v>11</v>
      </c>
      <c r="C74" s="4" t="s">
        <v>107</v>
      </c>
      <c r="D74" s="4" t="s">
        <v>3049</v>
      </c>
      <c r="E74" s="4" t="s">
        <v>107</v>
      </c>
      <c r="F74" s="4" t="s">
        <v>11</v>
      </c>
      <c r="G74" s="165">
        <v>46024.0</v>
      </c>
      <c r="H74" s="4">
        <v>5000.0</v>
      </c>
      <c r="I74" s="4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3050</v>
      </c>
      <c r="B75" s="4" t="s">
        <v>9</v>
      </c>
      <c r="C75" s="4" t="s">
        <v>17</v>
      </c>
      <c r="D75" s="4" t="s">
        <v>3051</v>
      </c>
      <c r="E75" s="4" t="s">
        <v>9</v>
      </c>
      <c r="F75" s="4" t="s">
        <v>17</v>
      </c>
      <c r="G75" s="4" t="s">
        <v>3052</v>
      </c>
      <c r="H75" s="4">
        <v>4000.0</v>
      </c>
      <c r="I75" s="4"/>
    </row>
    <row r="76">
      <c r="A76" s="4" t="s">
        <v>3053</v>
      </c>
      <c r="B76" s="4" t="s">
        <v>11</v>
      </c>
      <c r="C76" s="4" t="s">
        <v>6</v>
      </c>
      <c r="D76" s="4" t="s">
        <v>3054</v>
      </c>
      <c r="E76" s="4" t="s">
        <v>6</v>
      </c>
      <c r="F76" s="4" t="s">
        <v>11</v>
      </c>
      <c r="G76" s="165">
        <v>46024.0</v>
      </c>
      <c r="H76" s="4">
        <v>5000.0</v>
      </c>
      <c r="I76" s="4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3055</v>
      </c>
      <c r="B77" s="4" t="s">
        <v>6</v>
      </c>
      <c r="C77" s="4" t="s">
        <v>17</v>
      </c>
      <c r="D77" s="4" t="s">
        <v>3056</v>
      </c>
      <c r="E77" s="4" t="s">
        <v>6</v>
      </c>
      <c r="F77" s="4" t="s">
        <v>17</v>
      </c>
      <c r="G77" s="165">
        <v>46054.0</v>
      </c>
      <c r="H77" s="4">
        <v>5000.0</v>
      </c>
      <c r="I77" s="4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3057</v>
      </c>
      <c r="B78" s="4" t="s">
        <v>9</v>
      </c>
      <c r="C78" s="4" t="s">
        <v>5</v>
      </c>
      <c r="D78" s="4" t="s">
        <v>3058</v>
      </c>
      <c r="E78" s="4" t="s">
        <v>5</v>
      </c>
      <c r="F78" s="4" t="s">
        <v>9</v>
      </c>
      <c r="G78" s="165">
        <v>46056.0</v>
      </c>
      <c r="H78" s="4">
        <v>4000.0</v>
      </c>
      <c r="I78" s="4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36" t="s">
        <v>3059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4" t="s">
        <v>3060</v>
      </c>
      <c r="B80" s="4" t="s">
        <v>5</v>
      </c>
      <c r="C80" s="4" t="s">
        <v>11</v>
      </c>
      <c r="D80" s="4" t="s">
        <v>3061</v>
      </c>
      <c r="E80" s="4" t="s">
        <v>11</v>
      </c>
      <c r="F80" s="4" t="s">
        <v>5</v>
      </c>
      <c r="G80" s="4" t="s">
        <v>2928</v>
      </c>
      <c r="H80" s="4">
        <v>5000.0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66" t="s">
        <v>3062</v>
      </c>
      <c r="B81" s="4" t="s">
        <v>9</v>
      </c>
      <c r="C81" s="4" t="s">
        <v>6</v>
      </c>
      <c r="D81" s="4" t="s">
        <v>3063</v>
      </c>
      <c r="E81" s="4" t="s">
        <v>6</v>
      </c>
      <c r="F81" s="4" t="s">
        <v>9</v>
      </c>
      <c r="G81" s="165">
        <v>46056.0</v>
      </c>
      <c r="H81" s="4">
        <v>4000.0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3064</v>
      </c>
      <c r="B82" s="4" t="s">
        <v>17</v>
      </c>
      <c r="C82" s="4" t="s">
        <v>16</v>
      </c>
      <c r="D82" s="4" t="s">
        <v>3065</v>
      </c>
      <c r="E82" s="4" t="s">
        <v>17</v>
      </c>
      <c r="F82" s="4" t="s">
        <v>16</v>
      </c>
      <c r="G82" s="165">
        <v>46113.0</v>
      </c>
      <c r="H82" s="4">
        <v>5000.0</v>
      </c>
      <c r="I82" s="4" t="s">
        <v>3066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3067</v>
      </c>
      <c r="B83" s="4" t="s">
        <v>6</v>
      </c>
      <c r="C83" s="4" t="s">
        <v>5</v>
      </c>
      <c r="D83" s="4" t="s">
        <v>3068</v>
      </c>
      <c r="E83" s="4" t="s">
        <v>5</v>
      </c>
      <c r="F83" s="4" t="s">
        <v>6</v>
      </c>
      <c r="G83" s="165">
        <v>46024.0</v>
      </c>
      <c r="H83" s="4">
        <v>5000.0</v>
      </c>
      <c r="I83" s="4" t="s">
        <v>3069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3070</v>
      </c>
      <c r="B84" s="4" t="s">
        <v>14</v>
      </c>
      <c r="C84" s="4" t="s">
        <v>107</v>
      </c>
      <c r="D84" s="4" t="s">
        <v>3068</v>
      </c>
      <c r="E84" s="4" t="s">
        <v>107</v>
      </c>
      <c r="F84" s="4" t="s">
        <v>14</v>
      </c>
      <c r="G84" s="165">
        <v>46024.0</v>
      </c>
      <c r="H84" s="4">
        <v>5000.0</v>
      </c>
      <c r="I84" s="4" t="s">
        <v>3071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3072</v>
      </c>
      <c r="B85" s="4" t="s">
        <v>17</v>
      </c>
      <c r="C85" s="4" t="s">
        <v>9</v>
      </c>
      <c r="D85" s="4" t="s">
        <v>3073</v>
      </c>
      <c r="E85" s="4" t="s">
        <v>17</v>
      </c>
      <c r="F85" s="4" t="s">
        <v>9</v>
      </c>
      <c r="G85" s="4" t="s">
        <v>3052</v>
      </c>
      <c r="H85" s="4">
        <v>5000.0</v>
      </c>
      <c r="I85" s="4" t="s">
        <v>3074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3075</v>
      </c>
      <c r="B86" s="4" t="s">
        <v>4</v>
      </c>
      <c r="C86" s="4" t="s">
        <v>15</v>
      </c>
      <c r="D86" s="4" t="s">
        <v>3073</v>
      </c>
      <c r="E86" s="4" t="s">
        <v>4</v>
      </c>
      <c r="F86" s="4" t="s">
        <v>15</v>
      </c>
      <c r="G86" s="4" t="s">
        <v>3052</v>
      </c>
      <c r="H86" s="4">
        <v>5000.0</v>
      </c>
      <c r="I86" s="4" t="s">
        <v>3074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3076</v>
      </c>
      <c r="B87" s="4" t="s">
        <v>11</v>
      </c>
      <c r="C87" s="4" t="s">
        <v>10</v>
      </c>
      <c r="D87" s="4" t="s">
        <v>3077</v>
      </c>
      <c r="E87" s="4" t="s">
        <v>10</v>
      </c>
      <c r="F87" s="4" t="s">
        <v>11</v>
      </c>
      <c r="G87" s="165">
        <v>46024.0</v>
      </c>
      <c r="H87" s="4">
        <v>5000.0</v>
      </c>
      <c r="I87" s="4" t="s">
        <v>3078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3079</v>
      </c>
      <c r="B88" s="4" t="s">
        <v>9</v>
      </c>
      <c r="C88" s="4" t="s">
        <v>6</v>
      </c>
      <c r="D88" s="4" t="s">
        <v>3080</v>
      </c>
      <c r="E88" s="4" t="s">
        <v>9</v>
      </c>
      <c r="F88" s="4" t="s">
        <v>6</v>
      </c>
      <c r="G88" s="4" t="s">
        <v>3035</v>
      </c>
      <c r="H88" s="4">
        <v>5000.0</v>
      </c>
      <c r="I88" s="4" t="s">
        <v>3074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3081</v>
      </c>
      <c r="B89" s="4" t="s">
        <v>16</v>
      </c>
      <c r="C89" s="4" t="s">
        <v>12</v>
      </c>
      <c r="D89" s="4" t="s">
        <v>3082</v>
      </c>
      <c r="E89" s="4" t="s">
        <v>12</v>
      </c>
      <c r="F89" s="4" t="s">
        <v>16</v>
      </c>
      <c r="G89" s="4" t="s">
        <v>3035</v>
      </c>
      <c r="H89" s="4">
        <v>3000.0</v>
      </c>
      <c r="I89" s="4" t="s">
        <v>3083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3084</v>
      </c>
      <c r="B90" s="4" t="s">
        <v>6</v>
      </c>
      <c r="C90" s="4" t="s">
        <v>15</v>
      </c>
      <c r="D90" s="4" t="s">
        <v>3082</v>
      </c>
      <c r="E90" s="4" t="s">
        <v>15</v>
      </c>
      <c r="F90" s="4" t="s">
        <v>6</v>
      </c>
      <c r="G90" s="4" t="s">
        <v>3035</v>
      </c>
      <c r="H90" s="4">
        <v>5000.0</v>
      </c>
      <c r="I90" s="4" t="s">
        <v>3074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3085</v>
      </c>
      <c r="B91" s="4" t="s">
        <v>6</v>
      </c>
      <c r="C91" s="4" t="s">
        <v>16</v>
      </c>
      <c r="D91" s="4" t="s">
        <v>3086</v>
      </c>
      <c r="E91" s="4" t="s">
        <v>6</v>
      </c>
      <c r="F91" s="4" t="s">
        <v>16</v>
      </c>
      <c r="G91" s="4" t="s">
        <v>3035</v>
      </c>
      <c r="H91" s="4">
        <v>5000.0</v>
      </c>
      <c r="I91" s="4" t="s">
        <v>3083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3087</v>
      </c>
      <c r="B92" s="4" t="s">
        <v>14</v>
      </c>
      <c r="C92" s="4" t="s">
        <v>17</v>
      </c>
      <c r="D92" s="4" t="s">
        <v>3088</v>
      </c>
      <c r="E92" s="4" t="s">
        <v>17</v>
      </c>
      <c r="F92" s="4" t="s">
        <v>14</v>
      </c>
      <c r="G92" s="4" t="s">
        <v>3035</v>
      </c>
      <c r="H92" s="4">
        <v>3000.0</v>
      </c>
      <c r="I92" s="4" t="s">
        <v>3074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3089</v>
      </c>
      <c r="B93" s="4" t="s">
        <v>4</v>
      </c>
      <c r="C93" s="4" t="s">
        <v>6</v>
      </c>
      <c r="D93" s="4" t="s">
        <v>3090</v>
      </c>
      <c r="E93" s="4" t="s">
        <v>4</v>
      </c>
      <c r="F93" s="4" t="s">
        <v>6</v>
      </c>
      <c r="G93" s="165">
        <v>46054.0</v>
      </c>
      <c r="H93" s="4">
        <v>10000.0</v>
      </c>
      <c r="I93" s="4" t="s">
        <v>3083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3091</v>
      </c>
      <c r="B94" s="4" t="s">
        <v>11</v>
      </c>
      <c r="C94" s="4" t="s">
        <v>5</v>
      </c>
      <c r="D94" s="4" t="s">
        <v>3092</v>
      </c>
      <c r="E94" s="4" t="s">
        <v>11</v>
      </c>
      <c r="F94" s="4" t="s">
        <v>5</v>
      </c>
      <c r="G94" s="4" t="s">
        <v>3035</v>
      </c>
      <c r="H94" s="4">
        <v>5000.0</v>
      </c>
      <c r="I94" s="4" t="s">
        <v>3074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3093</v>
      </c>
      <c r="B95" s="4" t="s">
        <v>15</v>
      </c>
      <c r="C95" s="4" t="s">
        <v>17</v>
      </c>
      <c r="D95" s="4" t="s">
        <v>3092</v>
      </c>
      <c r="E95" s="4" t="s">
        <v>15</v>
      </c>
      <c r="F95" s="4" t="s">
        <v>17</v>
      </c>
      <c r="G95" s="4" t="s">
        <v>3035</v>
      </c>
      <c r="H95" s="4">
        <v>5000.0</v>
      </c>
      <c r="I95" s="4" t="s">
        <v>3074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3094</v>
      </c>
      <c r="B96" s="4" t="s">
        <v>17</v>
      </c>
      <c r="C96" s="4" t="s">
        <v>15</v>
      </c>
      <c r="D96" s="4" t="s">
        <v>3095</v>
      </c>
      <c r="E96" s="4" t="s">
        <v>17</v>
      </c>
      <c r="F96" s="4" t="s">
        <v>15</v>
      </c>
      <c r="G96" s="4" t="s">
        <v>3035</v>
      </c>
      <c r="H96" s="4">
        <v>5000.0</v>
      </c>
      <c r="I96" s="4" t="s">
        <v>3074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3096</v>
      </c>
      <c r="B97" s="4" t="s">
        <v>6</v>
      </c>
      <c r="C97" s="4" t="s">
        <v>10</v>
      </c>
      <c r="D97" s="4" t="s">
        <v>3097</v>
      </c>
      <c r="E97" s="4" t="s">
        <v>6</v>
      </c>
      <c r="F97" s="4" t="s">
        <v>10</v>
      </c>
      <c r="G97" s="4" t="s">
        <v>3035</v>
      </c>
      <c r="H97" s="4">
        <v>10000.0</v>
      </c>
      <c r="I97" s="4" t="s">
        <v>3074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3098</v>
      </c>
      <c r="B98" s="4" t="s">
        <v>4</v>
      </c>
      <c r="C98" s="4" t="s">
        <v>7</v>
      </c>
      <c r="D98" s="4" t="s">
        <v>3097</v>
      </c>
      <c r="E98" s="4" t="s">
        <v>7</v>
      </c>
      <c r="F98" s="4" t="s">
        <v>4</v>
      </c>
      <c r="G98" s="4" t="s">
        <v>3035</v>
      </c>
      <c r="H98" s="4">
        <v>5000.0</v>
      </c>
      <c r="I98" s="4" t="s">
        <v>3074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3099</v>
      </c>
      <c r="B99" s="4" t="s">
        <v>5</v>
      </c>
      <c r="C99" s="4" t="s">
        <v>14</v>
      </c>
      <c r="D99" s="4" t="s">
        <v>3097</v>
      </c>
      <c r="E99" s="4" t="s">
        <v>5</v>
      </c>
      <c r="F99" s="4" t="s">
        <v>14</v>
      </c>
      <c r="G99" s="4" t="s">
        <v>3035</v>
      </c>
      <c r="H99" s="4">
        <v>6000.0</v>
      </c>
      <c r="I99" s="4" t="s">
        <v>3074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3100</v>
      </c>
      <c r="B100" s="4" t="s">
        <v>11</v>
      </c>
      <c r="C100" s="4" t="s">
        <v>12</v>
      </c>
      <c r="D100" s="4" t="s">
        <v>3097</v>
      </c>
      <c r="E100" s="4" t="s">
        <v>11</v>
      </c>
      <c r="F100" s="4" t="s">
        <v>12</v>
      </c>
      <c r="G100" s="4" t="s">
        <v>3035</v>
      </c>
      <c r="H100" s="4">
        <v>5000.0</v>
      </c>
      <c r="I100" s="4" t="s">
        <v>3083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" t="s">
        <v>3101</v>
      </c>
      <c r="B101" s="4" t="s">
        <v>6</v>
      </c>
      <c r="C101" s="4" t="s">
        <v>5</v>
      </c>
      <c r="D101" s="4" t="s">
        <v>3102</v>
      </c>
      <c r="E101" s="4" t="s">
        <v>6</v>
      </c>
      <c r="F101" s="4" t="s">
        <v>5</v>
      </c>
      <c r="G101" s="4" t="s">
        <v>3035</v>
      </c>
      <c r="H101" s="4">
        <v>5000.0</v>
      </c>
      <c r="I101" s="4" t="s">
        <v>3074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" t="s">
        <v>3103</v>
      </c>
      <c r="B102" s="4" t="s">
        <v>17</v>
      </c>
      <c r="C102" s="4" t="s">
        <v>12</v>
      </c>
      <c r="D102" s="4" t="s">
        <v>3102</v>
      </c>
      <c r="E102" s="4" t="s">
        <v>17</v>
      </c>
      <c r="F102" s="4" t="s">
        <v>12</v>
      </c>
      <c r="G102" s="4" t="s">
        <v>3035</v>
      </c>
      <c r="H102" s="4">
        <v>5000.0</v>
      </c>
      <c r="I102" s="4" t="s">
        <v>3104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" t="s">
        <v>3105</v>
      </c>
      <c r="B103" s="4" t="s">
        <v>7</v>
      </c>
      <c r="C103" s="4" t="s">
        <v>4</v>
      </c>
      <c r="D103" s="4" t="s">
        <v>3102</v>
      </c>
      <c r="E103" s="4" t="s">
        <v>4</v>
      </c>
      <c r="F103" s="4" t="s">
        <v>7</v>
      </c>
      <c r="G103" s="4" t="s">
        <v>3035</v>
      </c>
      <c r="H103" s="4">
        <v>5000.0</v>
      </c>
      <c r="I103" s="4" t="s">
        <v>3083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" t="s">
        <v>3106</v>
      </c>
      <c r="B104" s="4" t="s">
        <v>5</v>
      </c>
      <c r="C104" s="4" t="s">
        <v>3107</v>
      </c>
      <c r="D104" s="4" t="s">
        <v>3108</v>
      </c>
      <c r="E104" s="4" t="s">
        <v>3109</v>
      </c>
      <c r="F104" s="4" t="s">
        <v>3109</v>
      </c>
      <c r="G104" s="4" t="s">
        <v>3110</v>
      </c>
      <c r="H104" s="4">
        <v>15000.0</v>
      </c>
      <c r="I104" s="4" t="s">
        <v>3111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7" t="s">
        <v>3112</v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64" t="s">
        <v>2906</v>
      </c>
      <c r="B111" s="164" t="s">
        <v>2902</v>
      </c>
      <c r="C111" s="164" t="s">
        <v>2907</v>
      </c>
      <c r="D111" s="164" t="s">
        <v>2908</v>
      </c>
      <c r="E111" s="164" t="s">
        <v>2909</v>
      </c>
      <c r="F111" s="164" t="s">
        <v>2910</v>
      </c>
      <c r="G111" s="164" t="s">
        <v>2911</v>
      </c>
      <c r="H111" s="164" t="s">
        <v>2912</v>
      </c>
      <c r="I111" s="164" t="s">
        <v>2913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" t="s">
        <v>3113</v>
      </c>
      <c r="B112" s="4" t="s">
        <v>6</v>
      </c>
      <c r="C112" s="4" t="s">
        <v>5</v>
      </c>
      <c r="D112" s="4" t="s">
        <v>3114</v>
      </c>
      <c r="E112" s="4" t="s">
        <v>3109</v>
      </c>
      <c r="F112" s="4" t="s">
        <v>3109</v>
      </c>
      <c r="G112" s="4" t="s">
        <v>3109</v>
      </c>
      <c r="H112" s="4">
        <v>5000.0</v>
      </c>
      <c r="I112" s="4" t="s">
        <v>3083</v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" t="s">
        <v>3115</v>
      </c>
      <c r="B113" s="4" t="s">
        <v>4</v>
      </c>
      <c r="C113" s="4" t="s">
        <v>9</v>
      </c>
      <c r="D113" s="4" t="s">
        <v>3116</v>
      </c>
      <c r="E113" s="4" t="s">
        <v>3109</v>
      </c>
      <c r="F113" s="4" t="s">
        <v>3109</v>
      </c>
      <c r="G113" s="4" t="s">
        <v>3109</v>
      </c>
      <c r="H113" s="4">
        <v>10000.0</v>
      </c>
      <c r="I113" s="4" t="s">
        <v>3083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" t="s">
        <v>3117</v>
      </c>
      <c r="B114" s="4" t="s">
        <v>6</v>
      </c>
      <c r="C114" s="4" t="s">
        <v>5</v>
      </c>
      <c r="D114" s="4" t="s">
        <v>3118</v>
      </c>
      <c r="E114" s="4" t="s">
        <v>3109</v>
      </c>
      <c r="F114" s="4" t="s">
        <v>3109</v>
      </c>
      <c r="G114" s="4" t="s">
        <v>3109</v>
      </c>
      <c r="H114" s="4">
        <v>5000.0</v>
      </c>
      <c r="I114" s="4" t="s">
        <v>3074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" t="s">
        <v>3119</v>
      </c>
      <c r="B115" s="4" t="s">
        <v>4</v>
      </c>
      <c r="C115" s="4" t="s">
        <v>6</v>
      </c>
      <c r="D115" s="4" t="s">
        <v>3120</v>
      </c>
      <c r="E115" s="4" t="s">
        <v>3109</v>
      </c>
      <c r="F115" s="4" t="s">
        <v>3109</v>
      </c>
      <c r="G115" s="4" t="s">
        <v>3109</v>
      </c>
      <c r="H115" s="4">
        <v>10000.0</v>
      </c>
      <c r="I115" s="4" t="s">
        <v>3074</v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7" t="s">
        <v>3121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7" t="s">
        <v>3122</v>
      </c>
      <c r="B118" s="47" t="s">
        <v>2902</v>
      </c>
      <c r="C118" s="47" t="s">
        <v>2907</v>
      </c>
      <c r="D118" s="47" t="s">
        <v>2908</v>
      </c>
      <c r="E118" s="47" t="s">
        <v>3123</v>
      </c>
      <c r="F118" s="47" t="s">
        <v>2912</v>
      </c>
      <c r="G118" s="164" t="s">
        <v>2913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" t="s">
        <v>3124</v>
      </c>
      <c r="B119" s="4" t="s">
        <v>4</v>
      </c>
      <c r="C119" s="4" t="s">
        <v>9</v>
      </c>
      <c r="D119" s="4" t="s">
        <v>3125</v>
      </c>
      <c r="E119" s="4" t="s">
        <v>3109</v>
      </c>
      <c r="F119" s="4">
        <v>5000.0</v>
      </c>
      <c r="G119" s="4" t="s">
        <v>3126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" t="s">
        <v>3127</v>
      </c>
      <c r="B120" s="4" t="s">
        <v>5</v>
      </c>
      <c r="C120" s="4" t="s">
        <v>6</v>
      </c>
      <c r="D120" s="4" t="s">
        <v>3128</v>
      </c>
      <c r="E120" s="4" t="s">
        <v>3109</v>
      </c>
      <c r="F120" s="4">
        <v>5000.0</v>
      </c>
      <c r="G120" s="4" t="s">
        <v>3126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" t="s">
        <v>3129</v>
      </c>
      <c r="B121" s="4" t="s">
        <v>9</v>
      </c>
      <c r="C121" s="4" t="s">
        <v>4</v>
      </c>
      <c r="D121" s="4" t="s">
        <v>3130</v>
      </c>
      <c r="E121" s="4" t="s">
        <v>3109</v>
      </c>
      <c r="F121" s="4">
        <v>5000.0</v>
      </c>
      <c r="G121" s="4" t="s">
        <v>3126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"/>
      <c r="B122" s="4"/>
      <c r="C122" s="4"/>
      <c r="D122" s="4"/>
      <c r="E122" s="4"/>
      <c r="F122" s="4"/>
      <c r="G122" s="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7" t="s">
        <v>3131</v>
      </c>
      <c r="D123" s="5"/>
      <c r="E123" s="5"/>
      <c r="F123" s="47" t="s">
        <v>3132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" t="s">
        <v>91</v>
      </c>
      <c r="B124" s="4" t="s">
        <v>3133</v>
      </c>
      <c r="C124" s="4" t="s">
        <v>3134</v>
      </c>
      <c r="D124" s="164" t="s">
        <v>2913</v>
      </c>
      <c r="E124" s="5"/>
      <c r="F124" s="4" t="s">
        <v>3135</v>
      </c>
      <c r="G124" s="4" t="s">
        <v>3136</v>
      </c>
      <c r="H124" s="164" t="s">
        <v>2913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" t="s">
        <v>3137</v>
      </c>
      <c r="B125" s="4" t="s">
        <v>3138</v>
      </c>
      <c r="C125" s="4" t="s">
        <v>3139</v>
      </c>
      <c r="D125" s="4" t="s">
        <v>3083</v>
      </c>
      <c r="E125" s="5"/>
      <c r="F125" s="4" t="s">
        <v>3140</v>
      </c>
      <c r="G125" s="4" t="s">
        <v>3141</v>
      </c>
      <c r="H125" s="4" t="s">
        <v>3142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" t="s">
        <v>3143</v>
      </c>
      <c r="B126" s="4" t="s">
        <v>3144</v>
      </c>
      <c r="C126" s="4" t="s">
        <v>3145</v>
      </c>
      <c r="D126" s="4" t="s">
        <v>3083</v>
      </c>
      <c r="E126" s="5"/>
      <c r="F126" s="4" t="s">
        <v>3146</v>
      </c>
      <c r="G126" s="4" t="s">
        <v>3147</v>
      </c>
      <c r="H126" s="4" t="s">
        <v>3142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" t="s">
        <v>3148</v>
      </c>
      <c r="B127" s="4" t="s">
        <v>3149</v>
      </c>
      <c r="C127" s="4" t="s">
        <v>3150</v>
      </c>
      <c r="D127" s="4" t="s">
        <v>3104</v>
      </c>
      <c r="E127" s="5"/>
      <c r="F127" s="4" t="s">
        <v>3151</v>
      </c>
      <c r="G127" s="4" t="s">
        <v>3152</v>
      </c>
      <c r="H127" s="4" t="s">
        <v>3126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</sheetData>
  <mergeCells count="10">
    <mergeCell ref="A117:F117"/>
    <mergeCell ref="A123:C123"/>
    <mergeCell ref="F123:G123"/>
    <mergeCell ref="A1:H1"/>
    <mergeCell ref="A3:H3"/>
    <mergeCell ref="A32:H32"/>
    <mergeCell ref="A59:H59"/>
    <mergeCell ref="A69:H69"/>
    <mergeCell ref="A79:H79"/>
    <mergeCell ref="A110:I110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47" t="s">
        <v>3153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47" t="s">
        <v>3122</v>
      </c>
      <c r="B2" s="47" t="s">
        <v>2902</v>
      </c>
      <c r="C2" s="47" t="s">
        <v>2907</v>
      </c>
      <c r="D2" s="47" t="s">
        <v>2908</v>
      </c>
      <c r="E2" s="47" t="s">
        <v>3123</v>
      </c>
      <c r="F2" s="47" t="s">
        <v>2912</v>
      </c>
      <c r="G2" s="47" t="s">
        <v>3154</v>
      </c>
      <c r="H2" s="47" t="s">
        <v>120</v>
      </c>
      <c r="I2" s="47" t="s">
        <v>115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3155</v>
      </c>
      <c r="B3" s="4" t="s">
        <v>17</v>
      </c>
      <c r="C3" s="4" t="s">
        <v>5</v>
      </c>
      <c r="D3" s="4" t="s">
        <v>3156</v>
      </c>
      <c r="E3" s="4" t="s">
        <v>17</v>
      </c>
      <c r="F3" s="4">
        <v>6000.0</v>
      </c>
      <c r="G3" s="4" t="s">
        <v>3157</v>
      </c>
      <c r="H3" s="4" t="s">
        <v>3158</v>
      </c>
      <c r="I3" s="4" t="s">
        <v>3159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" t="s">
        <v>3160</v>
      </c>
      <c r="B4" s="4" t="s">
        <v>5</v>
      </c>
      <c r="C4" s="4" t="s">
        <v>17</v>
      </c>
      <c r="D4" s="4" t="s">
        <v>3161</v>
      </c>
      <c r="E4" s="4" t="s">
        <v>17</v>
      </c>
      <c r="F4" s="4">
        <v>6000.0</v>
      </c>
      <c r="G4" s="4" t="s">
        <v>3162</v>
      </c>
      <c r="H4" s="4" t="s">
        <v>3157</v>
      </c>
      <c r="I4" s="4" t="s">
        <v>3163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" t="s">
        <v>3164</v>
      </c>
      <c r="B5" s="4" t="s">
        <v>13</v>
      </c>
      <c r="C5" s="4" t="s">
        <v>17</v>
      </c>
      <c r="D5" s="4" t="s">
        <v>3014</v>
      </c>
      <c r="E5" s="4" t="s">
        <v>17</v>
      </c>
      <c r="F5" s="4">
        <v>5000.0</v>
      </c>
      <c r="G5" s="4" t="s">
        <v>3165</v>
      </c>
      <c r="H5" s="4" t="s">
        <v>3166</v>
      </c>
      <c r="I5" s="4" t="s">
        <v>3167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" t="s">
        <v>3168</v>
      </c>
      <c r="B6" s="4" t="s">
        <v>17</v>
      </c>
      <c r="C6" s="4" t="s">
        <v>13</v>
      </c>
      <c r="D6" s="4" t="s">
        <v>3017</v>
      </c>
      <c r="E6" s="4" t="s">
        <v>13</v>
      </c>
      <c r="F6" s="4">
        <v>5000.0</v>
      </c>
      <c r="G6" s="4" t="s">
        <v>3169</v>
      </c>
      <c r="H6" s="4" t="s">
        <v>3170</v>
      </c>
      <c r="I6" s="4" t="s">
        <v>3169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" t="s">
        <v>3171</v>
      </c>
      <c r="B7" s="4" t="s">
        <v>8</v>
      </c>
      <c r="C7" s="4" t="s">
        <v>13</v>
      </c>
      <c r="D7" s="4" t="s">
        <v>3172</v>
      </c>
      <c r="E7" s="4" t="s">
        <v>13</v>
      </c>
      <c r="F7" s="4">
        <v>5000.0</v>
      </c>
      <c r="G7" s="4" t="s">
        <v>3166</v>
      </c>
      <c r="H7" s="4" t="s">
        <v>3173</v>
      </c>
      <c r="I7" s="4" t="s">
        <v>3166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4" t="s">
        <v>3174</v>
      </c>
      <c r="B8" s="4" t="s">
        <v>107</v>
      </c>
      <c r="C8" s="4" t="s">
        <v>7</v>
      </c>
      <c r="D8" s="4" t="s">
        <v>3021</v>
      </c>
      <c r="E8" s="4" t="s">
        <v>107</v>
      </c>
      <c r="F8" s="4">
        <v>7000.0</v>
      </c>
      <c r="G8" s="4" t="s">
        <v>3175</v>
      </c>
      <c r="H8" s="4" t="s">
        <v>3176</v>
      </c>
      <c r="I8" s="4" t="s">
        <v>3177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" t="s">
        <v>3178</v>
      </c>
      <c r="B9" s="4" t="s">
        <v>6</v>
      </c>
      <c r="C9" s="4" t="s">
        <v>17</v>
      </c>
      <c r="D9" s="4" t="s">
        <v>3179</v>
      </c>
      <c r="E9" s="4" t="s">
        <v>17</v>
      </c>
      <c r="F9" s="4">
        <v>6000.0</v>
      </c>
      <c r="G9" s="4" t="s">
        <v>3180</v>
      </c>
      <c r="H9" s="4" t="s">
        <v>3181</v>
      </c>
      <c r="I9" s="4" t="s">
        <v>3180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4" t="s">
        <v>3182</v>
      </c>
      <c r="B10" s="4" t="s">
        <v>6</v>
      </c>
      <c r="C10" s="4" t="s">
        <v>8</v>
      </c>
      <c r="D10" s="4" t="s">
        <v>3183</v>
      </c>
      <c r="E10" s="4" t="s">
        <v>6</v>
      </c>
      <c r="F10" s="4">
        <v>5000.0</v>
      </c>
      <c r="G10" s="4" t="s">
        <v>3184</v>
      </c>
      <c r="H10" s="4" t="s">
        <v>3185</v>
      </c>
      <c r="I10" s="4" t="s">
        <v>3184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" t="s">
        <v>3186</v>
      </c>
      <c r="B11" s="4" t="s">
        <v>4</v>
      </c>
      <c r="C11" s="4" t="s">
        <v>11</v>
      </c>
      <c r="D11" s="4" t="s">
        <v>3187</v>
      </c>
      <c r="E11" s="4" t="s">
        <v>4</v>
      </c>
      <c r="F11" s="4">
        <v>5000.0</v>
      </c>
      <c r="G11" s="4" t="s">
        <v>3188</v>
      </c>
      <c r="H11" s="4" t="s">
        <v>3189</v>
      </c>
      <c r="I11" s="4" t="s">
        <v>3188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" t="s">
        <v>3190</v>
      </c>
      <c r="B12" s="4" t="s">
        <v>10</v>
      </c>
      <c r="C12" s="4" t="s">
        <v>13</v>
      </c>
      <c r="D12" s="4" t="s">
        <v>3187</v>
      </c>
      <c r="E12" s="4" t="s">
        <v>13</v>
      </c>
      <c r="F12" s="4">
        <v>5000.0</v>
      </c>
      <c r="G12" s="4" t="s">
        <v>3191</v>
      </c>
      <c r="H12" s="4" t="s">
        <v>3173</v>
      </c>
      <c r="I12" s="4" t="s">
        <v>3192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3193</v>
      </c>
      <c r="B13" s="4" t="s">
        <v>9</v>
      </c>
      <c r="C13" s="4" t="s">
        <v>7</v>
      </c>
      <c r="D13" s="4" t="s">
        <v>3187</v>
      </c>
      <c r="E13" s="4" t="s">
        <v>7</v>
      </c>
      <c r="F13" s="4">
        <v>2500.0</v>
      </c>
      <c r="G13" s="4" t="s">
        <v>3194</v>
      </c>
      <c r="H13" s="4" t="s">
        <v>3194</v>
      </c>
      <c r="I13" s="4" t="s">
        <v>3195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 t="s">
        <v>3196</v>
      </c>
      <c r="B14" s="4" t="s">
        <v>6</v>
      </c>
      <c r="C14" s="4" t="s">
        <v>5</v>
      </c>
      <c r="D14" s="4" t="s">
        <v>3197</v>
      </c>
      <c r="E14" s="4" t="s">
        <v>5</v>
      </c>
      <c r="F14" s="4">
        <v>10000.0</v>
      </c>
      <c r="G14" s="4" t="s">
        <v>3198</v>
      </c>
      <c r="H14" s="4" t="s">
        <v>3199</v>
      </c>
      <c r="I14" s="4" t="s">
        <v>3198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3200</v>
      </c>
      <c r="B15" s="4" t="s">
        <v>15</v>
      </c>
      <c r="C15" s="4" t="s">
        <v>107</v>
      </c>
      <c r="D15" s="4" t="s">
        <v>3197</v>
      </c>
      <c r="E15" s="4" t="s">
        <v>107</v>
      </c>
      <c r="F15" s="4">
        <v>10000.0</v>
      </c>
      <c r="G15" s="4" t="s">
        <v>3201</v>
      </c>
      <c r="H15" s="4" t="s">
        <v>3202</v>
      </c>
      <c r="I15" s="4" t="s">
        <v>3201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3203</v>
      </c>
      <c r="B16" s="4" t="s">
        <v>13</v>
      </c>
      <c r="C16" s="4" t="s">
        <v>10</v>
      </c>
      <c r="D16" s="4" t="s">
        <v>3204</v>
      </c>
      <c r="E16" s="4" t="s">
        <v>13</v>
      </c>
      <c r="F16" s="4">
        <v>5000.0</v>
      </c>
      <c r="G16" s="4" t="s">
        <v>3166</v>
      </c>
      <c r="H16" s="4" t="s">
        <v>3205</v>
      </c>
      <c r="I16" s="4" t="s">
        <v>3206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 t="s">
        <v>3207</v>
      </c>
      <c r="B17" s="4" t="s">
        <v>7</v>
      </c>
      <c r="C17" s="4" t="s">
        <v>9</v>
      </c>
      <c r="D17" s="4" t="s">
        <v>3204</v>
      </c>
      <c r="E17" s="4" t="s">
        <v>9</v>
      </c>
      <c r="F17" s="4">
        <v>2500.0</v>
      </c>
      <c r="G17" s="4" t="s">
        <v>3208</v>
      </c>
      <c r="H17" s="4" t="s">
        <v>3209</v>
      </c>
      <c r="I17" s="4" t="s">
        <v>3208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3210</v>
      </c>
      <c r="B18" s="4" t="s">
        <v>11</v>
      </c>
      <c r="C18" s="4" t="s">
        <v>4</v>
      </c>
      <c r="D18" s="4" t="s">
        <v>3211</v>
      </c>
      <c r="E18" s="4" t="s">
        <v>4</v>
      </c>
      <c r="F18" s="4">
        <v>5000.0</v>
      </c>
      <c r="G18" s="4" t="s">
        <v>3212</v>
      </c>
      <c r="H18" s="4" t="s">
        <v>3213</v>
      </c>
      <c r="I18" s="4" t="s">
        <v>3212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3214</v>
      </c>
      <c r="B19" s="4" t="s">
        <v>5</v>
      </c>
      <c r="C19" s="4" t="s">
        <v>13</v>
      </c>
      <c r="D19" s="4" t="s">
        <v>3037</v>
      </c>
      <c r="E19" s="4" t="s">
        <v>5</v>
      </c>
      <c r="F19" s="4">
        <v>5000.0</v>
      </c>
      <c r="G19" s="4" t="s">
        <v>3215</v>
      </c>
      <c r="H19" s="4" t="s">
        <v>3216</v>
      </c>
      <c r="I19" s="4" t="s">
        <v>3215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" t="s">
        <v>3217</v>
      </c>
      <c r="B20" s="4" t="s">
        <v>107</v>
      </c>
      <c r="C20" s="4" t="s">
        <v>15</v>
      </c>
      <c r="D20" s="4" t="s">
        <v>3037</v>
      </c>
      <c r="E20" s="4" t="s">
        <v>107</v>
      </c>
      <c r="F20" s="4">
        <v>10000.0</v>
      </c>
      <c r="G20" s="4" t="s">
        <v>3218</v>
      </c>
      <c r="H20" s="4" t="s">
        <v>3218</v>
      </c>
      <c r="I20" s="4" t="s">
        <v>3219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4" t="s">
        <v>3220</v>
      </c>
      <c r="B21" s="4" t="s">
        <v>6</v>
      </c>
      <c r="C21" s="4" t="s">
        <v>11</v>
      </c>
      <c r="D21" s="4" t="s">
        <v>3221</v>
      </c>
      <c r="E21" s="4" t="s">
        <v>6</v>
      </c>
      <c r="F21" s="4">
        <v>10000.0</v>
      </c>
      <c r="G21" s="4" t="s">
        <v>3222</v>
      </c>
      <c r="H21" s="4" t="s">
        <v>3223</v>
      </c>
      <c r="I21" s="4" t="s">
        <v>3222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4" t="s">
        <v>3224</v>
      </c>
      <c r="B22" s="4" t="s">
        <v>13</v>
      </c>
      <c r="C22" s="4" t="s">
        <v>5</v>
      </c>
      <c r="D22" s="4" t="s">
        <v>3040</v>
      </c>
      <c r="E22" s="4" t="s">
        <v>13</v>
      </c>
      <c r="F22" s="4">
        <v>5000.0</v>
      </c>
      <c r="G22" s="4" t="s">
        <v>3166</v>
      </c>
      <c r="H22" s="4" t="s">
        <v>3225</v>
      </c>
      <c r="I22" s="4" t="s">
        <v>3163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3226</v>
      </c>
      <c r="B23" s="4" t="s">
        <v>9</v>
      </c>
      <c r="C23" s="4" t="s">
        <v>15</v>
      </c>
      <c r="D23" s="4" t="s">
        <v>3040</v>
      </c>
      <c r="E23" s="4" t="s">
        <v>15</v>
      </c>
      <c r="F23" s="4">
        <v>5000.0</v>
      </c>
      <c r="G23" s="4" t="s">
        <v>3227</v>
      </c>
      <c r="H23" s="4" t="s">
        <v>3228</v>
      </c>
      <c r="I23" s="4" t="s">
        <v>3227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3229</v>
      </c>
      <c r="B24" s="4" t="s">
        <v>6</v>
      </c>
      <c r="C24" s="4" t="s">
        <v>7</v>
      </c>
      <c r="D24" s="4" t="s">
        <v>3040</v>
      </c>
      <c r="E24" s="4" t="s">
        <v>6</v>
      </c>
      <c r="F24" s="4">
        <v>5000.0</v>
      </c>
      <c r="G24" s="4" t="s">
        <v>3184</v>
      </c>
      <c r="H24" s="4" t="s">
        <v>3223</v>
      </c>
      <c r="I24" s="4" t="s">
        <v>3184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4" t="s">
        <v>3230</v>
      </c>
      <c r="B25" s="4" t="s">
        <v>107</v>
      </c>
      <c r="C25" s="4" t="s">
        <v>8</v>
      </c>
      <c r="D25" s="4" t="s">
        <v>3040</v>
      </c>
      <c r="E25" s="4" t="s">
        <v>107</v>
      </c>
      <c r="F25" s="4">
        <v>5000.0</v>
      </c>
      <c r="G25" s="4" t="s">
        <v>3231</v>
      </c>
      <c r="H25" s="4" t="s">
        <v>3231</v>
      </c>
      <c r="I25" s="4" t="s">
        <v>3202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3232</v>
      </c>
      <c r="B26" s="4" t="s">
        <v>17</v>
      </c>
      <c r="C26" s="4" t="s">
        <v>11</v>
      </c>
      <c r="D26" s="4" t="s">
        <v>3040</v>
      </c>
      <c r="E26" s="4" t="s">
        <v>11</v>
      </c>
      <c r="F26" s="4">
        <v>5000.0</v>
      </c>
      <c r="G26" s="4" t="s">
        <v>3233</v>
      </c>
      <c r="H26" s="4" t="s">
        <v>3234</v>
      </c>
      <c r="I26" s="4" t="s">
        <v>3233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4" t="s">
        <v>3235</v>
      </c>
      <c r="B27" s="4" t="s">
        <v>9</v>
      </c>
      <c r="C27" s="4" t="s">
        <v>13</v>
      </c>
      <c r="D27" s="4" t="s">
        <v>3236</v>
      </c>
      <c r="E27" s="4" t="s">
        <v>9</v>
      </c>
      <c r="F27" s="4">
        <v>3000.0</v>
      </c>
      <c r="G27" s="4" t="s">
        <v>3237</v>
      </c>
      <c r="H27" s="4" t="s">
        <v>3237</v>
      </c>
      <c r="I27" s="4" t="s">
        <v>3237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4" t="s">
        <v>3238</v>
      </c>
      <c r="B28" s="4" t="s">
        <v>15</v>
      </c>
      <c r="C28" s="4" t="s">
        <v>17</v>
      </c>
      <c r="D28" s="4" t="s">
        <v>3239</v>
      </c>
      <c r="E28" s="4" t="s">
        <v>15</v>
      </c>
      <c r="F28" s="4">
        <v>10000.0</v>
      </c>
      <c r="G28" s="4" t="s">
        <v>3240</v>
      </c>
      <c r="H28" s="4" t="s">
        <v>3240</v>
      </c>
      <c r="I28" s="4" t="s">
        <v>3241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4" t="s">
        <v>3242</v>
      </c>
      <c r="B29" s="4" t="s">
        <v>10</v>
      </c>
      <c r="C29" s="4" t="s">
        <v>6</v>
      </c>
      <c r="D29" s="4" t="s">
        <v>3239</v>
      </c>
      <c r="E29" s="4" t="s">
        <v>10</v>
      </c>
      <c r="F29" s="4">
        <v>5000.0</v>
      </c>
      <c r="G29" s="4" t="s">
        <v>3243</v>
      </c>
      <c r="H29" s="4" t="s">
        <v>3244</v>
      </c>
      <c r="I29" s="4" t="s">
        <v>3222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4" t="s">
        <v>3245</v>
      </c>
      <c r="B30" s="4" t="s">
        <v>5</v>
      </c>
      <c r="C30" s="4" t="s">
        <v>11</v>
      </c>
      <c r="D30" s="4" t="s">
        <v>3239</v>
      </c>
      <c r="E30" s="4" t="s">
        <v>11</v>
      </c>
      <c r="F30" s="4">
        <v>5000.0</v>
      </c>
      <c r="G30" s="4" t="s">
        <v>3246</v>
      </c>
      <c r="H30" s="4" t="s">
        <v>3233</v>
      </c>
      <c r="I30" s="4" t="s">
        <v>3246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4" t="s">
        <v>3247</v>
      </c>
      <c r="B31" s="4" t="s">
        <v>13</v>
      </c>
      <c r="C31" s="4" t="s">
        <v>8</v>
      </c>
      <c r="D31" s="4" t="s">
        <v>3248</v>
      </c>
      <c r="E31" s="4" t="s">
        <v>13</v>
      </c>
      <c r="F31" s="4">
        <v>5000.0</v>
      </c>
      <c r="G31" s="4" t="s">
        <v>3249</v>
      </c>
      <c r="H31" s="4" t="s">
        <v>3250</v>
      </c>
      <c r="I31" s="4" t="s">
        <v>3249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3251</v>
      </c>
      <c r="B32" s="4" t="s">
        <v>107</v>
      </c>
      <c r="C32" s="4" t="s">
        <v>17</v>
      </c>
      <c r="D32" s="4" t="s">
        <v>3252</v>
      </c>
      <c r="E32" s="4" t="s">
        <v>17</v>
      </c>
      <c r="F32" s="4">
        <v>5000.0</v>
      </c>
      <c r="G32" s="4" t="s">
        <v>3180</v>
      </c>
      <c r="H32" s="4" t="s">
        <v>3241</v>
      </c>
      <c r="I32" s="4" t="s">
        <v>3180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3253</v>
      </c>
      <c r="B33" s="4" t="s">
        <v>13</v>
      </c>
      <c r="C33" s="4" t="s">
        <v>4</v>
      </c>
      <c r="D33" s="4" t="s">
        <v>3252</v>
      </c>
      <c r="E33" s="4" t="s">
        <v>4</v>
      </c>
      <c r="F33" s="4">
        <v>5000.0</v>
      </c>
      <c r="G33" s="4" t="s">
        <v>3213</v>
      </c>
      <c r="H33" s="4" t="s">
        <v>3254</v>
      </c>
      <c r="I33" s="4" t="s">
        <v>3213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3255</v>
      </c>
      <c r="B34" s="4" t="s">
        <v>5</v>
      </c>
      <c r="C34" s="4" t="s">
        <v>9</v>
      </c>
      <c r="D34" s="4" t="s">
        <v>3256</v>
      </c>
      <c r="E34" s="4" t="s">
        <v>5</v>
      </c>
      <c r="F34" s="4">
        <v>4000.0</v>
      </c>
      <c r="G34" s="4" t="s">
        <v>3257</v>
      </c>
      <c r="H34" s="4" t="s">
        <v>3199</v>
      </c>
      <c r="I34" s="4" t="s">
        <v>3257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3258</v>
      </c>
      <c r="B35" s="4" t="s">
        <v>6</v>
      </c>
      <c r="C35" s="4" t="s">
        <v>15</v>
      </c>
      <c r="D35" s="4" t="s">
        <v>3256</v>
      </c>
      <c r="E35" s="4" t="s">
        <v>15</v>
      </c>
      <c r="F35" s="4">
        <v>5000.0</v>
      </c>
      <c r="G35" s="4" t="s">
        <v>3259</v>
      </c>
      <c r="H35" s="4" t="s">
        <v>3260</v>
      </c>
      <c r="I35" s="4" t="s">
        <v>3259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4" t="s">
        <v>3261</v>
      </c>
      <c r="B36" s="4" t="s">
        <v>10</v>
      </c>
      <c r="C36" s="4" t="s">
        <v>7</v>
      </c>
      <c r="D36" s="4" t="s">
        <v>3256</v>
      </c>
      <c r="E36" s="4" t="s">
        <v>10</v>
      </c>
      <c r="F36" s="4">
        <v>6000.0</v>
      </c>
      <c r="G36" s="4" t="s">
        <v>3262</v>
      </c>
      <c r="H36" s="4" t="s">
        <v>3263</v>
      </c>
      <c r="I36" s="4" t="s">
        <v>3262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" t="s">
        <v>3264</v>
      </c>
      <c r="B37" s="4" t="s">
        <v>14</v>
      </c>
      <c r="C37" s="4" t="s">
        <v>8</v>
      </c>
      <c r="D37" s="4" t="s">
        <v>3256</v>
      </c>
      <c r="E37" s="4" t="s">
        <v>8</v>
      </c>
      <c r="F37" s="4">
        <v>5000.0</v>
      </c>
      <c r="G37" s="4" t="s">
        <v>3265</v>
      </c>
      <c r="H37" s="4" t="s">
        <v>3266</v>
      </c>
      <c r="I37" s="4" t="s">
        <v>3265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4" t="s">
        <v>3267</v>
      </c>
      <c r="B38" s="4" t="s">
        <v>4</v>
      </c>
      <c r="C38" s="4" t="s">
        <v>13</v>
      </c>
      <c r="D38" s="4" t="s">
        <v>3268</v>
      </c>
      <c r="E38" s="4" t="s">
        <v>4</v>
      </c>
      <c r="F38" s="4">
        <v>5000.0</v>
      </c>
      <c r="G38" s="4" t="s">
        <v>3188</v>
      </c>
      <c r="H38" s="4" t="s">
        <v>3269</v>
      </c>
      <c r="I38" s="4" t="s">
        <v>3249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4" t="s">
        <v>3270</v>
      </c>
      <c r="B39" s="4" t="s">
        <v>10</v>
      </c>
      <c r="C39" s="4" t="s">
        <v>5</v>
      </c>
      <c r="D39" s="4" t="s">
        <v>3271</v>
      </c>
      <c r="E39" s="4" t="s">
        <v>10</v>
      </c>
      <c r="F39" s="4">
        <v>6000.0</v>
      </c>
      <c r="G39" s="4" t="s">
        <v>3262</v>
      </c>
      <c r="H39" s="4" t="s">
        <v>3272</v>
      </c>
      <c r="I39" s="4" t="s">
        <v>3262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" t="s">
        <v>3273</v>
      </c>
      <c r="B40" s="4" t="s">
        <v>4</v>
      </c>
      <c r="C40" s="4" t="s">
        <v>6</v>
      </c>
      <c r="D40" s="4" t="s">
        <v>3274</v>
      </c>
      <c r="E40" s="4" t="s">
        <v>6</v>
      </c>
      <c r="F40" s="4">
        <v>5000.0</v>
      </c>
      <c r="G40" s="4" t="s">
        <v>3184</v>
      </c>
      <c r="H40" s="4" t="s">
        <v>3275</v>
      </c>
      <c r="I40" s="4" t="s">
        <v>3184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" t="s">
        <v>3276</v>
      </c>
      <c r="B41" s="4" t="s">
        <v>12</v>
      </c>
      <c r="C41" s="4" t="s">
        <v>9</v>
      </c>
      <c r="D41" s="4" t="s">
        <v>3277</v>
      </c>
      <c r="E41" s="4" t="s">
        <v>12</v>
      </c>
      <c r="F41" s="4">
        <v>5000.0</v>
      </c>
      <c r="G41" s="4" t="s">
        <v>3278</v>
      </c>
      <c r="H41" s="4" t="s">
        <v>3228</v>
      </c>
      <c r="I41" s="4" t="s">
        <v>3278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4" t="s">
        <v>3279</v>
      </c>
      <c r="B42" s="4" t="s">
        <v>5</v>
      </c>
      <c r="C42" s="4" t="s">
        <v>10</v>
      </c>
      <c r="D42" s="4" t="s">
        <v>3277</v>
      </c>
      <c r="E42" s="4" t="s">
        <v>10</v>
      </c>
      <c r="F42" s="4">
        <v>5000.0</v>
      </c>
      <c r="G42" s="4" t="s">
        <v>3205</v>
      </c>
      <c r="H42" s="4" t="s">
        <v>3205</v>
      </c>
      <c r="I42" s="4" t="s">
        <v>3198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4" t="s">
        <v>3280</v>
      </c>
      <c r="B43" s="4" t="s">
        <v>14</v>
      </c>
      <c r="C43" s="4" t="s">
        <v>17</v>
      </c>
      <c r="D43" s="4" t="s">
        <v>3277</v>
      </c>
      <c r="E43" s="4" t="s">
        <v>14</v>
      </c>
      <c r="F43" s="4">
        <v>5000.0</v>
      </c>
      <c r="G43" s="4" t="s">
        <v>3281</v>
      </c>
      <c r="H43" s="4" t="s">
        <v>3282</v>
      </c>
      <c r="I43" s="4" t="s">
        <v>3281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4" t="s">
        <v>3283</v>
      </c>
      <c r="B44" s="4" t="s">
        <v>7</v>
      </c>
      <c r="C44" s="4" t="s">
        <v>11</v>
      </c>
      <c r="D44" s="4" t="s">
        <v>3277</v>
      </c>
      <c r="E44" s="4" t="s">
        <v>7</v>
      </c>
      <c r="F44" s="4">
        <v>5000.0</v>
      </c>
      <c r="G44" s="4" t="s">
        <v>3284</v>
      </c>
      <c r="H44" s="4" t="s">
        <v>3285</v>
      </c>
      <c r="I44" s="4" t="s">
        <v>3284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4" t="s">
        <v>3055</v>
      </c>
      <c r="B45" s="4" t="s">
        <v>6</v>
      </c>
      <c r="C45" s="4" t="s">
        <v>4</v>
      </c>
      <c r="D45" s="4" t="s">
        <v>3286</v>
      </c>
      <c r="E45" s="4" t="s">
        <v>6</v>
      </c>
      <c r="F45" s="4">
        <v>5000.0</v>
      </c>
      <c r="G45" s="4" t="s">
        <v>3184</v>
      </c>
      <c r="H45" s="4" t="s">
        <v>3287</v>
      </c>
      <c r="I45" s="4" t="s">
        <v>3184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4" t="s">
        <v>3288</v>
      </c>
      <c r="B46" s="4" t="s">
        <v>15</v>
      </c>
      <c r="C46" s="4" t="s">
        <v>13</v>
      </c>
      <c r="D46" s="4" t="s">
        <v>3289</v>
      </c>
      <c r="E46" s="4" t="s">
        <v>13</v>
      </c>
      <c r="F46" s="4">
        <v>6000.0</v>
      </c>
      <c r="G46" s="4" t="s">
        <v>3290</v>
      </c>
      <c r="H46" s="4" t="s">
        <v>3291</v>
      </c>
      <c r="I46" s="4" t="s">
        <v>3290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4" t="s">
        <v>3292</v>
      </c>
      <c r="B47" s="4" t="s">
        <v>8</v>
      </c>
      <c r="C47" s="4" t="s">
        <v>10</v>
      </c>
      <c r="D47" s="4" t="s">
        <v>3289</v>
      </c>
      <c r="E47" s="4" t="s">
        <v>10</v>
      </c>
      <c r="F47" s="4">
        <v>5000.0</v>
      </c>
      <c r="G47" s="4" t="s">
        <v>3293</v>
      </c>
      <c r="H47" s="4" t="s">
        <v>3205</v>
      </c>
      <c r="I47" s="4" t="s">
        <v>3294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4" t="s">
        <v>3295</v>
      </c>
      <c r="B48" s="4" t="s">
        <v>17</v>
      </c>
      <c r="C48" s="4" t="s">
        <v>14</v>
      </c>
      <c r="D48" s="4" t="s">
        <v>3289</v>
      </c>
      <c r="E48" s="4" t="s">
        <v>14</v>
      </c>
      <c r="F48" s="4">
        <v>5000.0</v>
      </c>
      <c r="G48" s="4" t="s">
        <v>3281</v>
      </c>
      <c r="H48" s="4" t="s">
        <v>3296</v>
      </c>
      <c r="I48" s="4" t="s">
        <v>3297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4" t="s">
        <v>3298</v>
      </c>
      <c r="B49" s="4" t="s">
        <v>11</v>
      </c>
      <c r="C49" s="4" t="s">
        <v>5</v>
      </c>
      <c r="D49" s="4" t="s">
        <v>3090</v>
      </c>
      <c r="E49" s="4" t="s">
        <v>5</v>
      </c>
      <c r="F49" s="4">
        <v>5000.0</v>
      </c>
      <c r="G49" s="4" t="s">
        <v>3198</v>
      </c>
      <c r="H49" s="4" t="s">
        <v>3299</v>
      </c>
      <c r="I49" s="4" t="s">
        <v>3198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4" t="s">
        <v>3300</v>
      </c>
      <c r="B50" s="4" t="s">
        <v>9</v>
      </c>
      <c r="C50" s="4" t="s">
        <v>12</v>
      </c>
      <c r="D50" s="4" t="s">
        <v>3090</v>
      </c>
      <c r="E50" s="4" t="s">
        <v>9</v>
      </c>
      <c r="F50" s="4">
        <v>5000.0</v>
      </c>
      <c r="G50" s="4" t="s">
        <v>3301</v>
      </c>
      <c r="H50" s="4" t="s">
        <v>3302</v>
      </c>
      <c r="I50" s="4" t="s">
        <v>3303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4" t="s">
        <v>3304</v>
      </c>
      <c r="B51" s="4" t="s">
        <v>16</v>
      </c>
      <c r="C51" s="4" t="s">
        <v>13</v>
      </c>
      <c r="D51" s="4" t="s">
        <v>3305</v>
      </c>
      <c r="E51" s="4" t="s">
        <v>13</v>
      </c>
      <c r="F51" s="4">
        <v>5000.0</v>
      </c>
      <c r="G51" s="4" t="s">
        <v>3249</v>
      </c>
      <c r="H51" s="4" t="s">
        <v>3306</v>
      </c>
      <c r="I51" s="4" t="s">
        <v>3249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4" t="s">
        <v>3307</v>
      </c>
      <c r="B52" s="4" t="s">
        <v>14</v>
      </c>
      <c r="C52" s="4" t="s">
        <v>7</v>
      </c>
      <c r="D52" s="4" t="s">
        <v>3308</v>
      </c>
      <c r="E52" s="4" t="s">
        <v>14</v>
      </c>
      <c r="F52" s="4">
        <v>5000.0</v>
      </c>
      <c r="G52" s="4" t="s">
        <v>3281</v>
      </c>
      <c r="H52" s="4" t="s">
        <v>3309</v>
      </c>
      <c r="I52" s="4" t="s">
        <v>3310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4" t="s">
        <v>263</v>
      </c>
      <c r="B53" s="4" t="s">
        <v>4</v>
      </c>
      <c r="C53" s="4" t="s">
        <v>5</v>
      </c>
      <c r="D53" s="4" t="s">
        <v>3308</v>
      </c>
      <c r="E53" s="4" t="s">
        <v>4</v>
      </c>
      <c r="F53" s="4">
        <v>5000.0</v>
      </c>
      <c r="G53" s="4" t="s">
        <v>3311</v>
      </c>
      <c r="H53" s="4" t="s">
        <v>3311</v>
      </c>
      <c r="I53" s="4" t="s">
        <v>3311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4" t="s">
        <v>3312</v>
      </c>
      <c r="B54" s="4" t="s">
        <v>11</v>
      </c>
      <c r="C54" s="4" t="s">
        <v>10</v>
      </c>
      <c r="D54" s="4" t="s">
        <v>3308</v>
      </c>
      <c r="E54" s="4" t="s">
        <v>10</v>
      </c>
      <c r="F54" s="4">
        <v>5000.0</v>
      </c>
      <c r="G54" s="4" t="s">
        <v>3293</v>
      </c>
      <c r="H54" s="4" t="s">
        <v>3313</v>
      </c>
      <c r="I54" s="4" t="s">
        <v>3314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4" t="s">
        <v>3315</v>
      </c>
      <c r="B55" s="4" t="s">
        <v>12</v>
      </c>
      <c r="C55" s="4" t="s">
        <v>6</v>
      </c>
      <c r="D55" s="4" t="s">
        <v>3308</v>
      </c>
      <c r="E55" s="4" t="s">
        <v>12</v>
      </c>
      <c r="F55" s="4">
        <v>5000.0</v>
      </c>
      <c r="G55" s="4" t="s">
        <v>3316</v>
      </c>
      <c r="H55" s="4" t="s">
        <v>3317</v>
      </c>
      <c r="I55" s="4" t="s">
        <v>3316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3318</v>
      </c>
      <c r="B56" s="4" t="s">
        <v>13</v>
      </c>
      <c r="C56" s="4" t="s">
        <v>16</v>
      </c>
      <c r="D56" s="4" t="s">
        <v>3319</v>
      </c>
      <c r="E56" s="4" t="s">
        <v>13</v>
      </c>
      <c r="F56" s="4">
        <v>5000.0</v>
      </c>
      <c r="G56" s="4" t="s">
        <v>3166</v>
      </c>
      <c r="H56" s="4" t="s">
        <v>3320</v>
      </c>
      <c r="I56" s="4" t="s">
        <v>3321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272</v>
      </c>
      <c r="B57" s="4" t="s">
        <v>5</v>
      </c>
      <c r="C57" s="4" t="s">
        <v>4</v>
      </c>
      <c r="D57" s="4" t="s">
        <v>3322</v>
      </c>
      <c r="E57" s="4" t="s">
        <v>4</v>
      </c>
      <c r="F57" s="4">
        <v>5000.0</v>
      </c>
      <c r="G57" s="4" t="s">
        <v>3213</v>
      </c>
      <c r="H57" s="4" t="s">
        <v>3323</v>
      </c>
      <c r="I57" s="4" t="s">
        <v>3213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3324</v>
      </c>
      <c r="B58" s="4" t="s">
        <v>17</v>
      </c>
      <c r="C58" s="4" t="s">
        <v>15</v>
      </c>
      <c r="D58" s="4" t="s">
        <v>3322</v>
      </c>
      <c r="E58" s="4" t="s">
        <v>17</v>
      </c>
      <c r="F58" s="4">
        <v>6000.0</v>
      </c>
      <c r="G58" s="4" t="s">
        <v>3325</v>
      </c>
      <c r="H58" s="4" t="s">
        <v>3326</v>
      </c>
      <c r="I58" s="4" t="s">
        <v>3325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3327</v>
      </c>
      <c r="B59" s="4" t="s">
        <v>12</v>
      </c>
      <c r="C59" s="4" t="s">
        <v>10</v>
      </c>
      <c r="D59" s="4" t="s">
        <v>3322</v>
      </c>
      <c r="E59" s="4" t="s">
        <v>10</v>
      </c>
      <c r="F59" s="4">
        <v>5000.0</v>
      </c>
      <c r="G59" s="4" t="s">
        <v>3262</v>
      </c>
      <c r="H59" s="4" t="s">
        <v>3243</v>
      </c>
      <c r="I59" s="4" t="s">
        <v>3303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3328</v>
      </c>
      <c r="B60" s="4" t="s">
        <v>6</v>
      </c>
      <c r="C60" s="4" t="s">
        <v>9</v>
      </c>
      <c r="D60" s="4" t="s">
        <v>3322</v>
      </c>
      <c r="E60" s="4" t="s">
        <v>6</v>
      </c>
      <c r="F60" s="4">
        <v>5000.0</v>
      </c>
      <c r="G60" s="4" t="s">
        <v>3329</v>
      </c>
      <c r="H60" s="4" t="s">
        <v>3330</v>
      </c>
      <c r="I60" s="4" t="s">
        <v>3329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3331</v>
      </c>
      <c r="B61" s="4" t="s">
        <v>7</v>
      </c>
      <c r="C61" s="4" t="s">
        <v>14</v>
      </c>
      <c r="D61" s="4" t="s">
        <v>3322</v>
      </c>
      <c r="E61" s="4" t="s">
        <v>14</v>
      </c>
      <c r="F61" s="4">
        <v>5000.0</v>
      </c>
      <c r="G61" s="4" t="s">
        <v>3281</v>
      </c>
      <c r="H61" s="4" t="s">
        <v>3332</v>
      </c>
      <c r="I61" s="4" t="s">
        <v>3281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7" t="s">
        <v>3121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7" t="s">
        <v>3122</v>
      </c>
      <c r="B66" s="47" t="s">
        <v>2902</v>
      </c>
      <c r="C66" s="47" t="s">
        <v>2907</v>
      </c>
      <c r="D66" s="47" t="s">
        <v>2908</v>
      </c>
      <c r="E66" s="47" t="s">
        <v>3123</v>
      </c>
      <c r="F66" s="47" t="s">
        <v>2912</v>
      </c>
      <c r="G66" s="164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3124</v>
      </c>
      <c r="B67" s="4" t="s">
        <v>4</v>
      </c>
      <c r="C67" s="4" t="s">
        <v>9</v>
      </c>
      <c r="D67" s="4" t="s">
        <v>3125</v>
      </c>
      <c r="E67" s="4" t="s">
        <v>3109</v>
      </c>
      <c r="F67" s="4">
        <v>5000.0</v>
      </c>
      <c r="G67" s="4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3127</v>
      </c>
      <c r="B68" s="4" t="s">
        <v>5</v>
      </c>
      <c r="C68" s="4" t="s">
        <v>6</v>
      </c>
      <c r="D68" s="4" t="s">
        <v>3128</v>
      </c>
      <c r="E68" s="4" t="s">
        <v>3109</v>
      </c>
      <c r="F68" s="4">
        <v>5000.0</v>
      </c>
      <c r="G68" s="4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3129</v>
      </c>
      <c r="B69" s="4" t="s">
        <v>9</v>
      </c>
      <c r="C69" s="4" t="s">
        <v>4</v>
      </c>
      <c r="D69" s="4" t="s">
        <v>3130</v>
      </c>
      <c r="E69" s="4" t="s">
        <v>3109</v>
      </c>
      <c r="F69" s="4">
        <v>5000.0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7" t="s">
        <v>3333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7" t="s">
        <v>2902</v>
      </c>
      <c r="B75" s="47" t="s">
        <v>2907</v>
      </c>
      <c r="C75" s="47" t="s">
        <v>3334</v>
      </c>
      <c r="D75" s="47" t="s">
        <v>3133</v>
      </c>
      <c r="E75" s="5"/>
      <c r="F75" s="47" t="s">
        <v>2902</v>
      </c>
      <c r="G75" s="47" t="s">
        <v>2907</v>
      </c>
      <c r="H75" s="47" t="s">
        <v>3334</v>
      </c>
      <c r="I75" s="47" t="s">
        <v>3133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12</v>
      </c>
      <c r="B76" s="4" t="s">
        <v>6</v>
      </c>
      <c r="C76" s="4" t="s">
        <v>3335</v>
      </c>
      <c r="D76" s="5"/>
      <c r="E76" s="5"/>
      <c r="F76" s="4" t="s">
        <v>10</v>
      </c>
      <c r="G76" s="4" t="s">
        <v>12</v>
      </c>
      <c r="H76" s="4" t="s">
        <v>3336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12</v>
      </c>
      <c r="B77" s="4" t="s">
        <v>4</v>
      </c>
      <c r="C77" s="4" t="s">
        <v>3336</v>
      </c>
      <c r="D77" s="5"/>
      <c r="E77" s="5"/>
      <c r="F77" s="4" t="s">
        <v>10</v>
      </c>
      <c r="G77" s="4" t="s">
        <v>6</v>
      </c>
      <c r="H77" s="4" t="s">
        <v>3335</v>
      </c>
      <c r="I77" s="4" t="s">
        <v>3337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12</v>
      </c>
      <c r="B78" s="4" t="s">
        <v>15</v>
      </c>
      <c r="C78" s="4" t="s">
        <v>3335</v>
      </c>
      <c r="D78" s="4" t="s">
        <v>3338</v>
      </c>
      <c r="E78" s="5"/>
      <c r="F78" s="4" t="s">
        <v>10</v>
      </c>
      <c r="G78" s="4" t="s">
        <v>4</v>
      </c>
      <c r="H78" s="4" t="s">
        <v>3336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12</v>
      </c>
      <c r="B79" s="4" t="s">
        <v>11</v>
      </c>
      <c r="C79" s="4" t="s">
        <v>3336</v>
      </c>
      <c r="D79" s="5"/>
      <c r="E79" s="5"/>
      <c r="F79" s="4" t="s">
        <v>10</v>
      </c>
      <c r="G79" s="4" t="s">
        <v>15</v>
      </c>
      <c r="H79" s="4" t="s">
        <v>3336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12</v>
      </c>
      <c r="B80" s="4" t="s">
        <v>17</v>
      </c>
      <c r="C80" s="4" t="s">
        <v>3335</v>
      </c>
      <c r="D80" s="4" t="s">
        <v>3080</v>
      </c>
      <c r="E80" s="5"/>
      <c r="F80" s="4" t="s">
        <v>10</v>
      </c>
      <c r="G80" s="4" t="s">
        <v>11</v>
      </c>
      <c r="H80" s="4" t="s">
        <v>3336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12</v>
      </c>
      <c r="B81" s="4" t="s">
        <v>7</v>
      </c>
      <c r="C81" s="4" t="s">
        <v>3335</v>
      </c>
      <c r="D81" s="4" t="s">
        <v>3339</v>
      </c>
      <c r="E81" s="5"/>
      <c r="F81" s="4" t="s">
        <v>10</v>
      </c>
      <c r="G81" s="4" t="s">
        <v>17</v>
      </c>
      <c r="H81" s="4" t="s">
        <v>3336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12</v>
      </c>
      <c r="B82" s="4" t="s">
        <v>10</v>
      </c>
      <c r="C82" s="4" t="s">
        <v>3335</v>
      </c>
      <c r="D82" s="5"/>
      <c r="E82" s="5"/>
      <c r="F82" s="4" t="s">
        <v>10</v>
      </c>
      <c r="G82" s="4" t="s">
        <v>7</v>
      </c>
      <c r="H82" s="4" t="s">
        <v>3335</v>
      </c>
      <c r="I82" s="4" t="s">
        <v>3340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12</v>
      </c>
      <c r="B83" s="4" t="s">
        <v>13</v>
      </c>
      <c r="C83" s="4" t="s">
        <v>3336</v>
      </c>
      <c r="D83" s="5"/>
      <c r="E83" s="5"/>
      <c r="F83" s="4" t="s">
        <v>10</v>
      </c>
      <c r="G83" s="4" t="s">
        <v>13</v>
      </c>
      <c r="H83" s="4" t="s">
        <v>3335</v>
      </c>
      <c r="I83" s="4" t="s">
        <v>3341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12</v>
      </c>
      <c r="B84" s="4" t="s">
        <v>9</v>
      </c>
      <c r="C84" s="4" t="s">
        <v>3335</v>
      </c>
      <c r="D84" s="4" t="s">
        <v>3342</v>
      </c>
      <c r="E84" s="5"/>
      <c r="F84" s="4" t="s">
        <v>10</v>
      </c>
      <c r="G84" s="4" t="s">
        <v>9</v>
      </c>
      <c r="H84" s="4" t="s">
        <v>3336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12</v>
      </c>
      <c r="B85" s="4" t="s">
        <v>8</v>
      </c>
      <c r="C85" s="4" t="s">
        <v>3335</v>
      </c>
      <c r="D85" s="4" t="s">
        <v>3343</v>
      </c>
      <c r="E85" s="5"/>
      <c r="F85" s="4" t="s">
        <v>10</v>
      </c>
      <c r="G85" s="4" t="s">
        <v>8</v>
      </c>
      <c r="H85" s="4" t="s">
        <v>3336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12</v>
      </c>
      <c r="B86" s="4" t="s">
        <v>5</v>
      </c>
      <c r="C86" s="4" t="s">
        <v>3336</v>
      </c>
      <c r="D86" s="5"/>
      <c r="E86" s="5"/>
      <c r="F86" s="4" t="s">
        <v>10</v>
      </c>
      <c r="G86" s="4" t="s">
        <v>5</v>
      </c>
      <c r="H86" s="4" t="s">
        <v>3335</v>
      </c>
      <c r="I86" s="4" t="s">
        <v>3082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12</v>
      </c>
      <c r="B87" s="4" t="s">
        <v>16</v>
      </c>
      <c r="C87" s="4" t="s">
        <v>3336</v>
      </c>
      <c r="D87" s="5"/>
      <c r="E87" s="5"/>
      <c r="F87" s="4" t="s">
        <v>10</v>
      </c>
      <c r="G87" s="4" t="s">
        <v>16</v>
      </c>
      <c r="H87" s="4" t="s">
        <v>3336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12</v>
      </c>
      <c r="B88" s="4" t="s">
        <v>14</v>
      </c>
      <c r="C88" s="4" t="s">
        <v>3336</v>
      </c>
      <c r="D88" s="5"/>
      <c r="E88" s="5"/>
      <c r="F88" s="4" t="s">
        <v>10</v>
      </c>
      <c r="G88" s="4" t="s">
        <v>14</v>
      </c>
      <c r="H88" s="4" t="s">
        <v>3336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6</v>
      </c>
      <c r="B89" s="4" t="s">
        <v>12</v>
      </c>
      <c r="C89" s="4" t="s">
        <v>3336</v>
      </c>
      <c r="D89" s="5"/>
      <c r="E89" s="5"/>
      <c r="F89" s="4" t="s">
        <v>13</v>
      </c>
      <c r="G89" s="4" t="s">
        <v>12</v>
      </c>
      <c r="H89" s="4" t="s">
        <v>3336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6</v>
      </c>
      <c r="B90" s="4" t="s">
        <v>4</v>
      </c>
      <c r="C90" s="4" t="s">
        <v>3335</v>
      </c>
      <c r="D90" s="4" t="s">
        <v>3344</v>
      </c>
      <c r="E90" s="5"/>
      <c r="F90" s="4" t="s">
        <v>13</v>
      </c>
      <c r="G90" s="4" t="s">
        <v>6</v>
      </c>
      <c r="H90" s="4" t="s">
        <v>3336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6</v>
      </c>
      <c r="B91" s="4" t="s">
        <v>15</v>
      </c>
      <c r="C91" s="4" t="s">
        <v>3335</v>
      </c>
      <c r="D91" s="4" t="s">
        <v>3345</v>
      </c>
      <c r="E91" s="5"/>
      <c r="F91" s="4" t="s">
        <v>13</v>
      </c>
      <c r="G91" s="4" t="s">
        <v>4</v>
      </c>
      <c r="H91" s="4" t="s">
        <v>3335</v>
      </c>
      <c r="I91" s="4" t="s">
        <v>3080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6</v>
      </c>
      <c r="B92" s="4" t="s">
        <v>11</v>
      </c>
      <c r="C92" s="4" t="s">
        <v>3335</v>
      </c>
      <c r="D92" s="4" t="s">
        <v>3033</v>
      </c>
      <c r="E92" s="5"/>
      <c r="F92" s="4" t="s">
        <v>13</v>
      </c>
      <c r="G92" s="4" t="s">
        <v>15</v>
      </c>
      <c r="H92" s="4" t="s">
        <v>3336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6</v>
      </c>
      <c r="B93" s="4" t="s">
        <v>17</v>
      </c>
      <c r="C93" s="4" t="s">
        <v>3335</v>
      </c>
      <c r="D93" s="4" t="s">
        <v>3346</v>
      </c>
      <c r="E93" s="5"/>
      <c r="F93" s="4" t="s">
        <v>13</v>
      </c>
      <c r="G93" s="4" t="s">
        <v>11</v>
      </c>
      <c r="H93" s="4" t="s">
        <v>3336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6</v>
      </c>
      <c r="B94" s="4" t="s">
        <v>7</v>
      </c>
      <c r="C94" s="4" t="s">
        <v>3335</v>
      </c>
      <c r="D94" s="4" t="s">
        <v>3343</v>
      </c>
      <c r="E94" s="5"/>
      <c r="F94" s="4" t="s">
        <v>13</v>
      </c>
      <c r="G94" s="4" t="s">
        <v>17</v>
      </c>
      <c r="H94" s="4" t="s">
        <v>3335</v>
      </c>
      <c r="I94" s="4" t="s">
        <v>3347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6</v>
      </c>
      <c r="B95" s="4" t="s">
        <v>10</v>
      </c>
      <c r="C95" s="4" t="s">
        <v>3336</v>
      </c>
      <c r="D95" s="5"/>
      <c r="E95" s="5"/>
      <c r="F95" s="4" t="s">
        <v>13</v>
      </c>
      <c r="G95" s="4" t="s">
        <v>7</v>
      </c>
      <c r="H95" s="4" t="s">
        <v>3336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6</v>
      </c>
      <c r="B96" s="4" t="s">
        <v>13</v>
      </c>
      <c r="C96" s="4" t="s">
        <v>3336</v>
      </c>
      <c r="D96" s="5"/>
      <c r="E96" s="5"/>
      <c r="F96" s="4" t="s">
        <v>13</v>
      </c>
      <c r="G96" s="4" t="s">
        <v>10</v>
      </c>
      <c r="H96" s="4" t="s">
        <v>3335</v>
      </c>
      <c r="I96" s="4" t="s">
        <v>3348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6</v>
      </c>
      <c r="B97" s="4" t="s">
        <v>9</v>
      </c>
      <c r="C97" s="4" t="s">
        <v>3335</v>
      </c>
      <c r="D97" s="5"/>
      <c r="E97" s="5"/>
      <c r="F97" s="4" t="s">
        <v>13</v>
      </c>
      <c r="G97" s="4" t="s">
        <v>9</v>
      </c>
      <c r="H97" s="4" t="s">
        <v>3336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6</v>
      </c>
      <c r="B98" s="4" t="s">
        <v>8</v>
      </c>
      <c r="C98" s="4" t="s">
        <v>3335</v>
      </c>
      <c r="D98" s="4" t="s">
        <v>3349</v>
      </c>
      <c r="E98" s="5"/>
      <c r="F98" s="4" t="s">
        <v>13</v>
      </c>
      <c r="G98" s="4" t="s">
        <v>8</v>
      </c>
      <c r="H98" s="4" t="s">
        <v>3335</v>
      </c>
      <c r="I98" s="4" t="s">
        <v>3350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6</v>
      </c>
      <c r="B99" s="4" t="s">
        <v>5</v>
      </c>
      <c r="C99" s="4" t="s">
        <v>3335</v>
      </c>
      <c r="D99" s="4" t="s">
        <v>3351</v>
      </c>
      <c r="E99" s="5"/>
      <c r="F99" s="4" t="s">
        <v>13</v>
      </c>
      <c r="G99" s="4" t="s">
        <v>5</v>
      </c>
      <c r="H99" s="4" t="s">
        <v>3335</v>
      </c>
      <c r="I99" s="4" t="s">
        <v>3343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6</v>
      </c>
      <c r="B100" s="4" t="s">
        <v>16</v>
      </c>
      <c r="C100" s="4" t="s">
        <v>3336</v>
      </c>
      <c r="D100" s="5"/>
      <c r="E100" s="5"/>
      <c r="F100" s="4" t="s">
        <v>13</v>
      </c>
      <c r="G100" s="4" t="s">
        <v>16</v>
      </c>
      <c r="H100" s="4" t="s">
        <v>3335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" t="s">
        <v>6</v>
      </c>
      <c r="B101" s="4" t="s">
        <v>14</v>
      </c>
      <c r="C101" s="4" t="s">
        <v>3336</v>
      </c>
      <c r="D101" s="5"/>
      <c r="E101" s="5"/>
      <c r="F101" s="4" t="s">
        <v>13</v>
      </c>
      <c r="G101" s="4" t="s">
        <v>14</v>
      </c>
      <c r="H101" s="4" t="s">
        <v>3336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" t="s">
        <v>4</v>
      </c>
      <c r="B102" s="4" t="s">
        <v>12</v>
      </c>
      <c r="C102" s="4" t="s">
        <v>3336</v>
      </c>
      <c r="D102" s="5"/>
      <c r="E102" s="5"/>
      <c r="F102" s="4" t="s">
        <v>9</v>
      </c>
      <c r="G102" s="4" t="s">
        <v>12</v>
      </c>
      <c r="H102" s="4" t="s">
        <v>3335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" t="s">
        <v>4</v>
      </c>
      <c r="B103" s="4" t="s">
        <v>6</v>
      </c>
      <c r="C103" s="4" t="s">
        <v>3335</v>
      </c>
      <c r="D103" s="4" t="s">
        <v>3352</v>
      </c>
      <c r="E103" s="5"/>
      <c r="F103" s="4" t="s">
        <v>9</v>
      </c>
      <c r="G103" s="4" t="s">
        <v>6</v>
      </c>
      <c r="H103" s="4" t="s">
        <v>3336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" t="s">
        <v>4</v>
      </c>
      <c r="B104" s="4" t="s">
        <v>15</v>
      </c>
      <c r="C104" s="4" t="s">
        <v>3336</v>
      </c>
      <c r="D104" s="5"/>
      <c r="E104" s="5"/>
      <c r="F104" s="4" t="s">
        <v>9</v>
      </c>
      <c r="G104" s="4" t="s">
        <v>4</v>
      </c>
      <c r="H104" s="4" t="s">
        <v>3353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" t="s">
        <v>4</v>
      </c>
      <c r="B105" s="4" t="s">
        <v>11</v>
      </c>
      <c r="C105" s="4" t="s">
        <v>3335</v>
      </c>
      <c r="D105" s="4" t="s">
        <v>3341</v>
      </c>
      <c r="E105" s="5"/>
      <c r="F105" s="4" t="s">
        <v>9</v>
      </c>
      <c r="G105" s="4" t="s">
        <v>15</v>
      </c>
      <c r="H105" s="4" t="s">
        <v>3335</v>
      </c>
      <c r="I105" s="4" t="s">
        <v>3343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" t="s">
        <v>4</v>
      </c>
      <c r="B106" s="4" t="s">
        <v>17</v>
      </c>
      <c r="C106" s="4" t="s">
        <v>3336</v>
      </c>
      <c r="D106" s="5"/>
      <c r="E106" s="5"/>
      <c r="F106" s="4" t="s">
        <v>9</v>
      </c>
      <c r="G106" s="4" t="s">
        <v>11</v>
      </c>
      <c r="H106" s="4" t="s">
        <v>3336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" t="s">
        <v>4</v>
      </c>
      <c r="B107" s="4" t="s">
        <v>7</v>
      </c>
      <c r="C107" s="4" t="s">
        <v>3336</v>
      </c>
      <c r="D107" s="5"/>
      <c r="E107" s="5"/>
      <c r="F107" s="4" t="s">
        <v>9</v>
      </c>
      <c r="G107" s="4" t="s">
        <v>17</v>
      </c>
      <c r="H107" s="4" t="s">
        <v>3336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" t="s">
        <v>4</v>
      </c>
      <c r="B108" s="4" t="s">
        <v>10</v>
      </c>
      <c r="C108" s="4" t="s">
        <v>3336</v>
      </c>
      <c r="D108" s="5"/>
      <c r="E108" s="5"/>
      <c r="F108" s="4" t="s">
        <v>9</v>
      </c>
      <c r="G108" s="4" t="s">
        <v>7</v>
      </c>
      <c r="H108" s="4" t="s">
        <v>3335</v>
      </c>
      <c r="I108" s="4" t="s">
        <v>3341</v>
      </c>
      <c r="J108" s="5"/>
      <c r="K108" s="4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" t="s">
        <v>4</v>
      </c>
      <c r="B109" s="4" t="s">
        <v>13</v>
      </c>
      <c r="C109" s="4" t="s">
        <v>3335</v>
      </c>
      <c r="D109" s="4" t="s">
        <v>3354</v>
      </c>
      <c r="E109" s="5"/>
      <c r="F109" s="4" t="s">
        <v>9</v>
      </c>
      <c r="G109" s="4" t="s">
        <v>13</v>
      </c>
      <c r="H109" s="4" t="s">
        <v>3335</v>
      </c>
      <c r="I109" s="4" t="s">
        <v>3355</v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" t="s">
        <v>4</v>
      </c>
      <c r="B110" s="4" t="s">
        <v>9</v>
      </c>
      <c r="C110" s="4" t="s">
        <v>3353</v>
      </c>
      <c r="D110" s="5"/>
      <c r="E110" s="5"/>
      <c r="F110" s="4" t="s">
        <v>9</v>
      </c>
      <c r="G110" s="4" t="s">
        <v>10</v>
      </c>
      <c r="H110" s="4" t="s">
        <v>3336</v>
      </c>
      <c r="I110" s="5"/>
      <c r="J110" s="5"/>
      <c r="K110" s="47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" t="s">
        <v>4</v>
      </c>
      <c r="B111" s="4" t="s">
        <v>8</v>
      </c>
      <c r="C111" s="4" t="s">
        <v>3336</v>
      </c>
      <c r="D111" s="5"/>
      <c r="E111" s="5"/>
      <c r="F111" s="4" t="s">
        <v>9</v>
      </c>
      <c r="G111" s="4" t="s">
        <v>8</v>
      </c>
      <c r="H111" s="4" t="s">
        <v>3336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" t="s">
        <v>4</v>
      </c>
      <c r="B112" s="4" t="s">
        <v>5</v>
      </c>
      <c r="C112" s="4" t="s">
        <v>3335</v>
      </c>
      <c r="D112" s="5"/>
      <c r="E112" s="5"/>
      <c r="F112" s="4" t="s">
        <v>9</v>
      </c>
      <c r="G112" s="4" t="s">
        <v>5</v>
      </c>
      <c r="H112" s="4" t="s">
        <v>3336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" t="s">
        <v>4</v>
      </c>
      <c r="B113" s="4" t="s">
        <v>16</v>
      </c>
      <c r="C113" s="4" t="s">
        <v>3336</v>
      </c>
      <c r="D113" s="5"/>
      <c r="E113" s="5"/>
      <c r="F113" s="4" t="s">
        <v>9</v>
      </c>
      <c r="G113" s="4" t="s">
        <v>16</v>
      </c>
      <c r="H113" s="4" t="s">
        <v>3336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" t="s">
        <v>4</v>
      </c>
      <c r="B114" s="4" t="s">
        <v>14</v>
      </c>
      <c r="C114" s="4" t="s">
        <v>3336</v>
      </c>
      <c r="D114" s="5"/>
      <c r="E114" s="5"/>
      <c r="F114" s="4" t="s">
        <v>9</v>
      </c>
      <c r="G114" s="4" t="s">
        <v>14</v>
      </c>
      <c r="H114" s="4" t="s">
        <v>3336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" t="s">
        <v>15</v>
      </c>
      <c r="B115" s="4" t="s">
        <v>12</v>
      </c>
      <c r="C115" s="4" t="s">
        <v>3335</v>
      </c>
      <c r="D115" s="4" t="s">
        <v>3351</v>
      </c>
      <c r="E115" s="5"/>
      <c r="F115" s="4" t="s">
        <v>8</v>
      </c>
      <c r="G115" s="4" t="s">
        <v>12</v>
      </c>
      <c r="H115" s="4" t="s">
        <v>3336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" t="s">
        <v>15</v>
      </c>
      <c r="B116" s="4" t="s">
        <v>6</v>
      </c>
      <c r="C116" s="4" t="s">
        <v>3336</v>
      </c>
      <c r="D116" s="5"/>
      <c r="E116" s="5"/>
      <c r="F116" s="4" t="s">
        <v>8</v>
      </c>
      <c r="G116" s="4" t="s">
        <v>6</v>
      </c>
      <c r="H116" s="4" t="s">
        <v>3336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" t="s">
        <v>15</v>
      </c>
      <c r="B117" s="4" t="s">
        <v>4</v>
      </c>
      <c r="C117" s="4" t="s">
        <v>3336</v>
      </c>
      <c r="D117" s="5"/>
      <c r="E117" s="5"/>
      <c r="F117" s="4" t="s">
        <v>8</v>
      </c>
      <c r="G117" s="4" t="s">
        <v>4</v>
      </c>
      <c r="H117" s="4" t="s">
        <v>3336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" t="s">
        <v>15</v>
      </c>
      <c r="B118" s="4" t="s">
        <v>11</v>
      </c>
      <c r="C118" s="4" t="s">
        <v>3336</v>
      </c>
      <c r="D118" s="5"/>
      <c r="E118" s="5"/>
      <c r="F118" s="4" t="s">
        <v>8</v>
      </c>
      <c r="G118" s="4" t="s">
        <v>15</v>
      </c>
      <c r="H118" s="4" t="s">
        <v>3336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" t="s">
        <v>15</v>
      </c>
      <c r="B119" s="4" t="s">
        <v>17</v>
      </c>
      <c r="C119" s="4" t="s">
        <v>3335</v>
      </c>
      <c r="D119" s="4" t="s">
        <v>3337</v>
      </c>
      <c r="E119" s="5"/>
      <c r="F119" s="4" t="s">
        <v>8</v>
      </c>
      <c r="G119" s="4" t="s">
        <v>11</v>
      </c>
      <c r="H119" s="4" t="s">
        <v>3336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" t="s">
        <v>15</v>
      </c>
      <c r="B120" s="4" t="s">
        <v>7</v>
      </c>
      <c r="C120" s="4" t="s">
        <v>3336</v>
      </c>
      <c r="D120" s="5"/>
      <c r="E120" s="5"/>
      <c r="F120" s="4" t="s">
        <v>8</v>
      </c>
      <c r="G120" s="4" t="s">
        <v>17</v>
      </c>
      <c r="H120" s="4" t="s">
        <v>3336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" t="s">
        <v>15</v>
      </c>
      <c r="B121" s="4" t="s">
        <v>10</v>
      </c>
      <c r="C121" s="4" t="s">
        <v>3336</v>
      </c>
      <c r="D121" s="5"/>
      <c r="E121" s="5"/>
      <c r="F121" s="4" t="s">
        <v>8</v>
      </c>
      <c r="G121" s="4" t="s">
        <v>7</v>
      </c>
      <c r="H121" s="4" t="s">
        <v>3336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" t="s">
        <v>15</v>
      </c>
      <c r="B122" s="4" t="s">
        <v>13</v>
      </c>
      <c r="C122" s="4" t="s">
        <v>3335</v>
      </c>
      <c r="D122" s="4" t="s">
        <v>3356</v>
      </c>
      <c r="E122" s="5"/>
      <c r="F122" s="4" t="s">
        <v>8</v>
      </c>
      <c r="G122" s="4" t="s">
        <v>13</v>
      </c>
      <c r="H122" s="4" t="s">
        <v>3335</v>
      </c>
      <c r="I122" s="4" t="s">
        <v>3357</v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" t="s">
        <v>15</v>
      </c>
      <c r="B123" s="4" t="s">
        <v>9</v>
      </c>
      <c r="C123" s="4" t="s">
        <v>3336</v>
      </c>
      <c r="D123" s="5"/>
      <c r="E123" s="5"/>
      <c r="F123" s="4" t="s">
        <v>8</v>
      </c>
      <c r="G123" s="4" t="s">
        <v>9</v>
      </c>
      <c r="H123" s="4" t="s">
        <v>3336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" t="s">
        <v>15</v>
      </c>
      <c r="B124" s="4" t="s">
        <v>8</v>
      </c>
      <c r="C124" s="4" t="s">
        <v>3336</v>
      </c>
      <c r="D124" s="5"/>
      <c r="E124" s="5"/>
      <c r="F124" s="4" t="s">
        <v>8</v>
      </c>
      <c r="G124" s="4" t="s">
        <v>10</v>
      </c>
      <c r="H124" s="4" t="s">
        <v>3335</v>
      </c>
      <c r="I124" s="4" t="s">
        <v>3356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" t="s">
        <v>15</v>
      </c>
      <c r="B125" s="4" t="s">
        <v>5</v>
      </c>
      <c r="C125" s="4" t="s">
        <v>3336</v>
      </c>
      <c r="D125" s="5"/>
      <c r="E125" s="5"/>
      <c r="F125" s="4" t="s">
        <v>8</v>
      </c>
      <c r="G125" s="4" t="s">
        <v>5</v>
      </c>
      <c r="H125" s="4" t="s">
        <v>3336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" t="s">
        <v>15</v>
      </c>
      <c r="B126" s="4" t="s">
        <v>16</v>
      </c>
      <c r="C126" s="4" t="s">
        <v>3336</v>
      </c>
      <c r="D126" s="5"/>
      <c r="E126" s="5"/>
      <c r="F126" s="4" t="s">
        <v>8</v>
      </c>
      <c r="G126" s="4" t="s">
        <v>16</v>
      </c>
      <c r="H126" s="4" t="s">
        <v>3336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" t="s">
        <v>15</v>
      </c>
      <c r="B127" s="4" t="s">
        <v>14</v>
      </c>
      <c r="C127" s="4" t="s">
        <v>3336</v>
      </c>
      <c r="D127" s="5"/>
      <c r="E127" s="5"/>
      <c r="F127" s="4" t="s">
        <v>8</v>
      </c>
      <c r="G127" s="4" t="s">
        <v>14</v>
      </c>
      <c r="H127" s="4" t="s">
        <v>3336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" t="s">
        <v>11</v>
      </c>
      <c r="B128" s="4" t="s">
        <v>12</v>
      </c>
      <c r="C128" s="4" t="s">
        <v>3336</v>
      </c>
      <c r="D128" s="5"/>
      <c r="E128" s="5"/>
      <c r="F128" s="4" t="s">
        <v>5</v>
      </c>
      <c r="G128" s="4" t="s">
        <v>12</v>
      </c>
      <c r="H128" s="4" t="s">
        <v>3336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" t="s">
        <v>11</v>
      </c>
      <c r="B129" s="4" t="s">
        <v>6</v>
      </c>
      <c r="C129" s="4" t="s">
        <v>3336</v>
      </c>
      <c r="D129" s="5"/>
      <c r="E129" s="5"/>
      <c r="F129" s="4" t="s">
        <v>5</v>
      </c>
      <c r="G129" s="4" t="s">
        <v>6</v>
      </c>
      <c r="H129" s="4" t="s">
        <v>3353</v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" t="s">
        <v>11</v>
      </c>
      <c r="B130" s="4" t="s">
        <v>4</v>
      </c>
      <c r="C130" s="4" t="s">
        <v>3335</v>
      </c>
      <c r="D130" s="4" t="s">
        <v>3358</v>
      </c>
      <c r="E130" s="5"/>
      <c r="F130" s="4" t="s">
        <v>5</v>
      </c>
      <c r="G130" s="4" t="s">
        <v>4</v>
      </c>
      <c r="H130" s="4" t="s">
        <v>3335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" t="s">
        <v>11</v>
      </c>
      <c r="B131" s="4" t="s">
        <v>15</v>
      </c>
      <c r="C131" s="4" t="s">
        <v>3336</v>
      </c>
      <c r="D131" s="5"/>
      <c r="E131" s="5"/>
      <c r="F131" s="4" t="s">
        <v>5</v>
      </c>
      <c r="G131" s="4" t="s">
        <v>15</v>
      </c>
      <c r="H131" s="4" t="s">
        <v>3336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" t="s">
        <v>11</v>
      </c>
      <c r="B132" s="4" t="s">
        <v>17</v>
      </c>
      <c r="C132" s="4" t="s">
        <v>3336</v>
      </c>
      <c r="D132" s="5"/>
      <c r="E132" s="5"/>
      <c r="F132" s="4" t="s">
        <v>5</v>
      </c>
      <c r="G132" s="4" t="s">
        <v>11</v>
      </c>
      <c r="H132" s="4" t="s">
        <v>3335</v>
      </c>
      <c r="I132" s="4" t="s">
        <v>3337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" t="s">
        <v>11</v>
      </c>
      <c r="B133" s="4" t="s">
        <v>7</v>
      </c>
      <c r="C133" s="4" t="s">
        <v>3336</v>
      </c>
      <c r="D133" s="5"/>
      <c r="E133" s="5"/>
      <c r="F133" s="4" t="s">
        <v>5</v>
      </c>
      <c r="G133" s="4" t="s">
        <v>17</v>
      </c>
      <c r="H133" s="4" t="s">
        <v>3335</v>
      </c>
      <c r="I133" s="4" t="s">
        <v>3359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" t="s">
        <v>11</v>
      </c>
      <c r="B134" s="4" t="s">
        <v>10</v>
      </c>
      <c r="C134" s="4" t="s">
        <v>3335</v>
      </c>
      <c r="D134" s="5"/>
      <c r="E134" s="5"/>
      <c r="F134" s="4" t="s">
        <v>5</v>
      </c>
      <c r="G134" s="4" t="s">
        <v>7</v>
      </c>
      <c r="H134" s="4" t="s">
        <v>3336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" t="s">
        <v>11</v>
      </c>
      <c r="B135" s="4" t="s">
        <v>13</v>
      </c>
      <c r="C135" s="4" t="s">
        <v>3336</v>
      </c>
      <c r="D135" s="5"/>
      <c r="E135" s="5"/>
      <c r="F135" s="4" t="s">
        <v>5</v>
      </c>
      <c r="G135" s="4" t="s">
        <v>13</v>
      </c>
      <c r="H135" s="4" t="s">
        <v>3335</v>
      </c>
      <c r="I135" s="4" t="s">
        <v>3338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" t="s">
        <v>11</v>
      </c>
      <c r="B136" s="4" t="s">
        <v>9</v>
      </c>
      <c r="C136" s="4" t="s">
        <v>3336</v>
      </c>
      <c r="D136" s="5"/>
      <c r="E136" s="5"/>
      <c r="F136" s="4" t="s">
        <v>5</v>
      </c>
      <c r="G136" s="4" t="s">
        <v>9</v>
      </c>
      <c r="H136" s="4" t="s">
        <v>3335</v>
      </c>
      <c r="I136" s="4" t="s">
        <v>3340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" t="s">
        <v>11</v>
      </c>
      <c r="B137" s="4" t="s">
        <v>8</v>
      </c>
      <c r="C137" s="4" t="s">
        <v>3336</v>
      </c>
      <c r="D137" s="5"/>
      <c r="E137" s="5"/>
      <c r="F137" s="4" t="s">
        <v>5</v>
      </c>
      <c r="G137" s="4" t="s">
        <v>10</v>
      </c>
      <c r="H137" s="4" t="s">
        <v>3335</v>
      </c>
      <c r="I137" s="4" t="s">
        <v>3342</v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" t="s">
        <v>11</v>
      </c>
      <c r="B138" s="4" t="s">
        <v>5</v>
      </c>
      <c r="C138" s="4" t="s">
        <v>3335</v>
      </c>
      <c r="D138" s="5"/>
      <c r="E138" s="5"/>
      <c r="F138" s="4" t="s">
        <v>5</v>
      </c>
      <c r="G138" s="4" t="s">
        <v>8</v>
      </c>
      <c r="H138" s="4" t="s">
        <v>3336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" t="s">
        <v>11</v>
      </c>
      <c r="B139" s="4" t="s">
        <v>16</v>
      </c>
      <c r="C139" s="4" t="s">
        <v>3336</v>
      </c>
      <c r="D139" s="5"/>
      <c r="E139" s="5"/>
      <c r="F139" s="4" t="s">
        <v>5</v>
      </c>
      <c r="G139" s="4" t="s">
        <v>16</v>
      </c>
      <c r="H139" s="4" t="s">
        <v>3336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" t="s">
        <v>11</v>
      </c>
      <c r="B140" s="4" t="s">
        <v>14</v>
      </c>
      <c r="C140" s="4" t="s">
        <v>3336</v>
      </c>
      <c r="D140" s="5"/>
      <c r="E140" s="5"/>
      <c r="F140" s="4" t="s">
        <v>5</v>
      </c>
      <c r="G140" s="4" t="s">
        <v>14</v>
      </c>
      <c r="H140" s="4" t="s">
        <v>3336</v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" t="s">
        <v>17</v>
      </c>
      <c r="B141" s="4" t="s">
        <v>12</v>
      </c>
      <c r="C141" s="4" t="s">
        <v>3336</v>
      </c>
      <c r="D141" s="5"/>
      <c r="E141" s="5"/>
      <c r="F141" s="4" t="s">
        <v>7</v>
      </c>
      <c r="G141" s="4" t="s">
        <v>12</v>
      </c>
      <c r="H141" s="4" t="s">
        <v>3336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" t="s">
        <v>17</v>
      </c>
      <c r="B142" s="4" t="s">
        <v>6</v>
      </c>
      <c r="C142" s="4" t="s">
        <v>3336</v>
      </c>
      <c r="D142" s="5"/>
      <c r="E142" s="5"/>
      <c r="F142" s="4" t="s">
        <v>7</v>
      </c>
      <c r="G142" s="4" t="s">
        <v>6</v>
      </c>
      <c r="H142" s="4" t="s">
        <v>3336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" t="s">
        <v>17</v>
      </c>
      <c r="B143" s="4" t="s">
        <v>4</v>
      </c>
      <c r="C143" s="4" t="s">
        <v>3336</v>
      </c>
      <c r="D143" s="5"/>
      <c r="E143" s="5"/>
      <c r="F143" s="4" t="s">
        <v>7</v>
      </c>
      <c r="G143" s="4" t="s">
        <v>4</v>
      </c>
      <c r="H143" s="4" t="s">
        <v>3336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" t="s">
        <v>17</v>
      </c>
      <c r="B144" s="4" t="s">
        <v>15</v>
      </c>
      <c r="C144" s="4" t="s">
        <v>3335</v>
      </c>
      <c r="D144" s="4" t="s">
        <v>3360</v>
      </c>
      <c r="E144" s="5"/>
      <c r="F144" s="4" t="s">
        <v>7</v>
      </c>
      <c r="G144" s="4" t="s">
        <v>15</v>
      </c>
      <c r="H144" s="4" t="s">
        <v>3336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" t="s">
        <v>17</v>
      </c>
      <c r="B145" s="4" t="s">
        <v>11</v>
      </c>
      <c r="C145" s="4" t="s">
        <v>3335</v>
      </c>
      <c r="D145" s="4" t="s">
        <v>3343</v>
      </c>
      <c r="E145" s="5"/>
      <c r="F145" s="4" t="s">
        <v>7</v>
      </c>
      <c r="G145" s="4" t="s">
        <v>11</v>
      </c>
      <c r="H145" s="4" t="s">
        <v>3335</v>
      </c>
      <c r="I145" s="4" t="s">
        <v>3342</v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" t="s">
        <v>17</v>
      </c>
      <c r="B146" s="4" t="s">
        <v>7</v>
      </c>
      <c r="C146" s="4" t="s">
        <v>3336</v>
      </c>
      <c r="D146" s="5"/>
      <c r="E146" s="5"/>
      <c r="F146" s="4" t="s">
        <v>7</v>
      </c>
      <c r="G146" s="4" t="s">
        <v>17</v>
      </c>
      <c r="H146" s="4" t="s">
        <v>3336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" t="s">
        <v>17</v>
      </c>
      <c r="B147" s="4" t="s">
        <v>10</v>
      </c>
      <c r="C147" s="4" t="s">
        <v>3336</v>
      </c>
      <c r="D147" s="5"/>
      <c r="E147" s="5"/>
      <c r="F147" s="4" t="s">
        <v>7</v>
      </c>
      <c r="G147" s="4" t="s">
        <v>10</v>
      </c>
      <c r="H147" s="4" t="s">
        <v>3336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" t="s">
        <v>17</v>
      </c>
      <c r="B148" s="4" t="s">
        <v>13</v>
      </c>
      <c r="C148" s="4" t="s">
        <v>3335</v>
      </c>
      <c r="D148" s="4" t="s">
        <v>3361</v>
      </c>
      <c r="E148" s="5"/>
      <c r="F148" s="4" t="s">
        <v>7</v>
      </c>
      <c r="G148" s="4" t="s">
        <v>13</v>
      </c>
      <c r="H148" s="4" t="s">
        <v>3336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" t="s">
        <v>17</v>
      </c>
      <c r="B149" s="4" t="s">
        <v>9</v>
      </c>
      <c r="C149" s="4" t="s">
        <v>3336</v>
      </c>
      <c r="D149" s="5"/>
      <c r="E149" s="5"/>
      <c r="F149" s="4" t="s">
        <v>7</v>
      </c>
      <c r="G149" s="4" t="s">
        <v>9</v>
      </c>
      <c r="H149" s="4" t="s">
        <v>3335</v>
      </c>
      <c r="I149" s="4" t="s">
        <v>3348</v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" t="s">
        <v>17</v>
      </c>
      <c r="B150" s="4" t="s">
        <v>8</v>
      </c>
      <c r="C150" s="4" t="s">
        <v>3336</v>
      </c>
      <c r="D150" s="5"/>
      <c r="E150" s="5"/>
      <c r="F150" s="4" t="s">
        <v>7</v>
      </c>
      <c r="G150" s="4" t="s">
        <v>8</v>
      </c>
      <c r="H150" s="4" t="s">
        <v>3336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" t="s">
        <v>17</v>
      </c>
      <c r="B151" s="4" t="s">
        <v>5</v>
      </c>
      <c r="C151" s="4" t="s">
        <v>3335</v>
      </c>
      <c r="D151" s="4" t="s">
        <v>3362</v>
      </c>
      <c r="E151" s="5"/>
      <c r="F151" s="4" t="s">
        <v>7</v>
      </c>
      <c r="G151" s="4" t="s">
        <v>5</v>
      </c>
      <c r="H151" s="4" t="s">
        <v>3336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" t="s">
        <v>17</v>
      </c>
      <c r="B152" s="4" t="s">
        <v>16</v>
      </c>
      <c r="C152" s="4" t="s">
        <v>3336</v>
      </c>
      <c r="D152" s="5"/>
      <c r="E152" s="5"/>
      <c r="F152" s="4" t="s">
        <v>7</v>
      </c>
      <c r="G152" s="4" t="s">
        <v>16</v>
      </c>
      <c r="H152" s="4" t="s">
        <v>3336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" t="s">
        <v>17</v>
      </c>
      <c r="B153" s="4" t="s">
        <v>14</v>
      </c>
      <c r="C153" s="4" t="s">
        <v>3335</v>
      </c>
      <c r="D153" s="4" t="s">
        <v>3356</v>
      </c>
      <c r="E153" s="5"/>
      <c r="F153" s="4" t="s">
        <v>7</v>
      </c>
      <c r="G153" s="4" t="s">
        <v>14</v>
      </c>
      <c r="H153" s="4" t="s">
        <v>3335</v>
      </c>
      <c r="I153" s="4" t="s">
        <v>3360</v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" t="s">
        <v>16</v>
      </c>
      <c r="B154" s="4" t="s">
        <v>12</v>
      </c>
      <c r="C154" s="4" t="s">
        <v>3336</v>
      </c>
      <c r="D154" s="5"/>
      <c r="E154" s="5"/>
      <c r="F154" s="4" t="s">
        <v>14</v>
      </c>
      <c r="G154" s="4" t="s">
        <v>12</v>
      </c>
      <c r="H154" s="4" t="s">
        <v>3336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" t="s">
        <v>16</v>
      </c>
      <c r="B155" s="4" t="s">
        <v>6</v>
      </c>
      <c r="C155" s="4" t="s">
        <v>3336</v>
      </c>
      <c r="D155" s="5"/>
      <c r="E155" s="5"/>
      <c r="F155" s="4" t="s">
        <v>14</v>
      </c>
      <c r="G155" s="4" t="s">
        <v>6</v>
      </c>
      <c r="H155" s="4" t="s">
        <v>3336</v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" t="s">
        <v>16</v>
      </c>
      <c r="B156" s="4" t="s">
        <v>4</v>
      </c>
      <c r="C156" s="4" t="s">
        <v>3336</v>
      </c>
      <c r="D156" s="5"/>
      <c r="E156" s="5"/>
      <c r="F156" s="4" t="s">
        <v>14</v>
      </c>
      <c r="G156" s="4" t="s">
        <v>4</v>
      </c>
      <c r="H156" s="4" t="s">
        <v>3336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" t="s">
        <v>16</v>
      </c>
      <c r="B157" s="4" t="s">
        <v>15</v>
      </c>
      <c r="C157" s="4" t="s">
        <v>3336</v>
      </c>
      <c r="D157" s="5"/>
      <c r="E157" s="5"/>
      <c r="F157" s="4" t="s">
        <v>14</v>
      </c>
      <c r="G157" s="4" t="s">
        <v>15</v>
      </c>
      <c r="H157" s="4" t="s">
        <v>3336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" t="s">
        <v>16</v>
      </c>
      <c r="B158" s="4" t="s">
        <v>11</v>
      </c>
      <c r="C158" s="4" t="s">
        <v>3336</v>
      </c>
      <c r="D158" s="5"/>
      <c r="E158" s="5"/>
      <c r="F158" s="4" t="s">
        <v>14</v>
      </c>
      <c r="G158" s="4" t="s">
        <v>11</v>
      </c>
      <c r="H158" s="4" t="s">
        <v>3336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" t="s">
        <v>16</v>
      </c>
      <c r="B159" s="4" t="s">
        <v>7</v>
      </c>
      <c r="C159" s="4" t="s">
        <v>3336</v>
      </c>
      <c r="D159" s="5"/>
      <c r="E159" s="5"/>
      <c r="F159" s="4" t="s">
        <v>14</v>
      </c>
      <c r="G159" s="4" t="s">
        <v>7</v>
      </c>
      <c r="H159" s="4" t="s">
        <v>3335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" t="s">
        <v>16</v>
      </c>
      <c r="B160" s="4" t="s">
        <v>10</v>
      </c>
      <c r="C160" s="4" t="s">
        <v>3336</v>
      </c>
      <c r="D160" s="5"/>
      <c r="E160" s="5"/>
      <c r="F160" s="4" t="s">
        <v>14</v>
      </c>
      <c r="G160" s="4" t="s">
        <v>10</v>
      </c>
      <c r="H160" s="4" t="s">
        <v>3336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" t="s">
        <v>16</v>
      </c>
      <c r="B161" s="4" t="s">
        <v>13</v>
      </c>
      <c r="C161" s="4" t="s">
        <v>3335</v>
      </c>
      <c r="D161" s="5"/>
      <c r="E161" s="5"/>
      <c r="F161" s="4" t="s">
        <v>14</v>
      </c>
      <c r="G161" s="4" t="s">
        <v>13</v>
      </c>
      <c r="H161" s="4" t="s">
        <v>3336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" t="s">
        <v>16</v>
      </c>
      <c r="B162" s="4" t="s">
        <v>9</v>
      </c>
      <c r="C162" s="4" t="s">
        <v>3336</v>
      </c>
      <c r="D162" s="5"/>
      <c r="E162" s="5"/>
      <c r="F162" s="4" t="s">
        <v>14</v>
      </c>
      <c r="G162" s="4" t="s">
        <v>9</v>
      </c>
      <c r="H162" s="4" t="s">
        <v>3336</v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" t="s">
        <v>16</v>
      </c>
      <c r="B163" s="4" t="s">
        <v>8</v>
      </c>
      <c r="C163" s="4" t="s">
        <v>3336</v>
      </c>
      <c r="D163" s="5"/>
      <c r="E163" s="5"/>
      <c r="F163" s="4" t="s">
        <v>14</v>
      </c>
      <c r="G163" s="4" t="s">
        <v>8</v>
      </c>
      <c r="H163" s="4" t="s">
        <v>3335</v>
      </c>
      <c r="I163" s="4" t="s">
        <v>3340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" t="s">
        <v>16</v>
      </c>
      <c r="B164" s="4" t="s">
        <v>5</v>
      </c>
      <c r="C164" s="4" t="s">
        <v>3336</v>
      </c>
      <c r="D164" s="5"/>
      <c r="E164" s="5"/>
      <c r="F164" s="4" t="s">
        <v>14</v>
      </c>
      <c r="G164" s="4" t="s">
        <v>5</v>
      </c>
      <c r="H164" s="4" t="s">
        <v>3336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" t="s">
        <v>16</v>
      </c>
      <c r="B165" s="4" t="s">
        <v>17</v>
      </c>
      <c r="C165" s="4" t="s">
        <v>3336</v>
      </c>
      <c r="D165" s="5"/>
      <c r="E165" s="5"/>
      <c r="F165" s="4" t="s">
        <v>14</v>
      </c>
      <c r="G165" s="4" t="s">
        <v>17</v>
      </c>
      <c r="H165" s="4" t="s">
        <v>3335</v>
      </c>
      <c r="I165" s="4" t="s">
        <v>3342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" t="s">
        <v>16</v>
      </c>
      <c r="B166" s="4" t="s">
        <v>14</v>
      </c>
      <c r="C166" s="4" t="s">
        <v>3336</v>
      </c>
      <c r="D166" s="5"/>
      <c r="E166" s="5"/>
      <c r="F166" s="4" t="s">
        <v>14</v>
      </c>
      <c r="G166" s="4" t="s">
        <v>16</v>
      </c>
      <c r="H166" s="4" t="s">
        <v>3336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" t="s">
        <v>3363</v>
      </c>
      <c r="B171" s="4">
        <v>182.0</v>
      </c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" t="s">
        <v>3335</v>
      </c>
      <c r="B172" s="4">
        <v>32.0</v>
      </c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" t="s">
        <v>3353</v>
      </c>
      <c r="B173" s="4">
        <v>12.0</v>
      </c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</sheetData>
  <mergeCells count="3">
    <mergeCell ref="A1:I1"/>
    <mergeCell ref="A65:F65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167" t="s">
        <v>3364</v>
      </c>
      <c r="F1" s="167" t="s">
        <v>3365</v>
      </c>
    </row>
    <row r="2">
      <c r="A2" s="168" t="s">
        <v>13</v>
      </c>
      <c r="B2" s="168" t="s">
        <v>10</v>
      </c>
      <c r="C2" s="168" t="s">
        <v>17</v>
      </c>
      <c r="D2" s="168" t="s">
        <v>6</v>
      </c>
      <c r="E2" s="5"/>
      <c r="F2" s="168" t="s">
        <v>3366</v>
      </c>
      <c r="G2" s="168" t="s">
        <v>3367</v>
      </c>
      <c r="H2" s="168" t="s">
        <v>3368</v>
      </c>
      <c r="I2" s="168" t="s">
        <v>3369</v>
      </c>
      <c r="J2" s="168" t="s">
        <v>2909</v>
      </c>
      <c r="K2" s="168" t="s">
        <v>3154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69" t="s">
        <v>3370</v>
      </c>
      <c r="B3" s="169" t="s">
        <v>3371</v>
      </c>
      <c r="C3" s="169" t="s">
        <v>3372</v>
      </c>
      <c r="D3" s="169" t="s">
        <v>3373</v>
      </c>
      <c r="F3" s="4" t="s">
        <v>13</v>
      </c>
      <c r="G3" s="4" t="s">
        <v>10</v>
      </c>
      <c r="H3" s="4" t="s">
        <v>3374</v>
      </c>
      <c r="I3" s="4" t="s">
        <v>3375</v>
      </c>
      <c r="J3" s="4" t="s">
        <v>13</v>
      </c>
      <c r="K3" s="4" t="s">
        <v>3376</v>
      </c>
    </row>
    <row r="4">
      <c r="A4" s="26" t="s">
        <v>1281</v>
      </c>
      <c r="B4" s="169" t="s">
        <v>3377</v>
      </c>
      <c r="C4" s="169" t="s">
        <v>3378</v>
      </c>
      <c r="D4" s="169" t="s">
        <v>3379</v>
      </c>
      <c r="F4" s="4" t="s">
        <v>17</v>
      </c>
      <c r="G4" s="4" t="s">
        <v>6</v>
      </c>
      <c r="H4" s="4" t="s">
        <v>3374</v>
      </c>
      <c r="I4" s="4" t="s">
        <v>3380</v>
      </c>
      <c r="J4" s="4" t="s">
        <v>6</v>
      </c>
      <c r="K4" s="4" t="s">
        <v>3381</v>
      </c>
    </row>
    <row r="5">
      <c r="A5" s="26" t="s">
        <v>3382</v>
      </c>
      <c r="B5" s="169" t="s">
        <v>3383</v>
      </c>
      <c r="C5" s="169" t="s">
        <v>2758</v>
      </c>
      <c r="D5" s="169" t="s">
        <v>3384</v>
      </c>
      <c r="F5" s="4" t="s">
        <v>17</v>
      </c>
      <c r="G5" s="4" t="s">
        <v>13</v>
      </c>
      <c r="H5" s="170" t="s">
        <v>3385</v>
      </c>
      <c r="I5" s="4" t="s">
        <v>3380</v>
      </c>
      <c r="J5" s="4" t="s">
        <v>13</v>
      </c>
      <c r="K5" s="170" t="s">
        <v>3386</v>
      </c>
    </row>
    <row r="6">
      <c r="A6" s="169" t="s">
        <v>2353</v>
      </c>
      <c r="B6" s="169" t="s">
        <v>3387</v>
      </c>
      <c r="C6" s="169" t="s">
        <v>3388</v>
      </c>
      <c r="D6" s="26" t="s">
        <v>3389</v>
      </c>
      <c r="F6" s="4" t="s">
        <v>6</v>
      </c>
      <c r="G6" s="4" t="s">
        <v>10</v>
      </c>
      <c r="H6" s="4" t="s">
        <v>3385</v>
      </c>
      <c r="I6" s="4" t="s">
        <v>3390</v>
      </c>
      <c r="J6" s="4" t="s">
        <v>6</v>
      </c>
      <c r="K6" s="4" t="s">
        <v>3381</v>
      </c>
    </row>
    <row r="7">
      <c r="A7" s="169" t="s">
        <v>3391</v>
      </c>
      <c r="B7" s="26" t="s">
        <v>3392</v>
      </c>
      <c r="C7" s="169" t="s">
        <v>3393</v>
      </c>
      <c r="D7" s="169" t="s">
        <v>3394</v>
      </c>
      <c r="F7" s="4" t="s">
        <v>13</v>
      </c>
      <c r="G7" s="4" t="s">
        <v>6</v>
      </c>
      <c r="H7" s="4" t="s">
        <v>3395</v>
      </c>
      <c r="I7" s="4" t="s">
        <v>3375</v>
      </c>
      <c r="J7" s="4" t="s">
        <v>13</v>
      </c>
      <c r="K7" s="4" t="s">
        <v>3396</v>
      </c>
    </row>
    <row r="8">
      <c r="A8" s="26" t="s">
        <v>3397</v>
      </c>
      <c r="B8" s="26" t="s">
        <v>3398</v>
      </c>
      <c r="C8" s="169" t="s">
        <v>3399</v>
      </c>
      <c r="D8" s="169" t="s">
        <v>3400</v>
      </c>
      <c r="F8" s="4" t="s">
        <v>3401</v>
      </c>
      <c r="G8" s="4" t="s">
        <v>17</v>
      </c>
      <c r="H8" s="4" t="s">
        <v>3395</v>
      </c>
      <c r="I8" s="4" t="s">
        <v>3402</v>
      </c>
      <c r="J8" s="4" t="s">
        <v>17</v>
      </c>
      <c r="K8" s="4" t="s">
        <v>3403</v>
      </c>
    </row>
    <row r="9">
      <c r="A9" s="169" t="s">
        <v>2332</v>
      </c>
      <c r="B9" s="169" t="s">
        <v>3404</v>
      </c>
      <c r="C9" s="169" t="s">
        <v>3405</v>
      </c>
      <c r="D9" s="26" t="s">
        <v>3406</v>
      </c>
      <c r="F9" s="4" t="s">
        <v>3401</v>
      </c>
      <c r="G9" s="4" t="s">
        <v>13</v>
      </c>
      <c r="H9" s="4" t="s">
        <v>3352</v>
      </c>
      <c r="I9" s="4" t="s">
        <v>3402</v>
      </c>
      <c r="J9" s="4" t="s">
        <v>10</v>
      </c>
      <c r="K9" s="4" t="s">
        <v>3407</v>
      </c>
    </row>
    <row r="10">
      <c r="A10" s="26" t="s">
        <v>3408</v>
      </c>
      <c r="B10" s="26" t="s">
        <v>3409</v>
      </c>
      <c r="C10" s="169" t="s">
        <v>3410</v>
      </c>
      <c r="D10" s="26" t="s">
        <v>3411</v>
      </c>
      <c r="F10" s="4" t="s">
        <v>6</v>
      </c>
      <c r="G10" s="4" t="s">
        <v>17</v>
      </c>
      <c r="H10" s="4" t="s">
        <v>3352</v>
      </c>
      <c r="I10" s="4" t="s">
        <v>3390</v>
      </c>
      <c r="J10" s="4" t="s">
        <v>17</v>
      </c>
      <c r="K10" s="4" t="s">
        <v>3412</v>
      </c>
    </row>
    <row r="11">
      <c r="A11" s="169" t="s">
        <v>3413</v>
      </c>
      <c r="B11" s="26" t="s">
        <v>3414</v>
      </c>
      <c r="C11" s="169" t="s">
        <v>3415</v>
      </c>
      <c r="D11" s="26" t="s">
        <v>3416</v>
      </c>
      <c r="F11" s="4" t="s">
        <v>3417</v>
      </c>
      <c r="G11" s="170" t="s">
        <v>17</v>
      </c>
      <c r="H11" s="4" t="s">
        <v>3342</v>
      </c>
      <c r="I11" s="170" t="s">
        <v>3375</v>
      </c>
      <c r="J11" s="4" t="s">
        <v>17</v>
      </c>
      <c r="K11" s="4" t="s">
        <v>3326</v>
      </c>
    </row>
    <row r="12">
      <c r="A12" s="169" t="s">
        <v>3418</v>
      </c>
      <c r="B12" s="169" t="s">
        <v>3419</v>
      </c>
      <c r="C12" s="169" t="s">
        <v>3420</v>
      </c>
      <c r="D12" s="26" t="s">
        <v>3421</v>
      </c>
      <c r="F12" s="4" t="s">
        <v>3401</v>
      </c>
      <c r="G12" s="4" t="s">
        <v>6</v>
      </c>
      <c r="H12" s="4" t="s">
        <v>3342</v>
      </c>
      <c r="I12" s="4" t="s">
        <v>3402</v>
      </c>
      <c r="J12" s="4" t="s">
        <v>6</v>
      </c>
      <c r="K12" s="4" t="s">
        <v>3381</v>
      </c>
    </row>
    <row r="13">
      <c r="F13" s="4" t="s">
        <v>6</v>
      </c>
      <c r="G13" s="4" t="s">
        <v>13</v>
      </c>
      <c r="H13" s="4" t="s">
        <v>3344</v>
      </c>
      <c r="I13" s="4" t="s">
        <v>3390</v>
      </c>
      <c r="J13" s="4" t="s">
        <v>6</v>
      </c>
      <c r="K13" s="4" t="s">
        <v>3422</v>
      </c>
    </row>
    <row r="14">
      <c r="F14" s="4" t="s">
        <v>17</v>
      </c>
      <c r="G14" s="4" t="s">
        <v>10</v>
      </c>
      <c r="H14" s="4" t="s">
        <v>3344</v>
      </c>
      <c r="I14" s="4" t="s">
        <v>3380</v>
      </c>
      <c r="J14" s="4" t="s">
        <v>10</v>
      </c>
      <c r="K14" s="4" t="s">
        <v>3423</v>
      </c>
    </row>
    <row r="15">
      <c r="F15" s="4" t="s">
        <v>6</v>
      </c>
      <c r="G15" s="4" t="s">
        <v>13</v>
      </c>
      <c r="H15" s="4" t="s">
        <v>3424</v>
      </c>
      <c r="I15" s="4" t="s">
        <v>3390</v>
      </c>
      <c r="J15" s="4" t="s">
        <v>13</v>
      </c>
      <c r="K15" s="4" t="s">
        <v>3376</v>
      </c>
    </row>
    <row r="16">
      <c r="F16" s="5"/>
      <c r="G16" s="5"/>
      <c r="H16" s="5"/>
      <c r="I16" s="5"/>
      <c r="J16" s="5"/>
      <c r="K16" s="5"/>
    </row>
    <row r="17">
      <c r="F17" s="5"/>
      <c r="G17" s="5"/>
      <c r="H17" s="5"/>
      <c r="I17" s="5"/>
      <c r="J17" s="5"/>
      <c r="K17" s="5"/>
    </row>
    <row r="18">
      <c r="F18" s="5"/>
      <c r="G18" s="5"/>
      <c r="H18" s="5"/>
      <c r="I18" s="5"/>
      <c r="J18" s="5"/>
      <c r="K18" s="5"/>
    </row>
    <row r="19">
      <c r="A19" s="18" t="s">
        <v>3425</v>
      </c>
      <c r="E19" s="84"/>
      <c r="F19" s="5"/>
      <c r="G19" s="5"/>
      <c r="H19" s="5"/>
      <c r="I19" s="5"/>
      <c r="J19" s="5"/>
      <c r="K19" s="5"/>
    </row>
    <row r="20">
      <c r="A20" s="106" t="s">
        <v>92</v>
      </c>
      <c r="B20" s="106" t="s">
        <v>93</v>
      </c>
      <c r="C20" s="106" t="s">
        <v>95</v>
      </c>
      <c r="D20" s="106" t="s">
        <v>2883</v>
      </c>
      <c r="F20" s="5"/>
      <c r="G20" s="5"/>
      <c r="H20" s="5"/>
      <c r="I20" s="5"/>
      <c r="J20" s="5"/>
      <c r="K20" s="5"/>
    </row>
    <row r="21">
      <c r="A21" s="4" t="s">
        <v>170</v>
      </c>
      <c r="B21" s="4" t="s">
        <v>171</v>
      </c>
      <c r="D21" s="4">
        <v>30000.0</v>
      </c>
      <c r="F21" s="5"/>
      <c r="G21" s="5"/>
      <c r="H21" s="5"/>
      <c r="I21" s="5"/>
      <c r="J21" s="5"/>
      <c r="K21" s="5"/>
    </row>
    <row r="22">
      <c r="A22" s="4" t="s">
        <v>172</v>
      </c>
      <c r="B22" s="4" t="s">
        <v>173</v>
      </c>
      <c r="D22" s="4">
        <v>30000.0</v>
      </c>
      <c r="F22" s="5"/>
      <c r="G22" s="5"/>
      <c r="H22" s="5"/>
      <c r="I22" s="5"/>
      <c r="J22" s="5"/>
      <c r="K22" s="5"/>
    </row>
    <row r="23">
      <c r="A23" s="4" t="s">
        <v>174</v>
      </c>
      <c r="B23" s="4" t="s">
        <v>175</v>
      </c>
      <c r="D23" s="4">
        <v>30000.0</v>
      </c>
      <c r="F23" s="5"/>
      <c r="G23" s="5"/>
      <c r="H23" s="5"/>
      <c r="I23" s="5"/>
      <c r="J23" s="5"/>
      <c r="K23" s="5"/>
    </row>
    <row r="24">
      <c r="A24" s="4" t="s">
        <v>147</v>
      </c>
      <c r="B24" s="4" t="s">
        <v>161</v>
      </c>
      <c r="C24" s="4" t="s">
        <v>13</v>
      </c>
      <c r="D24" s="4">
        <v>20000.0</v>
      </c>
      <c r="F24" s="5"/>
      <c r="G24" s="5"/>
      <c r="H24" s="5"/>
      <c r="I24" s="5"/>
      <c r="J24" s="5"/>
      <c r="K24" s="5"/>
    </row>
    <row r="25">
      <c r="A25" s="4" t="s">
        <v>115</v>
      </c>
      <c r="B25" s="4" t="s">
        <v>165</v>
      </c>
      <c r="C25" s="4" t="s">
        <v>17</v>
      </c>
      <c r="D25" s="4">
        <v>20000.0</v>
      </c>
      <c r="F25" s="5"/>
      <c r="G25" s="5"/>
      <c r="H25" s="5"/>
      <c r="I25" s="5"/>
      <c r="J25" s="5"/>
      <c r="K25" s="5"/>
    </row>
    <row r="26">
      <c r="A26" s="4" t="s">
        <v>120</v>
      </c>
      <c r="B26" s="4" t="s">
        <v>168</v>
      </c>
      <c r="C26" s="4" t="s">
        <v>6</v>
      </c>
      <c r="D26" s="4">
        <v>20000.0</v>
      </c>
      <c r="F26" s="5"/>
      <c r="G26" s="5"/>
      <c r="H26" s="5"/>
      <c r="I26" s="5"/>
      <c r="J26" s="5"/>
      <c r="K26" s="5"/>
    </row>
    <row r="27">
      <c r="A27" s="4" t="s">
        <v>124</v>
      </c>
      <c r="B27" s="4" t="s">
        <v>168</v>
      </c>
      <c r="C27" s="4" t="s">
        <v>6</v>
      </c>
      <c r="D27" s="4">
        <v>25000.0</v>
      </c>
      <c r="F27" s="5"/>
      <c r="G27" s="5"/>
      <c r="H27" s="5"/>
      <c r="I27" s="5"/>
      <c r="J27" s="5"/>
      <c r="K27" s="5"/>
    </row>
    <row r="28">
      <c r="A28" s="4" t="s">
        <v>128</v>
      </c>
      <c r="B28" s="4" t="s">
        <v>6</v>
      </c>
      <c r="D28" s="4">
        <v>50000.0</v>
      </c>
      <c r="F28" s="5"/>
      <c r="G28" s="5"/>
      <c r="H28" s="5"/>
      <c r="I28" s="5"/>
      <c r="J28" s="5"/>
      <c r="K28" s="5"/>
    </row>
    <row r="29">
      <c r="A29" s="4" t="s">
        <v>130</v>
      </c>
      <c r="B29" s="4" t="s">
        <v>13</v>
      </c>
      <c r="D29" s="4">
        <v>100000.0</v>
      </c>
      <c r="F29" s="5"/>
      <c r="G29" s="5"/>
      <c r="H29" s="5"/>
      <c r="I29" s="5"/>
      <c r="J29" s="5"/>
      <c r="K29" s="5"/>
    </row>
    <row r="30">
      <c r="F30" s="5"/>
      <c r="G30" s="5"/>
      <c r="H30" s="5"/>
      <c r="I30" s="5"/>
      <c r="J30" s="5"/>
      <c r="K30" s="5"/>
    </row>
    <row r="31">
      <c r="F31" s="5"/>
      <c r="G31" s="5"/>
      <c r="H31" s="5"/>
      <c r="I31" s="5"/>
      <c r="J31" s="5"/>
      <c r="K31" s="5"/>
    </row>
    <row r="32">
      <c r="F32" s="5"/>
      <c r="G32" s="5"/>
      <c r="H32" s="5"/>
      <c r="I32" s="5"/>
      <c r="J32" s="5"/>
      <c r="K32" s="5"/>
    </row>
    <row r="33">
      <c r="F33" s="5"/>
      <c r="G33" s="5"/>
      <c r="H33" s="5"/>
      <c r="I33" s="5"/>
      <c r="J33" s="5"/>
      <c r="K33" s="5"/>
    </row>
    <row r="34">
      <c r="F34" s="5"/>
      <c r="G34" s="5"/>
      <c r="H34" s="5"/>
      <c r="I34" s="5"/>
      <c r="J34" s="5"/>
      <c r="K34" s="5"/>
    </row>
    <row r="35">
      <c r="F35" s="5"/>
      <c r="G35" s="5"/>
      <c r="H35" s="5"/>
      <c r="I35" s="5"/>
      <c r="J35" s="5"/>
      <c r="K35" s="5"/>
    </row>
    <row r="36">
      <c r="F36" s="5"/>
      <c r="G36" s="5"/>
      <c r="H36" s="5"/>
      <c r="I36" s="5"/>
      <c r="J36" s="5"/>
      <c r="K36" s="5"/>
    </row>
    <row r="37">
      <c r="F37" s="5"/>
      <c r="G37" s="5"/>
      <c r="H37" s="5"/>
      <c r="I37" s="5"/>
      <c r="J37" s="5"/>
      <c r="K37" s="5"/>
    </row>
    <row r="38">
      <c r="F38" s="5"/>
      <c r="G38" s="5"/>
      <c r="H38" s="5"/>
      <c r="I38" s="5"/>
      <c r="J38" s="5"/>
      <c r="K38" s="5"/>
    </row>
    <row r="39">
      <c r="F39" s="5"/>
      <c r="G39" s="5"/>
      <c r="H39" s="5"/>
      <c r="I39" s="5"/>
      <c r="J39" s="5"/>
      <c r="K39" s="5"/>
    </row>
    <row r="40">
      <c r="F40" s="5"/>
      <c r="G40" s="5"/>
      <c r="H40" s="5"/>
      <c r="I40" s="5"/>
      <c r="J40" s="5"/>
      <c r="K40" s="5"/>
    </row>
    <row r="41">
      <c r="F41" s="5"/>
      <c r="G41" s="5"/>
      <c r="H41" s="5"/>
      <c r="I41" s="5"/>
      <c r="J41" s="5"/>
      <c r="K41" s="5"/>
    </row>
    <row r="42">
      <c r="F42" s="5"/>
      <c r="G42" s="5"/>
      <c r="H42" s="5"/>
      <c r="I42" s="5"/>
      <c r="J42" s="5"/>
      <c r="K42" s="5"/>
    </row>
    <row r="43">
      <c r="F43" s="5"/>
      <c r="G43" s="5"/>
      <c r="H43" s="5"/>
      <c r="I43" s="5"/>
      <c r="J43" s="5"/>
      <c r="K43" s="5"/>
    </row>
    <row r="44">
      <c r="F44" s="5"/>
      <c r="G44" s="5"/>
      <c r="H44" s="5"/>
      <c r="I44" s="5"/>
      <c r="J44" s="5"/>
      <c r="K44" s="5"/>
    </row>
    <row r="45">
      <c r="F45" s="5"/>
      <c r="G45" s="5"/>
      <c r="H45" s="5"/>
      <c r="I45" s="5"/>
      <c r="J45" s="5"/>
      <c r="K45" s="5"/>
    </row>
    <row r="46">
      <c r="F46" s="5"/>
      <c r="G46" s="5"/>
      <c r="H46" s="5"/>
      <c r="I46" s="5"/>
      <c r="J46" s="5"/>
      <c r="K46" s="5"/>
    </row>
    <row r="47">
      <c r="F47" s="5"/>
      <c r="G47" s="5"/>
      <c r="H47" s="5"/>
      <c r="I47" s="5"/>
      <c r="J47" s="5"/>
      <c r="K47" s="5"/>
    </row>
    <row r="48">
      <c r="F48" s="5"/>
      <c r="G48" s="5"/>
      <c r="H48" s="5"/>
      <c r="I48" s="5"/>
      <c r="J48" s="5"/>
      <c r="K48" s="5"/>
    </row>
    <row r="49">
      <c r="F49" s="5"/>
      <c r="G49" s="5"/>
      <c r="H49" s="5"/>
      <c r="I49" s="5"/>
      <c r="J49" s="5"/>
      <c r="K49" s="5"/>
    </row>
    <row r="50">
      <c r="F50" s="5"/>
      <c r="G50" s="5"/>
      <c r="H50" s="5"/>
      <c r="I50" s="5"/>
      <c r="J50" s="5"/>
      <c r="K50" s="5"/>
    </row>
    <row r="51">
      <c r="F51" s="5"/>
      <c r="G51" s="5"/>
      <c r="H51" s="5"/>
      <c r="I51" s="5"/>
      <c r="J51" s="5"/>
      <c r="K51" s="5"/>
    </row>
    <row r="52">
      <c r="F52" s="5"/>
      <c r="G52" s="5"/>
      <c r="H52" s="5"/>
      <c r="I52" s="5"/>
      <c r="J52" s="5"/>
      <c r="K52" s="5"/>
    </row>
    <row r="53">
      <c r="F53" s="5"/>
      <c r="G53" s="5"/>
      <c r="H53" s="5"/>
      <c r="I53" s="5"/>
      <c r="J53" s="5"/>
      <c r="K53" s="5"/>
    </row>
    <row r="54">
      <c r="F54" s="5"/>
      <c r="G54" s="5"/>
      <c r="H54" s="5"/>
      <c r="I54" s="5"/>
      <c r="J54" s="5"/>
      <c r="K54" s="5"/>
    </row>
    <row r="55">
      <c r="F55" s="5"/>
      <c r="G55" s="5"/>
      <c r="H55" s="5"/>
      <c r="I55" s="5"/>
      <c r="J55" s="5"/>
      <c r="K55" s="5"/>
    </row>
    <row r="56">
      <c r="F56" s="5"/>
      <c r="G56" s="5"/>
      <c r="H56" s="5"/>
      <c r="I56" s="5"/>
      <c r="J56" s="5"/>
      <c r="K56" s="5"/>
    </row>
    <row r="57">
      <c r="F57" s="5"/>
      <c r="G57" s="5"/>
      <c r="H57" s="5"/>
      <c r="I57" s="5"/>
      <c r="J57" s="5"/>
      <c r="K57" s="5"/>
    </row>
    <row r="58">
      <c r="F58" s="5"/>
      <c r="G58" s="5"/>
      <c r="H58" s="5"/>
      <c r="I58" s="5"/>
      <c r="J58" s="5"/>
      <c r="K58" s="5"/>
    </row>
    <row r="59">
      <c r="F59" s="5"/>
      <c r="G59" s="5"/>
      <c r="H59" s="5"/>
      <c r="I59" s="5"/>
      <c r="J59" s="5"/>
      <c r="K59" s="5"/>
    </row>
    <row r="60">
      <c r="F60" s="5"/>
      <c r="G60" s="5"/>
      <c r="H60" s="5"/>
      <c r="I60" s="5"/>
      <c r="J60" s="5"/>
      <c r="K60" s="5"/>
    </row>
    <row r="61">
      <c r="F61" s="5"/>
      <c r="G61" s="5"/>
      <c r="H61" s="5"/>
      <c r="I61" s="5"/>
      <c r="J61" s="5"/>
      <c r="K61" s="5"/>
    </row>
    <row r="62">
      <c r="F62" s="5"/>
      <c r="G62" s="5"/>
      <c r="H62" s="5"/>
      <c r="I62" s="5"/>
      <c r="J62" s="5"/>
      <c r="K62" s="5"/>
    </row>
    <row r="63">
      <c r="F63" s="5"/>
      <c r="G63" s="5"/>
      <c r="H63" s="5"/>
      <c r="I63" s="5"/>
      <c r="J63" s="5"/>
      <c r="K63" s="5"/>
    </row>
    <row r="64">
      <c r="F64" s="5"/>
      <c r="G64" s="5"/>
      <c r="H64" s="5"/>
      <c r="I64" s="5"/>
      <c r="J64" s="5"/>
      <c r="K64" s="5"/>
    </row>
    <row r="65">
      <c r="F65" s="5"/>
      <c r="G65" s="5"/>
      <c r="H65" s="5"/>
      <c r="I65" s="5"/>
      <c r="J65" s="5"/>
      <c r="K65" s="5"/>
    </row>
    <row r="66">
      <c r="F66" s="5"/>
      <c r="G66" s="5"/>
      <c r="H66" s="5"/>
      <c r="I66" s="5"/>
      <c r="J66" s="5"/>
      <c r="K66" s="5"/>
    </row>
    <row r="67">
      <c r="F67" s="5"/>
      <c r="G67" s="5"/>
      <c r="H67" s="5"/>
      <c r="I67" s="5"/>
      <c r="J67" s="5"/>
      <c r="K67" s="5"/>
    </row>
    <row r="68">
      <c r="F68" s="5"/>
      <c r="G68" s="5"/>
      <c r="H68" s="5"/>
      <c r="I68" s="5"/>
      <c r="J68" s="5"/>
      <c r="K68" s="5"/>
    </row>
    <row r="69">
      <c r="F69" s="5"/>
      <c r="G69" s="5"/>
      <c r="H69" s="5"/>
      <c r="I69" s="5"/>
      <c r="J69" s="5"/>
      <c r="K69" s="5"/>
    </row>
    <row r="70">
      <c r="F70" s="5"/>
      <c r="G70" s="5"/>
      <c r="H70" s="5"/>
      <c r="I70" s="5"/>
      <c r="J70" s="5"/>
      <c r="K70" s="5"/>
    </row>
    <row r="71">
      <c r="F71" s="5"/>
      <c r="G71" s="5"/>
      <c r="H71" s="5"/>
      <c r="I71" s="5"/>
      <c r="J71" s="5"/>
      <c r="K71" s="5"/>
    </row>
    <row r="72">
      <c r="F72" s="5"/>
      <c r="G72" s="5"/>
      <c r="H72" s="5"/>
      <c r="I72" s="5"/>
      <c r="J72" s="5"/>
      <c r="K72" s="5"/>
    </row>
    <row r="73">
      <c r="F73" s="5"/>
      <c r="G73" s="5"/>
      <c r="H73" s="5"/>
      <c r="I73" s="5"/>
      <c r="J73" s="5"/>
      <c r="K73" s="5"/>
    </row>
    <row r="74">
      <c r="F74" s="5"/>
      <c r="G74" s="5"/>
      <c r="H74" s="5"/>
      <c r="I74" s="5"/>
      <c r="J74" s="5"/>
      <c r="K74" s="5"/>
    </row>
    <row r="75">
      <c r="F75" s="5"/>
      <c r="G75" s="5"/>
      <c r="H75" s="5"/>
      <c r="I75" s="5"/>
      <c r="J75" s="5"/>
      <c r="K75" s="5"/>
    </row>
    <row r="76">
      <c r="F76" s="5"/>
      <c r="G76" s="5"/>
      <c r="H76" s="5"/>
      <c r="I76" s="5"/>
      <c r="J76" s="5"/>
      <c r="K76" s="5"/>
    </row>
    <row r="77">
      <c r="F77" s="5"/>
      <c r="G77" s="5"/>
      <c r="H77" s="5"/>
      <c r="I77" s="5"/>
      <c r="J77" s="5"/>
      <c r="K77" s="5"/>
    </row>
    <row r="78">
      <c r="F78" s="5"/>
      <c r="G78" s="5"/>
      <c r="H78" s="5"/>
      <c r="I78" s="5"/>
      <c r="J78" s="5"/>
      <c r="K78" s="5"/>
    </row>
    <row r="79">
      <c r="F79" s="5"/>
      <c r="G79" s="5"/>
      <c r="H79" s="5"/>
      <c r="I79" s="5"/>
      <c r="J79" s="5"/>
      <c r="K79" s="5"/>
    </row>
    <row r="80">
      <c r="F80" s="5"/>
      <c r="G80" s="5"/>
      <c r="H80" s="5"/>
      <c r="I80" s="5"/>
      <c r="J80" s="5"/>
      <c r="K80" s="5"/>
    </row>
    <row r="81">
      <c r="F81" s="5"/>
      <c r="G81" s="5"/>
      <c r="H81" s="5"/>
      <c r="I81" s="5"/>
      <c r="J81" s="5"/>
      <c r="K81" s="5"/>
    </row>
    <row r="82">
      <c r="F82" s="5"/>
      <c r="G82" s="5"/>
      <c r="H82" s="5"/>
      <c r="I82" s="5"/>
      <c r="J82" s="5"/>
      <c r="K82" s="5"/>
    </row>
    <row r="83">
      <c r="F83" s="5"/>
      <c r="G83" s="5"/>
      <c r="H83" s="5"/>
      <c r="I83" s="5"/>
      <c r="J83" s="5"/>
      <c r="K83" s="5"/>
    </row>
    <row r="84">
      <c r="F84" s="5"/>
      <c r="G84" s="5"/>
      <c r="H84" s="5"/>
      <c r="I84" s="5"/>
      <c r="J84" s="5"/>
      <c r="K84" s="5"/>
    </row>
    <row r="85">
      <c r="F85" s="5"/>
      <c r="G85" s="5"/>
      <c r="H85" s="5"/>
      <c r="I85" s="5"/>
      <c r="J85" s="5"/>
      <c r="K85" s="5"/>
    </row>
    <row r="86">
      <c r="F86" s="5"/>
      <c r="G86" s="5"/>
      <c r="H86" s="5"/>
      <c r="I86" s="5"/>
      <c r="J86" s="5"/>
      <c r="K86" s="5"/>
    </row>
    <row r="87">
      <c r="F87" s="5"/>
      <c r="G87" s="5"/>
      <c r="H87" s="5"/>
      <c r="I87" s="5"/>
      <c r="J87" s="5"/>
      <c r="K87" s="5"/>
    </row>
    <row r="88">
      <c r="F88" s="5"/>
      <c r="G88" s="5"/>
      <c r="H88" s="5"/>
      <c r="I88" s="5"/>
      <c r="J88" s="5"/>
      <c r="K88" s="5"/>
    </row>
    <row r="89">
      <c r="F89" s="5"/>
      <c r="G89" s="5"/>
      <c r="H89" s="5"/>
      <c r="I89" s="5"/>
      <c r="J89" s="5"/>
      <c r="K89" s="5"/>
    </row>
    <row r="90">
      <c r="F90" s="5"/>
      <c r="G90" s="5"/>
      <c r="H90" s="5"/>
      <c r="I90" s="5"/>
      <c r="J90" s="5"/>
      <c r="K90" s="5"/>
    </row>
    <row r="91">
      <c r="F91" s="5"/>
      <c r="G91" s="5"/>
      <c r="H91" s="5"/>
      <c r="I91" s="5"/>
      <c r="J91" s="5"/>
      <c r="K91" s="5"/>
    </row>
    <row r="92">
      <c r="F92" s="5"/>
      <c r="G92" s="5"/>
      <c r="H92" s="5"/>
      <c r="I92" s="5"/>
      <c r="J92" s="5"/>
      <c r="K92" s="5"/>
    </row>
    <row r="93">
      <c r="F93" s="5"/>
      <c r="G93" s="5"/>
      <c r="H93" s="5"/>
      <c r="I93" s="5"/>
      <c r="J93" s="5"/>
      <c r="K93" s="5"/>
    </row>
    <row r="94">
      <c r="F94" s="5"/>
      <c r="G94" s="5"/>
      <c r="H94" s="5"/>
      <c r="I94" s="5"/>
      <c r="J94" s="5"/>
      <c r="K94" s="5"/>
    </row>
    <row r="95">
      <c r="F95" s="5"/>
      <c r="G95" s="5"/>
      <c r="H95" s="5"/>
      <c r="I95" s="5"/>
      <c r="J95" s="5"/>
      <c r="K95" s="5"/>
    </row>
    <row r="96">
      <c r="F96" s="5"/>
      <c r="G96" s="5"/>
      <c r="H96" s="5"/>
      <c r="I96" s="5"/>
      <c r="J96" s="5"/>
      <c r="K96" s="5"/>
    </row>
    <row r="97">
      <c r="F97" s="5"/>
      <c r="G97" s="5"/>
      <c r="H97" s="5"/>
      <c r="I97" s="5"/>
      <c r="J97" s="5"/>
      <c r="K97" s="5"/>
    </row>
    <row r="98">
      <c r="F98" s="5"/>
      <c r="G98" s="5"/>
      <c r="H98" s="5"/>
      <c r="I98" s="5"/>
      <c r="J98" s="5"/>
      <c r="K98" s="5"/>
    </row>
    <row r="99">
      <c r="F99" s="5"/>
      <c r="G99" s="5"/>
      <c r="H99" s="5"/>
      <c r="I99" s="5"/>
      <c r="J99" s="5"/>
      <c r="K99" s="5"/>
    </row>
    <row r="100">
      <c r="F100" s="5"/>
      <c r="G100" s="5"/>
      <c r="H100" s="5"/>
      <c r="I100" s="5"/>
      <c r="J100" s="5"/>
      <c r="K100" s="5"/>
    </row>
    <row r="101">
      <c r="F101" s="5"/>
      <c r="G101" s="5"/>
      <c r="H101" s="5"/>
      <c r="I101" s="5"/>
      <c r="J101" s="5"/>
      <c r="K101" s="5"/>
    </row>
    <row r="102">
      <c r="F102" s="5"/>
      <c r="G102" s="5"/>
      <c r="H102" s="5"/>
      <c r="I102" s="5"/>
      <c r="J102" s="5"/>
      <c r="K102" s="5"/>
    </row>
    <row r="103">
      <c r="F103" s="5"/>
      <c r="G103" s="5"/>
      <c r="H103" s="5"/>
      <c r="I103" s="5"/>
      <c r="J103" s="5"/>
      <c r="K103" s="5"/>
    </row>
    <row r="104">
      <c r="F104" s="5"/>
      <c r="G104" s="5"/>
      <c r="H104" s="5"/>
      <c r="I104" s="5"/>
      <c r="J104" s="5"/>
      <c r="K104" s="5"/>
    </row>
    <row r="105">
      <c r="F105" s="5"/>
      <c r="G105" s="5"/>
      <c r="H105" s="5"/>
      <c r="I105" s="5"/>
      <c r="J105" s="5"/>
      <c r="K105" s="5"/>
    </row>
    <row r="106">
      <c r="F106" s="5"/>
      <c r="G106" s="5"/>
      <c r="H106" s="5"/>
      <c r="I106" s="5"/>
      <c r="J106" s="5"/>
      <c r="K106" s="5"/>
    </row>
    <row r="107">
      <c r="F107" s="5"/>
      <c r="G107" s="5"/>
      <c r="H107" s="5"/>
      <c r="I107" s="5"/>
      <c r="J107" s="5"/>
      <c r="K107" s="5"/>
    </row>
    <row r="108">
      <c r="F108" s="5"/>
      <c r="G108" s="5"/>
      <c r="H108" s="5"/>
      <c r="I108" s="5"/>
      <c r="J108" s="5"/>
      <c r="K108" s="5"/>
    </row>
    <row r="109">
      <c r="F109" s="5"/>
      <c r="G109" s="5"/>
      <c r="H109" s="5"/>
      <c r="I109" s="5"/>
      <c r="J109" s="5"/>
      <c r="K109" s="5"/>
    </row>
    <row r="110">
      <c r="F110" s="5"/>
      <c r="G110" s="5"/>
      <c r="H110" s="5"/>
      <c r="I110" s="5"/>
      <c r="J110" s="5"/>
      <c r="K110" s="5"/>
    </row>
    <row r="111">
      <c r="F111" s="5"/>
      <c r="G111" s="5"/>
      <c r="H111" s="5"/>
      <c r="I111" s="5"/>
      <c r="J111" s="5"/>
      <c r="K111" s="5"/>
    </row>
    <row r="112">
      <c r="F112" s="5"/>
      <c r="G112" s="5"/>
      <c r="H112" s="5"/>
      <c r="I112" s="5"/>
      <c r="J112" s="5"/>
      <c r="K112" s="5"/>
    </row>
    <row r="113">
      <c r="F113" s="5"/>
      <c r="G113" s="5"/>
      <c r="H113" s="5"/>
      <c r="I113" s="5"/>
      <c r="J113" s="5"/>
      <c r="K113" s="5"/>
    </row>
    <row r="114">
      <c r="F114" s="5"/>
      <c r="G114" s="5"/>
      <c r="H114" s="5"/>
      <c r="I114" s="5"/>
      <c r="J114" s="5"/>
      <c r="K114" s="5"/>
    </row>
    <row r="115">
      <c r="F115" s="5"/>
      <c r="G115" s="5"/>
      <c r="H115" s="5"/>
      <c r="I115" s="5"/>
      <c r="J115" s="5"/>
      <c r="K115" s="5"/>
    </row>
    <row r="116">
      <c r="F116" s="5"/>
      <c r="G116" s="5"/>
      <c r="H116" s="5"/>
      <c r="I116" s="5"/>
      <c r="J116" s="5"/>
      <c r="K116" s="5"/>
    </row>
    <row r="117">
      <c r="F117" s="5"/>
      <c r="G117" s="5"/>
      <c r="H117" s="5"/>
      <c r="I117" s="5"/>
      <c r="J117" s="5"/>
      <c r="K117" s="5"/>
    </row>
    <row r="118">
      <c r="F118" s="5"/>
      <c r="G118" s="5"/>
      <c r="H118" s="5"/>
      <c r="I118" s="5"/>
      <c r="J118" s="5"/>
      <c r="K118" s="5"/>
    </row>
    <row r="119">
      <c r="F119" s="5"/>
      <c r="G119" s="5"/>
      <c r="H119" s="5"/>
      <c r="I119" s="5"/>
      <c r="J119" s="5"/>
      <c r="K119" s="5"/>
    </row>
    <row r="120">
      <c r="F120" s="5"/>
      <c r="G120" s="5"/>
      <c r="H120" s="5"/>
      <c r="I120" s="5"/>
      <c r="J120" s="5"/>
      <c r="K120" s="5"/>
    </row>
    <row r="121">
      <c r="F121" s="5"/>
      <c r="G121" s="5"/>
      <c r="H121" s="5"/>
      <c r="I121" s="5"/>
      <c r="J121" s="5"/>
      <c r="K121" s="5"/>
    </row>
    <row r="122">
      <c r="F122" s="5"/>
      <c r="G122" s="5"/>
      <c r="H122" s="5"/>
      <c r="I122" s="5"/>
      <c r="J122" s="5"/>
      <c r="K122" s="5"/>
    </row>
    <row r="123">
      <c r="F123" s="5"/>
      <c r="G123" s="5"/>
      <c r="H123" s="5"/>
      <c r="I123" s="5"/>
      <c r="J123" s="5"/>
      <c r="K123" s="5"/>
    </row>
    <row r="124">
      <c r="F124" s="5"/>
      <c r="G124" s="5"/>
      <c r="H124" s="5"/>
      <c r="I124" s="5"/>
      <c r="J124" s="5"/>
      <c r="K124" s="5"/>
    </row>
    <row r="125">
      <c r="F125" s="5"/>
      <c r="G125" s="5"/>
      <c r="H125" s="5"/>
      <c r="I125" s="5"/>
      <c r="J125" s="5"/>
      <c r="K125" s="5"/>
    </row>
    <row r="126">
      <c r="F126" s="5"/>
      <c r="G126" s="5"/>
      <c r="H126" s="5"/>
      <c r="I126" s="5"/>
      <c r="J126" s="5"/>
      <c r="K126" s="5"/>
    </row>
    <row r="127">
      <c r="F127" s="5"/>
      <c r="G127" s="5"/>
      <c r="H127" s="5"/>
      <c r="I127" s="5"/>
      <c r="J127" s="5"/>
      <c r="K127" s="5"/>
    </row>
    <row r="128">
      <c r="F128" s="5"/>
      <c r="G128" s="5"/>
      <c r="H128" s="5"/>
      <c r="I128" s="5"/>
      <c r="J128" s="5"/>
      <c r="K128" s="5"/>
    </row>
    <row r="129">
      <c r="F129" s="5"/>
      <c r="G129" s="5"/>
      <c r="H129" s="5"/>
      <c r="I129" s="5"/>
      <c r="J129" s="5"/>
      <c r="K129" s="5"/>
    </row>
    <row r="130">
      <c r="F130" s="5"/>
      <c r="G130" s="5"/>
      <c r="H130" s="5"/>
      <c r="I130" s="5"/>
      <c r="J130" s="5"/>
      <c r="K130" s="5"/>
    </row>
    <row r="131">
      <c r="F131" s="5"/>
      <c r="G131" s="5"/>
      <c r="H131" s="5"/>
      <c r="I131" s="5"/>
      <c r="J131" s="5"/>
      <c r="K131" s="5"/>
    </row>
    <row r="132">
      <c r="F132" s="5"/>
      <c r="G132" s="5"/>
      <c r="H132" s="5"/>
      <c r="I132" s="5"/>
      <c r="J132" s="5"/>
      <c r="K132" s="5"/>
    </row>
    <row r="133">
      <c r="F133" s="5"/>
      <c r="G133" s="5"/>
      <c r="H133" s="5"/>
      <c r="I133" s="5"/>
      <c r="J133" s="5"/>
      <c r="K133" s="5"/>
    </row>
    <row r="134">
      <c r="F134" s="5"/>
      <c r="G134" s="5"/>
      <c r="H134" s="5"/>
      <c r="I134" s="5"/>
      <c r="J134" s="5"/>
      <c r="K134" s="5"/>
    </row>
    <row r="135">
      <c r="F135" s="5"/>
      <c r="G135" s="5"/>
      <c r="H135" s="5"/>
      <c r="I135" s="5"/>
      <c r="J135" s="5"/>
      <c r="K135" s="5"/>
    </row>
    <row r="136">
      <c r="F136" s="5"/>
      <c r="G136" s="5"/>
      <c r="H136" s="5"/>
      <c r="I136" s="5"/>
      <c r="J136" s="5"/>
      <c r="K136" s="5"/>
    </row>
    <row r="137">
      <c r="F137" s="5"/>
      <c r="G137" s="5"/>
      <c r="H137" s="5"/>
      <c r="I137" s="5"/>
      <c r="J137" s="5"/>
      <c r="K137" s="5"/>
    </row>
    <row r="138">
      <c r="F138" s="5"/>
      <c r="G138" s="5"/>
      <c r="H138" s="5"/>
      <c r="I138" s="5"/>
      <c r="J138" s="5"/>
      <c r="K138" s="5"/>
    </row>
    <row r="139">
      <c r="F139" s="5"/>
      <c r="G139" s="5"/>
      <c r="H139" s="5"/>
      <c r="I139" s="5"/>
      <c r="J139" s="5"/>
      <c r="K139" s="5"/>
    </row>
    <row r="140">
      <c r="F140" s="5"/>
      <c r="G140" s="5"/>
      <c r="H140" s="5"/>
      <c r="I140" s="5"/>
      <c r="J140" s="5"/>
      <c r="K140" s="5"/>
    </row>
    <row r="141">
      <c r="F141" s="5"/>
      <c r="G141" s="5"/>
      <c r="H141" s="5"/>
      <c r="I141" s="5"/>
      <c r="J141" s="5"/>
      <c r="K141" s="5"/>
    </row>
    <row r="142">
      <c r="F142" s="5"/>
      <c r="G142" s="5"/>
      <c r="H142" s="5"/>
      <c r="I142" s="5"/>
      <c r="J142" s="5"/>
      <c r="K142" s="5"/>
    </row>
    <row r="143">
      <c r="F143" s="5"/>
      <c r="G143" s="5"/>
      <c r="H143" s="5"/>
      <c r="I143" s="5"/>
      <c r="J143" s="5"/>
      <c r="K143" s="5"/>
    </row>
    <row r="144">
      <c r="F144" s="5"/>
      <c r="G144" s="5"/>
      <c r="H144" s="5"/>
      <c r="I144" s="5"/>
      <c r="J144" s="5"/>
      <c r="K144" s="5"/>
    </row>
    <row r="145">
      <c r="F145" s="5"/>
      <c r="G145" s="5"/>
      <c r="H145" s="5"/>
      <c r="I145" s="5"/>
      <c r="J145" s="5"/>
      <c r="K145" s="5"/>
    </row>
    <row r="146">
      <c r="F146" s="5"/>
      <c r="G146" s="5"/>
      <c r="H146" s="5"/>
      <c r="I146" s="5"/>
      <c r="J146" s="5"/>
      <c r="K146" s="5"/>
    </row>
    <row r="147">
      <c r="F147" s="5"/>
      <c r="G147" s="5"/>
      <c r="H147" s="5"/>
      <c r="I147" s="5"/>
      <c r="J147" s="5"/>
      <c r="K147" s="5"/>
    </row>
    <row r="148">
      <c r="F148" s="5"/>
      <c r="G148" s="5"/>
      <c r="H148" s="5"/>
      <c r="I148" s="5"/>
      <c r="J148" s="5"/>
      <c r="K148" s="5"/>
    </row>
    <row r="149">
      <c r="F149" s="5"/>
      <c r="G149" s="5"/>
      <c r="H149" s="5"/>
      <c r="I149" s="5"/>
      <c r="J149" s="5"/>
      <c r="K149" s="5"/>
    </row>
    <row r="150">
      <c r="F150" s="5"/>
      <c r="G150" s="5"/>
      <c r="H150" s="5"/>
      <c r="I150" s="5"/>
      <c r="J150" s="5"/>
      <c r="K150" s="5"/>
    </row>
    <row r="151">
      <c r="F151" s="5"/>
      <c r="G151" s="5"/>
      <c r="H151" s="5"/>
      <c r="I151" s="5"/>
      <c r="J151" s="5"/>
      <c r="K151" s="5"/>
    </row>
    <row r="152">
      <c r="F152" s="5"/>
      <c r="G152" s="5"/>
      <c r="H152" s="5"/>
      <c r="I152" s="5"/>
      <c r="J152" s="5"/>
      <c r="K152" s="5"/>
    </row>
    <row r="153">
      <c r="F153" s="5"/>
      <c r="G153" s="5"/>
      <c r="H153" s="5"/>
      <c r="I153" s="5"/>
      <c r="J153" s="5"/>
      <c r="K153" s="5"/>
    </row>
    <row r="154">
      <c r="F154" s="5"/>
      <c r="G154" s="5"/>
      <c r="H154" s="5"/>
      <c r="I154" s="5"/>
      <c r="J154" s="5"/>
      <c r="K154" s="5"/>
    </row>
    <row r="155">
      <c r="F155" s="5"/>
      <c r="G155" s="5"/>
      <c r="H155" s="5"/>
      <c r="I155" s="5"/>
      <c r="J155" s="5"/>
      <c r="K155" s="5"/>
    </row>
    <row r="156">
      <c r="F156" s="5"/>
      <c r="G156" s="5"/>
      <c r="H156" s="5"/>
      <c r="I156" s="5"/>
      <c r="J156" s="5"/>
      <c r="K156" s="5"/>
    </row>
    <row r="157">
      <c r="F157" s="5"/>
      <c r="G157" s="5"/>
      <c r="H157" s="5"/>
      <c r="I157" s="5"/>
      <c r="J157" s="5"/>
      <c r="K157" s="5"/>
    </row>
    <row r="158">
      <c r="F158" s="5"/>
      <c r="G158" s="5"/>
      <c r="H158" s="5"/>
      <c r="I158" s="5"/>
      <c r="J158" s="5"/>
      <c r="K158" s="5"/>
    </row>
    <row r="159">
      <c r="F159" s="5"/>
      <c r="G159" s="5"/>
      <c r="H159" s="5"/>
      <c r="I159" s="5"/>
      <c r="J159" s="5"/>
      <c r="K159" s="5"/>
    </row>
    <row r="160">
      <c r="F160" s="5"/>
      <c r="G160" s="5"/>
      <c r="H160" s="5"/>
      <c r="I160" s="5"/>
      <c r="J160" s="5"/>
      <c r="K160" s="5"/>
    </row>
    <row r="161">
      <c r="F161" s="5"/>
      <c r="G161" s="5"/>
      <c r="H161" s="5"/>
      <c r="I161" s="5"/>
      <c r="J161" s="5"/>
      <c r="K161" s="5"/>
    </row>
    <row r="162">
      <c r="F162" s="5"/>
      <c r="G162" s="5"/>
      <c r="H162" s="5"/>
      <c r="I162" s="5"/>
      <c r="J162" s="5"/>
      <c r="K162" s="5"/>
    </row>
    <row r="163">
      <c r="F163" s="5"/>
      <c r="G163" s="5"/>
      <c r="H163" s="5"/>
      <c r="I163" s="5"/>
      <c r="J163" s="5"/>
      <c r="K163" s="5"/>
    </row>
    <row r="164">
      <c r="F164" s="5"/>
      <c r="G164" s="5"/>
      <c r="H164" s="5"/>
      <c r="I164" s="5"/>
      <c r="J164" s="5"/>
      <c r="K164" s="5"/>
    </row>
    <row r="165">
      <c r="F165" s="5"/>
      <c r="G165" s="5"/>
      <c r="H165" s="5"/>
      <c r="I165" s="5"/>
      <c r="J165" s="5"/>
      <c r="K165" s="5"/>
    </row>
    <row r="166">
      <c r="F166" s="5"/>
      <c r="G166" s="5"/>
      <c r="H166" s="5"/>
      <c r="I166" s="5"/>
      <c r="J166" s="5"/>
      <c r="K166" s="5"/>
    </row>
    <row r="167">
      <c r="F167" s="5"/>
      <c r="G167" s="5"/>
      <c r="H167" s="5"/>
      <c r="I167" s="5"/>
      <c r="J167" s="5"/>
      <c r="K167" s="5"/>
    </row>
    <row r="168">
      <c r="F168" s="5"/>
      <c r="G168" s="5"/>
      <c r="H168" s="5"/>
      <c r="I168" s="5"/>
      <c r="J168" s="5"/>
      <c r="K168" s="5"/>
    </row>
    <row r="169">
      <c r="F169" s="5"/>
      <c r="G169" s="5"/>
      <c r="H169" s="5"/>
      <c r="I169" s="5"/>
      <c r="J169" s="5"/>
      <c r="K169" s="5"/>
    </row>
    <row r="170">
      <c r="F170" s="5"/>
      <c r="G170" s="5"/>
      <c r="H170" s="5"/>
      <c r="I170" s="5"/>
      <c r="J170" s="5"/>
      <c r="K170" s="5"/>
    </row>
    <row r="171">
      <c r="F171" s="5"/>
      <c r="G171" s="5"/>
      <c r="H171" s="5"/>
      <c r="I171" s="5"/>
      <c r="J171" s="5"/>
      <c r="K171" s="5"/>
    </row>
    <row r="172">
      <c r="F172" s="5"/>
      <c r="G172" s="5"/>
      <c r="H172" s="5"/>
      <c r="I172" s="5"/>
      <c r="J172" s="5"/>
      <c r="K172" s="5"/>
    </row>
    <row r="173">
      <c r="F173" s="5"/>
      <c r="G173" s="5"/>
      <c r="H173" s="5"/>
      <c r="I173" s="5"/>
      <c r="J173" s="5"/>
      <c r="K173" s="5"/>
    </row>
    <row r="174">
      <c r="F174" s="5"/>
      <c r="G174" s="5"/>
      <c r="H174" s="5"/>
      <c r="I174" s="5"/>
      <c r="J174" s="5"/>
      <c r="K174" s="5"/>
    </row>
    <row r="175">
      <c r="F175" s="5"/>
      <c r="G175" s="5"/>
      <c r="H175" s="5"/>
      <c r="I175" s="5"/>
      <c r="J175" s="5"/>
      <c r="K175" s="5"/>
    </row>
    <row r="176">
      <c r="F176" s="5"/>
      <c r="G176" s="5"/>
      <c r="H176" s="5"/>
      <c r="I176" s="5"/>
      <c r="J176" s="5"/>
      <c r="K176" s="5"/>
    </row>
    <row r="177">
      <c r="F177" s="5"/>
      <c r="G177" s="5"/>
      <c r="H177" s="5"/>
      <c r="I177" s="5"/>
      <c r="J177" s="5"/>
      <c r="K177" s="5"/>
    </row>
    <row r="178">
      <c r="F178" s="5"/>
      <c r="G178" s="5"/>
      <c r="H178" s="5"/>
      <c r="I178" s="5"/>
      <c r="J178" s="5"/>
      <c r="K178" s="5"/>
    </row>
    <row r="179">
      <c r="F179" s="5"/>
      <c r="G179" s="5"/>
      <c r="H179" s="5"/>
      <c r="I179" s="5"/>
      <c r="J179" s="5"/>
      <c r="K179" s="5"/>
    </row>
    <row r="180">
      <c r="F180" s="5"/>
      <c r="G180" s="5"/>
      <c r="H180" s="5"/>
      <c r="I180" s="5"/>
      <c r="J180" s="5"/>
      <c r="K180" s="5"/>
    </row>
    <row r="181">
      <c r="F181" s="5"/>
      <c r="G181" s="5"/>
      <c r="H181" s="5"/>
      <c r="I181" s="5"/>
      <c r="J181" s="5"/>
      <c r="K181" s="5"/>
    </row>
    <row r="182">
      <c r="F182" s="5"/>
      <c r="G182" s="5"/>
      <c r="H182" s="5"/>
      <c r="I182" s="5"/>
      <c r="J182" s="5"/>
      <c r="K182" s="5"/>
    </row>
    <row r="183">
      <c r="F183" s="5"/>
      <c r="G183" s="5"/>
      <c r="H183" s="5"/>
      <c r="I183" s="5"/>
      <c r="J183" s="5"/>
      <c r="K183" s="5"/>
    </row>
    <row r="184">
      <c r="F184" s="5"/>
      <c r="G184" s="5"/>
      <c r="H184" s="5"/>
      <c r="I184" s="5"/>
      <c r="J184" s="5"/>
      <c r="K184" s="5"/>
    </row>
    <row r="185">
      <c r="F185" s="5"/>
      <c r="G185" s="5"/>
      <c r="H185" s="5"/>
      <c r="I185" s="5"/>
      <c r="J185" s="5"/>
      <c r="K185" s="5"/>
    </row>
    <row r="186">
      <c r="F186" s="5"/>
      <c r="G186" s="5"/>
      <c r="H186" s="5"/>
      <c r="I186" s="5"/>
      <c r="J186" s="5"/>
      <c r="K186" s="5"/>
    </row>
    <row r="187">
      <c r="F187" s="5"/>
      <c r="G187" s="5"/>
      <c r="H187" s="5"/>
      <c r="I187" s="5"/>
      <c r="J187" s="5"/>
      <c r="K187" s="5"/>
    </row>
    <row r="188">
      <c r="F188" s="5"/>
      <c r="G188" s="5"/>
      <c r="H188" s="5"/>
      <c r="I188" s="5"/>
      <c r="J188" s="5"/>
      <c r="K188" s="5"/>
    </row>
    <row r="189">
      <c r="F189" s="5"/>
      <c r="G189" s="5"/>
      <c r="H189" s="5"/>
      <c r="I189" s="5"/>
      <c r="J189" s="5"/>
      <c r="K189" s="5"/>
    </row>
    <row r="190">
      <c r="F190" s="5"/>
      <c r="G190" s="5"/>
      <c r="H190" s="5"/>
      <c r="I190" s="5"/>
      <c r="J190" s="5"/>
      <c r="K190" s="5"/>
    </row>
    <row r="191">
      <c r="F191" s="5"/>
      <c r="G191" s="5"/>
      <c r="H191" s="5"/>
      <c r="I191" s="5"/>
      <c r="J191" s="5"/>
      <c r="K191" s="5"/>
    </row>
    <row r="192">
      <c r="F192" s="5"/>
      <c r="G192" s="5"/>
      <c r="H192" s="5"/>
      <c r="I192" s="5"/>
      <c r="J192" s="5"/>
      <c r="K192" s="5"/>
    </row>
    <row r="193">
      <c r="F193" s="5"/>
      <c r="G193" s="5"/>
      <c r="H193" s="5"/>
      <c r="I193" s="5"/>
      <c r="J193" s="5"/>
      <c r="K193" s="5"/>
    </row>
    <row r="194">
      <c r="F194" s="5"/>
      <c r="G194" s="5"/>
      <c r="H194" s="5"/>
      <c r="I194" s="5"/>
      <c r="J194" s="5"/>
      <c r="K194" s="5"/>
    </row>
    <row r="195">
      <c r="F195" s="5"/>
      <c r="G195" s="5"/>
      <c r="H195" s="5"/>
      <c r="I195" s="5"/>
      <c r="J195" s="5"/>
      <c r="K195" s="5"/>
    </row>
    <row r="196">
      <c r="F196" s="5"/>
      <c r="G196" s="5"/>
      <c r="H196" s="5"/>
      <c r="I196" s="5"/>
      <c r="J196" s="5"/>
      <c r="K196" s="5"/>
    </row>
    <row r="197">
      <c r="F197" s="5"/>
      <c r="G197" s="5"/>
      <c r="H197" s="5"/>
      <c r="I197" s="5"/>
      <c r="J197" s="5"/>
      <c r="K197" s="5"/>
    </row>
    <row r="198">
      <c r="F198" s="5"/>
      <c r="G198" s="5"/>
      <c r="H198" s="5"/>
      <c r="I198" s="5"/>
      <c r="J198" s="5"/>
      <c r="K198" s="5"/>
    </row>
    <row r="199">
      <c r="F199" s="5"/>
      <c r="G199" s="5"/>
      <c r="H199" s="5"/>
      <c r="I199" s="5"/>
      <c r="J199" s="5"/>
      <c r="K199" s="5"/>
    </row>
    <row r="200">
      <c r="F200" s="5"/>
      <c r="G200" s="5"/>
      <c r="H200" s="5"/>
      <c r="I200" s="5"/>
      <c r="J200" s="5"/>
      <c r="K200" s="5"/>
    </row>
    <row r="201">
      <c r="F201" s="5"/>
      <c r="G201" s="5"/>
      <c r="H201" s="5"/>
      <c r="I201" s="5"/>
      <c r="J201" s="5"/>
      <c r="K201" s="5"/>
    </row>
    <row r="202">
      <c r="F202" s="5"/>
      <c r="G202" s="5"/>
      <c r="H202" s="5"/>
      <c r="I202" s="5"/>
      <c r="J202" s="5"/>
      <c r="K202" s="5"/>
    </row>
    <row r="203">
      <c r="F203" s="5"/>
      <c r="G203" s="5"/>
      <c r="H203" s="5"/>
      <c r="I203" s="5"/>
      <c r="J203" s="5"/>
      <c r="K203" s="5"/>
    </row>
    <row r="204">
      <c r="F204" s="5"/>
      <c r="G204" s="5"/>
      <c r="H204" s="5"/>
      <c r="I204" s="5"/>
      <c r="J204" s="5"/>
      <c r="K204" s="5"/>
    </row>
    <row r="205">
      <c r="F205" s="5"/>
      <c r="G205" s="5"/>
      <c r="H205" s="5"/>
      <c r="I205" s="5"/>
      <c r="J205" s="5"/>
      <c r="K205" s="5"/>
    </row>
    <row r="206">
      <c r="F206" s="5"/>
      <c r="G206" s="5"/>
      <c r="H206" s="5"/>
      <c r="I206" s="5"/>
      <c r="J206" s="5"/>
      <c r="K206" s="5"/>
    </row>
    <row r="207">
      <c r="F207" s="5"/>
      <c r="G207" s="5"/>
      <c r="H207" s="5"/>
      <c r="I207" s="5"/>
      <c r="J207" s="5"/>
      <c r="K207" s="5"/>
    </row>
    <row r="208">
      <c r="F208" s="5"/>
      <c r="G208" s="5"/>
      <c r="H208" s="5"/>
      <c r="I208" s="5"/>
      <c r="J208" s="5"/>
      <c r="K208" s="5"/>
    </row>
    <row r="209">
      <c r="F209" s="5"/>
      <c r="G209" s="5"/>
      <c r="H209" s="5"/>
      <c r="I209" s="5"/>
      <c r="J209" s="5"/>
      <c r="K209" s="5"/>
    </row>
    <row r="210">
      <c r="F210" s="5"/>
      <c r="G210" s="5"/>
      <c r="H210" s="5"/>
      <c r="I210" s="5"/>
      <c r="J210" s="5"/>
      <c r="K210" s="5"/>
    </row>
    <row r="211">
      <c r="F211" s="5"/>
      <c r="G211" s="5"/>
      <c r="H211" s="5"/>
      <c r="I211" s="5"/>
      <c r="J211" s="5"/>
      <c r="K211" s="5"/>
    </row>
    <row r="212">
      <c r="F212" s="5"/>
      <c r="G212" s="5"/>
      <c r="H212" s="5"/>
      <c r="I212" s="5"/>
      <c r="J212" s="5"/>
      <c r="K212" s="5"/>
    </row>
    <row r="213">
      <c r="F213" s="5"/>
      <c r="G213" s="5"/>
      <c r="H213" s="5"/>
      <c r="I213" s="5"/>
      <c r="J213" s="5"/>
      <c r="K213" s="5"/>
    </row>
    <row r="214">
      <c r="F214" s="5"/>
      <c r="G214" s="5"/>
      <c r="H214" s="5"/>
      <c r="I214" s="5"/>
      <c r="J214" s="5"/>
      <c r="K214" s="5"/>
    </row>
    <row r="215">
      <c r="F215" s="5"/>
      <c r="G215" s="5"/>
      <c r="H215" s="5"/>
      <c r="I215" s="5"/>
      <c r="J215" s="5"/>
      <c r="K215" s="5"/>
    </row>
    <row r="216">
      <c r="F216" s="5"/>
      <c r="G216" s="5"/>
      <c r="H216" s="5"/>
      <c r="I216" s="5"/>
      <c r="J216" s="5"/>
      <c r="K216" s="5"/>
    </row>
    <row r="217">
      <c r="F217" s="5"/>
      <c r="G217" s="5"/>
      <c r="H217" s="5"/>
      <c r="I217" s="5"/>
      <c r="J217" s="5"/>
      <c r="K217" s="5"/>
    </row>
    <row r="218">
      <c r="F218" s="5"/>
      <c r="G218" s="5"/>
      <c r="H218" s="5"/>
      <c r="I218" s="5"/>
      <c r="J218" s="5"/>
      <c r="K218" s="5"/>
    </row>
    <row r="219">
      <c r="F219" s="5"/>
      <c r="G219" s="5"/>
      <c r="H219" s="5"/>
      <c r="I219" s="5"/>
      <c r="J219" s="5"/>
      <c r="K219" s="5"/>
    </row>
    <row r="220">
      <c r="F220" s="5"/>
      <c r="G220" s="5"/>
      <c r="H220" s="5"/>
      <c r="I220" s="5"/>
      <c r="J220" s="5"/>
      <c r="K220" s="5"/>
    </row>
    <row r="221">
      <c r="F221" s="5"/>
      <c r="G221" s="5"/>
      <c r="H221" s="5"/>
      <c r="I221" s="5"/>
      <c r="J221" s="5"/>
      <c r="K221" s="5"/>
    </row>
    <row r="222">
      <c r="F222" s="5"/>
      <c r="G222" s="5"/>
      <c r="H222" s="5"/>
      <c r="I222" s="5"/>
      <c r="J222" s="5"/>
      <c r="K222" s="5"/>
    </row>
    <row r="223">
      <c r="F223" s="5"/>
      <c r="G223" s="5"/>
      <c r="H223" s="5"/>
      <c r="I223" s="5"/>
      <c r="J223" s="5"/>
      <c r="K223" s="5"/>
    </row>
    <row r="224">
      <c r="F224" s="5"/>
      <c r="G224" s="5"/>
      <c r="H224" s="5"/>
      <c r="I224" s="5"/>
      <c r="J224" s="5"/>
      <c r="K224" s="5"/>
    </row>
    <row r="225">
      <c r="F225" s="5"/>
      <c r="G225" s="5"/>
      <c r="H225" s="5"/>
      <c r="I225" s="5"/>
      <c r="J225" s="5"/>
      <c r="K225" s="5"/>
    </row>
    <row r="226">
      <c r="F226" s="5"/>
      <c r="G226" s="5"/>
      <c r="H226" s="5"/>
      <c r="I226" s="5"/>
      <c r="J226" s="5"/>
      <c r="K226" s="5"/>
    </row>
    <row r="227">
      <c r="F227" s="5"/>
      <c r="G227" s="5"/>
      <c r="H227" s="5"/>
      <c r="I227" s="5"/>
      <c r="J227" s="5"/>
      <c r="K227" s="5"/>
    </row>
    <row r="228">
      <c r="F228" s="5"/>
      <c r="G228" s="5"/>
      <c r="H228" s="5"/>
      <c r="I228" s="5"/>
      <c r="J228" s="5"/>
      <c r="K228" s="5"/>
    </row>
    <row r="229">
      <c r="F229" s="5"/>
      <c r="G229" s="5"/>
      <c r="H229" s="5"/>
      <c r="I229" s="5"/>
      <c r="J229" s="5"/>
      <c r="K229" s="5"/>
    </row>
    <row r="230">
      <c r="F230" s="5"/>
      <c r="G230" s="5"/>
      <c r="H230" s="5"/>
      <c r="I230" s="5"/>
      <c r="J230" s="5"/>
      <c r="K230" s="5"/>
    </row>
    <row r="231">
      <c r="F231" s="5"/>
      <c r="G231" s="5"/>
      <c r="H231" s="5"/>
      <c r="I231" s="5"/>
      <c r="J231" s="5"/>
      <c r="K231" s="5"/>
    </row>
    <row r="232">
      <c r="F232" s="5"/>
      <c r="G232" s="5"/>
      <c r="H232" s="5"/>
      <c r="I232" s="5"/>
      <c r="J232" s="5"/>
      <c r="K232" s="5"/>
    </row>
    <row r="233">
      <c r="F233" s="5"/>
      <c r="G233" s="5"/>
      <c r="H233" s="5"/>
      <c r="I233" s="5"/>
      <c r="J233" s="5"/>
      <c r="K233" s="5"/>
    </row>
    <row r="234">
      <c r="F234" s="5"/>
      <c r="G234" s="5"/>
      <c r="H234" s="5"/>
      <c r="I234" s="5"/>
      <c r="J234" s="5"/>
      <c r="K234" s="5"/>
    </row>
    <row r="235">
      <c r="F235" s="5"/>
      <c r="G235" s="5"/>
      <c r="H235" s="5"/>
      <c r="I235" s="5"/>
      <c r="J235" s="5"/>
      <c r="K235" s="5"/>
    </row>
    <row r="236">
      <c r="F236" s="5"/>
      <c r="G236" s="5"/>
      <c r="H236" s="5"/>
      <c r="I236" s="5"/>
      <c r="J236" s="5"/>
      <c r="K236" s="5"/>
    </row>
    <row r="237">
      <c r="F237" s="5"/>
      <c r="G237" s="5"/>
      <c r="H237" s="5"/>
      <c r="I237" s="5"/>
      <c r="J237" s="5"/>
      <c r="K237" s="5"/>
    </row>
    <row r="238">
      <c r="F238" s="5"/>
      <c r="G238" s="5"/>
      <c r="H238" s="5"/>
      <c r="I238" s="5"/>
      <c r="J238" s="5"/>
      <c r="K238" s="5"/>
    </row>
    <row r="239">
      <c r="F239" s="5"/>
      <c r="G239" s="5"/>
      <c r="H239" s="5"/>
      <c r="I239" s="5"/>
      <c r="J239" s="5"/>
      <c r="K239" s="5"/>
    </row>
    <row r="240">
      <c r="F240" s="5"/>
      <c r="G240" s="5"/>
      <c r="H240" s="5"/>
      <c r="I240" s="5"/>
      <c r="J240" s="5"/>
      <c r="K240" s="5"/>
    </row>
    <row r="241">
      <c r="F241" s="5"/>
      <c r="G241" s="5"/>
      <c r="H241" s="5"/>
      <c r="I241" s="5"/>
      <c r="J241" s="5"/>
      <c r="K241" s="5"/>
    </row>
    <row r="242">
      <c r="F242" s="5"/>
      <c r="G242" s="5"/>
      <c r="H242" s="5"/>
      <c r="I242" s="5"/>
      <c r="J242" s="5"/>
      <c r="K242" s="5"/>
    </row>
    <row r="243">
      <c r="F243" s="5"/>
      <c r="G243" s="5"/>
      <c r="H243" s="5"/>
      <c r="I243" s="5"/>
      <c r="J243" s="5"/>
      <c r="K243" s="5"/>
    </row>
    <row r="244">
      <c r="F244" s="5"/>
      <c r="G244" s="5"/>
      <c r="H244" s="5"/>
      <c r="I244" s="5"/>
      <c r="J244" s="5"/>
      <c r="K244" s="5"/>
    </row>
    <row r="245">
      <c r="F245" s="5"/>
      <c r="G245" s="5"/>
      <c r="H245" s="5"/>
      <c r="I245" s="5"/>
      <c r="J245" s="5"/>
      <c r="K245" s="5"/>
    </row>
    <row r="246">
      <c r="F246" s="5"/>
      <c r="G246" s="5"/>
      <c r="H246" s="5"/>
      <c r="I246" s="5"/>
      <c r="J246" s="5"/>
      <c r="K246" s="5"/>
    </row>
    <row r="247">
      <c r="F247" s="5"/>
      <c r="G247" s="5"/>
      <c r="H247" s="5"/>
      <c r="I247" s="5"/>
      <c r="J247" s="5"/>
      <c r="K247" s="5"/>
    </row>
    <row r="248">
      <c r="F248" s="5"/>
      <c r="G248" s="5"/>
      <c r="H248" s="5"/>
      <c r="I248" s="5"/>
      <c r="J248" s="5"/>
      <c r="K248" s="5"/>
    </row>
    <row r="249">
      <c r="F249" s="5"/>
      <c r="G249" s="5"/>
      <c r="H249" s="5"/>
      <c r="I249" s="5"/>
      <c r="J249" s="5"/>
      <c r="K249" s="5"/>
    </row>
    <row r="250">
      <c r="F250" s="5"/>
      <c r="G250" s="5"/>
      <c r="H250" s="5"/>
      <c r="I250" s="5"/>
      <c r="J250" s="5"/>
      <c r="K250" s="5"/>
    </row>
    <row r="251">
      <c r="F251" s="5"/>
      <c r="G251" s="5"/>
      <c r="H251" s="5"/>
      <c r="I251" s="5"/>
      <c r="J251" s="5"/>
      <c r="K251" s="5"/>
    </row>
    <row r="252">
      <c r="F252" s="5"/>
      <c r="G252" s="5"/>
      <c r="H252" s="5"/>
      <c r="I252" s="5"/>
      <c r="J252" s="5"/>
      <c r="K252" s="5"/>
    </row>
    <row r="253">
      <c r="F253" s="5"/>
      <c r="G253" s="5"/>
      <c r="H253" s="5"/>
      <c r="I253" s="5"/>
      <c r="J253" s="5"/>
      <c r="K253" s="5"/>
    </row>
    <row r="254">
      <c r="F254" s="5"/>
      <c r="G254" s="5"/>
      <c r="H254" s="5"/>
      <c r="I254" s="5"/>
      <c r="J254" s="5"/>
      <c r="K254" s="5"/>
    </row>
    <row r="255">
      <c r="F255" s="5"/>
      <c r="G255" s="5"/>
      <c r="H255" s="5"/>
      <c r="I255" s="5"/>
      <c r="J255" s="5"/>
      <c r="K255" s="5"/>
    </row>
    <row r="256">
      <c r="F256" s="5"/>
      <c r="G256" s="5"/>
      <c r="H256" s="5"/>
      <c r="I256" s="5"/>
      <c r="J256" s="5"/>
      <c r="K256" s="5"/>
    </row>
    <row r="257">
      <c r="F257" s="5"/>
      <c r="G257" s="5"/>
      <c r="H257" s="5"/>
      <c r="I257" s="5"/>
      <c r="J257" s="5"/>
      <c r="K257" s="5"/>
    </row>
    <row r="258">
      <c r="F258" s="5"/>
      <c r="G258" s="5"/>
      <c r="H258" s="5"/>
      <c r="I258" s="5"/>
      <c r="J258" s="5"/>
      <c r="K258" s="5"/>
    </row>
    <row r="259">
      <c r="F259" s="5"/>
      <c r="G259" s="5"/>
      <c r="H259" s="5"/>
      <c r="I259" s="5"/>
      <c r="J259" s="5"/>
      <c r="K259" s="5"/>
    </row>
    <row r="260">
      <c r="F260" s="5"/>
      <c r="G260" s="5"/>
      <c r="H260" s="5"/>
      <c r="I260" s="5"/>
      <c r="J260" s="5"/>
      <c r="K260" s="5"/>
    </row>
    <row r="261">
      <c r="F261" s="5"/>
      <c r="G261" s="5"/>
      <c r="H261" s="5"/>
      <c r="I261" s="5"/>
      <c r="J261" s="5"/>
      <c r="K261" s="5"/>
    </row>
    <row r="262">
      <c r="F262" s="5"/>
      <c r="G262" s="5"/>
      <c r="H262" s="5"/>
      <c r="I262" s="5"/>
      <c r="J262" s="5"/>
      <c r="K262" s="5"/>
    </row>
    <row r="263">
      <c r="F263" s="5"/>
      <c r="G263" s="5"/>
      <c r="H263" s="5"/>
      <c r="I263" s="5"/>
      <c r="J263" s="5"/>
      <c r="K263" s="5"/>
    </row>
    <row r="264">
      <c r="F264" s="5"/>
      <c r="G264" s="5"/>
      <c r="H264" s="5"/>
      <c r="I264" s="5"/>
      <c r="J264" s="5"/>
      <c r="K264" s="5"/>
    </row>
    <row r="265">
      <c r="F265" s="5"/>
      <c r="G265" s="5"/>
      <c r="H265" s="5"/>
      <c r="I265" s="5"/>
      <c r="J265" s="5"/>
      <c r="K265" s="5"/>
    </row>
    <row r="266">
      <c r="F266" s="5"/>
      <c r="G266" s="5"/>
      <c r="H266" s="5"/>
      <c r="I266" s="5"/>
      <c r="J266" s="5"/>
      <c r="K266" s="5"/>
    </row>
    <row r="267">
      <c r="F267" s="5"/>
      <c r="G267" s="5"/>
      <c r="H267" s="5"/>
      <c r="I267" s="5"/>
      <c r="J267" s="5"/>
      <c r="K267" s="5"/>
    </row>
    <row r="268">
      <c r="F268" s="5"/>
      <c r="G268" s="5"/>
      <c r="H268" s="5"/>
      <c r="I268" s="5"/>
      <c r="J268" s="5"/>
      <c r="K268" s="5"/>
    </row>
    <row r="269">
      <c r="F269" s="5"/>
      <c r="G269" s="5"/>
      <c r="H269" s="5"/>
      <c r="I269" s="5"/>
      <c r="J269" s="5"/>
      <c r="K269" s="5"/>
    </row>
    <row r="270">
      <c r="F270" s="5"/>
      <c r="G270" s="5"/>
      <c r="H270" s="5"/>
      <c r="I270" s="5"/>
      <c r="J270" s="5"/>
      <c r="K270" s="5"/>
    </row>
    <row r="271">
      <c r="F271" s="5"/>
      <c r="G271" s="5"/>
      <c r="H271" s="5"/>
      <c r="I271" s="5"/>
      <c r="J271" s="5"/>
      <c r="K271" s="5"/>
    </row>
    <row r="272">
      <c r="F272" s="5"/>
      <c r="G272" s="5"/>
      <c r="H272" s="5"/>
      <c r="I272" s="5"/>
      <c r="J272" s="5"/>
      <c r="K272" s="5"/>
    </row>
    <row r="273">
      <c r="F273" s="5"/>
      <c r="G273" s="5"/>
      <c r="H273" s="5"/>
      <c r="I273" s="5"/>
      <c r="J273" s="5"/>
      <c r="K273" s="5"/>
    </row>
    <row r="274">
      <c r="F274" s="5"/>
      <c r="G274" s="5"/>
      <c r="H274" s="5"/>
      <c r="I274" s="5"/>
      <c r="J274" s="5"/>
      <c r="K274" s="5"/>
    </row>
    <row r="275">
      <c r="F275" s="5"/>
      <c r="G275" s="5"/>
      <c r="H275" s="5"/>
      <c r="I275" s="5"/>
      <c r="J275" s="5"/>
      <c r="K275" s="5"/>
    </row>
    <row r="276">
      <c r="F276" s="5"/>
      <c r="G276" s="5"/>
      <c r="H276" s="5"/>
      <c r="I276" s="5"/>
      <c r="J276" s="5"/>
      <c r="K276" s="5"/>
    </row>
    <row r="277">
      <c r="F277" s="5"/>
      <c r="G277" s="5"/>
      <c r="H277" s="5"/>
      <c r="I277" s="5"/>
      <c r="J277" s="5"/>
      <c r="K277" s="5"/>
    </row>
    <row r="278">
      <c r="F278" s="5"/>
      <c r="G278" s="5"/>
      <c r="H278" s="5"/>
      <c r="I278" s="5"/>
      <c r="J278" s="5"/>
      <c r="K278" s="5"/>
    </row>
    <row r="279">
      <c r="F279" s="5"/>
      <c r="G279" s="5"/>
      <c r="H279" s="5"/>
      <c r="I279" s="5"/>
      <c r="J279" s="5"/>
      <c r="K279" s="5"/>
    </row>
    <row r="280">
      <c r="F280" s="5"/>
      <c r="G280" s="5"/>
      <c r="H280" s="5"/>
      <c r="I280" s="5"/>
      <c r="J280" s="5"/>
      <c r="K280" s="5"/>
    </row>
    <row r="281">
      <c r="F281" s="5"/>
      <c r="G281" s="5"/>
      <c r="H281" s="5"/>
      <c r="I281" s="5"/>
      <c r="J281" s="5"/>
      <c r="K281" s="5"/>
    </row>
    <row r="282">
      <c r="F282" s="5"/>
      <c r="G282" s="5"/>
      <c r="H282" s="5"/>
      <c r="I282" s="5"/>
      <c r="J282" s="5"/>
      <c r="K282" s="5"/>
    </row>
    <row r="283">
      <c r="F283" s="5"/>
      <c r="G283" s="5"/>
      <c r="H283" s="5"/>
      <c r="I283" s="5"/>
      <c r="J283" s="5"/>
      <c r="K283" s="5"/>
    </row>
    <row r="284">
      <c r="F284" s="5"/>
      <c r="G284" s="5"/>
      <c r="H284" s="5"/>
      <c r="I284" s="5"/>
      <c r="J284" s="5"/>
      <c r="K284" s="5"/>
    </row>
    <row r="285">
      <c r="F285" s="5"/>
      <c r="G285" s="5"/>
      <c r="H285" s="5"/>
      <c r="I285" s="5"/>
      <c r="J285" s="5"/>
      <c r="K285" s="5"/>
    </row>
    <row r="286">
      <c r="F286" s="5"/>
      <c r="G286" s="5"/>
      <c r="H286" s="5"/>
      <c r="I286" s="5"/>
      <c r="J286" s="5"/>
      <c r="K286" s="5"/>
    </row>
    <row r="287">
      <c r="F287" s="5"/>
      <c r="G287" s="5"/>
      <c r="H287" s="5"/>
      <c r="I287" s="5"/>
      <c r="J287" s="5"/>
      <c r="K287" s="5"/>
    </row>
    <row r="288">
      <c r="F288" s="5"/>
      <c r="G288" s="5"/>
      <c r="H288" s="5"/>
      <c r="I288" s="5"/>
      <c r="J288" s="5"/>
      <c r="K288" s="5"/>
    </row>
    <row r="289">
      <c r="F289" s="5"/>
      <c r="G289" s="5"/>
      <c r="H289" s="5"/>
      <c r="I289" s="5"/>
      <c r="J289" s="5"/>
      <c r="K289" s="5"/>
    </row>
    <row r="290">
      <c r="F290" s="5"/>
      <c r="G290" s="5"/>
      <c r="H290" s="5"/>
      <c r="I290" s="5"/>
      <c r="J290" s="5"/>
      <c r="K290" s="5"/>
    </row>
    <row r="291">
      <c r="F291" s="5"/>
      <c r="G291" s="5"/>
      <c r="H291" s="5"/>
      <c r="I291" s="5"/>
      <c r="J291" s="5"/>
      <c r="K291" s="5"/>
    </row>
    <row r="292">
      <c r="F292" s="5"/>
      <c r="G292" s="5"/>
      <c r="H292" s="5"/>
      <c r="I292" s="5"/>
      <c r="J292" s="5"/>
      <c r="K292" s="5"/>
    </row>
    <row r="293">
      <c r="F293" s="5"/>
      <c r="G293" s="5"/>
      <c r="H293" s="5"/>
      <c r="I293" s="5"/>
      <c r="J293" s="5"/>
      <c r="K293" s="5"/>
    </row>
    <row r="294">
      <c r="F294" s="5"/>
      <c r="G294" s="5"/>
      <c r="H294" s="5"/>
      <c r="I294" s="5"/>
      <c r="J294" s="5"/>
      <c r="K294" s="5"/>
    </row>
    <row r="295">
      <c r="F295" s="5"/>
      <c r="G295" s="5"/>
      <c r="H295" s="5"/>
      <c r="I295" s="5"/>
      <c r="J295" s="5"/>
      <c r="K295" s="5"/>
    </row>
    <row r="296">
      <c r="F296" s="5"/>
      <c r="G296" s="5"/>
      <c r="H296" s="5"/>
      <c r="I296" s="5"/>
      <c r="J296" s="5"/>
      <c r="K296" s="5"/>
    </row>
    <row r="297">
      <c r="F297" s="5"/>
      <c r="G297" s="5"/>
      <c r="H297" s="5"/>
      <c r="I297" s="5"/>
      <c r="J297" s="5"/>
      <c r="K297" s="5"/>
    </row>
    <row r="298">
      <c r="F298" s="5"/>
      <c r="G298" s="5"/>
      <c r="H298" s="5"/>
      <c r="I298" s="5"/>
      <c r="J298" s="5"/>
      <c r="K298" s="5"/>
    </row>
    <row r="299">
      <c r="F299" s="5"/>
      <c r="G299" s="5"/>
      <c r="H299" s="5"/>
      <c r="I299" s="5"/>
      <c r="J299" s="5"/>
      <c r="K299" s="5"/>
    </row>
    <row r="300">
      <c r="F300" s="5"/>
      <c r="G300" s="5"/>
      <c r="H300" s="5"/>
      <c r="I300" s="5"/>
      <c r="J300" s="5"/>
      <c r="K300" s="5"/>
    </row>
    <row r="301">
      <c r="F301" s="5"/>
      <c r="G301" s="5"/>
      <c r="H301" s="5"/>
      <c r="I301" s="5"/>
      <c r="J301" s="5"/>
      <c r="K301" s="5"/>
    </row>
    <row r="302">
      <c r="F302" s="5"/>
      <c r="G302" s="5"/>
      <c r="H302" s="5"/>
      <c r="I302" s="5"/>
      <c r="J302" s="5"/>
      <c r="K302" s="5"/>
    </row>
    <row r="303">
      <c r="F303" s="5"/>
      <c r="G303" s="5"/>
      <c r="H303" s="5"/>
      <c r="I303" s="5"/>
      <c r="J303" s="5"/>
      <c r="K303" s="5"/>
    </row>
    <row r="304">
      <c r="F304" s="5"/>
      <c r="G304" s="5"/>
      <c r="H304" s="5"/>
      <c r="I304" s="5"/>
      <c r="J304" s="5"/>
      <c r="K304" s="5"/>
    </row>
    <row r="305">
      <c r="F305" s="5"/>
      <c r="G305" s="5"/>
      <c r="H305" s="5"/>
      <c r="I305" s="5"/>
      <c r="J305" s="5"/>
      <c r="K305" s="5"/>
    </row>
    <row r="306">
      <c r="F306" s="5"/>
      <c r="G306" s="5"/>
      <c r="H306" s="5"/>
      <c r="I306" s="5"/>
      <c r="J306" s="5"/>
      <c r="K306" s="5"/>
    </row>
    <row r="307">
      <c r="F307" s="5"/>
      <c r="G307" s="5"/>
      <c r="H307" s="5"/>
      <c r="I307" s="5"/>
      <c r="J307" s="5"/>
      <c r="K307" s="5"/>
    </row>
    <row r="308">
      <c r="F308" s="5"/>
      <c r="G308" s="5"/>
      <c r="H308" s="5"/>
      <c r="I308" s="5"/>
      <c r="J308" s="5"/>
      <c r="K308" s="5"/>
    </row>
    <row r="309">
      <c r="F309" s="5"/>
      <c r="G309" s="5"/>
      <c r="H309" s="5"/>
      <c r="I309" s="5"/>
      <c r="J309" s="5"/>
      <c r="K309" s="5"/>
    </row>
    <row r="310">
      <c r="F310" s="5"/>
      <c r="G310" s="5"/>
      <c r="H310" s="5"/>
      <c r="I310" s="5"/>
      <c r="J310" s="5"/>
      <c r="K310" s="5"/>
    </row>
    <row r="311">
      <c r="F311" s="5"/>
      <c r="G311" s="5"/>
      <c r="H311" s="5"/>
      <c r="I311" s="5"/>
      <c r="J311" s="5"/>
      <c r="K311" s="5"/>
    </row>
    <row r="312">
      <c r="F312" s="5"/>
      <c r="G312" s="5"/>
      <c r="H312" s="5"/>
      <c r="I312" s="5"/>
      <c r="J312" s="5"/>
      <c r="K312" s="5"/>
    </row>
    <row r="313">
      <c r="F313" s="5"/>
      <c r="G313" s="5"/>
      <c r="H313" s="5"/>
      <c r="I313" s="5"/>
      <c r="J313" s="5"/>
      <c r="K313" s="5"/>
    </row>
    <row r="314">
      <c r="F314" s="5"/>
      <c r="G314" s="5"/>
      <c r="H314" s="5"/>
      <c r="I314" s="5"/>
      <c r="J314" s="5"/>
      <c r="K314" s="5"/>
    </row>
    <row r="315">
      <c r="F315" s="5"/>
      <c r="G315" s="5"/>
      <c r="H315" s="5"/>
      <c r="I315" s="5"/>
      <c r="J315" s="5"/>
      <c r="K315" s="5"/>
    </row>
    <row r="316">
      <c r="F316" s="5"/>
      <c r="G316" s="5"/>
      <c r="H316" s="5"/>
      <c r="I316" s="5"/>
      <c r="J316" s="5"/>
      <c r="K316" s="5"/>
    </row>
    <row r="317">
      <c r="F317" s="5"/>
      <c r="G317" s="5"/>
      <c r="H317" s="5"/>
      <c r="I317" s="5"/>
      <c r="J317" s="5"/>
      <c r="K317" s="5"/>
    </row>
    <row r="318">
      <c r="F318" s="5"/>
      <c r="G318" s="5"/>
      <c r="H318" s="5"/>
      <c r="I318" s="5"/>
      <c r="J318" s="5"/>
      <c r="K318" s="5"/>
    </row>
    <row r="319">
      <c r="F319" s="5"/>
      <c r="G319" s="5"/>
      <c r="H319" s="5"/>
      <c r="I319" s="5"/>
      <c r="J319" s="5"/>
      <c r="K319" s="5"/>
    </row>
    <row r="320">
      <c r="F320" s="5"/>
      <c r="G320" s="5"/>
      <c r="H320" s="5"/>
      <c r="I320" s="5"/>
      <c r="J320" s="5"/>
      <c r="K320" s="5"/>
    </row>
    <row r="321">
      <c r="F321" s="5"/>
      <c r="G321" s="5"/>
      <c r="H321" s="5"/>
      <c r="I321" s="5"/>
      <c r="J321" s="5"/>
      <c r="K321" s="5"/>
    </row>
    <row r="322">
      <c r="F322" s="5"/>
      <c r="G322" s="5"/>
      <c r="H322" s="5"/>
      <c r="I322" s="5"/>
      <c r="J322" s="5"/>
      <c r="K322" s="5"/>
    </row>
    <row r="323">
      <c r="F323" s="5"/>
      <c r="G323" s="5"/>
      <c r="H323" s="5"/>
      <c r="I323" s="5"/>
      <c r="J323" s="5"/>
      <c r="K323" s="5"/>
    </row>
    <row r="324">
      <c r="F324" s="5"/>
      <c r="G324" s="5"/>
      <c r="H324" s="5"/>
      <c r="I324" s="5"/>
      <c r="J324" s="5"/>
      <c r="K324" s="5"/>
    </row>
    <row r="325">
      <c r="F325" s="5"/>
      <c r="G325" s="5"/>
      <c r="H325" s="5"/>
      <c r="I325" s="5"/>
      <c r="J325" s="5"/>
      <c r="K325" s="5"/>
    </row>
    <row r="326">
      <c r="F326" s="5"/>
      <c r="G326" s="5"/>
      <c r="H326" s="5"/>
      <c r="I326" s="5"/>
      <c r="J326" s="5"/>
      <c r="K326" s="5"/>
    </row>
    <row r="327">
      <c r="F327" s="5"/>
      <c r="G327" s="5"/>
      <c r="H327" s="5"/>
      <c r="I327" s="5"/>
      <c r="J327" s="5"/>
      <c r="K327" s="5"/>
    </row>
    <row r="328">
      <c r="F328" s="5"/>
      <c r="G328" s="5"/>
      <c r="H328" s="5"/>
      <c r="I328" s="5"/>
      <c r="J328" s="5"/>
      <c r="K328" s="5"/>
    </row>
    <row r="329">
      <c r="F329" s="5"/>
      <c r="G329" s="5"/>
      <c r="H329" s="5"/>
      <c r="I329" s="5"/>
      <c r="J329" s="5"/>
      <c r="K329" s="5"/>
    </row>
    <row r="330">
      <c r="F330" s="5"/>
      <c r="G330" s="5"/>
      <c r="H330" s="5"/>
      <c r="I330" s="5"/>
      <c r="J330" s="5"/>
      <c r="K330" s="5"/>
    </row>
    <row r="331">
      <c r="F331" s="5"/>
      <c r="G331" s="5"/>
      <c r="H331" s="5"/>
      <c r="I331" s="5"/>
      <c r="J331" s="5"/>
      <c r="K331" s="5"/>
    </row>
    <row r="332">
      <c r="F332" s="5"/>
      <c r="G332" s="5"/>
      <c r="H332" s="5"/>
      <c r="I332" s="5"/>
      <c r="J332" s="5"/>
      <c r="K332" s="5"/>
    </row>
    <row r="333">
      <c r="F333" s="5"/>
      <c r="G333" s="5"/>
      <c r="H333" s="5"/>
      <c r="I333" s="5"/>
      <c r="J333" s="5"/>
      <c r="K333" s="5"/>
    </row>
    <row r="334">
      <c r="F334" s="5"/>
      <c r="G334" s="5"/>
      <c r="H334" s="5"/>
      <c r="I334" s="5"/>
      <c r="J334" s="5"/>
      <c r="K334" s="5"/>
    </row>
    <row r="335">
      <c r="F335" s="5"/>
      <c r="G335" s="5"/>
      <c r="H335" s="5"/>
      <c r="I335" s="5"/>
      <c r="J335" s="5"/>
      <c r="K335" s="5"/>
    </row>
    <row r="336">
      <c r="F336" s="5"/>
      <c r="G336" s="5"/>
      <c r="H336" s="5"/>
      <c r="I336" s="5"/>
      <c r="J336" s="5"/>
      <c r="K336" s="5"/>
    </row>
    <row r="337">
      <c r="F337" s="5"/>
      <c r="G337" s="5"/>
      <c r="H337" s="5"/>
      <c r="I337" s="5"/>
      <c r="J337" s="5"/>
      <c r="K337" s="5"/>
    </row>
    <row r="338">
      <c r="F338" s="5"/>
      <c r="G338" s="5"/>
      <c r="H338" s="5"/>
      <c r="I338" s="5"/>
      <c r="J338" s="5"/>
      <c r="K338" s="5"/>
    </row>
    <row r="339">
      <c r="F339" s="5"/>
      <c r="G339" s="5"/>
      <c r="H339" s="5"/>
      <c r="I339" s="5"/>
      <c r="J339" s="5"/>
      <c r="K339" s="5"/>
    </row>
    <row r="340">
      <c r="F340" s="5"/>
      <c r="G340" s="5"/>
      <c r="H340" s="5"/>
      <c r="I340" s="5"/>
      <c r="J340" s="5"/>
      <c r="K340" s="5"/>
    </row>
    <row r="341">
      <c r="F341" s="5"/>
      <c r="G341" s="5"/>
      <c r="H341" s="5"/>
      <c r="I341" s="5"/>
      <c r="J341" s="5"/>
      <c r="K341" s="5"/>
    </row>
    <row r="342">
      <c r="F342" s="5"/>
      <c r="G342" s="5"/>
      <c r="H342" s="5"/>
      <c r="I342" s="5"/>
      <c r="J342" s="5"/>
      <c r="K342" s="5"/>
    </row>
    <row r="343">
      <c r="F343" s="5"/>
      <c r="G343" s="5"/>
      <c r="H343" s="5"/>
      <c r="I343" s="5"/>
      <c r="J343" s="5"/>
      <c r="K343" s="5"/>
    </row>
    <row r="344">
      <c r="F344" s="5"/>
      <c r="G344" s="5"/>
      <c r="H344" s="5"/>
      <c r="I344" s="5"/>
      <c r="J344" s="5"/>
      <c r="K344" s="5"/>
    </row>
    <row r="345">
      <c r="F345" s="5"/>
      <c r="G345" s="5"/>
      <c r="H345" s="5"/>
      <c r="I345" s="5"/>
      <c r="J345" s="5"/>
      <c r="K345" s="5"/>
    </row>
    <row r="346">
      <c r="F346" s="5"/>
      <c r="G346" s="5"/>
      <c r="H346" s="5"/>
      <c r="I346" s="5"/>
      <c r="J346" s="5"/>
      <c r="K346" s="5"/>
    </row>
    <row r="347">
      <c r="F347" s="5"/>
      <c r="G347" s="5"/>
      <c r="H347" s="5"/>
      <c r="I347" s="5"/>
      <c r="J347" s="5"/>
      <c r="K347" s="5"/>
    </row>
    <row r="348">
      <c r="F348" s="5"/>
      <c r="G348" s="5"/>
      <c r="H348" s="5"/>
      <c r="I348" s="5"/>
      <c r="J348" s="5"/>
      <c r="K348" s="5"/>
    </row>
    <row r="349">
      <c r="F349" s="5"/>
      <c r="G349" s="5"/>
      <c r="H349" s="5"/>
      <c r="I349" s="5"/>
      <c r="J349" s="5"/>
      <c r="K349" s="5"/>
    </row>
    <row r="350">
      <c r="F350" s="5"/>
      <c r="G350" s="5"/>
      <c r="H350" s="5"/>
      <c r="I350" s="5"/>
      <c r="J350" s="5"/>
      <c r="K350" s="5"/>
    </row>
    <row r="351">
      <c r="F351" s="5"/>
      <c r="G351" s="5"/>
      <c r="H351" s="5"/>
      <c r="I351" s="5"/>
      <c r="J351" s="5"/>
      <c r="K351" s="5"/>
    </row>
    <row r="352">
      <c r="F352" s="5"/>
      <c r="G352" s="5"/>
      <c r="H352" s="5"/>
      <c r="I352" s="5"/>
      <c r="J352" s="5"/>
      <c r="K352" s="5"/>
    </row>
    <row r="353">
      <c r="F353" s="5"/>
      <c r="G353" s="5"/>
      <c r="H353" s="5"/>
      <c r="I353" s="5"/>
      <c r="J353" s="5"/>
      <c r="K353" s="5"/>
    </row>
    <row r="354">
      <c r="F354" s="5"/>
      <c r="G354" s="5"/>
      <c r="H354" s="5"/>
      <c r="I354" s="5"/>
      <c r="J354" s="5"/>
      <c r="K354" s="5"/>
    </row>
    <row r="355">
      <c r="F355" s="5"/>
      <c r="G355" s="5"/>
      <c r="H355" s="5"/>
      <c r="I355" s="5"/>
      <c r="J355" s="5"/>
      <c r="K355" s="5"/>
    </row>
    <row r="356">
      <c r="F356" s="5"/>
      <c r="G356" s="5"/>
      <c r="H356" s="5"/>
      <c r="I356" s="5"/>
      <c r="J356" s="5"/>
      <c r="K356" s="5"/>
    </row>
    <row r="357">
      <c r="F357" s="5"/>
      <c r="G357" s="5"/>
      <c r="H357" s="5"/>
      <c r="I357" s="5"/>
      <c r="J357" s="5"/>
      <c r="K357" s="5"/>
    </row>
    <row r="358">
      <c r="F358" s="5"/>
      <c r="G358" s="5"/>
      <c r="H358" s="5"/>
      <c r="I358" s="5"/>
      <c r="J358" s="5"/>
      <c r="K358" s="5"/>
    </row>
    <row r="359">
      <c r="F359" s="5"/>
      <c r="G359" s="5"/>
      <c r="H359" s="5"/>
      <c r="I359" s="5"/>
      <c r="J359" s="5"/>
      <c r="K359" s="5"/>
    </row>
    <row r="360">
      <c r="F360" s="5"/>
      <c r="G360" s="5"/>
      <c r="H360" s="5"/>
      <c r="I360" s="5"/>
      <c r="J360" s="5"/>
      <c r="K360" s="5"/>
    </row>
    <row r="361">
      <c r="F361" s="5"/>
      <c r="G361" s="5"/>
      <c r="H361" s="5"/>
      <c r="I361" s="5"/>
      <c r="J361" s="5"/>
      <c r="K361" s="5"/>
    </row>
    <row r="362">
      <c r="F362" s="5"/>
      <c r="G362" s="5"/>
      <c r="H362" s="5"/>
      <c r="I362" s="5"/>
      <c r="J362" s="5"/>
      <c r="K362" s="5"/>
    </row>
    <row r="363">
      <c r="F363" s="5"/>
      <c r="G363" s="5"/>
      <c r="H363" s="5"/>
      <c r="I363" s="5"/>
      <c r="J363" s="5"/>
      <c r="K363" s="5"/>
    </row>
    <row r="364">
      <c r="F364" s="5"/>
      <c r="G364" s="5"/>
      <c r="H364" s="5"/>
      <c r="I364" s="5"/>
      <c r="J364" s="5"/>
      <c r="K364" s="5"/>
    </row>
    <row r="365">
      <c r="F365" s="5"/>
      <c r="G365" s="5"/>
      <c r="H365" s="5"/>
      <c r="I365" s="5"/>
      <c r="J365" s="5"/>
      <c r="K365" s="5"/>
    </row>
    <row r="366">
      <c r="F366" s="5"/>
      <c r="G366" s="5"/>
      <c r="H366" s="5"/>
      <c r="I366" s="5"/>
      <c r="J366" s="5"/>
      <c r="K366" s="5"/>
    </row>
    <row r="367">
      <c r="F367" s="5"/>
      <c r="G367" s="5"/>
      <c r="H367" s="5"/>
      <c r="I367" s="5"/>
      <c r="J367" s="5"/>
      <c r="K367" s="5"/>
    </row>
    <row r="368">
      <c r="F368" s="5"/>
      <c r="G368" s="5"/>
      <c r="H368" s="5"/>
      <c r="I368" s="5"/>
      <c r="J368" s="5"/>
      <c r="K368" s="5"/>
    </row>
    <row r="369">
      <c r="F369" s="5"/>
      <c r="G369" s="5"/>
      <c r="H369" s="5"/>
      <c r="I369" s="5"/>
      <c r="J369" s="5"/>
      <c r="K369" s="5"/>
    </row>
    <row r="370">
      <c r="F370" s="5"/>
      <c r="G370" s="5"/>
      <c r="H370" s="5"/>
      <c r="I370" s="5"/>
      <c r="J370" s="5"/>
      <c r="K370" s="5"/>
    </row>
    <row r="371">
      <c r="F371" s="5"/>
      <c r="G371" s="5"/>
      <c r="H371" s="5"/>
      <c r="I371" s="5"/>
      <c r="J371" s="5"/>
      <c r="K371" s="5"/>
    </row>
    <row r="372">
      <c r="F372" s="5"/>
      <c r="G372" s="5"/>
      <c r="H372" s="5"/>
      <c r="I372" s="5"/>
      <c r="J372" s="5"/>
      <c r="K372" s="5"/>
    </row>
    <row r="373">
      <c r="F373" s="5"/>
      <c r="G373" s="5"/>
      <c r="H373" s="5"/>
      <c r="I373" s="5"/>
      <c r="J373" s="5"/>
      <c r="K373" s="5"/>
    </row>
    <row r="374">
      <c r="F374" s="5"/>
      <c r="G374" s="5"/>
      <c r="H374" s="5"/>
      <c r="I374" s="5"/>
      <c r="J374" s="5"/>
      <c r="K374" s="5"/>
    </row>
    <row r="375">
      <c r="F375" s="5"/>
      <c r="G375" s="5"/>
      <c r="H375" s="5"/>
      <c r="I375" s="5"/>
      <c r="J375" s="5"/>
      <c r="K375" s="5"/>
    </row>
    <row r="376">
      <c r="F376" s="5"/>
      <c r="G376" s="5"/>
      <c r="H376" s="5"/>
      <c r="I376" s="5"/>
      <c r="J376" s="5"/>
      <c r="K376" s="5"/>
    </row>
    <row r="377">
      <c r="F377" s="5"/>
      <c r="G377" s="5"/>
      <c r="H377" s="5"/>
      <c r="I377" s="5"/>
      <c r="J377" s="5"/>
      <c r="K377" s="5"/>
    </row>
    <row r="378">
      <c r="F378" s="5"/>
      <c r="G378" s="5"/>
      <c r="H378" s="5"/>
      <c r="I378" s="5"/>
      <c r="J378" s="5"/>
      <c r="K378" s="5"/>
    </row>
    <row r="379">
      <c r="F379" s="5"/>
      <c r="G379" s="5"/>
      <c r="H379" s="5"/>
      <c r="I379" s="5"/>
      <c r="J379" s="5"/>
      <c r="K379" s="5"/>
    </row>
    <row r="380">
      <c r="F380" s="5"/>
      <c r="G380" s="5"/>
      <c r="H380" s="5"/>
      <c r="I380" s="5"/>
      <c r="J380" s="5"/>
      <c r="K380" s="5"/>
    </row>
    <row r="381">
      <c r="F381" s="5"/>
      <c r="G381" s="5"/>
      <c r="H381" s="5"/>
      <c r="I381" s="5"/>
      <c r="J381" s="5"/>
      <c r="K381" s="5"/>
    </row>
    <row r="382">
      <c r="F382" s="5"/>
      <c r="G382" s="5"/>
      <c r="H382" s="5"/>
      <c r="I382" s="5"/>
      <c r="J382" s="5"/>
      <c r="K382" s="5"/>
    </row>
    <row r="383">
      <c r="F383" s="5"/>
      <c r="G383" s="5"/>
      <c r="H383" s="5"/>
      <c r="I383" s="5"/>
      <c r="J383" s="5"/>
      <c r="K383" s="5"/>
    </row>
    <row r="384">
      <c r="F384" s="5"/>
      <c r="G384" s="5"/>
      <c r="H384" s="5"/>
      <c r="I384" s="5"/>
      <c r="J384" s="5"/>
      <c r="K384" s="5"/>
    </row>
    <row r="385">
      <c r="F385" s="5"/>
      <c r="G385" s="5"/>
      <c r="H385" s="5"/>
      <c r="I385" s="5"/>
      <c r="J385" s="5"/>
      <c r="K385" s="5"/>
    </row>
    <row r="386">
      <c r="F386" s="5"/>
      <c r="G386" s="5"/>
      <c r="H386" s="5"/>
      <c r="I386" s="5"/>
      <c r="J386" s="5"/>
      <c r="K386" s="5"/>
    </row>
    <row r="387">
      <c r="F387" s="5"/>
      <c r="G387" s="5"/>
      <c r="H387" s="5"/>
      <c r="I387" s="5"/>
      <c r="J387" s="5"/>
      <c r="K387" s="5"/>
    </row>
    <row r="388">
      <c r="F388" s="5"/>
      <c r="G388" s="5"/>
      <c r="H388" s="5"/>
      <c r="I388" s="5"/>
      <c r="J388" s="5"/>
      <c r="K388" s="5"/>
    </row>
    <row r="389">
      <c r="F389" s="5"/>
      <c r="G389" s="5"/>
      <c r="H389" s="5"/>
      <c r="I389" s="5"/>
      <c r="J389" s="5"/>
      <c r="K389" s="5"/>
    </row>
    <row r="390">
      <c r="F390" s="5"/>
      <c r="G390" s="5"/>
      <c r="H390" s="5"/>
      <c r="I390" s="5"/>
      <c r="J390" s="5"/>
      <c r="K390" s="5"/>
    </row>
    <row r="391">
      <c r="F391" s="5"/>
      <c r="G391" s="5"/>
      <c r="H391" s="5"/>
      <c r="I391" s="5"/>
      <c r="J391" s="5"/>
      <c r="K391" s="5"/>
    </row>
    <row r="392">
      <c r="F392" s="5"/>
      <c r="G392" s="5"/>
      <c r="H392" s="5"/>
      <c r="I392" s="5"/>
      <c r="J392" s="5"/>
      <c r="K392" s="5"/>
    </row>
    <row r="393">
      <c r="F393" s="5"/>
      <c r="G393" s="5"/>
      <c r="H393" s="5"/>
      <c r="I393" s="5"/>
      <c r="J393" s="5"/>
      <c r="K393" s="5"/>
    </row>
    <row r="394">
      <c r="F394" s="5"/>
      <c r="G394" s="5"/>
      <c r="H394" s="5"/>
      <c r="I394" s="5"/>
      <c r="J394" s="5"/>
      <c r="K394" s="5"/>
    </row>
    <row r="395">
      <c r="F395" s="5"/>
      <c r="G395" s="5"/>
      <c r="H395" s="5"/>
      <c r="I395" s="5"/>
      <c r="J395" s="5"/>
      <c r="K395" s="5"/>
    </row>
    <row r="396">
      <c r="F396" s="5"/>
      <c r="G396" s="5"/>
      <c r="H396" s="5"/>
      <c r="I396" s="5"/>
      <c r="J396" s="5"/>
      <c r="K396" s="5"/>
    </row>
    <row r="397">
      <c r="F397" s="5"/>
      <c r="G397" s="5"/>
      <c r="H397" s="5"/>
      <c r="I397" s="5"/>
      <c r="J397" s="5"/>
      <c r="K397" s="5"/>
    </row>
    <row r="398">
      <c r="F398" s="5"/>
      <c r="G398" s="5"/>
      <c r="H398" s="5"/>
      <c r="I398" s="5"/>
      <c r="J398" s="5"/>
      <c r="K398" s="5"/>
    </row>
    <row r="399">
      <c r="F399" s="5"/>
      <c r="G399" s="5"/>
      <c r="H399" s="5"/>
      <c r="I399" s="5"/>
      <c r="J399" s="5"/>
      <c r="K399" s="5"/>
    </row>
    <row r="400">
      <c r="F400" s="5"/>
      <c r="G400" s="5"/>
      <c r="H400" s="5"/>
      <c r="I400" s="5"/>
      <c r="J400" s="5"/>
      <c r="K400" s="5"/>
    </row>
    <row r="401">
      <c r="F401" s="5"/>
      <c r="G401" s="5"/>
      <c r="H401" s="5"/>
      <c r="I401" s="5"/>
      <c r="J401" s="5"/>
      <c r="K401" s="5"/>
    </row>
    <row r="402">
      <c r="F402" s="5"/>
      <c r="G402" s="5"/>
      <c r="H402" s="5"/>
      <c r="I402" s="5"/>
      <c r="J402" s="5"/>
      <c r="K402" s="5"/>
    </row>
    <row r="403">
      <c r="F403" s="5"/>
      <c r="G403" s="5"/>
      <c r="H403" s="5"/>
      <c r="I403" s="5"/>
      <c r="J403" s="5"/>
      <c r="K403" s="5"/>
    </row>
    <row r="404">
      <c r="F404" s="5"/>
      <c r="G404" s="5"/>
      <c r="H404" s="5"/>
      <c r="I404" s="5"/>
      <c r="J404" s="5"/>
      <c r="K404" s="5"/>
    </row>
    <row r="405">
      <c r="F405" s="5"/>
      <c r="G405" s="5"/>
      <c r="H405" s="5"/>
      <c r="I405" s="5"/>
      <c r="J405" s="5"/>
      <c r="K405" s="5"/>
    </row>
    <row r="406">
      <c r="F406" s="5"/>
      <c r="G406" s="5"/>
      <c r="H406" s="5"/>
      <c r="I406" s="5"/>
      <c r="J406" s="5"/>
      <c r="K406" s="5"/>
    </row>
    <row r="407">
      <c r="F407" s="5"/>
      <c r="G407" s="5"/>
      <c r="H407" s="5"/>
      <c r="I407" s="5"/>
      <c r="J407" s="5"/>
      <c r="K407" s="5"/>
    </row>
    <row r="408">
      <c r="F408" s="5"/>
      <c r="G408" s="5"/>
      <c r="H408" s="5"/>
      <c r="I408" s="5"/>
      <c r="J408" s="5"/>
      <c r="K408" s="5"/>
    </row>
    <row r="409">
      <c r="F409" s="5"/>
      <c r="G409" s="5"/>
      <c r="H409" s="5"/>
      <c r="I409" s="5"/>
      <c r="J409" s="5"/>
      <c r="K409" s="5"/>
    </row>
    <row r="410">
      <c r="F410" s="5"/>
      <c r="G410" s="5"/>
      <c r="H410" s="5"/>
      <c r="I410" s="5"/>
      <c r="J410" s="5"/>
      <c r="K410" s="5"/>
    </row>
    <row r="411">
      <c r="F411" s="5"/>
      <c r="G411" s="5"/>
      <c r="H411" s="5"/>
      <c r="I411" s="5"/>
      <c r="J411" s="5"/>
      <c r="K411" s="5"/>
    </row>
    <row r="412">
      <c r="F412" s="5"/>
      <c r="G412" s="5"/>
      <c r="H412" s="5"/>
      <c r="I412" s="5"/>
      <c r="J412" s="5"/>
      <c r="K412" s="5"/>
    </row>
    <row r="413">
      <c r="F413" s="5"/>
      <c r="G413" s="5"/>
      <c r="H413" s="5"/>
      <c r="I413" s="5"/>
      <c r="J413" s="5"/>
      <c r="K413" s="5"/>
    </row>
    <row r="414">
      <c r="F414" s="5"/>
      <c r="G414" s="5"/>
      <c r="H414" s="5"/>
      <c r="I414" s="5"/>
      <c r="J414" s="5"/>
      <c r="K414" s="5"/>
    </row>
    <row r="415">
      <c r="F415" s="5"/>
      <c r="G415" s="5"/>
      <c r="H415" s="5"/>
      <c r="I415" s="5"/>
      <c r="J415" s="5"/>
      <c r="K415" s="5"/>
    </row>
    <row r="416">
      <c r="F416" s="5"/>
      <c r="G416" s="5"/>
      <c r="H416" s="5"/>
      <c r="I416" s="5"/>
      <c r="J416" s="5"/>
      <c r="K416" s="5"/>
    </row>
    <row r="417">
      <c r="F417" s="5"/>
      <c r="G417" s="5"/>
      <c r="H417" s="5"/>
      <c r="I417" s="5"/>
      <c r="J417" s="5"/>
      <c r="K417" s="5"/>
    </row>
    <row r="418">
      <c r="F418" s="5"/>
      <c r="G418" s="5"/>
      <c r="H418" s="5"/>
      <c r="I418" s="5"/>
      <c r="J418" s="5"/>
      <c r="K418" s="5"/>
    </row>
    <row r="419">
      <c r="F419" s="5"/>
      <c r="G419" s="5"/>
      <c r="H419" s="5"/>
      <c r="I419" s="5"/>
      <c r="J419" s="5"/>
      <c r="K419" s="5"/>
    </row>
    <row r="420">
      <c r="F420" s="5"/>
      <c r="G420" s="5"/>
      <c r="H420" s="5"/>
      <c r="I420" s="5"/>
      <c r="J420" s="5"/>
      <c r="K420" s="5"/>
    </row>
    <row r="421">
      <c r="F421" s="5"/>
      <c r="G421" s="5"/>
      <c r="H421" s="5"/>
      <c r="I421" s="5"/>
      <c r="J421" s="5"/>
      <c r="K421" s="5"/>
    </row>
    <row r="422">
      <c r="F422" s="5"/>
      <c r="G422" s="5"/>
      <c r="H422" s="5"/>
      <c r="I422" s="5"/>
      <c r="J422" s="5"/>
      <c r="K422" s="5"/>
    </row>
    <row r="423">
      <c r="F423" s="5"/>
      <c r="G423" s="5"/>
      <c r="H423" s="5"/>
      <c r="I423" s="5"/>
      <c r="J423" s="5"/>
      <c r="K423" s="5"/>
    </row>
    <row r="424">
      <c r="F424" s="5"/>
      <c r="G424" s="5"/>
      <c r="H424" s="5"/>
      <c r="I424" s="5"/>
      <c r="J424" s="5"/>
      <c r="K424" s="5"/>
    </row>
    <row r="425">
      <c r="F425" s="5"/>
      <c r="G425" s="5"/>
      <c r="H425" s="5"/>
      <c r="I425" s="5"/>
      <c r="J425" s="5"/>
      <c r="K425" s="5"/>
    </row>
    <row r="426">
      <c r="F426" s="5"/>
      <c r="G426" s="5"/>
      <c r="H426" s="5"/>
      <c r="I426" s="5"/>
      <c r="J426" s="5"/>
      <c r="K426" s="5"/>
    </row>
    <row r="427">
      <c r="F427" s="5"/>
      <c r="G427" s="5"/>
      <c r="H427" s="5"/>
      <c r="I427" s="5"/>
      <c r="J427" s="5"/>
      <c r="K427" s="5"/>
    </row>
    <row r="428">
      <c r="F428" s="5"/>
      <c r="G428" s="5"/>
      <c r="H428" s="5"/>
      <c r="I428" s="5"/>
      <c r="J428" s="5"/>
      <c r="K428" s="5"/>
    </row>
    <row r="429">
      <c r="F429" s="5"/>
      <c r="G429" s="5"/>
      <c r="H429" s="5"/>
      <c r="I429" s="5"/>
      <c r="J429" s="5"/>
      <c r="K429" s="5"/>
    </row>
    <row r="430">
      <c r="F430" s="5"/>
      <c r="G430" s="5"/>
      <c r="H430" s="5"/>
      <c r="I430" s="5"/>
      <c r="J430" s="5"/>
      <c r="K430" s="5"/>
    </row>
    <row r="431">
      <c r="F431" s="5"/>
      <c r="G431" s="5"/>
      <c r="H431" s="5"/>
      <c r="I431" s="5"/>
      <c r="J431" s="5"/>
      <c r="K431" s="5"/>
    </row>
    <row r="432">
      <c r="F432" s="5"/>
      <c r="G432" s="5"/>
      <c r="H432" s="5"/>
      <c r="I432" s="5"/>
      <c r="J432" s="5"/>
      <c r="K432" s="5"/>
    </row>
    <row r="433">
      <c r="F433" s="5"/>
      <c r="G433" s="5"/>
      <c r="H433" s="5"/>
      <c r="I433" s="5"/>
      <c r="J433" s="5"/>
      <c r="K433" s="5"/>
    </row>
    <row r="434">
      <c r="F434" s="5"/>
      <c r="G434" s="5"/>
      <c r="H434" s="5"/>
      <c r="I434" s="5"/>
      <c r="J434" s="5"/>
      <c r="K434" s="5"/>
    </row>
    <row r="435">
      <c r="F435" s="5"/>
      <c r="G435" s="5"/>
      <c r="H435" s="5"/>
      <c r="I435" s="5"/>
      <c r="J435" s="5"/>
      <c r="K435" s="5"/>
    </row>
    <row r="436">
      <c r="F436" s="5"/>
      <c r="G436" s="5"/>
      <c r="H436" s="5"/>
      <c r="I436" s="5"/>
      <c r="J436" s="5"/>
      <c r="K436" s="5"/>
    </row>
    <row r="437">
      <c r="F437" s="5"/>
      <c r="G437" s="5"/>
      <c r="H437" s="5"/>
      <c r="I437" s="5"/>
      <c r="J437" s="5"/>
      <c r="K437" s="5"/>
    </row>
    <row r="438">
      <c r="F438" s="5"/>
      <c r="G438" s="5"/>
      <c r="H438" s="5"/>
      <c r="I438" s="5"/>
      <c r="J438" s="5"/>
      <c r="K438" s="5"/>
    </row>
    <row r="439">
      <c r="F439" s="5"/>
      <c r="G439" s="5"/>
      <c r="H439" s="5"/>
      <c r="I439" s="5"/>
      <c r="J439" s="5"/>
      <c r="K439" s="5"/>
    </row>
    <row r="440">
      <c r="F440" s="5"/>
      <c r="G440" s="5"/>
      <c r="H440" s="5"/>
      <c r="I440" s="5"/>
      <c r="J440" s="5"/>
      <c r="K440" s="5"/>
    </row>
    <row r="441">
      <c r="F441" s="5"/>
      <c r="G441" s="5"/>
      <c r="H441" s="5"/>
      <c r="I441" s="5"/>
      <c r="J441" s="5"/>
      <c r="K441" s="5"/>
    </row>
    <row r="442">
      <c r="F442" s="5"/>
      <c r="G442" s="5"/>
      <c r="H442" s="5"/>
      <c r="I442" s="5"/>
      <c r="J442" s="5"/>
      <c r="K442" s="5"/>
    </row>
    <row r="443">
      <c r="F443" s="5"/>
      <c r="G443" s="5"/>
      <c r="H443" s="5"/>
      <c r="I443" s="5"/>
      <c r="J443" s="5"/>
      <c r="K443" s="5"/>
    </row>
    <row r="444">
      <c r="F444" s="5"/>
      <c r="G444" s="5"/>
      <c r="H444" s="5"/>
      <c r="I444" s="5"/>
      <c r="J444" s="5"/>
      <c r="K444" s="5"/>
    </row>
    <row r="445">
      <c r="F445" s="5"/>
      <c r="G445" s="5"/>
      <c r="H445" s="5"/>
      <c r="I445" s="5"/>
      <c r="J445" s="5"/>
      <c r="K445" s="5"/>
    </row>
    <row r="446">
      <c r="F446" s="5"/>
      <c r="G446" s="5"/>
      <c r="H446" s="5"/>
      <c r="I446" s="5"/>
      <c r="J446" s="5"/>
      <c r="K446" s="5"/>
    </row>
    <row r="447">
      <c r="F447" s="5"/>
      <c r="G447" s="5"/>
      <c r="H447" s="5"/>
      <c r="I447" s="5"/>
      <c r="J447" s="5"/>
      <c r="K447" s="5"/>
    </row>
    <row r="448">
      <c r="F448" s="5"/>
      <c r="G448" s="5"/>
      <c r="H448" s="5"/>
      <c r="I448" s="5"/>
      <c r="J448" s="5"/>
      <c r="K448" s="5"/>
    </row>
    <row r="449">
      <c r="F449" s="5"/>
      <c r="G449" s="5"/>
      <c r="H449" s="5"/>
      <c r="I449" s="5"/>
      <c r="J449" s="5"/>
      <c r="K449" s="5"/>
    </row>
    <row r="450">
      <c r="F450" s="5"/>
      <c r="G450" s="5"/>
      <c r="H450" s="5"/>
      <c r="I450" s="5"/>
      <c r="J450" s="5"/>
      <c r="K450" s="5"/>
    </row>
    <row r="451">
      <c r="F451" s="5"/>
      <c r="G451" s="5"/>
      <c r="H451" s="5"/>
      <c r="I451" s="5"/>
      <c r="J451" s="5"/>
      <c r="K451" s="5"/>
    </row>
    <row r="452">
      <c r="F452" s="5"/>
      <c r="G452" s="5"/>
      <c r="H452" s="5"/>
      <c r="I452" s="5"/>
      <c r="J452" s="5"/>
      <c r="K452" s="5"/>
    </row>
    <row r="453">
      <c r="F453" s="5"/>
      <c r="G453" s="5"/>
      <c r="H453" s="5"/>
      <c r="I453" s="5"/>
      <c r="J453" s="5"/>
      <c r="K453" s="5"/>
    </row>
    <row r="454">
      <c r="F454" s="5"/>
      <c r="G454" s="5"/>
      <c r="H454" s="5"/>
      <c r="I454" s="5"/>
      <c r="J454" s="5"/>
      <c r="K454" s="5"/>
    </row>
    <row r="455">
      <c r="F455" s="5"/>
      <c r="G455" s="5"/>
      <c r="H455" s="5"/>
      <c r="I455" s="5"/>
      <c r="J455" s="5"/>
      <c r="K455" s="5"/>
    </row>
    <row r="456">
      <c r="F456" s="5"/>
      <c r="G456" s="5"/>
      <c r="H456" s="5"/>
      <c r="I456" s="5"/>
      <c r="J456" s="5"/>
      <c r="K456" s="5"/>
    </row>
    <row r="457">
      <c r="F457" s="5"/>
      <c r="G457" s="5"/>
      <c r="H457" s="5"/>
      <c r="I457" s="5"/>
      <c r="J457" s="5"/>
      <c r="K457" s="5"/>
    </row>
    <row r="458">
      <c r="F458" s="5"/>
      <c r="G458" s="5"/>
      <c r="H458" s="5"/>
      <c r="I458" s="5"/>
      <c r="J458" s="5"/>
      <c r="K458" s="5"/>
    </row>
    <row r="459">
      <c r="F459" s="5"/>
      <c r="G459" s="5"/>
      <c r="H459" s="5"/>
      <c r="I459" s="5"/>
      <c r="J459" s="5"/>
      <c r="K459" s="5"/>
    </row>
    <row r="460">
      <c r="F460" s="5"/>
      <c r="G460" s="5"/>
      <c r="H460" s="5"/>
      <c r="I460" s="5"/>
      <c r="J460" s="5"/>
      <c r="K460" s="5"/>
    </row>
    <row r="461">
      <c r="F461" s="5"/>
      <c r="G461" s="5"/>
      <c r="H461" s="5"/>
      <c r="I461" s="5"/>
      <c r="J461" s="5"/>
      <c r="K461" s="5"/>
    </row>
    <row r="462">
      <c r="F462" s="5"/>
      <c r="G462" s="5"/>
      <c r="H462" s="5"/>
      <c r="I462" s="5"/>
      <c r="J462" s="5"/>
      <c r="K462" s="5"/>
    </row>
    <row r="463">
      <c r="F463" s="5"/>
      <c r="G463" s="5"/>
      <c r="H463" s="5"/>
      <c r="I463" s="5"/>
      <c r="J463" s="5"/>
      <c r="K463" s="5"/>
    </row>
    <row r="464">
      <c r="F464" s="5"/>
      <c r="G464" s="5"/>
      <c r="H464" s="5"/>
      <c r="I464" s="5"/>
      <c r="J464" s="5"/>
      <c r="K464" s="5"/>
    </row>
    <row r="465">
      <c r="F465" s="5"/>
      <c r="G465" s="5"/>
      <c r="H465" s="5"/>
      <c r="I465" s="5"/>
      <c r="J465" s="5"/>
      <c r="K465" s="5"/>
    </row>
    <row r="466">
      <c r="F466" s="5"/>
      <c r="G466" s="5"/>
      <c r="H466" s="5"/>
      <c r="I466" s="5"/>
      <c r="J466" s="5"/>
      <c r="K466" s="5"/>
    </row>
    <row r="467">
      <c r="F467" s="5"/>
      <c r="G467" s="5"/>
      <c r="H467" s="5"/>
      <c r="I467" s="5"/>
      <c r="J467" s="5"/>
      <c r="K467" s="5"/>
    </row>
    <row r="468">
      <c r="F468" s="5"/>
      <c r="G468" s="5"/>
      <c r="H468" s="5"/>
      <c r="I468" s="5"/>
      <c r="J468" s="5"/>
      <c r="K468" s="5"/>
    </row>
    <row r="469">
      <c r="F469" s="5"/>
      <c r="G469" s="5"/>
      <c r="H469" s="5"/>
      <c r="I469" s="5"/>
      <c r="J469" s="5"/>
      <c r="K469" s="5"/>
    </row>
    <row r="470">
      <c r="F470" s="5"/>
      <c r="G470" s="5"/>
      <c r="H470" s="5"/>
      <c r="I470" s="5"/>
      <c r="J470" s="5"/>
      <c r="K470" s="5"/>
    </row>
    <row r="471">
      <c r="F471" s="5"/>
      <c r="G471" s="5"/>
      <c r="H471" s="5"/>
      <c r="I471" s="5"/>
      <c r="J471" s="5"/>
      <c r="K471" s="5"/>
    </row>
    <row r="472">
      <c r="F472" s="5"/>
      <c r="G472" s="5"/>
      <c r="H472" s="5"/>
      <c r="I472" s="5"/>
      <c r="J472" s="5"/>
      <c r="K472" s="5"/>
    </row>
    <row r="473">
      <c r="F473" s="5"/>
      <c r="G473" s="5"/>
      <c r="H473" s="5"/>
      <c r="I473" s="5"/>
      <c r="J473" s="5"/>
      <c r="K473" s="5"/>
    </row>
    <row r="474">
      <c r="F474" s="5"/>
      <c r="G474" s="5"/>
      <c r="H474" s="5"/>
      <c r="I474" s="5"/>
      <c r="J474" s="5"/>
      <c r="K474" s="5"/>
    </row>
    <row r="475">
      <c r="F475" s="5"/>
      <c r="G475" s="5"/>
      <c r="H475" s="5"/>
      <c r="I475" s="5"/>
      <c r="J475" s="5"/>
      <c r="K475" s="5"/>
    </row>
    <row r="476">
      <c r="F476" s="5"/>
      <c r="G476" s="5"/>
      <c r="H476" s="5"/>
      <c r="I476" s="5"/>
      <c r="J476" s="5"/>
      <c r="K476" s="5"/>
    </row>
    <row r="477">
      <c r="F477" s="5"/>
      <c r="G477" s="5"/>
      <c r="H477" s="5"/>
      <c r="I477" s="5"/>
      <c r="J477" s="5"/>
      <c r="K477" s="5"/>
    </row>
    <row r="478">
      <c r="F478" s="5"/>
      <c r="G478" s="5"/>
      <c r="H478" s="5"/>
      <c r="I478" s="5"/>
      <c r="J478" s="5"/>
      <c r="K478" s="5"/>
    </row>
    <row r="479">
      <c r="F479" s="5"/>
      <c r="G479" s="5"/>
      <c r="H479" s="5"/>
      <c r="I479" s="5"/>
      <c r="J479" s="5"/>
      <c r="K479" s="5"/>
    </row>
    <row r="480">
      <c r="F480" s="5"/>
      <c r="G480" s="5"/>
      <c r="H480" s="5"/>
      <c r="I480" s="5"/>
      <c r="J480" s="5"/>
      <c r="K480" s="5"/>
    </row>
    <row r="481">
      <c r="F481" s="5"/>
      <c r="G481" s="5"/>
      <c r="H481" s="5"/>
      <c r="I481" s="5"/>
      <c r="J481" s="5"/>
      <c r="K481" s="5"/>
    </row>
    <row r="482">
      <c r="F482" s="5"/>
      <c r="G482" s="5"/>
      <c r="H482" s="5"/>
      <c r="I482" s="5"/>
      <c r="J482" s="5"/>
      <c r="K482" s="5"/>
    </row>
    <row r="483">
      <c r="F483" s="5"/>
      <c r="G483" s="5"/>
      <c r="H483" s="5"/>
      <c r="I483" s="5"/>
      <c r="J483" s="5"/>
      <c r="K483" s="5"/>
    </row>
    <row r="484">
      <c r="F484" s="5"/>
      <c r="G484" s="5"/>
      <c r="H484" s="5"/>
      <c r="I484" s="5"/>
      <c r="J484" s="5"/>
      <c r="K484" s="5"/>
    </row>
    <row r="485">
      <c r="F485" s="5"/>
      <c r="G485" s="5"/>
      <c r="H485" s="5"/>
      <c r="I485" s="5"/>
      <c r="J485" s="5"/>
      <c r="K485" s="5"/>
    </row>
    <row r="486">
      <c r="F486" s="5"/>
      <c r="G486" s="5"/>
      <c r="H486" s="5"/>
      <c r="I486" s="5"/>
      <c r="J486" s="5"/>
      <c r="K486" s="5"/>
    </row>
    <row r="487">
      <c r="F487" s="5"/>
      <c r="G487" s="5"/>
      <c r="H487" s="5"/>
      <c r="I487" s="5"/>
      <c r="J487" s="5"/>
      <c r="K487" s="5"/>
    </row>
    <row r="488">
      <c r="F488" s="5"/>
      <c r="G488" s="5"/>
      <c r="H488" s="5"/>
      <c r="I488" s="5"/>
      <c r="J488" s="5"/>
      <c r="K488" s="5"/>
    </row>
    <row r="489">
      <c r="F489" s="5"/>
      <c r="G489" s="5"/>
      <c r="H489" s="5"/>
      <c r="I489" s="5"/>
      <c r="J489" s="5"/>
      <c r="K489" s="5"/>
    </row>
    <row r="490">
      <c r="F490" s="5"/>
      <c r="G490" s="5"/>
      <c r="H490" s="5"/>
      <c r="I490" s="5"/>
      <c r="J490" s="5"/>
      <c r="K490" s="5"/>
    </row>
    <row r="491">
      <c r="F491" s="5"/>
      <c r="G491" s="5"/>
      <c r="H491" s="5"/>
      <c r="I491" s="5"/>
      <c r="J491" s="5"/>
      <c r="K491" s="5"/>
    </row>
    <row r="492">
      <c r="F492" s="5"/>
      <c r="G492" s="5"/>
      <c r="H492" s="5"/>
      <c r="I492" s="5"/>
      <c r="J492" s="5"/>
      <c r="K492" s="5"/>
    </row>
    <row r="493">
      <c r="F493" s="5"/>
      <c r="G493" s="5"/>
      <c r="H493" s="5"/>
      <c r="I493" s="5"/>
      <c r="J493" s="5"/>
      <c r="K493" s="5"/>
    </row>
    <row r="494">
      <c r="F494" s="5"/>
      <c r="G494" s="5"/>
      <c r="H494" s="5"/>
      <c r="I494" s="5"/>
      <c r="J494" s="5"/>
      <c r="K494" s="5"/>
    </row>
    <row r="495">
      <c r="F495" s="5"/>
      <c r="G495" s="5"/>
      <c r="H495" s="5"/>
      <c r="I495" s="5"/>
      <c r="J495" s="5"/>
      <c r="K495" s="5"/>
    </row>
    <row r="496">
      <c r="F496" s="5"/>
      <c r="G496" s="5"/>
      <c r="H496" s="5"/>
      <c r="I496" s="5"/>
      <c r="J496" s="5"/>
      <c r="K496" s="5"/>
    </row>
    <row r="497">
      <c r="F497" s="5"/>
      <c r="G497" s="5"/>
      <c r="H497" s="5"/>
      <c r="I497" s="5"/>
      <c r="J497" s="5"/>
      <c r="K497" s="5"/>
    </row>
    <row r="498">
      <c r="F498" s="5"/>
      <c r="G498" s="5"/>
      <c r="H498" s="5"/>
      <c r="I498" s="5"/>
      <c r="J498" s="5"/>
      <c r="K498" s="5"/>
    </row>
    <row r="499">
      <c r="F499" s="5"/>
      <c r="G499" s="5"/>
      <c r="H499" s="5"/>
      <c r="I499" s="5"/>
      <c r="J499" s="5"/>
      <c r="K499" s="5"/>
    </row>
    <row r="500">
      <c r="F500" s="5"/>
      <c r="G500" s="5"/>
      <c r="H500" s="5"/>
      <c r="I500" s="5"/>
      <c r="J500" s="5"/>
      <c r="K500" s="5"/>
    </row>
    <row r="501">
      <c r="F501" s="5"/>
      <c r="G501" s="5"/>
      <c r="H501" s="5"/>
      <c r="I501" s="5"/>
      <c r="J501" s="5"/>
      <c r="K501" s="5"/>
    </row>
    <row r="502">
      <c r="F502" s="5"/>
      <c r="G502" s="5"/>
      <c r="H502" s="5"/>
      <c r="I502" s="5"/>
      <c r="J502" s="5"/>
      <c r="K502" s="5"/>
    </row>
    <row r="503">
      <c r="F503" s="5"/>
      <c r="G503" s="5"/>
      <c r="H503" s="5"/>
      <c r="I503" s="5"/>
      <c r="J503" s="5"/>
      <c r="K503" s="5"/>
    </row>
    <row r="504">
      <c r="F504" s="5"/>
      <c r="G504" s="5"/>
      <c r="H504" s="5"/>
      <c r="I504" s="5"/>
      <c r="J504" s="5"/>
      <c r="K504" s="5"/>
    </row>
    <row r="505">
      <c r="F505" s="5"/>
      <c r="G505" s="5"/>
      <c r="H505" s="5"/>
      <c r="I505" s="5"/>
      <c r="J505" s="5"/>
      <c r="K505" s="5"/>
    </row>
    <row r="506">
      <c r="F506" s="5"/>
      <c r="G506" s="5"/>
      <c r="H506" s="5"/>
      <c r="I506" s="5"/>
      <c r="J506" s="5"/>
      <c r="K506" s="5"/>
    </row>
    <row r="507">
      <c r="F507" s="5"/>
      <c r="G507" s="5"/>
      <c r="H507" s="5"/>
      <c r="I507" s="5"/>
      <c r="J507" s="5"/>
      <c r="K507" s="5"/>
    </row>
    <row r="508">
      <c r="F508" s="5"/>
      <c r="G508" s="5"/>
      <c r="H508" s="5"/>
      <c r="I508" s="5"/>
      <c r="J508" s="5"/>
      <c r="K508" s="5"/>
    </row>
    <row r="509">
      <c r="F509" s="5"/>
      <c r="G509" s="5"/>
      <c r="H509" s="5"/>
      <c r="I509" s="5"/>
      <c r="J509" s="5"/>
      <c r="K509" s="5"/>
    </row>
    <row r="510">
      <c r="F510" s="5"/>
      <c r="G510" s="5"/>
      <c r="H510" s="5"/>
      <c r="I510" s="5"/>
      <c r="J510" s="5"/>
      <c r="K510" s="5"/>
    </row>
    <row r="511">
      <c r="F511" s="5"/>
      <c r="G511" s="5"/>
      <c r="H511" s="5"/>
      <c r="I511" s="5"/>
      <c r="J511" s="5"/>
      <c r="K511" s="5"/>
    </row>
    <row r="512">
      <c r="F512" s="5"/>
      <c r="G512" s="5"/>
      <c r="H512" s="5"/>
      <c r="I512" s="5"/>
      <c r="J512" s="5"/>
      <c r="K512" s="5"/>
    </row>
    <row r="513">
      <c r="F513" s="5"/>
      <c r="G513" s="5"/>
      <c r="H513" s="5"/>
      <c r="I513" s="5"/>
      <c r="J513" s="5"/>
      <c r="K513" s="5"/>
    </row>
    <row r="514">
      <c r="F514" s="5"/>
      <c r="G514" s="5"/>
      <c r="H514" s="5"/>
      <c r="I514" s="5"/>
      <c r="J514" s="5"/>
      <c r="K514" s="5"/>
    </row>
    <row r="515">
      <c r="F515" s="5"/>
      <c r="G515" s="5"/>
      <c r="H515" s="5"/>
      <c r="I515" s="5"/>
      <c r="J515" s="5"/>
      <c r="K515" s="5"/>
    </row>
    <row r="516">
      <c r="F516" s="5"/>
      <c r="G516" s="5"/>
      <c r="H516" s="5"/>
      <c r="I516" s="5"/>
      <c r="J516" s="5"/>
      <c r="K516" s="5"/>
    </row>
    <row r="517">
      <c r="F517" s="5"/>
      <c r="G517" s="5"/>
      <c r="H517" s="5"/>
      <c r="I517" s="5"/>
      <c r="J517" s="5"/>
      <c r="K517" s="5"/>
    </row>
    <row r="518">
      <c r="F518" s="5"/>
      <c r="G518" s="5"/>
      <c r="H518" s="5"/>
      <c r="I518" s="5"/>
      <c r="J518" s="5"/>
      <c r="K518" s="5"/>
    </row>
    <row r="519">
      <c r="F519" s="5"/>
      <c r="G519" s="5"/>
      <c r="H519" s="5"/>
      <c r="I519" s="5"/>
      <c r="J519" s="5"/>
      <c r="K519" s="5"/>
    </row>
    <row r="520">
      <c r="F520" s="5"/>
      <c r="G520" s="5"/>
      <c r="H520" s="5"/>
      <c r="I520" s="5"/>
      <c r="J520" s="5"/>
      <c r="K520" s="5"/>
    </row>
    <row r="521">
      <c r="F521" s="5"/>
      <c r="G521" s="5"/>
      <c r="H521" s="5"/>
      <c r="I521" s="5"/>
      <c r="J521" s="5"/>
      <c r="K521" s="5"/>
    </row>
    <row r="522">
      <c r="F522" s="5"/>
      <c r="G522" s="5"/>
      <c r="H522" s="5"/>
      <c r="I522" s="5"/>
      <c r="J522" s="5"/>
      <c r="K522" s="5"/>
    </row>
    <row r="523">
      <c r="F523" s="5"/>
      <c r="G523" s="5"/>
      <c r="H523" s="5"/>
      <c r="I523" s="5"/>
      <c r="J523" s="5"/>
      <c r="K523" s="5"/>
    </row>
    <row r="524">
      <c r="F524" s="5"/>
      <c r="G524" s="5"/>
      <c r="H524" s="5"/>
      <c r="I524" s="5"/>
      <c r="J524" s="5"/>
      <c r="K524" s="5"/>
    </row>
    <row r="525">
      <c r="F525" s="5"/>
      <c r="G525" s="5"/>
      <c r="H525" s="5"/>
      <c r="I525" s="5"/>
      <c r="J525" s="5"/>
      <c r="K525" s="5"/>
    </row>
    <row r="526">
      <c r="F526" s="5"/>
      <c r="G526" s="5"/>
      <c r="H526" s="5"/>
      <c r="I526" s="5"/>
      <c r="J526" s="5"/>
      <c r="K526" s="5"/>
    </row>
    <row r="527">
      <c r="F527" s="5"/>
      <c r="G527" s="5"/>
      <c r="H527" s="5"/>
      <c r="I527" s="5"/>
      <c r="J527" s="5"/>
      <c r="K527" s="5"/>
    </row>
    <row r="528">
      <c r="F528" s="5"/>
      <c r="G528" s="5"/>
      <c r="H528" s="5"/>
      <c r="I528" s="5"/>
      <c r="J528" s="5"/>
      <c r="K528" s="5"/>
    </row>
    <row r="529">
      <c r="F529" s="5"/>
      <c r="G529" s="5"/>
      <c r="H529" s="5"/>
      <c r="I529" s="5"/>
      <c r="J529" s="5"/>
      <c r="K529" s="5"/>
    </row>
    <row r="530">
      <c r="F530" s="5"/>
      <c r="G530" s="5"/>
      <c r="H530" s="5"/>
      <c r="I530" s="5"/>
      <c r="J530" s="5"/>
      <c r="K530" s="5"/>
    </row>
    <row r="531">
      <c r="F531" s="5"/>
      <c r="G531" s="5"/>
      <c r="H531" s="5"/>
      <c r="I531" s="5"/>
      <c r="J531" s="5"/>
      <c r="K531" s="5"/>
    </row>
    <row r="532">
      <c r="F532" s="5"/>
      <c r="G532" s="5"/>
      <c r="H532" s="5"/>
      <c r="I532" s="5"/>
      <c r="J532" s="5"/>
      <c r="K532" s="5"/>
    </row>
    <row r="533">
      <c r="F533" s="5"/>
      <c r="G533" s="5"/>
      <c r="H533" s="5"/>
      <c r="I533" s="5"/>
      <c r="J533" s="5"/>
      <c r="K533" s="5"/>
    </row>
    <row r="534">
      <c r="F534" s="5"/>
      <c r="G534" s="5"/>
      <c r="H534" s="5"/>
      <c r="I534" s="5"/>
      <c r="J534" s="5"/>
      <c r="K534" s="5"/>
    </row>
    <row r="535">
      <c r="F535" s="5"/>
      <c r="G535" s="5"/>
      <c r="H535" s="5"/>
      <c r="I535" s="5"/>
      <c r="J535" s="5"/>
      <c r="K535" s="5"/>
    </row>
    <row r="536">
      <c r="F536" s="5"/>
      <c r="G536" s="5"/>
      <c r="H536" s="5"/>
      <c r="I536" s="5"/>
      <c r="J536" s="5"/>
      <c r="K536" s="5"/>
    </row>
    <row r="537">
      <c r="F537" s="5"/>
      <c r="G537" s="5"/>
      <c r="H537" s="5"/>
      <c r="I537" s="5"/>
      <c r="J537" s="5"/>
      <c r="K537" s="5"/>
    </row>
    <row r="538">
      <c r="F538" s="5"/>
      <c r="G538" s="5"/>
      <c r="H538" s="5"/>
      <c r="I538" s="5"/>
      <c r="J538" s="5"/>
      <c r="K538" s="5"/>
    </row>
    <row r="539">
      <c r="F539" s="5"/>
      <c r="G539" s="5"/>
      <c r="H539" s="5"/>
      <c r="I539" s="5"/>
      <c r="J539" s="5"/>
      <c r="K539" s="5"/>
    </row>
    <row r="540">
      <c r="F540" s="5"/>
      <c r="G540" s="5"/>
      <c r="H540" s="5"/>
      <c r="I540" s="5"/>
      <c r="J540" s="5"/>
      <c r="K540" s="5"/>
    </row>
    <row r="541">
      <c r="F541" s="5"/>
      <c r="G541" s="5"/>
      <c r="H541" s="5"/>
      <c r="I541" s="5"/>
      <c r="J541" s="5"/>
      <c r="K541" s="5"/>
    </row>
    <row r="542">
      <c r="F542" s="5"/>
      <c r="G542" s="5"/>
      <c r="H542" s="5"/>
      <c r="I542" s="5"/>
      <c r="J542" s="5"/>
      <c r="K542" s="5"/>
    </row>
    <row r="543">
      <c r="F543" s="5"/>
      <c r="G543" s="5"/>
      <c r="H543" s="5"/>
      <c r="I543" s="5"/>
      <c r="J543" s="5"/>
      <c r="K543" s="5"/>
    </row>
    <row r="544">
      <c r="F544" s="5"/>
      <c r="G544" s="5"/>
      <c r="H544" s="5"/>
      <c r="I544" s="5"/>
      <c r="J544" s="5"/>
      <c r="K544" s="5"/>
    </row>
    <row r="545">
      <c r="F545" s="5"/>
      <c r="G545" s="5"/>
      <c r="H545" s="5"/>
      <c r="I545" s="5"/>
      <c r="J545" s="5"/>
      <c r="K545" s="5"/>
    </row>
    <row r="546">
      <c r="F546" s="5"/>
      <c r="G546" s="5"/>
      <c r="H546" s="5"/>
      <c r="I546" s="5"/>
      <c r="J546" s="5"/>
      <c r="K546" s="5"/>
    </row>
    <row r="547">
      <c r="F547" s="5"/>
      <c r="G547" s="5"/>
      <c r="H547" s="5"/>
      <c r="I547" s="5"/>
      <c r="J547" s="5"/>
      <c r="K547" s="5"/>
    </row>
    <row r="548">
      <c r="F548" s="5"/>
      <c r="G548" s="5"/>
      <c r="H548" s="5"/>
      <c r="I548" s="5"/>
      <c r="J548" s="5"/>
      <c r="K548" s="5"/>
    </row>
    <row r="549">
      <c r="F549" s="5"/>
      <c r="G549" s="5"/>
      <c r="H549" s="5"/>
      <c r="I549" s="5"/>
      <c r="J549" s="5"/>
      <c r="K549" s="5"/>
    </row>
    <row r="550">
      <c r="F550" s="5"/>
      <c r="G550" s="5"/>
      <c r="H550" s="5"/>
      <c r="I550" s="5"/>
      <c r="J550" s="5"/>
      <c r="K550" s="5"/>
    </row>
    <row r="551">
      <c r="F551" s="5"/>
      <c r="G551" s="5"/>
      <c r="H551" s="5"/>
      <c r="I551" s="5"/>
      <c r="J551" s="5"/>
      <c r="K551" s="5"/>
    </row>
    <row r="552">
      <c r="F552" s="5"/>
      <c r="G552" s="5"/>
      <c r="H552" s="5"/>
      <c r="I552" s="5"/>
      <c r="J552" s="5"/>
      <c r="K552" s="5"/>
    </row>
    <row r="553">
      <c r="F553" s="5"/>
      <c r="G553" s="5"/>
      <c r="H553" s="5"/>
      <c r="I553" s="5"/>
      <c r="J553" s="5"/>
      <c r="K553" s="5"/>
    </row>
    <row r="554">
      <c r="F554" s="5"/>
      <c r="G554" s="5"/>
      <c r="H554" s="5"/>
      <c r="I554" s="5"/>
      <c r="J554" s="5"/>
      <c r="K554" s="5"/>
    </row>
    <row r="555">
      <c r="F555" s="5"/>
      <c r="G555" s="5"/>
      <c r="H555" s="5"/>
      <c r="I555" s="5"/>
      <c r="J555" s="5"/>
      <c r="K555" s="5"/>
    </row>
    <row r="556">
      <c r="F556" s="5"/>
      <c r="G556" s="5"/>
      <c r="H556" s="5"/>
      <c r="I556" s="5"/>
      <c r="J556" s="5"/>
      <c r="K556" s="5"/>
    </row>
    <row r="557">
      <c r="F557" s="5"/>
      <c r="G557" s="5"/>
      <c r="H557" s="5"/>
      <c r="I557" s="5"/>
      <c r="J557" s="5"/>
      <c r="K557" s="5"/>
    </row>
    <row r="558">
      <c r="F558" s="5"/>
      <c r="G558" s="5"/>
      <c r="H558" s="5"/>
      <c r="I558" s="5"/>
      <c r="J558" s="5"/>
      <c r="K558" s="5"/>
    </row>
    <row r="559">
      <c r="F559" s="5"/>
      <c r="G559" s="5"/>
      <c r="H559" s="5"/>
      <c r="I559" s="5"/>
      <c r="J559" s="5"/>
      <c r="K559" s="5"/>
    </row>
    <row r="560">
      <c r="F560" s="5"/>
      <c r="G560" s="5"/>
      <c r="H560" s="5"/>
      <c r="I560" s="5"/>
      <c r="J560" s="5"/>
      <c r="K560" s="5"/>
    </row>
    <row r="561">
      <c r="F561" s="5"/>
      <c r="G561" s="5"/>
      <c r="H561" s="5"/>
      <c r="I561" s="5"/>
      <c r="J561" s="5"/>
      <c r="K561" s="5"/>
    </row>
    <row r="562">
      <c r="F562" s="5"/>
      <c r="G562" s="5"/>
      <c r="H562" s="5"/>
      <c r="I562" s="5"/>
      <c r="J562" s="5"/>
      <c r="K562" s="5"/>
    </row>
    <row r="563">
      <c r="F563" s="5"/>
      <c r="G563" s="5"/>
      <c r="H563" s="5"/>
      <c r="I563" s="5"/>
      <c r="J563" s="5"/>
      <c r="K563" s="5"/>
    </row>
    <row r="564">
      <c r="F564" s="5"/>
      <c r="G564" s="5"/>
      <c r="H564" s="5"/>
      <c r="I564" s="5"/>
      <c r="J564" s="5"/>
      <c r="K564" s="5"/>
    </row>
    <row r="565">
      <c r="F565" s="5"/>
      <c r="G565" s="5"/>
      <c r="H565" s="5"/>
      <c r="I565" s="5"/>
      <c r="J565" s="5"/>
      <c r="K565" s="5"/>
    </row>
    <row r="566">
      <c r="F566" s="5"/>
      <c r="G566" s="5"/>
      <c r="H566" s="5"/>
      <c r="I566" s="5"/>
      <c r="J566" s="5"/>
      <c r="K566" s="5"/>
    </row>
    <row r="567">
      <c r="F567" s="5"/>
      <c r="G567" s="5"/>
      <c r="H567" s="5"/>
      <c r="I567" s="5"/>
      <c r="J567" s="5"/>
      <c r="K567" s="5"/>
    </row>
    <row r="568">
      <c r="F568" s="5"/>
      <c r="G568" s="5"/>
      <c r="H568" s="5"/>
      <c r="I568" s="5"/>
      <c r="J568" s="5"/>
      <c r="K568" s="5"/>
    </row>
    <row r="569">
      <c r="F569" s="5"/>
      <c r="G569" s="5"/>
      <c r="H569" s="5"/>
      <c r="I569" s="5"/>
      <c r="J569" s="5"/>
      <c r="K569" s="5"/>
    </row>
    <row r="570">
      <c r="F570" s="5"/>
      <c r="G570" s="5"/>
      <c r="H570" s="5"/>
      <c r="I570" s="5"/>
      <c r="J570" s="5"/>
      <c r="K570" s="5"/>
    </row>
    <row r="571">
      <c r="F571" s="5"/>
      <c r="G571" s="5"/>
      <c r="H571" s="5"/>
      <c r="I571" s="5"/>
      <c r="J571" s="5"/>
      <c r="K571" s="5"/>
    </row>
    <row r="572">
      <c r="F572" s="5"/>
      <c r="G572" s="5"/>
      <c r="H572" s="5"/>
      <c r="I572" s="5"/>
      <c r="J572" s="5"/>
      <c r="K572" s="5"/>
    </row>
    <row r="573">
      <c r="F573" s="5"/>
      <c r="G573" s="5"/>
      <c r="H573" s="5"/>
      <c r="I573" s="5"/>
      <c r="J573" s="5"/>
      <c r="K573" s="5"/>
    </row>
    <row r="574">
      <c r="F574" s="5"/>
      <c r="G574" s="5"/>
      <c r="H574" s="5"/>
      <c r="I574" s="5"/>
      <c r="J574" s="5"/>
      <c r="K574" s="5"/>
    </row>
    <row r="575">
      <c r="F575" s="5"/>
      <c r="G575" s="5"/>
      <c r="H575" s="5"/>
      <c r="I575" s="5"/>
      <c r="J575" s="5"/>
      <c r="K575" s="5"/>
    </row>
    <row r="576">
      <c r="F576" s="5"/>
      <c r="G576" s="5"/>
      <c r="H576" s="5"/>
      <c r="I576" s="5"/>
      <c r="J576" s="5"/>
      <c r="K576" s="5"/>
    </row>
    <row r="577">
      <c r="F577" s="5"/>
      <c r="G577" s="5"/>
      <c r="H577" s="5"/>
      <c r="I577" s="5"/>
      <c r="J577" s="5"/>
      <c r="K577" s="5"/>
    </row>
    <row r="578">
      <c r="F578" s="5"/>
      <c r="G578" s="5"/>
      <c r="H578" s="5"/>
      <c r="I578" s="5"/>
      <c r="J578" s="5"/>
      <c r="K578" s="5"/>
    </row>
    <row r="579">
      <c r="F579" s="5"/>
      <c r="G579" s="5"/>
      <c r="H579" s="5"/>
      <c r="I579" s="5"/>
      <c r="J579" s="5"/>
      <c r="K579" s="5"/>
    </row>
    <row r="580">
      <c r="F580" s="5"/>
      <c r="G580" s="5"/>
      <c r="H580" s="5"/>
      <c r="I580" s="5"/>
      <c r="J580" s="5"/>
      <c r="K580" s="5"/>
    </row>
    <row r="581">
      <c r="F581" s="5"/>
      <c r="G581" s="5"/>
      <c r="H581" s="5"/>
      <c r="I581" s="5"/>
      <c r="J581" s="5"/>
      <c r="K581" s="5"/>
    </row>
    <row r="582">
      <c r="F582" s="5"/>
      <c r="G582" s="5"/>
      <c r="H582" s="5"/>
      <c r="I582" s="5"/>
      <c r="J582" s="5"/>
      <c r="K582" s="5"/>
    </row>
    <row r="583">
      <c r="F583" s="5"/>
      <c r="G583" s="5"/>
      <c r="H583" s="5"/>
      <c r="I583" s="5"/>
      <c r="J583" s="5"/>
      <c r="K583" s="5"/>
    </row>
    <row r="584">
      <c r="F584" s="5"/>
      <c r="G584" s="5"/>
      <c r="H584" s="5"/>
      <c r="I584" s="5"/>
      <c r="J584" s="5"/>
      <c r="K584" s="5"/>
    </row>
    <row r="585">
      <c r="F585" s="5"/>
      <c r="G585" s="5"/>
      <c r="H585" s="5"/>
      <c r="I585" s="5"/>
      <c r="J585" s="5"/>
      <c r="K585" s="5"/>
    </row>
    <row r="586">
      <c r="F586" s="5"/>
      <c r="G586" s="5"/>
      <c r="H586" s="5"/>
      <c r="I586" s="5"/>
      <c r="J586" s="5"/>
      <c r="K586" s="5"/>
    </row>
    <row r="587">
      <c r="F587" s="5"/>
      <c r="G587" s="5"/>
      <c r="H587" s="5"/>
      <c r="I587" s="5"/>
      <c r="J587" s="5"/>
      <c r="K587" s="5"/>
    </row>
    <row r="588">
      <c r="F588" s="5"/>
      <c r="G588" s="5"/>
      <c r="H588" s="5"/>
      <c r="I588" s="5"/>
      <c r="J588" s="5"/>
      <c r="K588" s="5"/>
    </row>
    <row r="589">
      <c r="F589" s="5"/>
      <c r="G589" s="5"/>
      <c r="H589" s="5"/>
      <c r="I589" s="5"/>
      <c r="J589" s="5"/>
      <c r="K589" s="5"/>
    </row>
    <row r="590">
      <c r="F590" s="5"/>
      <c r="G590" s="5"/>
      <c r="H590" s="5"/>
      <c r="I590" s="5"/>
      <c r="J590" s="5"/>
      <c r="K590" s="5"/>
    </row>
    <row r="591">
      <c r="F591" s="5"/>
      <c r="G591" s="5"/>
      <c r="H591" s="5"/>
      <c r="I591" s="5"/>
      <c r="J591" s="5"/>
      <c r="K591" s="5"/>
    </row>
    <row r="592">
      <c r="F592" s="5"/>
      <c r="G592" s="5"/>
      <c r="H592" s="5"/>
      <c r="I592" s="5"/>
      <c r="J592" s="5"/>
      <c r="K592" s="5"/>
    </row>
    <row r="593">
      <c r="F593" s="5"/>
      <c r="G593" s="5"/>
      <c r="H593" s="5"/>
      <c r="I593" s="5"/>
      <c r="J593" s="5"/>
      <c r="K593" s="5"/>
    </row>
    <row r="594">
      <c r="F594" s="5"/>
      <c r="G594" s="5"/>
      <c r="H594" s="5"/>
      <c r="I594" s="5"/>
      <c r="J594" s="5"/>
      <c r="K594" s="5"/>
    </row>
    <row r="595">
      <c r="F595" s="5"/>
      <c r="G595" s="5"/>
      <c r="H595" s="5"/>
      <c r="I595" s="5"/>
      <c r="J595" s="5"/>
      <c r="K595" s="5"/>
    </row>
    <row r="596">
      <c r="F596" s="5"/>
      <c r="G596" s="5"/>
      <c r="H596" s="5"/>
      <c r="I596" s="5"/>
      <c r="J596" s="5"/>
      <c r="K596" s="5"/>
    </row>
    <row r="597">
      <c r="F597" s="5"/>
      <c r="G597" s="5"/>
      <c r="H597" s="5"/>
      <c r="I597" s="5"/>
      <c r="J597" s="5"/>
      <c r="K597" s="5"/>
    </row>
    <row r="598">
      <c r="F598" s="5"/>
      <c r="G598" s="5"/>
      <c r="H598" s="5"/>
      <c r="I598" s="5"/>
      <c r="J598" s="5"/>
      <c r="K598" s="5"/>
    </row>
    <row r="599">
      <c r="F599" s="5"/>
      <c r="G599" s="5"/>
      <c r="H599" s="5"/>
      <c r="I599" s="5"/>
      <c r="J599" s="5"/>
      <c r="K599" s="5"/>
    </row>
    <row r="600">
      <c r="F600" s="5"/>
      <c r="G600" s="5"/>
      <c r="H600" s="5"/>
      <c r="I600" s="5"/>
      <c r="J600" s="5"/>
      <c r="K600" s="5"/>
    </row>
    <row r="601">
      <c r="F601" s="5"/>
      <c r="G601" s="5"/>
      <c r="H601" s="5"/>
      <c r="I601" s="5"/>
      <c r="J601" s="5"/>
      <c r="K601" s="5"/>
    </row>
    <row r="602">
      <c r="F602" s="5"/>
      <c r="G602" s="5"/>
      <c r="H602" s="5"/>
      <c r="I602" s="5"/>
      <c r="J602" s="5"/>
      <c r="K602" s="5"/>
    </row>
    <row r="603">
      <c r="F603" s="5"/>
      <c r="G603" s="5"/>
      <c r="H603" s="5"/>
      <c r="I603" s="5"/>
      <c r="J603" s="5"/>
      <c r="K603" s="5"/>
    </row>
    <row r="604">
      <c r="F604" s="5"/>
      <c r="G604" s="5"/>
      <c r="H604" s="5"/>
      <c r="I604" s="5"/>
      <c r="J604" s="5"/>
      <c r="K604" s="5"/>
    </row>
    <row r="605">
      <c r="F605" s="5"/>
      <c r="G605" s="5"/>
      <c r="H605" s="5"/>
      <c r="I605" s="5"/>
      <c r="J605" s="5"/>
      <c r="K605" s="5"/>
    </row>
    <row r="606">
      <c r="F606" s="5"/>
      <c r="G606" s="5"/>
      <c r="H606" s="5"/>
      <c r="I606" s="5"/>
      <c r="J606" s="5"/>
      <c r="K606" s="5"/>
    </row>
    <row r="607">
      <c r="F607" s="5"/>
      <c r="G607" s="5"/>
      <c r="H607" s="5"/>
      <c r="I607" s="5"/>
      <c r="J607" s="5"/>
      <c r="K607" s="5"/>
    </row>
    <row r="608">
      <c r="F608" s="5"/>
      <c r="G608" s="5"/>
      <c r="H608" s="5"/>
      <c r="I608" s="5"/>
      <c r="J608" s="5"/>
      <c r="K608" s="5"/>
    </row>
    <row r="609">
      <c r="F609" s="5"/>
      <c r="G609" s="5"/>
      <c r="H609" s="5"/>
      <c r="I609" s="5"/>
      <c r="J609" s="5"/>
      <c r="K609" s="5"/>
    </row>
    <row r="610">
      <c r="F610" s="5"/>
      <c r="G610" s="5"/>
      <c r="H610" s="5"/>
      <c r="I610" s="5"/>
      <c r="J610" s="5"/>
      <c r="K610" s="5"/>
    </row>
    <row r="611">
      <c r="F611" s="5"/>
      <c r="G611" s="5"/>
      <c r="H611" s="5"/>
      <c r="I611" s="5"/>
      <c r="J611" s="5"/>
      <c r="K611" s="5"/>
    </row>
    <row r="612">
      <c r="F612" s="5"/>
      <c r="G612" s="5"/>
      <c r="H612" s="5"/>
      <c r="I612" s="5"/>
      <c r="J612" s="5"/>
      <c r="K612" s="5"/>
    </row>
    <row r="613">
      <c r="F613" s="5"/>
      <c r="G613" s="5"/>
      <c r="H613" s="5"/>
      <c r="I613" s="5"/>
      <c r="J613" s="5"/>
      <c r="K613" s="5"/>
    </row>
    <row r="614">
      <c r="F614" s="5"/>
      <c r="G614" s="5"/>
      <c r="H614" s="5"/>
      <c r="I614" s="5"/>
      <c r="J614" s="5"/>
      <c r="K614" s="5"/>
    </row>
    <row r="615">
      <c r="F615" s="5"/>
      <c r="G615" s="5"/>
      <c r="H615" s="5"/>
      <c r="I615" s="5"/>
      <c r="J615" s="5"/>
      <c r="K615" s="5"/>
    </row>
    <row r="616">
      <c r="F616" s="5"/>
      <c r="G616" s="5"/>
      <c r="H616" s="5"/>
      <c r="I616" s="5"/>
      <c r="J616" s="5"/>
      <c r="K616" s="5"/>
    </row>
    <row r="617">
      <c r="F617" s="5"/>
      <c r="G617" s="5"/>
      <c r="H617" s="5"/>
      <c r="I617" s="5"/>
      <c r="J617" s="5"/>
      <c r="K617" s="5"/>
    </row>
    <row r="618">
      <c r="F618" s="5"/>
      <c r="G618" s="5"/>
      <c r="H618" s="5"/>
      <c r="I618" s="5"/>
      <c r="J618" s="5"/>
      <c r="K618" s="5"/>
    </row>
    <row r="619">
      <c r="F619" s="5"/>
      <c r="G619" s="5"/>
      <c r="H619" s="5"/>
      <c r="I619" s="5"/>
      <c r="J619" s="5"/>
      <c r="K619" s="5"/>
    </row>
    <row r="620">
      <c r="F620" s="5"/>
      <c r="G620" s="5"/>
      <c r="H620" s="5"/>
      <c r="I620" s="5"/>
      <c r="J620" s="5"/>
      <c r="K620" s="5"/>
    </row>
    <row r="621">
      <c r="F621" s="5"/>
      <c r="G621" s="5"/>
      <c r="H621" s="5"/>
      <c r="I621" s="5"/>
      <c r="J621" s="5"/>
      <c r="K621" s="5"/>
    </row>
    <row r="622">
      <c r="F622" s="5"/>
      <c r="G622" s="5"/>
      <c r="H622" s="5"/>
      <c r="I622" s="5"/>
      <c r="J622" s="5"/>
      <c r="K622" s="5"/>
    </row>
    <row r="623">
      <c r="F623" s="5"/>
      <c r="G623" s="5"/>
      <c r="H623" s="5"/>
      <c r="I623" s="5"/>
      <c r="J623" s="5"/>
      <c r="K623" s="5"/>
    </row>
    <row r="624">
      <c r="F624" s="5"/>
      <c r="G624" s="5"/>
      <c r="H624" s="5"/>
      <c r="I624" s="5"/>
      <c r="J624" s="5"/>
      <c r="K624" s="5"/>
    </row>
    <row r="625">
      <c r="F625" s="5"/>
      <c r="G625" s="5"/>
      <c r="H625" s="5"/>
      <c r="I625" s="5"/>
      <c r="J625" s="5"/>
      <c r="K625" s="5"/>
    </row>
    <row r="626">
      <c r="F626" s="5"/>
      <c r="G626" s="5"/>
      <c r="H626" s="5"/>
      <c r="I626" s="5"/>
      <c r="J626" s="5"/>
      <c r="K626" s="5"/>
    </row>
    <row r="627">
      <c r="F627" s="5"/>
      <c r="G627" s="5"/>
      <c r="H627" s="5"/>
      <c r="I627" s="5"/>
      <c r="J627" s="5"/>
      <c r="K627" s="5"/>
    </row>
    <row r="628">
      <c r="F628" s="5"/>
      <c r="G628" s="5"/>
      <c r="H628" s="5"/>
      <c r="I628" s="5"/>
      <c r="J628" s="5"/>
      <c r="K628" s="5"/>
    </row>
    <row r="629">
      <c r="F629" s="5"/>
      <c r="G629" s="5"/>
      <c r="H629" s="5"/>
      <c r="I629" s="5"/>
      <c r="J629" s="5"/>
      <c r="K629" s="5"/>
    </row>
    <row r="630">
      <c r="F630" s="5"/>
      <c r="G630" s="5"/>
      <c r="H630" s="5"/>
      <c r="I630" s="5"/>
      <c r="J630" s="5"/>
      <c r="K630" s="5"/>
    </row>
    <row r="631">
      <c r="F631" s="5"/>
      <c r="G631" s="5"/>
      <c r="H631" s="5"/>
      <c r="I631" s="5"/>
      <c r="J631" s="5"/>
      <c r="K631" s="5"/>
    </row>
    <row r="632">
      <c r="F632" s="5"/>
      <c r="G632" s="5"/>
      <c r="H632" s="5"/>
      <c r="I632" s="5"/>
      <c r="J632" s="5"/>
      <c r="K632" s="5"/>
    </row>
    <row r="633">
      <c r="F633" s="5"/>
      <c r="G633" s="5"/>
      <c r="H633" s="5"/>
      <c r="I633" s="5"/>
      <c r="J633" s="5"/>
      <c r="K633" s="5"/>
    </row>
    <row r="634">
      <c r="F634" s="5"/>
      <c r="G634" s="5"/>
      <c r="H634" s="5"/>
      <c r="I634" s="5"/>
      <c r="J634" s="5"/>
      <c r="K634" s="5"/>
    </row>
    <row r="635">
      <c r="F635" s="5"/>
      <c r="G635" s="5"/>
      <c r="H635" s="5"/>
      <c r="I635" s="5"/>
      <c r="J635" s="5"/>
      <c r="K635" s="5"/>
    </row>
    <row r="636">
      <c r="F636" s="5"/>
      <c r="G636" s="5"/>
      <c r="H636" s="5"/>
      <c r="I636" s="5"/>
      <c r="J636" s="5"/>
      <c r="K636" s="5"/>
    </row>
    <row r="637">
      <c r="F637" s="5"/>
      <c r="G637" s="5"/>
      <c r="H637" s="5"/>
      <c r="I637" s="5"/>
      <c r="J637" s="5"/>
      <c r="K637" s="5"/>
    </row>
    <row r="638">
      <c r="F638" s="5"/>
      <c r="G638" s="5"/>
      <c r="H638" s="5"/>
      <c r="I638" s="5"/>
      <c r="J638" s="5"/>
      <c r="K638" s="5"/>
    </row>
    <row r="639">
      <c r="F639" s="5"/>
      <c r="G639" s="5"/>
      <c r="H639" s="5"/>
      <c r="I639" s="5"/>
      <c r="J639" s="5"/>
      <c r="K639" s="5"/>
    </row>
    <row r="640">
      <c r="F640" s="5"/>
      <c r="G640" s="5"/>
      <c r="H640" s="5"/>
      <c r="I640" s="5"/>
      <c r="J640" s="5"/>
      <c r="K640" s="5"/>
    </row>
    <row r="641">
      <c r="F641" s="5"/>
      <c r="G641" s="5"/>
      <c r="H641" s="5"/>
      <c r="I641" s="5"/>
      <c r="J641" s="5"/>
      <c r="K641" s="5"/>
    </row>
    <row r="642">
      <c r="F642" s="5"/>
      <c r="G642" s="5"/>
      <c r="H642" s="5"/>
      <c r="I642" s="5"/>
      <c r="J642" s="5"/>
      <c r="K642" s="5"/>
    </row>
    <row r="643">
      <c r="F643" s="5"/>
      <c r="G643" s="5"/>
      <c r="H643" s="5"/>
      <c r="I643" s="5"/>
      <c r="J643" s="5"/>
      <c r="K643" s="5"/>
    </row>
    <row r="644">
      <c r="F644" s="5"/>
      <c r="G644" s="5"/>
      <c r="H644" s="5"/>
      <c r="I644" s="5"/>
      <c r="J644" s="5"/>
      <c r="K644" s="5"/>
    </row>
    <row r="645">
      <c r="F645" s="5"/>
      <c r="G645" s="5"/>
      <c r="H645" s="5"/>
      <c r="I645" s="5"/>
      <c r="J645" s="5"/>
      <c r="K645" s="5"/>
    </row>
    <row r="646">
      <c r="F646" s="5"/>
      <c r="G646" s="5"/>
      <c r="H646" s="5"/>
      <c r="I646" s="5"/>
      <c r="J646" s="5"/>
      <c r="K646" s="5"/>
    </row>
    <row r="647">
      <c r="F647" s="5"/>
      <c r="G647" s="5"/>
      <c r="H647" s="5"/>
      <c r="I647" s="5"/>
      <c r="J647" s="5"/>
      <c r="K647" s="5"/>
    </row>
    <row r="648">
      <c r="F648" s="5"/>
      <c r="G648" s="5"/>
      <c r="H648" s="5"/>
      <c r="I648" s="5"/>
      <c r="J648" s="5"/>
      <c r="K648" s="5"/>
    </row>
    <row r="649">
      <c r="F649" s="5"/>
      <c r="G649" s="5"/>
      <c r="H649" s="5"/>
      <c r="I649" s="5"/>
      <c r="J649" s="5"/>
      <c r="K649" s="5"/>
    </row>
    <row r="650">
      <c r="F650" s="5"/>
      <c r="G650" s="5"/>
      <c r="H650" s="5"/>
      <c r="I650" s="5"/>
      <c r="J650" s="5"/>
      <c r="K650" s="5"/>
    </row>
    <row r="651">
      <c r="F651" s="5"/>
      <c r="G651" s="5"/>
      <c r="H651" s="5"/>
      <c r="I651" s="5"/>
      <c r="J651" s="5"/>
      <c r="K651" s="5"/>
    </row>
    <row r="652">
      <c r="F652" s="5"/>
      <c r="G652" s="5"/>
      <c r="H652" s="5"/>
      <c r="I652" s="5"/>
      <c r="J652" s="5"/>
      <c r="K652" s="5"/>
    </row>
    <row r="653">
      <c r="F653" s="5"/>
      <c r="G653" s="5"/>
      <c r="H653" s="5"/>
      <c r="I653" s="5"/>
      <c r="J653" s="5"/>
      <c r="K653" s="5"/>
    </row>
    <row r="654">
      <c r="F654" s="5"/>
      <c r="G654" s="5"/>
      <c r="H654" s="5"/>
      <c r="I654" s="5"/>
      <c r="J654" s="5"/>
      <c r="K654" s="5"/>
    </row>
    <row r="655">
      <c r="F655" s="5"/>
      <c r="G655" s="5"/>
      <c r="H655" s="5"/>
      <c r="I655" s="5"/>
      <c r="J655" s="5"/>
      <c r="K655" s="5"/>
    </row>
    <row r="656">
      <c r="F656" s="5"/>
      <c r="G656" s="5"/>
      <c r="H656" s="5"/>
      <c r="I656" s="5"/>
      <c r="J656" s="5"/>
      <c r="K656" s="5"/>
    </row>
    <row r="657">
      <c r="F657" s="5"/>
      <c r="G657" s="5"/>
      <c r="H657" s="5"/>
      <c r="I657" s="5"/>
      <c r="J657" s="5"/>
      <c r="K657" s="5"/>
    </row>
    <row r="658">
      <c r="F658" s="5"/>
      <c r="G658" s="5"/>
      <c r="H658" s="5"/>
      <c r="I658" s="5"/>
      <c r="J658" s="5"/>
      <c r="K658" s="5"/>
    </row>
    <row r="659">
      <c r="F659" s="5"/>
      <c r="G659" s="5"/>
      <c r="H659" s="5"/>
      <c r="I659" s="5"/>
      <c r="J659" s="5"/>
      <c r="K659" s="5"/>
    </row>
    <row r="660">
      <c r="F660" s="5"/>
      <c r="G660" s="5"/>
      <c r="H660" s="5"/>
      <c r="I660" s="5"/>
      <c r="J660" s="5"/>
      <c r="K660" s="5"/>
    </row>
    <row r="661">
      <c r="F661" s="5"/>
      <c r="G661" s="5"/>
      <c r="H661" s="5"/>
      <c r="I661" s="5"/>
      <c r="J661" s="5"/>
      <c r="K661" s="5"/>
    </row>
    <row r="662">
      <c r="F662" s="5"/>
      <c r="G662" s="5"/>
      <c r="H662" s="5"/>
      <c r="I662" s="5"/>
      <c r="J662" s="5"/>
      <c r="K662" s="5"/>
    </row>
    <row r="663">
      <c r="F663" s="5"/>
      <c r="G663" s="5"/>
      <c r="H663" s="5"/>
      <c r="I663" s="5"/>
      <c r="J663" s="5"/>
      <c r="K663" s="5"/>
    </row>
    <row r="664">
      <c r="F664" s="5"/>
      <c r="G664" s="5"/>
      <c r="H664" s="5"/>
      <c r="I664" s="5"/>
      <c r="J664" s="5"/>
      <c r="K664" s="5"/>
    </row>
    <row r="665">
      <c r="F665" s="5"/>
      <c r="G665" s="5"/>
      <c r="H665" s="5"/>
      <c r="I665" s="5"/>
      <c r="J665" s="5"/>
      <c r="K665" s="5"/>
    </row>
    <row r="666">
      <c r="F666" s="5"/>
      <c r="G666" s="5"/>
      <c r="H666" s="5"/>
      <c r="I666" s="5"/>
      <c r="J666" s="5"/>
      <c r="K666" s="5"/>
    </row>
    <row r="667">
      <c r="F667" s="5"/>
      <c r="G667" s="5"/>
      <c r="H667" s="5"/>
      <c r="I667" s="5"/>
      <c r="J667" s="5"/>
      <c r="K667" s="5"/>
    </row>
    <row r="668">
      <c r="F668" s="5"/>
      <c r="G668" s="5"/>
      <c r="H668" s="5"/>
      <c r="I668" s="5"/>
      <c r="J668" s="5"/>
      <c r="K668" s="5"/>
    </row>
    <row r="669">
      <c r="F669" s="5"/>
      <c r="G669" s="5"/>
      <c r="H669" s="5"/>
      <c r="I669" s="5"/>
      <c r="J669" s="5"/>
      <c r="K669" s="5"/>
    </row>
    <row r="670">
      <c r="F670" s="5"/>
      <c r="G670" s="5"/>
      <c r="H670" s="5"/>
      <c r="I670" s="5"/>
      <c r="J670" s="5"/>
      <c r="K670" s="5"/>
    </row>
    <row r="671">
      <c r="F671" s="5"/>
      <c r="G671" s="5"/>
      <c r="H671" s="5"/>
      <c r="I671" s="5"/>
      <c r="J671" s="5"/>
      <c r="K671" s="5"/>
    </row>
    <row r="672">
      <c r="F672" s="5"/>
      <c r="G672" s="5"/>
      <c r="H672" s="5"/>
      <c r="I672" s="5"/>
      <c r="J672" s="5"/>
      <c r="K672" s="5"/>
    </row>
    <row r="673">
      <c r="F673" s="5"/>
      <c r="G673" s="5"/>
      <c r="H673" s="5"/>
      <c r="I673" s="5"/>
      <c r="J673" s="5"/>
      <c r="K673" s="5"/>
    </row>
    <row r="674">
      <c r="F674" s="5"/>
      <c r="G674" s="5"/>
      <c r="H674" s="5"/>
      <c r="I674" s="5"/>
      <c r="J674" s="5"/>
      <c r="K674" s="5"/>
    </row>
    <row r="675">
      <c r="F675" s="5"/>
      <c r="G675" s="5"/>
      <c r="H675" s="5"/>
      <c r="I675" s="5"/>
      <c r="J675" s="5"/>
      <c r="K675" s="5"/>
    </row>
    <row r="676">
      <c r="F676" s="5"/>
      <c r="G676" s="5"/>
      <c r="H676" s="5"/>
      <c r="I676" s="5"/>
      <c r="J676" s="5"/>
      <c r="K676" s="5"/>
    </row>
    <row r="677">
      <c r="F677" s="5"/>
      <c r="G677" s="5"/>
      <c r="H677" s="5"/>
      <c r="I677" s="5"/>
      <c r="J677" s="5"/>
      <c r="K677" s="5"/>
    </row>
    <row r="678">
      <c r="F678" s="5"/>
      <c r="G678" s="5"/>
      <c r="H678" s="5"/>
      <c r="I678" s="5"/>
      <c r="J678" s="5"/>
      <c r="K678" s="5"/>
    </row>
    <row r="679">
      <c r="F679" s="5"/>
      <c r="G679" s="5"/>
      <c r="H679" s="5"/>
      <c r="I679" s="5"/>
      <c r="J679" s="5"/>
      <c r="K679" s="5"/>
    </row>
    <row r="680">
      <c r="F680" s="5"/>
      <c r="G680" s="5"/>
      <c r="H680" s="5"/>
      <c r="I680" s="5"/>
      <c r="J680" s="5"/>
      <c r="K680" s="5"/>
    </row>
    <row r="681">
      <c r="F681" s="5"/>
      <c r="G681" s="5"/>
      <c r="H681" s="5"/>
      <c r="I681" s="5"/>
      <c r="J681" s="5"/>
      <c r="K681" s="5"/>
    </row>
    <row r="682">
      <c r="F682" s="5"/>
      <c r="G682" s="5"/>
      <c r="H682" s="5"/>
      <c r="I682" s="5"/>
      <c r="J682" s="5"/>
      <c r="K682" s="5"/>
    </row>
    <row r="683">
      <c r="F683" s="5"/>
      <c r="G683" s="5"/>
      <c r="H683" s="5"/>
      <c r="I683" s="5"/>
      <c r="J683" s="5"/>
      <c r="K683" s="5"/>
    </row>
    <row r="684">
      <c r="F684" s="5"/>
      <c r="G684" s="5"/>
      <c r="H684" s="5"/>
      <c r="I684" s="5"/>
      <c r="J684" s="5"/>
      <c r="K684" s="5"/>
    </row>
    <row r="685">
      <c r="F685" s="5"/>
      <c r="G685" s="5"/>
      <c r="H685" s="5"/>
      <c r="I685" s="5"/>
      <c r="J685" s="5"/>
      <c r="K685" s="5"/>
    </row>
    <row r="686">
      <c r="F686" s="5"/>
      <c r="G686" s="5"/>
      <c r="H686" s="5"/>
      <c r="I686" s="5"/>
      <c r="J686" s="5"/>
      <c r="K686" s="5"/>
    </row>
    <row r="687">
      <c r="F687" s="5"/>
      <c r="G687" s="5"/>
      <c r="H687" s="5"/>
      <c r="I687" s="5"/>
      <c r="J687" s="5"/>
      <c r="K687" s="5"/>
    </row>
    <row r="688">
      <c r="F688" s="5"/>
      <c r="G688" s="5"/>
      <c r="H688" s="5"/>
      <c r="I688" s="5"/>
      <c r="J688" s="5"/>
      <c r="K688" s="5"/>
    </row>
    <row r="689">
      <c r="F689" s="5"/>
      <c r="G689" s="5"/>
      <c r="H689" s="5"/>
      <c r="I689" s="5"/>
      <c r="J689" s="5"/>
      <c r="K689" s="5"/>
    </row>
    <row r="690">
      <c r="F690" s="5"/>
      <c r="G690" s="5"/>
      <c r="H690" s="5"/>
      <c r="I690" s="5"/>
      <c r="J690" s="5"/>
      <c r="K690" s="5"/>
    </row>
    <row r="691">
      <c r="F691" s="5"/>
      <c r="G691" s="5"/>
      <c r="H691" s="5"/>
      <c r="I691" s="5"/>
      <c r="J691" s="5"/>
      <c r="K691" s="5"/>
    </row>
    <row r="692">
      <c r="F692" s="5"/>
      <c r="G692" s="5"/>
      <c r="H692" s="5"/>
      <c r="I692" s="5"/>
      <c r="J692" s="5"/>
      <c r="K692" s="5"/>
    </row>
    <row r="693">
      <c r="F693" s="5"/>
      <c r="G693" s="5"/>
      <c r="H693" s="5"/>
      <c r="I693" s="5"/>
      <c r="J693" s="5"/>
      <c r="K693" s="5"/>
    </row>
    <row r="694">
      <c r="F694" s="5"/>
      <c r="G694" s="5"/>
      <c r="H694" s="5"/>
      <c r="I694" s="5"/>
      <c r="J694" s="5"/>
      <c r="K694" s="5"/>
    </row>
    <row r="695">
      <c r="F695" s="5"/>
      <c r="G695" s="5"/>
      <c r="H695" s="5"/>
      <c r="I695" s="5"/>
      <c r="J695" s="5"/>
      <c r="K695" s="5"/>
    </row>
    <row r="696">
      <c r="F696" s="5"/>
      <c r="G696" s="5"/>
      <c r="H696" s="5"/>
      <c r="I696" s="5"/>
      <c r="J696" s="5"/>
      <c r="K696" s="5"/>
    </row>
    <row r="697">
      <c r="F697" s="5"/>
      <c r="G697" s="5"/>
      <c r="H697" s="5"/>
      <c r="I697" s="5"/>
      <c r="J697" s="5"/>
      <c r="K697" s="5"/>
    </row>
    <row r="698">
      <c r="F698" s="5"/>
      <c r="G698" s="5"/>
      <c r="H698" s="5"/>
      <c r="I698" s="5"/>
      <c r="J698" s="5"/>
      <c r="K698" s="5"/>
    </row>
    <row r="699">
      <c r="F699" s="5"/>
      <c r="G699" s="5"/>
      <c r="H699" s="5"/>
      <c r="I699" s="5"/>
      <c r="J699" s="5"/>
      <c r="K699" s="5"/>
    </row>
    <row r="700">
      <c r="F700" s="5"/>
      <c r="G700" s="5"/>
      <c r="H700" s="5"/>
      <c r="I700" s="5"/>
      <c r="J700" s="5"/>
      <c r="K700" s="5"/>
    </row>
    <row r="701">
      <c r="F701" s="5"/>
      <c r="G701" s="5"/>
      <c r="H701" s="5"/>
      <c r="I701" s="5"/>
      <c r="J701" s="5"/>
      <c r="K701" s="5"/>
    </row>
    <row r="702">
      <c r="F702" s="5"/>
      <c r="G702" s="5"/>
      <c r="H702" s="5"/>
      <c r="I702" s="5"/>
      <c r="J702" s="5"/>
      <c r="K702" s="5"/>
    </row>
    <row r="703">
      <c r="F703" s="5"/>
      <c r="G703" s="5"/>
      <c r="H703" s="5"/>
      <c r="I703" s="5"/>
      <c r="J703" s="5"/>
      <c r="K703" s="5"/>
    </row>
    <row r="704">
      <c r="F704" s="5"/>
      <c r="G704" s="5"/>
      <c r="H704" s="5"/>
      <c r="I704" s="5"/>
      <c r="J704" s="5"/>
      <c r="K704" s="5"/>
    </row>
    <row r="705">
      <c r="F705" s="5"/>
      <c r="G705" s="5"/>
      <c r="H705" s="5"/>
      <c r="I705" s="5"/>
      <c r="J705" s="5"/>
      <c r="K705" s="5"/>
    </row>
    <row r="706">
      <c r="F706" s="5"/>
      <c r="G706" s="5"/>
      <c r="H706" s="5"/>
      <c r="I706" s="5"/>
      <c r="J706" s="5"/>
      <c r="K706" s="5"/>
    </row>
    <row r="707">
      <c r="F707" s="5"/>
      <c r="G707" s="5"/>
      <c r="H707" s="5"/>
      <c r="I707" s="5"/>
      <c r="J707" s="5"/>
      <c r="K707" s="5"/>
    </row>
    <row r="708">
      <c r="F708" s="5"/>
      <c r="G708" s="5"/>
      <c r="H708" s="5"/>
      <c r="I708" s="5"/>
      <c r="J708" s="5"/>
      <c r="K708" s="5"/>
    </row>
    <row r="709">
      <c r="F709" s="5"/>
      <c r="G709" s="5"/>
      <c r="H709" s="5"/>
      <c r="I709" s="5"/>
      <c r="J709" s="5"/>
      <c r="K709" s="5"/>
    </row>
    <row r="710">
      <c r="F710" s="5"/>
      <c r="G710" s="5"/>
      <c r="H710" s="5"/>
      <c r="I710" s="5"/>
      <c r="J710" s="5"/>
      <c r="K710" s="5"/>
    </row>
    <row r="711">
      <c r="F711" s="5"/>
      <c r="G711" s="5"/>
      <c r="H711" s="5"/>
      <c r="I711" s="5"/>
      <c r="J711" s="5"/>
      <c r="K711" s="5"/>
    </row>
    <row r="712">
      <c r="F712" s="5"/>
      <c r="G712" s="5"/>
      <c r="H712" s="5"/>
      <c r="I712" s="5"/>
      <c r="J712" s="5"/>
      <c r="K712" s="5"/>
    </row>
    <row r="713">
      <c r="F713" s="5"/>
      <c r="G713" s="5"/>
      <c r="H713" s="5"/>
      <c r="I713" s="5"/>
      <c r="J713" s="5"/>
      <c r="K713" s="5"/>
    </row>
    <row r="714">
      <c r="F714" s="5"/>
      <c r="G714" s="5"/>
      <c r="H714" s="5"/>
      <c r="I714" s="5"/>
      <c r="J714" s="5"/>
      <c r="K714" s="5"/>
    </row>
    <row r="715">
      <c r="F715" s="5"/>
      <c r="G715" s="5"/>
      <c r="H715" s="5"/>
      <c r="I715" s="5"/>
      <c r="J715" s="5"/>
      <c r="K715" s="5"/>
    </row>
    <row r="716">
      <c r="F716" s="5"/>
      <c r="G716" s="5"/>
      <c r="H716" s="5"/>
      <c r="I716" s="5"/>
      <c r="J716" s="5"/>
      <c r="K716" s="5"/>
    </row>
    <row r="717">
      <c r="F717" s="5"/>
      <c r="G717" s="5"/>
      <c r="H717" s="5"/>
      <c r="I717" s="5"/>
      <c r="J717" s="5"/>
      <c r="K717" s="5"/>
    </row>
    <row r="718">
      <c r="F718" s="5"/>
      <c r="G718" s="5"/>
      <c r="H718" s="5"/>
      <c r="I718" s="5"/>
      <c r="J718" s="5"/>
      <c r="K718" s="5"/>
    </row>
    <row r="719">
      <c r="F719" s="5"/>
      <c r="G719" s="5"/>
      <c r="H719" s="5"/>
      <c r="I719" s="5"/>
      <c r="J719" s="5"/>
      <c r="K719" s="5"/>
    </row>
    <row r="720">
      <c r="F720" s="5"/>
      <c r="G720" s="5"/>
      <c r="H720" s="5"/>
      <c r="I720" s="5"/>
      <c r="J720" s="5"/>
      <c r="K720" s="5"/>
    </row>
    <row r="721">
      <c r="F721" s="5"/>
      <c r="G721" s="5"/>
      <c r="H721" s="5"/>
      <c r="I721" s="5"/>
      <c r="J721" s="5"/>
      <c r="K721" s="5"/>
    </row>
    <row r="722">
      <c r="F722" s="5"/>
      <c r="G722" s="5"/>
      <c r="H722" s="5"/>
      <c r="I722" s="5"/>
      <c r="J722" s="5"/>
      <c r="K722" s="5"/>
    </row>
    <row r="723">
      <c r="F723" s="5"/>
      <c r="G723" s="5"/>
      <c r="H723" s="5"/>
      <c r="I723" s="5"/>
      <c r="J723" s="5"/>
      <c r="K723" s="5"/>
    </row>
    <row r="724">
      <c r="F724" s="5"/>
      <c r="G724" s="5"/>
      <c r="H724" s="5"/>
      <c r="I724" s="5"/>
      <c r="J724" s="5"/>
      <c r="K724" s="5"/>
    </row>
    <row r="725">
      <c r="F725" s="5"/>
      <c r="G725" s="5"/>
      <c r="H725" s="5"/>
      <c r="I725" s="5"/>
      <c r="J725" s="5"/>
      <c r="K725" s="5"/>
    </row>
    <row r="726">
      <c r="F726" s="5"/>
      <c r="G726" s="5"/>
      <c r="H726" s="5"/>
      <c r="I726" s="5"/>
      <c r="J726" s="5"/>
      <c r="K726" s="5"/>
    </row>
    <row r="727">
      <c r="F727" s="5"/>
      <c r="G727" s="5"/>
      <c r="H727" s="5"/>
      <c r="I727" s="5"/>
      <c r="J727" s="5"/>
      <c r="K727" s="5"/>
    </row>
    <row r="728">
      <c r="F728" s="5"/>
      <c r="G728" s="5"/>
      <c r="H728" s="5"/>
      <c r="I728" s="5"/>
      <c r="J728" s="5"/>
      <c r="K728" s="5"/>
    </row>
    <row r="729">
      <c r="F729" s="5"/>
      <c r="G729" s="5"/>
      <c r="H729" s="5"/>
      <c r="I729" s="5"/>
      <c r="J729" s="5"/>
      <c r="K729" s="5"/>
    </row>
    <row r="730">
      <c r="F730" s="5"/>
      <c r="G730" s="5"/>
      <c r="H730" s="5"/>
      <c r="I730" s="5"/>
      <c r="J730" s="5"/>
      <c r="K730" s="5"/>
    </row>
    <row r="731">
      <c r="F731" s="5"/>
      <c r="G731" s="5"/>
      <c r="H731" s="5"/>
      <c r="I731" s="5"/>
      <c r="J731" s="5"/>
      <c r="K731" s="5"/>
    </row>
    <row r="732">
      <c r="F732" s="5"/>
      <c r="G732" s="5"/>
      <c r="H732" s="5"/>
      <c r="I732" s="5"/>
      <c r="J732" s="5"/>
      <c r="K732" s="5"/>
    </row>
    <row r="733">
      <c r="F733" s="5"/>
      <c r="G733" s="5"/>
      <c r="H733" s="5"/>
      <c r="I733" s="5"/>
      <c r="J733" s="5"/>
      <c r="K733" s="5"/>
    </row>
    <row r="734">
      <c r="F734" s="5"/>
      <c r="G734" s="5"/>
      <c r="H734" s="5"/>
      <c r="I734" s="5"/>
      <c r="J734" s="5"/>
      <c r="K734" s="5"/>
    </row>
    <row r="735">
      <c r="F735" s="5"/>
      <c r="G735" s="5"/>
      <c r="H735" s="5"/>
      <c r="I735" s="5"/>
      <c r="J735" s="5"/>
      <c r="K735" s="5"/>
    </row>
    <row r="736">
      <c r="F736" s="5"/>
      <c r="G736" s="5"/>
      <c r="H736" s="5"/>
      <c r="I736" s="5"/>
      <c r="J736" s="5"/>
      <c r="K736" s="5"/>
    </row>
    <row r="737">
      <c r="F737" s="5"/>
      <c r="G737" s="5"/>
      <c r="H737" s="5"/>
      <c r="I737" s="5"/>
      <c r="J737" s="5"/>
      <c r="K737" s="5"/>
    </row>
    <row r="738">
      <c r="F738" s="5"/>
      <c r="G738" s="5"/>
      <c r="H738" s="5"/>
      <c r="I738" s="5"/>
      <c r="J738" s="5"/>
      <c r="K738" s="5"/>
    </row>
    <row r="739">
      <c r="F739" s="5"/>
      <c r="G739" s="5"/>
      <c r="H739" s="5"/>
      <c r="I739" s="5"/>
      <c r="J739" s="5"/>
      <c r="K739" s="5"/>
    </row>
    <row r="740">
      <c r="F740" s="5"/>
      <c r="G740" s="5"/>
      <c r="H740" s="5"/>
      <c r="I740" s="5"/>
      <c r="J740" s="5"/>
      <c r="K740" s="5"/>
    </row>
    <row r="741">
      <c r="F741" s="5"/>
      <c r="G741" s="5"/>
      <c r="H741" s="5"/>
      <c r="I741" s="5"/>
      <c r="J741" s="5"/>
      <c r="K741" s="5"/>
    </row>
    <row r="742">
      <c r="F742" s="5"/>
      <c r="G742" s="5"/>
      <c r="H742" s="5"/>
      <c r="I742" s="5"/>
      <c r="J742" s="5"/>
      <c r="K742" s="5"/>
    </row>
    <row r="743">
      <c r="F743" s="5"/>
      <c r="G743" s="5"/>
      <c r="H743" s="5"/>
      <c r="I743" s="5"/>
      <c r="J743" s="5"/>
      <c r="K743" s="5"/>
    </row>
    <row r="744">
      <c r="F744" s="5"/>
      <c r="G744" s="5"/>
      <c r="H744" s="5"/>
      <c r="I744" s="5"/>
      <c r="J744" s="5"/>
      <c r="K744" s="5"/>
    </row>
    <row r="745">
      <c r="F745" s="5"/>
      <c r="G745" s="5"/>
      <c r="H745" s="5"/>
      <c r="I745" s="5"/>
      <c r="J745" s="5"/>
      <c r="K745" s="5"/>
    </row>
    <row r="746">
      <c r="F746" s="5"/>
      <c r="G746" s="5"/>
      <c r="H746" s="5"/>
      <c r="I746" s="5"/>
      <c r="J746" s="5"/>
      <c r="K746" s="5"/>
    </row>
    <row r="747">
      <c r="F747" s="5"/>
      <c r="G747" s="5"/>
      <c r="H747" s="5"/>
      <c r="I747" s="5"/>
      <c r="J747" s="5"/>
      <c r="K747" s="5"/>
    </row>
    <row r="748">
      <c r="F748" s="5"/>
      <c r="G748" s="5"/>
      <c r="H748" s="5"/>
      <c r="I748" s="5"/>
      <c r="J748" s="5"/>
      <c r="K748" s="5"/>
    </row>
    <row r="749">
      <c r="F749" s="5"/>
      <c r="G749" s="5"/>
      <c r="H749" s="5"/>
      <c r="I749" s="5"/>
      <c r="J749" s="5"/>
      <c r="K749" s="5"/>
    </row>
    <row r="750">
      <c r="F750" s="5"/>
      <c r="G750" s="5"/>
      <c r="H750" s="5"/>
      <c r="I750" s="5"/>
      <c r="J750" s="5"/>
      <c r="K750" s="5"/>
    </row>
    <row r="751">
      <c r="F751" s="5"/>
      <c r="G751" s="5"/>
      <c r="H751" s="5"/>
      <c r="I751" s="5"/>
      <c r="J751" s="5"/>
      <c r="K751" s="5"/>
    </row>
    <row r="752">
      <c r="F752" s="5"/>
      <c r="G752" s="5"/>
      <c r="H752" s="5"/>
      <c r="I752" s="5"/>
      <c r="J752" s="5"/>
      <c r="K752" s="5"/>
    </row>
    <row r="753">
      <c r="F753" s="5"/>
      <c r="G753" s="5"/>
      <c r="H753" s="5"/>
      <c r="I753" s="5"/>
      <c r="J753" s="5"/>
      <c r="K753" s="5"/>
    </row>
    <row r="754">
      <c r="F754" s="5"/>
      <c r="G754" s="5"/>
      <c r="H754" s="5"/>
      <c r="I754" s="5"/>
      <c r="J754" s="5"/>
      <c r="K754" s="5"/>
    </row>
    <row r="755">
      <c r="F755" s="5"/>
      <c r="G755" s="5"/>
      <c r="H755" s="5"/>
      <c r="I755" s="5"/>
      <c r="J755" s="5"/>
      <c r="K755" s="5"/>
    </row>
    <row r="756">
      <c r="F756" s="5"/>
      <c r="G756" s="5"/>
      <c r="H756" s="5"/>
      <c r="I756" s="5"/>
      <c r="J756" s="5"/>
      <c r="K756" s="5"/>
    </row>
    <row r="757">
      <c r="F757" s="5"/>
      <c r="G757" s="5"/>
      <c r="H757" s="5"/>
      <c r="I757" s="5"/>
      <c r="J757" s="5"/>
      <c r="K757" s="5"/>
    </row>
    <row r="758">
      <c r="F758" s="5"/>
      <c r="G758" s="5"/>
      <c r="H758" s="5"/>
      <c r="I758" s="5"/>
      <c r="J758" s="5"/>
      <c r="K758" s="5"/>
    </row>
    <row r="759">
      <c r="F759" s="5"/>
      <c r="G759" s="5"/>
      <c r="H759" s="5"/>
      <c r="I759" s="5"/>
      <c r="J759" s="5"/>
      <c r="K759" s="5"/>
    </row>
    <row r="760">
      <c r="F760" s="5"/>
      <c r="G760" s="5"/>
      <c r="H760" s="5"/>
      <c r="I760" s="5"/>
      <c r="J760" s="5"/>
      <c r="K760" s="5"/>
    </row>
    <row r="761">
      <c r="F761" s="5"/>
      <c r="G761" s="5"/>
      <c r="H761" s="5"/>
      <c r="I761" s="5"/>
      <c r="J761" s="5"/>
      <c r="K761" s="5"/>
    </row>
    <row r="762">
      <c r="F762" s="5"/>
      <c r="G762" s="5"/>
      <c r="H762" s="5"/>
      <c r="I762" s="5"/>
      <c r="J762" s="5"/>
      <c r="K762" s="5"/>
    </row>
    <row r="763">
      <c r="F763" s="5"/>
      <c r="G763" s="5"/>
      <c r="H763" s="5"/>
      <c r="I763" s="5"/>
      <c r="J763" s="5"/>
      <c r="K763" s="5"/>
    </row>
    <row r="764">
      <c r="F764" s="5"/>
      <c r="G764" s="5"/>
      <c r="H764" s="5"/>
      <c r="I764" s="5"/>
      <c r="J764" s="5"/>
      <c r="K764" s="5"/>
    </row>
    <row r="765">
      <c r="F765" s="5"/>
      <c r="G765" s="5"/>
      <c r="H765" s="5"/>
      <c r="I765" s="5"/>
      <c r="J765" s="5"/>
      <c r="K765" s="5"/>
    </row>
    <row r="766">
      <c r="F766" s="5"/>
      <c r="G766" s="5"/>
      <c r="H766" s="5"/>
      <c r="I766" s="5"/>
      <c r="J766" s="5"/>
      <c r="K766" s="5"/>
    </row>
    <row r="767">
      <c r="F767" s="5"/>
      <c r="G767" s="5"/>
      <c r="H767" s="5"/>
      <c r="I767" s="5"/>
      <c r="J767" s="5"/>
      <c r="K767" s="5"/>
    </row>
    <row r="768">
      <c r="F768" s="5"/>
      <c r="G768" s="5"/>
      <c r="H768" s="5"/>
      <c r="I768" s="5"/>
      <c r="J768" s="5"/>
      <c r="K768" s="5"/>
    </row>
    <row r="769">
      <c r="F769" s="5"/>
      <c r="G769" s="5"/>
      <c r="H769" s="5"/>
      <c r="I769" s="5"/>
      <c r="J769" s="5"/>
      <c r="K769" s="5"/>
    </row>
    <row r="770">
      <c r="F770" s="5"/>
      <c r="G770" s="5"/>
      <c r="H770" s="5"/>
      <c r="I770" s="5"/>
      <c r="J770" s="5"/>
      <c r="K770" s="5"/>
    </row>
    <row r="771">
      <c r="F771" s="5"/>
      <c r="G771" s="5"/>
      <c r="H771" s="5"/>
      <c r="I771" s="5"/>
      <c r="J771" s="5"/>
      <c r="K771" s="5"/>
    </row>
    <row r="772">
      <c r="F772" s="5"/>
      <c r="G772" s="5"/>
      <c r="H772" s="5"/>
      <c r="I772" s="5"/>
      <c r="J772" s="5"/>
      <c r="K772" s="5"/>
    </row>
    <row r="773">
      <c r="F773" s="5"/>
      <c r="G773" s="5"/>
      <c r="H773" s="5"/>
      <c r="I773" s="5"/>
      <c r="J773" s="5"/>
      <c r="K773" s="5"/>
    </row>
    <row r="774">
      <c r="F774" s="5"/>
      <c r="G774" s="5"/>
      <c r="H774" s="5"/>
      <c r="I774" s="5"/>
      <c r="J774" s="5"/>
      <c r="K774" s="5"/>
    </row>
    <row r="775">
      <c r="F775" s="5"/>
      <c r="G775" s="5"/>
      <c r="H775" s="5"/>
      <c r="I775" s="5"/>
      <c r="J775" s="5"/>
      <c r="K775" s="5"/>
    </row>
    <row r="776">
      <c r="F776" s="5"/>
      <c r="G776" s="5"/>
      <c r="H776" s="5"/>
      <c r="I776" s="5"/>
      <c r="J776" s="5"/>
      <c r="K776" s="5"/>
    </row>
    <row r="777">
      <c r="F777" s="5"/>
      <c r="G777" s="5"/>
      <c r="H777" s="5"/>
      <c r="I777" s="5"/>
      <c r="J777" s="5"/>
      <c r="K777" s="5"/>
    </row>
    <row r="778">
      <c r="F778" s="5"/>
      <c r="G778" s="5"/>
      <c r="H778" s="5"/>
      <c r="I778" s="5"/>
      <c r="J778" s="5"/>
      <c r="K778" s="5"/>
    </row>
    <row r="779">
      <c r="F779" s="5"/>
      <c r="G779" s="5"/>
      <c r="H779" s="5"/>
      <c r="I779" s="5"/>
      <c r="J779" s="5"/>
      <c r="K779" s="5"/>
    </row>
    <row r="780">
      <c r="F780" s="5"/>
      <c r="G780" s="5"/>
      <c r="H780" s="5"/>
      <c r="I780" s="5"/>
      <c r="J780" s="5"/>
      <c r="K780" s="5"/>
    </row>
    <row r="781">
      <c r="F781" s="5"/>
      <c r="G781" s="5"/>
      <c r="H781" s="5"/>
      <c r="I781" s="5"/>
      <c r="J781" s="5"/>
      <c r="K781" s="5"/>
    </row>
    <row r="782">
      <c r="F782" s="5"/>
      <c r="G782" s="5"/>
      <c r="H782" s="5"/>
      <c r="I782" s="5"/>
      <c r="J782" s="5"/>
      <c r="K782" s="5"/>
    </row>
    <row r="783">
      <c r="F783" s="5"/>
      <c r="G783" s="5"/>
      <c r="H783" s="5"/>
      <c r="I783" s="5"/>
      <c r="J783" s="5"/>
      <c r="K783" s="5"/>
    </row>
    <row r="784">
      <c r="F784" s="5"/>
      <c r="G784" s="5"/>
      <c r="H784" s="5"/>
      <c r="I784" s="5"/>
      <c r="J784" s="5"/>
      <c r="K784" s="5"/>
    </row>
    <row r="785">
      <c r="F785" s="5"/>
      <c r="G785" s="5"/>
      <c r="H785" s="5"/>
      <c r="I785" s="5"/>
      <c r="J785" s="5"/>
      <c r="K785" s="5"/>
    </row>
    <row r="786">
      <c r="F786" s="5"/>
      <c r="G786" s="5"/>
      <c r="H786" s="5"/>
      <c r="I786" s="5"/>
      <c r="J786" s="5"/>
      <c r="K786" s="5"/>
    </row>
    <row r="787">
      <c r="F787" s="5"/>
      <c r="G787" s="5"/>
      <c r="H787" s="5"/>
      <c r="I787" s="5"/>
      <c r="J787" s="5"/>
      <c r="K787" s="5"/>
    </row>
    <row r="788">
      <c r="F788" s="5"/>
      <c r="G788" s="5"/>
      <c r="H788" s="5"/>
      <c r="I788" s="5"/>
      <c r="J788" s="5"/>
      <c r="K788" s="5"/>
    </row>
    <row r="789">
      <c r="F789" s="5"/>
      <c r="G789" s="5"/>
      <c r="H789" s="5"/>
      <c r="I789" s="5"/>
      <c r="J789" s="5"/>
      <c r="K789" s="5"/>
    </row>
    <row r="790">
      <c r="F790" s="5"/>
      <c r="G790" s="5"/>
      <c r="H790" s="5"/>
      <c r="I790" s="5"/>
      <c r="J790" s="5"/>
      <c r="K790" s="5"/>
    </row>
    <row r="791">
      <c r="F791" s="5"/>
      <c r="G791" s="5"/>
      <c r="H791" s="5"/>
      <c r="I791" s="5"/>
      <c r="J791" s="5"/>
      <c r="K791" s="5"/>
    </row>
    <row r="792">
      <c r="F792" s="5"/>
      <c r="G792" s="5"/>
      <c r="H792" s="5"/>
      <c r="I792" s="5"/>
      <c r="J792" s="5"/>
      <c r="K792" s="5"/>
    </row>
    <row r="793">
      <c r="F793" s="5"/>
      <c r="G793" s="5"/>
      <c r="H793" s="5"/>
      <c r="I793" s="5"/>
      <c r="J793" s="5"/>
      <c r="K793" s="5"/>
    </row>
    <row r="794">
      <c r="F794" s="5"/>
      <c r="G794" s="5"/>
      <c r="H794" s="5"/>
      <c r="I794" s="5"/>
      <c r="J794" s="5"/>
      <c r="K794" s="5"/>
    </row>
    <row r="795">
      <c r="F795" s="5"/>
      <c r="G795" s="5"/>
      <c r="H795" s="5"/>
      <c r="I795" s="5"/>
      <c r="J795" s="5"/>
      <c r="K795" s="5"/>
    </row>
    <row r="796">
      <c r="F796" s="5"/>
      <c r="G796" s="5"/>
      <c r="H796" s="5"/>
      <c r="I796" s="5"/>
      <c r="J796" s="5"/>
      <c r="K796" s="5"/>
    </row>
    <row r="797">
      <c r="F797" s="5"/>
      <c r="G797" s="5"/>
      <c r="H797" s="5"/>
      <c r="I797" s="5"/>
      <c r="J797" s="5"/>
      <c r="K797" s="5"/>
    </row>
    <row r="798">
      <c r="F798" s="5"/>
      <c r="G798" s="5"/>
      <c r="H798" s="5"/>
      <c r="I798" s="5"/>
      <c r="J798" s="5"/>
      <c r="K798" s="5"/>
    </row>
    <row r="799">
      <c r="F799" s="5"/>
      <c r="G799" s="5"/>
      <c r="H799" s="5"/>
      <c r="I799" s="5"/>
      <c r="J799" s="5"/>
      <c r="K799" s="5"/>
    </row>
    <row r="800">
      <c r="F800" s="5"/>
      <c r="G800" s="5"/>
      <c r="H800" s="5"/>
      <c r="I800" s="5"/>
      <c r="J800" s="5"/>
      <c r="K800" s="5"/>
    </row>
    <row r="801">
      <c r="F801" s="5"/>
      <c r="G801" s="5"/>
      <c r="H801" s="5"/>
      <c r="I801" s="5"/>
      <c r="J801" s="5"/>
      <c r="K801" s="5"/>
    </row>
    <row r="802">
      <c r="F802" s="5"/>
      <c r="G802" s="5"/>
      <c r="H802" s="5"/>
      <c r="I802" s="5"/>
      <c r="J802" s="5"/>
      <c r="K802" s="5"/>
    </row>
    <row r="803">
      <c r="F803" s="5"/>
      <c r="G803" s="5"/>
      <c r="H803" s="5"/>
      <c r="I803" s="5"/>
      <c r="J803" s="5"/>
      <c r="K803" s="5"/>
    </row>
    <row r="804">
      <c r="F804" s="5"/>
      <c r="G804" s="5"/>
      <c r="H804" s="5"/>
      <c r="I804" s="5"/>
      <c r="J804" s="5"/>
      <c r="K804" s="5"/>
    </row>
    <row r="805">
      <c r="F805" s="5"/>
      <c r="G805" s="5"/>
      <c r="H805" s="5"/>
      <c r="I805" s="5"/>
      <c r="J805" s="5"/>
      <c r="K805" s="5"/>
    </row>
    <row r="806">
      <c r="F806" s="5"/>
      <c r="G806" s="5"/>
      <c r="H806" s="5"/>
      <c r="I806" s="5"/>
      <c r="J806" s="5"/>
      <c r="K806" s="5"/>
    </row>
    <row r="807">
      <c r="F807" s="5"/>
      <c r="G807" s="5"/>
      <c r="H807" s="5"/>
      <c r="I807" s="5"/>
      <c r="J807" s="5"/>
      <c r="K807" s="5"/>
    </row>
    <row r="808">
      <c r="F808" s="5"/>
      <c r="G808" s="5"/>
      <c r="H808" s="5"/>
      <c r="I808" s="5"/>
      <c r="J808" s="5"/>
      <c r="K808" s="5"/>
    </row>
    <row r="809">
      <c r="F809" s="5"/>
      <c r="G809" s="5"/>
      <c r="H809" s="5"/>
      <c r="I809" s="5"/>
      <c r="J809" s="5"/>
      <c r="K809" s="5"/>
    </row>
    <row r="810">
      <c r="F810" s="5"/>
      <c r="G810" s="5"/>
      <c r="H810" s="5"/>
      <c r="I810" s="5"/>
      <c r="J810" s="5"/>
      <c r="K810" s="5"/>
    </row>
    <row r="811">
      <c r="F811" s="5"/>
      <c r="G811" s="5"/>
      <c r="H811" s="5"/>
      <c r="I811" s="5"/>
      <c r="J811" s="5"/>
      <c r="K811" s="5"/>
    </row>
    <row r="812">
      <c r="F812" s="5"/>
      <c r="G812" s="5"/>
      <c r="H812" s="5"/>
      <c r="I812" s="5"/>
      <c r="J812" s="5"/>
      <c r="K812" s="5"/>
    </row>
    <row r="813">
      <c r="F813" s="5"/>
      <c r="G813" s="5"/>
      <c r="H813" s="5"/>
      <c r="I813" s="5"/>
      <c r="J813" s="5"/>
      <c r="K813" s="5"/>
    </row>
    <row r="814">
      <c r="F814" s="5"/>
      <c r="G814" s="5"/>
      <c r="H814" s="5"/>
      <c r="I814" s="5"/>
      <c r="J814" s="5"/>
      <c r="K814" s="5"/>
    </row>
    <row r="815">
      <c r="F815" s="5"/>
      <c r="G815" s="5"/>
      <c r="H815" s="5"/>
      <c r="I815" s="5"/>
      <c r="J815" s="5"/>
      <c r="K815" s="5"/>
    </row>
    <row r="816">
      <c r="F816" s="5"/>
      <c r="G816" s="5"/>
      <c r="H816" s="5"/>
      <c r="I816" s="5"/>
      <c r="J816" s="5"/>
      <c r="K816" s="5"/>
    </row>
    <row r="817">
      <c r="F817" s="5"/>
      <c r="G817" s="5"/>
      <c r="H817" s="5"/>
      <c r="I817" s="5"/>
      <c r="J817" s="5"/>
      <c r="K817" s="5"/>
    </row>
    <row r="818">
      <c r="F818" s="5"/>
      <c r="G818" s="5"/>
      <c r="H818" s="5"/>
      <c r="I818" s="5"/>
      <c r="J818" s="5"/>
      <c r="K818" s="5"/>
    </row>
    <row r="819">
      <c r="F819" s="5"/>
      <c r="G819" s="5"/>
      <c r="H819" s="5"/>
      <c r="I819" s="5"/>
      <c r="J819" s="5"/>
      <c r="K819" s="5"/>
    </row>
    <row r="820">
      <c r="F820" s="5"/>
      <c r="G820" s="5"/>
      <c r="H820" s="5"/>
      <c r="I820" s="5"/>
      <c r="J820" s="5"/>
      <c r="K820" s="5"/>
    </row>
    <row r="821">
      <c r="F821" s="5"/>
      <c r="G821" s="5"/>
      <c r="H821" s="5"/>
      <c r="I821" s="5"/>
      <c r="J821" s="5"/>
      <c r="K821" s="5"/>
    </row>
    <row r="822">
      <c r="F822" s="5"/>
      <c r="G822" s="5"/>
      <c r="H822" s="5"/>
      <c r="I822" s="5"/>
      <c r="J822" s="5"/>
      <c r="K822" s="5"/>
    </row>
    <row r="823">
      <c r="F823" s="5"/>
      <c r="G823" s="5"/>
      <c r="H823" s="5"/>
      <c r="I823" s="5"/>
      <c r="J823" s="5"/>
      <c r="K823" s="5"/>
    </row>
    <row r="824">
      <c r="F824" s="5"/>
      <c r="G824" s="5"/>
      <c r="H824" s="5"/>
      <c r="I824" s="5"/>
      <c r="J824" s="5"/>
      <c r="K824" s="5"/>
    </row>
    <row r="825">
      <c r="F825" s="5"/>
      <c r="G825" s="5"/>
      <c r="H825" s="5"/>
      <c r="I825" s="5"/>
      <c r="J825" s="5"/>
      <c r="K825" s="5"/>
    </row>
    <row r="826">
      <c r="F826" s="5"/>
      <c r="G826" s="5"/>
      <c r="H826" s="5"/>
      <c r="I826" s="5"/>
      <c r="J826" s="5"/>
      <c r="K826" s="5"/>
    </row>
    <row r="827">
      <c r="F827" s="5"/>
      <c r="G827" s="5"/>
      <c r="H827" s="5"/>
      <c r="I827" s="5"/>
      <c r="J827" s="5"/>
      <c r="K827" s="5"/>
    </row>
    <row r="828">
      <c r="F828" s="5"/>
      <c r="G828" s="5"/>
      <c r="H828" s="5"/>
      <c r="I828" s="5"/>
      <c r="J828" s="5"/>
      <c r="K828" s="5"/>
    </row>
    <row r="829">
      <c r="F829" s="5"/>
      <c r="G829" s="5"/>
      <c r="H829" s="5"/>
      <c r="I829" s="5"/>
      <c r="J829" s="5"/>
      <c r="K829" s="5"/>
    </row>
    <row r="830">
      <c r="F830" s="5"/>
      <c r="G830" s="5"/>
      <c r="H830" s="5"/>
      <c r="I830" s="5"/>
      <c r="J830" s="5"/>
      <c r="K830" s="5"/>
    </row>
    <row r="831">
      <c r="F831" s="5"/>
      <c r="G831" s="5"/>
      <c r="H831" s="5"/>
      <c r="I831" s="5"/>
      <c r="J831" s="5"/>
      <c r="K831" s="5"/>
    </row>
    <row r="832">
      <c r="F832" s="5"/>
      <c r="G832" s="5"/>
      <c r="H832" s="5"/>
      <c r="I832" s="5"/>
      <c r="J832" s="5"/>
      <c r="K832" s="5"/>
    </row>
    <row r="833">
      <c r="F833" s="5"/>
      <c r="G833" s="5"/>
      <c r="H833" s="5"/>
      <c r="I833" s="5"/>
      <c r="J833" s="5"/>
      <c r="K833" s="5"/>
    </row>
    <row r="834">
      <c r="F834" s="5"/>
      <c r="G834" s="5"/>
      <c r="H834" s="5"/>
      <c r="I834" s="5"/>
      <c r="J834" s="5"/>
      <c r="K834" s="5"/>
    </row>
    <row r="835">
      <c r="F835" s="5"/>
      <c r="G835" s="5"/>
      <c r="H835" s="5"/>
      <c r="I835" s="5"/>
      <c r="J835" s="5"/>
      <c r="K835" s="5"/>
    </row>
    <row r="836">
      <c r="F836" s="5"/>
      <c r="G836" s="5"/>
      <c r="H836" s="5"/>
      <c r="I836" s="5"/>
      <c r="J836" s="5"/>
      <c r="K836" s="5"/>
    </row>
    <row r="837">
      <c r="F837" s="5"/>
      <c r="G837" s="5"/>
      <c r="H837" s="5"/>
      <c r="I837" s="5"/>
      <c r="J837" s="5"/>
      <c r="K837" s="5"/>
    </row>
    <row r="838">
      <c r="F838" s="5"/>
      <c r="G838" s="5"/>
      <c r="H838" s="5"/>
      <c r="I838" s="5"/>
      <c r="J838" s="5"/>
      <c r="K838" s="5"/>
    </row>
    <row r="839">
      <c r="F839" s="5"/>
      <c r="G839" s="5"/>
      <c r="H839" s="5"/>
      <c r="I839" s="5"/>
      <c r="J839" s="5"/>
      <c r="K839" s="5"/>
    </row>
    <row r="840">
      <c r="F840" s="5"/>
      <c r="G840" s="5"/>
      <c r="H840" s="5"/>
      <c r="I840" s="5"/>
      <c r="J840" s="5"/>
      <c r="K840" s="5"/>
    </row>
    <row r="841">
      <c r="F841" s="5"/>
      <c r="G841" s="5"/>
      <c r="H841" s="5"/>
      <c r="I841" s="5"/>
      <c r="J841" s="5"/>
      <c r="K841" s="5"/>
    </row>
    <row r="842">
      <c r="F842" s="5"/>
      <c r="G842" s="5"/>
      <c r="H842" s="5"/>
      <c r="I842" s="5"/>
      <c r="J842" s="5"/>
      <c r="K842" s="5"/>
    </row>
    <row r="843">
      <c r="F843" s="5"/>
      <c r="G843" s="5"/>
      <c r="H843" s="5"/>
      <c r="I843" s="5"/>
      <c r="J843" s="5"/>
      <c r="K843" s="5"/>
    </row>
    <row r="844">
      <c r="F844" s="5"/>
      <c r="G844" s="5"/>
      <c r="H844" s="5"/>
      <c r="I844" s="5"/>
      <c r="J844" s="5"/>
      <c r="K844" s="5"/>
    </row>
    <row r="845">
      <c r="F845" s="5"/>
      <c r="G845" s="5"/>
      <c r="H845" s="5"/>
      <c r="I845" s="5"/>
      <c r="J845" s="5"/>
      <c r="K845" s="5"/>
    </row>
    <row r="846">
      <c r="F846" s="5"/>
      <c r="G846" s="5"/>
      <c r="H846" s="5"/>
      <c r="I846" s="5"/>
      <c r="J846" s="5"/>
      <c r="K846" s="5"/>
    </row>
    <row r="847">
      <c r="F847" s="5"/>
      <c r="G847" s="5"/>
      <c r="H847" s="5"/>
      <c r="I847" s="5"/>
      <c r="J847" s="5"/>
      <c r="K847" s="5"/>
    </row>
    <row r="848">
      <c r="F848" s="5"/>
      <c r="G848" s="5"/>
      <c r="H848" s="5"/>
      <c r="I848" s="5"/>
      <c r="J848" s="5"/>
      <c r="K848" s="5"/>
    </row>
    <row r="849">
      <c r="F849" s="5"/>
      <c r="G849" s="5"/>
      <c r="H849" s="5"/>
      <c r="I849" s="5"/>
      <c r="J849" s="5"/>
      <c r="K849" s="5"/>
    </row>
    <row r="850">
      <c r="F850" s="5"/>
      <c r="G850" s="5"/>
      <c r="H850" s="5"/>
      <c r="I850" s="5"/>
      <c r="J850" s="5"/>
      <c r="K850" s="5"/>
    </row>
    <row r="851">
      <c r="F851" s="5"/>
      <c r="G851" s="5"/>
      <c r="H851" s="5"/>
      <c r="I851" s="5"/>
      <c r="J851" s="5"/>
      <c r="K851" s="5"/>
    </row>
    <row r="852">
      <c r="F852" s="5"/>
      <c r="G852" s="5"/>
      <c r="H852" s="5"/>
      <c r="I852" s="5"/>
      <c r="J852" s="5"/>
      <c r="K852" s="5"/>
    </row>
    <row r="853">
      <c r="F853" s="5"/>
      <c r="G853" s="5"/>
      <c r="H853" s="5"/>
      <c r="I853" s="5"/>
      <c r="J853" s="5"/>
      <c r="K853" s="5"/>
    </row>
    <row r="854">
      <c r="F854" s="5"/>
      <c r="G854" s="5"/>
      <c r="H854" s="5"/>
      <c r="I854" s="5"/>
      <c r="J854" s="5"/>
      <c r="K854" s="5"/>
    </row>
    <row r="855">
      <c r="F855" s="5"/>
      <c r="G855" s="5"/>
      <c r="H855" s="5"/>
      <c r="I855" s="5"/>
      <c r="J855" s="5"/>
      <c r="K855" s="5"/>
    </row>
    <row r="856">
      <c r="F856" s="5"/>
      <c r="G856" s="5"/>
      <c r="H856" s="5"/>
      <c r="I856" s="5"/>
      <c r="J856" s="5"/>
      <c r="K856" s="5"/>
    </row>
    <row r="857">
      <c r="F857" s="5"/>
      <c r="G857" s="5"/>
      <c r="H857" s="5"/>
      <c r="I857" s="5"/>
      <c r="J857" s="5"/>
      <c r="K857" s="5"/>
    </row>
    <row r="858">
      <c r="F858" s="5"/>
      <c r="G858" s="5"/>
      <c r="H858" s="5"/>
      <c r="I858" s="5"/>
      <c r="J858" s="5"/>
      <c r="K858" s="5"/>
    </row>
    <row r="859">
      <c r="F859" s="5"/>
      <c r="G859" s="5"/>
      <c r="H859" s="5"/>
      <c r="I859" s="5"/>
      <c r="J859" s="5"/>
      <c r="K859" s="5"/>
    </row>
    <row r="860">
      <c r="F860" s="5"/>
      <c r="G860" s="5"/>
      <c r="H860" s="5"/>
      <c r="I860" s="5"/>
      <c r="J860" s="5"/>
      <c r="K860" s="5"/>
    </row>
    <row r="861">
      <c r="F861" s="5"/>
      <c r="G861" s="5"/>
      <c r="H861" s="5"/>
      <c r="I861" s="5"/>
      <c r="J861" s="5"/>
      <c r="K861" s="5"/>
    </row>
    <row r="862">
      <c r="F862" s="5"/>
      <c r="G862" s="5"/>
      <c r="H862" s="5"/>
      <c r="I862" s="5"/>
      <c r="J862" s="5"/>
      <c r="K862" s="5"/>
    </row>
    <row r="863">
      <c r="F863" s="5"/>
      <c r="G863" s="5"/>
      <c r="H863" s="5"/>
      <c r="I863" s="5"/>
      <c r="J863" s="5"/>
      <c r="K863" s="5"/>
    </row>
    <row r="864">
      <c r="F864" s="5"/>
      <c r="G864" s="5"/>
      <c r="H864" s="5"/>
      <c r="I864" s="5"/>
      <c r="J864" s="5"/>
      <c r="K864" s="5"/>
    </row>
    <row r="865">
      <c r="F865" s="5"/>
      <c r="G865" s="5"/>
      <c r="H865" s="5"/>
      <c r="I865" s="5"/>
      <c r="J865" s="5"/>
      <c r="K865" s="5"/>
    </row>
    <row r="866">
      <c r="F866" s="5"/>
      <c r="G866" s="5"/>
      <c r="H866" s="5"/>
      <c r="I866" s="5"/>
      <c r="J866" s="5"/>
      <c r="K866" s="5"/>
    </row>
    <row r="867">
      <c r="F867" s="5"/>
      <c r="G867" s="5"/>
      <c r="H867" s="5"/>
      <c r="I867" s="5"/>
      <c r="J867" s="5"/>
      <c r="K867" s="5"/>
    </row>
    <row r="868">
      <c r="F868" s="5"/>
      <c r="G868" s="5"/>
      <c r="H868" s="5"/>
      <c r="I868" s="5"/>
      <c r="J868" s="5"/>
      <c r="K868" s="5"/>
    </row>
    <row r="869">
      <c r="F869" s="5"/>
      <c r="G869" s="5"/>
      <c r="H869" s="5"/>
      <c r="I869" s="5"/>
      <c r="J869" s="5"/>
      <c r="K869" s="5"/>
    </row>
    <row r="870">
      <c r="F870" s="5"/>
      <c r="G870" s="5"/>
      <c r="H870" s="5"/>
      <c r="I870" s="5"/>
      <c r="J870" s="5"/>
      <c r="K870" s="5"/>
    </row>
    <row r="871">
      <c r="F871" s="5"/>
      <c r="G871" s="5"/>
      <c r="H871" s="5"/>
      <c r="I871" s="5"/>
      <c r="J871" s="5"/>
      <c r="K871" s="5"/>
    </row>
    <row r="872">
      <c r="F872" s="5"/>
      <c r="G872" s="5"/>
      <c r="H872" s="5"/>
      <c r="I872" s="5"/>
      <c r="J872" s="5"/>
      <c r="K872" s="5"/>
    </row>
    <row r="873">
      <c r="F873" s="5"/>
      <c r="G873" s="5"/>
      <c r="H873" s="5"/>
      <c r="I873" s="5"/>
      <c r="J873" s="5"/>
      <c r="K873" s="5"/>
    </row>
    <row r="874">
      <c r="F874" s="5"/>
      <c r="G874" s="5"/>
      <c r="H874" s="5"/>
      <c r="I874" s="5"/>
      <c r="J874" s="5"/>
      <c r="K874" s="5"/>
    </row>
    <row r="875">
      <c r="F875" s="5"/>
      <c r="G875" s="5"/>
      <c r="H875" s="5"/>
      <c r="I875" s="5"/>
      <c r="J875" s="5"/>
      <c r="K875" s="5"/>
    </row>
    <row r="876">
      <c r="F876" s="5"/>
      <c r="G876" s="5"/>
      <c r="H876" s="5"/>
      <c r="I876" s="5"/>
      <c r="J876" s="5"/>
      <c r="K876" s="5"/>
    </row>
    <row r="877">
      <c r="F877" s="5"/>
      <c r="G877" s="5"/>
      <c r="H877" s="5"/>
      <c r="I877" s="5"/>
      <c r="J877" s="5"/>
      <c r="K877" s="5"/>
    </row>
    <row r="878">
      <c r="F878" s="5"/>
      <c r="G878" s="5"/>
      <c r="H878" s="5"/>
      <c r="I878" s="5"/>
      <c r="J878" s="5"/>
      <c r="K878" s="5"/>
    </row>
    <row r="879">
      <c r="F879" s="5"/>
      <c r="G879" s="5"/>
      <c r="H879" s="5"/>
      <c r="I879" s="5"/>
      <c r="J879" s="5"/>
      <c r="K879" s="5"/>
    </row>
    <row r="880">
      <c r="F880" s="5"/>
      <c r="G880" s="5"/>
      <c r="H880" s="5"/>
      <c r="I880" s="5"/>
      <c r="J880" s="5"/>
      <c r="K880" s="5"/>
    </row>
    <row r="881">
      <c r="F881" s="5"/>
      <c r="G881" s="5"/>
      <c r="H881" s="5"/>
      <c r="I881" s="5"/>
      <c r="J881" s="5"/>
      <c r="K881" s="5"/>
    </row>
    <row r="882">
      <c r="F882" s="5"/>
      <c r="G882" s="5"/>
      <c r="H882" s="5"/>
      <c r="I882" s="5"/>
      <c r="J882" s="5"/>
      <c r="K882" s="5"/>
    </row>
    <row r="883">
      <c r="F883" s="5"/>
      <c r="G883" s="5"/>
      <c r="H883" s="5"/>
      <c r="I883" s="5"/>
      <c r="J883" s="5"/>
      <c r="K883" s="5"/>
    </row>
    <row r="884">
      <c r="F884" s="5"/>
      <c r="G884" s="5"/>
      <c r="H884" s="5"/>
      <c r="I884" s="5"/>
      <c r="J884" s="5"/>
      <c r="K884" s="5"/>
    </row>
    <row r="885">
      <c r="F885" s="5"/>
      <c r="G885" s="5"/>
      <c r="H885" s="5"/>
      <c r="I885" s="5"/>
      <c r="J885" s="5"/>
      <c r="K885" s="5"/>
    </row>
    <row r="886">
      <c r="F886" s="5"/>
      <c r="G886" s="5"/>
      <c r="H886" s="5"/>
      <c r="I886" s="5"/>
      <c r="J886" s="5"/>
      <c r="K886" s="5"/>
    </row>
    <row r="887">
      <c r="F887" s="5"/>
      <c r="G887" s="5"/>
      <c r="H887" s="5"/>
      <c r="I887" s="5"/>
      <c r="J887" s="5"/>
      <c r="K887" s="5"/>
    </row>
    <row r="888">
      <c r="F888" s="5"/>
      <c r="G888" s="5"/>
      <c r="H888" s="5"/>
      <c r="I888" s="5"/>
      <c r="J888" s="5"/>
      <c r="K888" s="5"/>
    </row>
    <row r="889">
      <c r="F889" s="5"/>
      <c r="G889" s="5"/>
      <c r="H889" s="5"/>
      <c r="I889" s="5"/>
      <c r="J889" s="5"/>
      <c r="K889" s="5"/>
    </row>
    <row r="890">
      <c r="F890" s="5"/>
      <c r="G890" s="5"/>
      <c r="H890" s="5"/>
      <c r="I890" s="5"/>
      <c r="J890" s="5"/>
      <c r="K890" s="5"/>
    </row>
    <row r="891">
      <c r="F891" s="5"/>
      <c r="G891" s="5"/>
      <c r="H891" s="5"/>
      <c r="I891" s="5"/>
      <c r="J891" s="5"/>
      <c r="K891" s="5"/>
    </row>
    <row r="892">
      <c r="F892" s="5"/>
      <c r="G892" s="5"/>
      <c r="H892" s="5"/>
      <c r="I892" s="5"/>
      <c r="J892" s="5"/>
      <c r="K892" s="5"/>
    </row>
    <row r="893">
      <c r="F893" s="5"/>
      <c r="G893" s="5"/>
      <c r="H893" s="5"/>
      <c r="I893" s="5"/>
      <c r="J893" s="5"/>
      <c r="K893" s="5"/>
    </row>
    <row r="894">
      <c r="F894" s="5"/>
      <c r="G894" s="5"/>
      <c r="H894" s="5"/>
      <c r="I894" s="5"/>
      <c r="J894" s="5"/>
      <c r="K894" s="5"/>
    </row>
    <row r="895">
      <c r="F895" s="5"/>
      <c r="G895" s="5"/>
      <c r="H895" s="5"/>
      <c r="I895" s="5"/>
      <c r="J895" s="5"/>
      <c r="K895" s="5"/>
    </row>
    <row r="896">
      <c r="F896" s="5"/>
      <c r="G896" s="5"/>
      <c r="H896" s="5"/>
      <c r="I896" s="5"/>
      <c r="J896" s="5"/>
      <c r="K896" s="5"/>
    </row>
    <row r="897">
      <c r="F897" s="5"/>
      <c r="G897" s="5"/>
      <c r="H897" s="5"/>
      <c r="I897" s="5"/>
      <c r="J897" s="5"/>
      <c r="K897" s="5"/>
    </row>
    <row r="898">
      <c r="F898" s="5"/>
      <c r="G898" s="5"/>
      <c r="H898" s="5"/>
      <c r="I898" s="5"/>
      <c r="J898" s="5"/>
      <c r="K898" s="5"/>
    </row>
    <row r="899">
      <c r="F899" s="5"/>
      <c r="G899" s="5"/>
      <c r="H899" s="5"/>
      <c r="I899" s="5"/>
      <c r="J899" s="5"/>
      <c r="K899" s="5"/>
    </row>
    <row r="900">
      <c r="F900" s="5"/>
      <c r="G900" s="5"/>
      <c r="H900" s="5"/>
      <c r="I900" s="5"/>
      <c r="J900" s="5"/>
      <c r="K900" s="5"/>
    </row>
    <row r="901">
      <c r="F901" s="5"/>
      <c r="G901" s="5"/>
      <c r="H901" s="5"/>
      <c r="I901" s="5"/>
      <c r="J901" s="5"/>
      <c r="K901" s="5"/>
    </row>
    <row r="902">
      <c r="F902" s="5"/>
      <c r="G902" s="5"/>
      <c r="H902" s="5"/>
      <c r="I902" s="5"/>
      <c r="J902" s="5"/>
      <c r="K902" s="5"/>
    </row>
    <row r="903">
      <c r="F903" s="5"/>
      <c r="G903" s="5"/>
      <c r="H903" s="5"/>
      <c r="I903" s="5"/>
      <c r="J903" s="5"/>
      <c r="K903" s="5"/>
    </row>
    <row r="904">
      <c r="F904" s="5"/>
      <c r="G904" s="5"/>
      <c r="H904" s="5"/>
      <c r="I904" s="5"/>
      <c r="J904" s="5"/>
      <c r="K904" s="5"/>
    </row>
    <row r="905">
      <c r="F905" s="5"/>
      <c r="G905" s="5"/>
      <c r="H905" s="5"/>
      <c r="I905" s="5"/>
      <c r="J905" s="5"/>
      <c r="K905" s="5"/>
    </row>
    <row r="906">
      <c r="F906" s="5"/>
      <c r="G906" s="5"/>
      <c r="H906" s="5"/>
      <c r="I906" s="5"/>
      <c r="J906" s="5"/>
      <c r="K906" s="5"/>
    </row>
    <row r="907">
      <c r="F907" s="5"/>
      <c r="G907" s="5"/>
      <c r="H907" s="5"/>
      <c r="I907" s="5"/>
      <c r="J907" s="5"/>
      <c r="K907" s="5"/>
    </row>
    <row r="908">
      <c r="F908" s="5"/>
      <c r="G908" s="5"/>
      <c r="H908" s="5"/>
      <c r="I908" s="5"/>
      <c r="J908" s="5"/>
      <c r="K908" s="5"/>
    </row>
    <row r="909">
      <c r="F909" s="5"/>
      <c r="G909" s="5"/>
      <c r="H909" s="5"/>
      <c r="I909" s="5"/>
      <c r="J909" s="5"/>
      <c r="K909" s="5"/>
    </row>
    <row r="910">
      <c r="F910" s="5"/>
      <c r="G910" s="5"/>
      <c r="H910" s="5"/>
      <c r="I910" s="5"/>
      <c r="J910" s="5"/>
      <c r="K910" s="5"/>
    </row>
    <row r="911">
      <c r="F911" s="5"/>
      <c r="G911" s="5"/>
      <c r="H911" s="5"/>
      <c r="I911" s="5"/>
      <c r="J911" s="5"/>
      <c r="K911" s="5"/>
    </row>
    <row r="912">
      <c r="F912" s="5"/>
      <c r="G912" s="5"/>
      <c r="H912" s="5"/>
      <c r="I912" s="5"/>
      <c r="J912" s="5"/>
      <c r="K912" s="5"/>
    </row>
    <row r="913">
      <c r="F913" s="5"/>
      <c r="G913" s="5"/>
      <c r="H913" s="5"/>
      <c r="I913" s="5"/>
      <c r="J913" s="5"/>
      <c r="K913" s="5"/>
    </row>
    <row r="914">
      <c r="F914" s="5"/>
      <c r="G914" s="5"/>
      <c r="H914" s="5"/>
      <c r="I914" s="5"/>
      <c r="J914" s="5"/>
      <c r="K914" s="5"/>
    </row>
    <row r="915">
      <c r="F915" s="5"/>
      <c r="G915" s="5"/>
      <c r="H915" s="5"/>
      <c r="I915" s="5"/>
      <c r="J915" s="5"/>
      <c r="K915" s="5"/>
    </row>
    <row r="916">
      <c r="F916" s="5"/>
      <c r="G916" s="5"/>
      <c r="H916" s="5"/>
      <c r="I916" s="5"/>
      <c r="J916" s="5"/>
      <c r="K916" s="5"/>
    </row>
    <row r="917">
      <c r="F917" s="5"/>
      <c r="G917" s="5"/>
      <c r="H917" s="5"/>
      <c r="I917" s="5"/>
      <c r="J917" s="5"/>
      <c r="K917" s="5"/>
    </row>
    <row r="918">
      <c r="F918" s="5"/>
      <c r="G918" s="5"/>
      <c r="H918" s="5"/>
      <c r="I918" s="5"/>
      <c r="J918" s="5"/>
      <c r="K918" s="5"/>
    </row>
    <row r="919">
      <c r="F919" s="5"/>
      <c r="G919" s="5"/>
      <c r="H919" s="5"/>
      <c r="I919" s="5"/>
      <c r="J919" s="5"/>
      <c r="K919" s="5"/>
    </row>
    <row r="920">
      <c r="F920" s="5"/>
      <c r="G920" s="5"/>
      <c r="H920" s="5"/>
      <c r="I920" s="5"/>
      <c r="J920" s="5"/>
      <c r="K920" s="5"/>
    </row>
    <row r="921">
      <c r="F921" s="5"/>
      <c r="G921" s="5"/>
      <c r="H921" s="5"/>
      <c r="I921" s="5"/>
      <c r="J921" s="5"/>
      <c r="K921" s="5"/>
    </row>
    <row r="922">
      <c r="F922" s="5"/>
      <c r="G922" s="5"/>
      <c r="H922" s="5"/>
      <c r="I922" s="5"/>
      <c r="J922" s="5"/>
      <c r="K922" s="5"/>
    </row>
    <row r="923">
      <c r="F923" s="5"/>
      <c r="G923" s="5"/>
      <c r="H923" s="5"/>
      <c r="I923" s="5"/>
      <c r="J923" s="5"/>
      <c r="K923" s="5"/>
    </row>
    <row r="924">
      <c r="F924" s="5"/>
      <c r="G924" s="5"/>
      <c r="H924" s="5"/>
      <c r="I924" s="5"/>
      <c r="J924" s="5"/>
      <c r="K924" s="5"/>
    </row>
    <row r="925">
      <c r="F925" s="5"/>
      <c r="G925" s="5"/>
      <c r="H925" s="5"/>
      <c r="I925" s="5"/>
      <c r="J925" s="5"/>
      <c r="K925" s="5"/>
    </row>
    <row r="926">
      <c r="F926" s="5"/>
      <c r="G926" s="5"/>
      <c r="H926" s="5"/>
      <c r="I926" s="5"/>
      <c r="J926" s="5"/>
      <c r="K926" s="5"/>
    </row>
    <row r="927">
      <c r="F927" s="5"/>
      <c r="G927" s="5"/>
      <c r="H927" s="5"/>
      <c r="I927" s="5"/>
      <c r="J927" s="5"/>
      <c r="K927" s="5"/>
    </row>
    <row r="928">
      <c r="F928" s="5"/>
      <c r="G928" s="5"/>
      <c r="H928" s="5"/>
      <c r="I928" s="5"/>
      <c r="J928" s="5"/>
      <c r="K928" s="5"/>
    </row>
    <row r="929">
      <c r="F929" s="5"/>
      <c r="G929" s="5"/>
      <c r="H929" s="5"/>
      <c r="I929" s="5"/>
      <c r="J929" s="5"/>
      <c r="K929" s="5"/>
    </row>
    <row r="930">
      <c r="F930" s="5"/>
      <c r="G930" s="5"/>
      <c r="H930" s="5"/>
      <c r="I930" s="5"/>
      <c r="J930" s="5"/>
      <c r="K930" s="5"/>
    </row>
    <row r="931">
      <c r="F931" s="5"/>
      <c r="G931" s="5"/>
      <c r="H931" s="5"/>
      <c r="I931" s="5"/>
      <c r="J931" s="5"/>
      <c r="K931" s="5"/>
    </row>
    <row r="932">
      <c r="F932" s="5"/>
      <c r="G932" s="5"/>
      <c r="H932" s="5"/>
      <c r="I932" s="5"/>
      <c r="J932" s="5"/>
      <c r="K932" s="5"/>
    </row>
    <row r="933">
      <c r="F933" s="5"/>
      <c r="G933" s="5"/>
      <c r="H933" s="5"/>
      <c r="I933" s="5"/>
      <c r="J933" s="5"/>
      <c r="K933" s="5"/>
    </row>
    <row r="934">
      <c r="F934" s="5"/>
      <c r="G934" s="5"/>
      <c r="H934" s="5"/>
      <c r="I934" s="5"/>
      <c r="J934" s="5"/>
      <c r="K934" s="5"/>
    </row>
    <row r="935">
      <c r="F935" s="5"/>
      <c r="G935" s="5"/>
      <c r="H935" s="5"/>
      <c r="I935" s="5"/>
      <c r="J935" s="5"/>
      <c r="K935" s="5"/>
    </row>
    <row r="936">
      <c r="F936" s="5"/>
      <c r="G936" s="5"/>
      <c r="H936" s="5"/>
      <c r="I936" s="5"/>
      <c r="J936" s="5"/>
      <c r="K936" s="5"/>
    </row>
    <row r="937">
      <c r="F937" s="5"/>
      <c r="G937" s="5"/>
      <c r="H937" s="5"/>
      <c r="I937" s="5"/>
      <c r="J937" s="5"/>
      <c r="K937" s="5"/>
    </row>
    <row r="938">
      <c r="F938" s="5"/>
      <c r="G938" s="5"/>
      <c r="H938" s="5"/>
      <c r="I938" s="5"/>
      <c r="J938" s="5"/>
      <c r="K938" s="5"/>
    </row>
    <row r="939">
      <c r="F939" s="5"/>
      <c r="G939" s="5"/>
      <c r="H939" s="5"/>
      <c r="I939" s="5"/>
      <c r="J939" s="5"/>
      <c r="K939" s="5"/>
    </row>
    <row r="940">
      <c r="F940" s="5"/>
      <c r="G940" s="5"/>
      <c r="H940" s="5"/>
      <c r="I940" s="5"/>
      <c r="J940" s="5"/>
      <c r="K940" s="5"/>
    </row>
    <row r="941">
      <c r="F941" s="5"/>
      <c r="G941" s="5"/>
      <c r="H941" s="5"/>
      <c r="I941" s="5"/>
      <c r="J941" s="5"/>
      <c r="K941" s="5"/>
    </row>
    <row r="942">
      <c r="F942" s="5"/>
      <c r="G942" s="5"/>
      <c r="H942" s="5"/>
      <c r="I942" s="5"/>
      <c r="J942" s="5"/>
      <c r="K942" s="5"/>
    </row>
    <row r="943">
      <c r="F943" s="5"/>
      <c r="G943" s="5"/>
      <c r="H943" s="5"/>
      <c r="I943" s="5"/>
      <c r="J943" s="5"/>
      <c r="K943" s="5"/>
    </row>
    <row r="944">
      <c r="F944" s="5"/>
      <c r="G944" s="5"/>
      <c r="H944" s="5"/>
      <c r="I944" s="5"/>
      <c r="J944" s="5"/>
      <c r="K944" s="5"/>
    </row>
    <row r="945">
      <c r="F945" s="5"/>
      <c r="G945" s="5"/>
      <c r="H945" s="5"/>
      <c r="I945" s="5"/>
      <c r="J945" s="5"/>
      <c r="K945" s="5"/>
    </row>
    <row r="946">
      <c r="F946" s="5"/>
      <c r="G946" s="5"/>
      <c r="H946" s="5"/>
      <c r="I946" s="5"/>
      <c r="J946" s="5"/>
      <c r="K946" s="5"/>
    </row>
    <row r="947">
      <c r="F947" s="5"/>
      <c r="G947" s="5"/>
      <c r="H947" s="5"/>
      <c r="I947" s="5"/>
      <c r="J947" s="5"/>
      <c r="K947" s="5"/>
    </row>
    <row r="948">
      <c r="F948" s="5"/>
      <c r="G948" s="5"/>
      <c r="H948" s="5"/>
      <c r="I948" s="5"/>
      <c r="J948" s="5"/>
      <c r="K948" s="5"/>
    </row>
    <row r="949">
      <c r="F949" s="5"/>
      <c r="G949" s="5"/>
      <c r="H949" s="5"/>
      <c r="I949" s="5"/>
      <c r="J949" s="5"/>
      <c r="K949" s="5"/>
    </row>
    <row r="950">
      <c r="F950" s="5"/>
      <c r="G950" s="5"/>
      <c r="H950" s="5"/>
      <c r="I950" s="5"/>
      <c r="J950" s="5"/>
      <c r="K950" s="5"/>
    </row>
    <row r="951">
      <c r="F951" s="5"/>
      <c r="G951" s="5"/>
      <c r="H951" s="5"/>
      <c r="I951" s="5"/>
      <c r="J951" s="5"/>
      <c r="K951" s="5"/>
    </row>
    <row r="952">
      <c r="F952" s="5"/>
      <c r="G952" s="5"/>
      <c r="H952" s="5"/>
      <c r="I952" s="5"/>
      <c r="J952" s="5"/>
      <c r="K952" s="5"/>
    </row>
    <row r="953">
      <c r="F953" s="5"/>
      <c r="G953" s="5"/>
      <c r="H953" s="5"/>
      <c r="I953" s="5"/>
      <c r="J953" s="5"/>
      <c r="K953" s="5"/>
    </row>
    <row r="954">
      <c r="F954" s="5"/>
      <c r="G954" s="5"/>
      <c r="H954" s="5"/>
      <c r="I954" s="5"/>
      <c r="J954" s="5"/>
      <c r="K954" s="5"/>
    </row>
    <row r="955">
      <c r="F955" s="5"/>
      <c r="G955" s="5"/>
      <c r="H955" s="5"/>
      <c r="I955" s="5"/>
      <c r="J955" s="5"/>
      <c r="K955" s="5"/>
    </row>
    <row r="956">
      <c r="F956" s="5"/>
      <c r="G956" s="5"/>
      <c r="H956" s="5"/>
      <c r="I956" s="5"/>
      <c r="J956" s="5"/>
      <c r="K956" s="5"/>
    </row>
    <row r="957">
      <c r="F957" s="5"/>
      <c r="G957" s="5"/>
      <c r="H957" s="5"/>
      <c r="I957" s="5"/>
      <c r="J957" s="5"/>
      <c r="K957" s="5"/>
    </row>
    <row r="958">
      <c r="F958" s="5"/>
      <c r="G958" s="5"/>
      <c r="H958" s="5"/>
      <c r="I958" s="5"/>
      <c r="J958" s="5"/>
      <c r="K958" s="5"/>
    </row>
    <row r="959">
      <c r="F959" s="5"/>
      <c r="G959" s="5"/>
      <c r="H959" s="5"/>
      <c r="I959" s="5"/>
      <c r="J959" s="5"/>
      <c r="K959" s="5"/>
    </row>
    <row r="960">
      <c r="F960" s="5"/>
      <c r="G960" s="5"/>
      <c r="H960" s="5"/>
      <c r="I960" s="5"/>
      <c r="J960" s="5"/>
      <c r="K960" s="5"/>
    </row>
    <row r="961">
      <c r="F961" s="5"/>
      <c r="G961" s="5"/>
      <c r="H961" s="5"/>
      <c r="I961" s="5"/>
      <c r="J961" s="5"/>
      <c r="K961" s="5"/>
    </row>
    <row r="962">
      <c r="F962" s="5"/>
      <c r="G962" s="5"/>
      <c r="H962" s="5"/>
      <c r="I962" s="5"/>
      <c r="J962" s="5"/>
      <c r="K962" s="5"/>
    </row>
    <row r="963">
      <c r="F963" s="5"/>
      <c r="G963" s="5"/>
      <c r="H963" s="5"/>
      <c r="I963" s="5"/>
      <c r="J963" s="5"/>
      <c r="K963" s="5"/>
    </row>
    <row r="964">
      <c r="F964" s="5"/>
      <c r="G964" s="5"/>
      <c r="H964" s="5"/>
      <c r="I964" s="5"/>
      <c r="J964" s="5"/>
      <c r="K964" s="5"/>
    </row>
    <row r="965">
      <c r="F965" s="5"/>
      <c r="G965" s="5"/>
      <c r="H965" s="5"/>
      <c r="I965" s="5"/>
      <c r="J965" s="5"/>
      <c r="K965" s="5"/>
    </row>
    <row r="966">
      <c r="F966" s="5"/>
      <c r="G966" s="5"/>
      <c r="H966" s="5"/>
      <c r="I966" s="5"/>
      <c r="J966" s="5"/>
      <c r="K966" s="5"/>
    </row>
    <row r="967">
      <c r="F967" s="5"/>
      <c r="G967" s="5"/>
      <c r="H967" s="5"/>
      <c r="I967" s="5"/>
      <c r="J967" s="5"/>
      <c r="K967" s="5"/>
    </row>
    <row r="968">
      <c r="F968" s="5"/>
      <c r="G968" s="5"/>
      <c r="H968" s="5"/>
      <c r="I968" s="5"/>
      <c r="J968" s="5"/>
      <c r="K968" s="5"/>
    </row>
    <row r="969">
      <c r="F969" s="5"/>
      <c r="G969" s="5"/>
      <c r="H969" s="5"/>
      <c r="I969" s="5"/>
      <c r="J969" s="5"/>
      <c r="K969" s="5"/>
    </row>
    <row r="970">
      <c r="F970" s="5"/>
      <c r="G970" s="5"/>
      <c r="H970" s="5"/>
      <c r="I970" s="5"/>
      <c r="J970" s="5"/>
      <c r="K970" s="5"/>
    </row>
    <row r="971">
      <c r="F971" s="5"/>
      <c r="G971" s="5"/>
      <c r="H971" s="5"/>
      <c r="I971" s="5"/>
      <c r="J971" s="5"/>
      <c r="K971" s="5"/>
    </row>
    <row r="972">
      <c r="F972" s="5"/>
      <c r="G972" s="5"/>
      <c r="H972" s="5"/>
      <c r="I972" s="5"/>
      <c r="J972" s="5"/>
      <c r="K972" s="5"/>
    </row>
    <row r="973">
      <c r="F973" s="5"/>
      <c r="G973" s="5"/>
      <c r="H973" s="5"/>
      <c r="I973" s="5"/>
      <c r="J973" s="5"/>
      <c r="K973" s="5"/>
    </row>
    <row r="974">
      <c r="F974" s="5"/>
      <c r="G974" s="5"/>
      <c r="H974" s="5"/>
      <c r="I974" s="5"/>
      <c r="J974" s="5"/>
      <c r="K974" s="5"/>
    </row>
    <row r="975">
      <c r="F975" s="5"/>
      <c r="G975" s="5"/>
      <c r="H975" s="5"/>
      <c r="I975" s="5"/>
      <c r="J975" s="5"/>
      <c r="K975" s="5"/>
    </row>
    <row r="976">
      <c r="F976" s="5"/>
      <c r="G976" s="5"/>
      <c r="H976" s="5"/>
      <c r="I976" s="5"/>
      <c r="J976" s="5"/>
      <c r="K976" s="5"/>
    </row>
    <row r="977">
      <c r="F977" s="5"/>
      <c r="G977" s="5"/>
      <c r="H977" s="5"/>
      <c r="I977" s="5"/>
      <c r="J977" s="5"/>
      <c r="K977" s="5"/>
    </row>
    <row r="978">
      <c r="F978" s="5"/>
      <c r="G978" s="5"/>
      <c r="H978" s="5"/>
      <c r="I978" s="5"/>
      <c r="J978" s="5"/>
      <c r="K978" s="5"/>
    </row>
    <row r="979">
      <c r="F979" s="5"/>
      <c r="G979" s="5"/>
      <c r="H979" s="5"/>
      <c r="I979" s="5"/>
      <c r="J979" s="5"/>
      <c r="K979" s="5"/>
    </row>
    <row r="980">
      <c r="F980" s="5"/>
      <c r="G980" s="5"/>
      <c r="H980" s="5"/>
      <c r="I980" s="5"/>
      <c r="J980" s="5"/>
      <c r="K980" s="5"/>
    </row>
    <row r="981">
      <c r="F981" s="5"/>
      <c r="G981" s="5"/>
      <c r="H981" s="5"/>
      <c r="I981" s="5"/>
      <c r="J981" s="5"/>
      <c r="K981" s="5"/>
    </row>
    <row r="982">
      <c r="F982" s="5"/>
      <c r="G982" s="5"/>
      <c r="H982" s="5"/>
      <c r="I982" s="5"/>
      <c r="J982" s="5"/>
      <c r="K982" s="5"/>
    </row>
    <row r="983">
      <c r="F983" s="5"/>
      <c r="G983" s="5"/>
      <c r="H983" s="5"/>
      <c r="I983" s="5"/>
      <c r="J983" s="5"/>
      <c r="K983" s="5"/>
    </row>
    <row r="984">
      <c r="F984" s="5"/>
      <c r="G984" s="5"/>
      <c r="H984" s="5"/>
      <c r="I984" s="5"/>
      <c r="J984" s="5"/>
      <c r="K984" s="5"/>
    </row>
    <row r="985">
      <c r="F985" s="5"/>
      <c r="G985" s="5"/>
      <c r="H985" s="5"/>
      <c r="I985" s="5"/>
      <c r="J985" s="5"/>
      <c r="K985" s="5"/>
    </row>
    <row r="986">
      <c r="F986" s="5"/>
      <c r="G986" s="5"/>
      <c r="H986" s="5"/>
      <c r="I986" s="5"/>
      <c r="J986" s="5"/>
      <c r="K986" s="5"/>
    </row>
    <row r="987">
      <c r="F987" s="5"/>
      <c r="G987" s="5"/>
      <c r="H987" s="5"/>
      <c r="I987" s="5"/>
      <c r="J987" s="5"/>
      <c r="K987" s="5"/>
    </row>
    <row r="988">
      <c r="F988" s="5"/>
      <c r="G988" s="5"/>
      <c r="H988" s="5"/>
      <c r="I988" s="5"/>
      <c r="J988" s="5"/>
      <c r="K988" s="5"/>
    </row>
    <row r="989">
      <c r="F989" s="5"/>
      <c r="G989" s="5"/>
      <c r="H989" s="5"/>
      <c r="I989" s="5"/>
      <c r="J989" s="5"/>
      <c r="K989" s="5"/>
    </row>
    <row r="990">
      <c r="F990" s="5"/>
      <c r="G990" s="5"/>
      <c r="H990" s="5"/>
      <c r="I990" s="5"/>
      <c r="J990" s="5"/>
      <c r="K990" s="5"/>
    </row>
    <row r="991">
      <c r="F991" s="5"/>
      <c r="G991" s="5"/>
      <c r="H991" s="5"/>
      <c r="I991" s="5"/>
      <c r="J991" s="5"/>
      <c r="K991" s="5"/>
    </row>
    <row r="992">
      <c r="F992" s="5"/>
      <c r="G992" s="5"/>
      <c r="H992" s="5"/>
      <c r="I992" s="5"/>
      <c r="J992" s="5"/>
      <c r="K992" s="5"/>
    </row>
    <row r="993">
      <c r="F993" s="5"/>
      <c r="G993" s="5"/>
      <c r="H993" s="5"/>
      <c r="I993" s="5"/>
      <c r="J993" s="5"/>
      <c r="K993" s="5"/>
    </row>
    <row r="994">
      <c r="F994" s="5"/>
      <c r="G994" s="5"/>
      <c r="H994" s="5"/>
      <c r="I994" s="5"/>
      <c r="J994" s="5"/>
      <c r="K994" s="5"/>
    </row>
    <row r="995">
      <c r="F995" s="5"/>
      <c r="G995" s="5"/>
      <c r="H995" s="5"/>
      <c r="I995" s="5"/>
      <c r="J995" s="5"/>
      <c r="K995" s="5"/>
    </row>
    <row r="996">
      <c r="F996" s="5"/>
      <c r="G996" s="5"/>
      <c r="H996" s="5"/>
      <c r="I996" s="5"/>
      <c r="J996" s="5"/>
      <c r="K996" s="5"/>
    </row>
    <row r="997">
      <c r="F997" s="5"/>
      <c r="G997" s="5"/>
      <c r="H997" s="5"/>
      <c r="I997" s="5"/>
      <c r="J997" s="5"/>
      <c r="K997" s="5"/>
    </row>
    <row r="998">
      <c r="F998" s="5"/>
      <c r="G998" s="5"/>
      <c r="H998" s="5"/>
      <c r="I998" s="5"/>
      <c r="J998" s="5"/>
      <c r="K998" s="5"/>
    </row>
    <row r="999">
      <c r="F999" s="5"/>
      <c r="G999" s="5"/>
      <c r="H999" s="5"/>
      <c r="I999" s="5"/>
      <c r="J999" s="5"/>
      <c r="K999" s="5"/>
    </row>
    <row r="1000">
      <c r="F1000" s="5"/>
      <c r="G1000" s="5"/>
      <c r="H1000" s="5"/>
      <c r="I1000" s="5"/>
      <c r="J1000" s="5"/>
      <c r="K1000" s="5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171" t="s">
        <v>3426</v>
      </c>
    </row>
    <row r="2">
      <c r="A2" s="172" t="s">
        <v>107</v>
      </c>
      <c r="B2" s="172" t="s">
        <v>4</v>
      </c>
      <c r="C2" s="172" t="s">
        <v>5</v>
      </c>
      <c r="D2" s="172" t="s">
        <v>6</v>
      </c>
      <c r="E2" s="172" t="s">
        <v>7</v>
      </c>
      <c r="F2" s="172" t="s">
        <v>8</v>
      </c>
      <c r="G2" s="172" t="s">
        <v>9</v>
      </c>
      <c r="H2" s="172" t="s">
        <v>10</v>
      </c>
      <c r="I2" s="172" t="s">
        <v>11</v>
      </c>
      <c r="J2" s="172" t="s">
        <v>13</v>
      </c>
      <c r="K2" s="172" t="s">
        <v>15</v>
      </c>
      <c r="L2" s="172" t="s">
        <v>17</v>
      </c>
    </row>
    <row r="3">
      <c r="A3" s="4" t="s">
        <v>3427</v>
      </c>
      <c r="B3" s="4" t="s">
        <v>3428</v>
      </c>
      <c r="C3" s="4" t="s">
        <v>3429</v>
      </c>
      <c r="D3" s="4" t="s">
        <v>123</v>
      </c>
      <c r="E3" s="4" t="s">
        <v>3430</v>
      </c>
      <c r="F3" s="4" t="s">
        <v>3431</v>
      </c>
      <c r="G3" s="4" t="s">
        <v>3432</v>
      </c>
      <c r="H3" s="4" t="s">
        <v>3433</v>
      </c>
      <c r="I3" s="4" t="s">
        <v>192</v>
      </c>
      <c r="J3" s="4" t="s">
        <v>3434</v>
      </c>
      <c r="K3" s="4" t="s">
        <v>3435</v>
      </c>
      <c r="L3" s="4" t="s">
        <v>2834</v>
      </c>
    </row>
    <row r="5">
      <c r="A5" s="171" t="s">
        <v>2779</v>
      </c>
      <c r="D5" s="171" t="s">
        <v>2780</v>
      </c>
    </row>
    <row r="6">
      <c r="A6" s="2" t="s">
        <v>3436</v>
      </c>
      <c r="B6" s="2" t="s">
        <v>3437</v>
      </c>
      <c r="D6" s="2" t="s">
        <v>3436</v>
      </c>
      <c r="E6" s="2" t="s">
        <v>3437</v>
      </c>
    </row>
    <row r="7">
      <c r="A7" s="173" t="s">
        <v>3435</v>
      </c>
      <c r="B7" s="4" t="s">
        <v>15</v>
      </c>
      <c r="D7" s="4" t="s">
        <v>3438</v>
      </c>
      <c r="E7" s="4" t="s">
        <v>107</v>
      </c>
    </row>
    <row r="8">
      <c r="A8" s="4" t="s">
        <v>192</v>
      </c>
      <c r="B8" s="4" t="s">
        <v>11</v>
      </c>
      <c r="D8" s="4" t="s">
        <v>3439</v>
      </c>
      <c r="E8" s="4" t="s">
        <v>4</v>
      </c>
    </row>
    <row r="9">
      <c r="A9" s="4" t="s">
        <v>3440</v>
      </c>
      <c r="B9" s="4" t="s">
        <v>13</v>
      </c>
      <c r="D9" s="4" t="s">
        <v>3441</v>
      </c>
      <c r="E9" s="4" t="s">
        <v>5</v>
      </c>
    </row>
    <row r="10">
      <c r="A10" s="173" t="s">
        <v>3442</v>
      </c>
      <c r="B10" s="4" t="s">
        <v>10</v>
      </c>
      <c r="D10" s="4" t="s">
        <v>3431</v>
      </c>
      <c r="E10" s="4" t="s">
        <v>8</v>
      </c>
    </row>
    <row r="11">
      <c r="A11" s="4" t="s">
        <v>132</v>
      </c>
      <c r="B11" s="4" t="s">
        <v>7</v>
      </c>
      <c r="D11" s="4" t="s">
        <v>3432</v>
      </c>
      <c r="E11" s="4" t="s">
        <v>9</v>
      </c>
    </row>
    <row r="12">
      <c r="A12" s="4" t="s">
        <v>2854</v>
      </c>
      <c r="B12" s="4" t="s">
        <v>6</v>
      </c>
      <c r="D12" s="4" t="s">
        <v>2834</v>
      </c>
      <c r="E12" s="4" t="s">
        <v>17</v>
      </c>
    </row>
    <row r="14">
      <c r="A14" s="171" t="s">
        <v>2792</v>
      </c>
      <c r="C14" s="2" t="s">
        <v>2794</v>
      </c>
      <c r="D14" s="171" t="s">
        <v>2829</v>
      </c>
      <c r="F14" s="2" t="s">
        <v>2794</v>
      </c>
      <c r="G14" s="171" t="s">
        <v>3443</v>
      </c>
      <c r="I14" s="2" t="s">
        <v>2794</v>
      </c>
    </row>
    <row r="15">
      <c r="A15" s="47" t="s">
        <v>3337</v>
      </c>
      <c r="C15" s="5"/>
      <c r="D15" s="47" t="s">
        <v>3337</v>
      </c>
      <c r="F15" s="5"/>
      <c r="G15" s="47" t="s">
        <v>3444</v>
      </c>
    </row>
    <row r="16">
      <c r="A16" s="4" t="s">
        <v>3445</v>
      </c>
      <c r="B16" s="174">
        <v>0.8333333333333334</v>
      </c>
      <c r="C16" s="4" t="s">
        <v>192</v>
      </c>
      <c r="D16" s="4" t="s">
        <v>3446</v>
      </c>
      <c r="E16" s="174">
        <v>0.8402777777777778</v>
      </c>
      <c r="F16" s="4" t="s">
        <v>3439</v>
      </c>
      <c r="G16" s="4" t="s">
        <v>3447</v>
      </c>
      <c r="H16" s="175">
        <v>0.8333333333333334</v>
      </c>
      <c r="I16" s="26" t="s">
        <v>2854</v>
      </c>
    </row>
    <row r="17">
      <c r="A17" s="4" t="s">
        <v>3448</v>
      </c>
      <c r="B17" s="174">
        <v>0.8472222222222222</v>
      </c>
      <c r="C17" s="4" t="s">
        <v>3449</v>
      </c>
      <c r="D17" s="4" t="s">
        <v>3450</v>
      </c>
      <c r="E17" s="174">
        <v>0.8541666666666666</v>
      </c>
      <c r="F17" s="4" t="s">
        <v>3451</v>
      </c>
      <c r="G17" s="4" t="s">
        <v>3452</v>
      </c>
      <c r="H17" s="175">
        <v>0.8472222222222222</v>
      </c>
      <c r="I17" s="26" t="s">
        <v>3440</v>
      </c>
    </row>
    <row r="18">
      <c r="A18" s="4" t="s">
        <v>3453</v>
      </c>
      <c r="B18" s="174">
        <v>0.8611111111111112</v>
      </c>
      <c r="C18" s="4" t="s">
        <v>2854</v>
      </c>
      <c r="D18" s="4" t="s">
        <v>3454</v>
      </c>
      <c r="E18" s="174">
        <v>0.8680555555555556</v>
      </c>
      <c r="F18" s="4" t="s">
        <v>2834</v>
      </c>
      <c r="G18" s="4" t="s">
        <v>3455</v>
      </c>
      <c r="H18" s="175">
        <v>0.8611111111111112</v>
      </c>
      <c r="I18" s="26" t="s">
        <v>132</v>
      </c>
    </row>
    <row r="19">
      <c r="A19" s="4" t="s">
        <v>3456</v>
      </c>
      <c r="B19" s="174">
        <v>0.875</v>
      </c>
      <c r="C19" s="4" t="s">
        <v>3440</v>
      </c>
      <c r="D19" s="4" t="s">
        <v>3457</v>
      </c>
      <c r="E19" s="174">
        <v>0.8819444444444444</v>
      </c>
      <c r="F19" s="4" t="s">
        <v>3438</v>
      </c>
      <c r="G19" s="4" t="s">
        <v>3458</v>
      </c>
      <c r="H19" s="175">
        <v>0.875</v>
      </c>
      <c r="I19" s="26" t="s">
        <v>192</v>
      </c>
    </row>
    <row r="20">
      <c r="A20" s="4" t="s">
        <v>3459</v>
      </c>
      <c r="B20" s="174">
        <v>0.8888888888888888</v>
      </c>
      <c r="C20" s="4" t="s">
        <v>132</v>
      </c>
      <c r="D20" s="4" t="s">
        <v>3460</v>
      </c>
      <c r="E20" s="174">
        <v>0.8958333333333334</v>
      </c>
      <c r="F20" s="4" t="s">
        <v>3439</v>
      </c>
    </row>
    <row r="21">
      <c r="A21" s="4" t="s">
        <v>3461</v>
      </c>
      <c r="B21" s="174">
        <v>0.9027777777777778</v>
      </c>
      <c r="C21" s="4" t="s">
        <v>2854</v>
      </c>
      <c r="D21" s="4" t="s">
        <v>3462</v>
      </c>
      <c r="E21" s="174">
        <v>0.9097222222222222</v>
      </c>
      <c r="F21" s="4" t="s">
        <v>3431</v>
      </c>
      <c r="G21" s="171" t="s">
        <v>3463</v>
      </c>
      <c r="I21" s="2" t="s">
        <v>2794</v>
      </c>
      <c r="J21" s="171" t="s">
        <v>3464</v>
      </c>
      <c r="L21" s="2" t="s">
        <v>2794</v>
      </c>
    </row>
    <row r="22">
      <c r="A22" s="4" t="s">
        <v>3465</v>
      </c>
      <c r="B22" s="174">
        <v>0.9166666666666666</v>
      </c>
      <c r="C22" s="4" t="s">
        <v>3435</v>
      </c>
      <c r="D22" s="4" t="s">
        <v>3466</v>
      </c>
      <c r="E22" s="174">
        <v>0.9236111111111112</v>
      </c>
      <c r="F22" s="4" t="s">
        <v>3432</v>
      </c>
      <c r="G22" s="47" t="s">
        <v>3444</v>
      </c>
      <c r="J22" s="47" t="s">
        <v>3467</v>
      </c>
    </row>
    <row r="23">
      <c r="A23" s="4" t="s">
        <v>3468</v>
      </c>
      <c r="B23" s="174">
        <v>0.9305555555555556</v>
      </c>
      <c r="C23" s="4" t="s">
        <v>3440</v>
      </c>
      <c r="D23" s="4" t="s">
        <v>3469</v>
      </c>
      <c r="E23" s="174">
        <v>0.9375</v>
      </c>
      <c r="F23" s="4" t="s">
        <v>3439</v>
      </c>
      <c r="G23" s="26" t="s">
        <v>3470</v>
      </c>
      <c r="H23" s="174">
        <v>0.8888888888888888</v>
      </c>
      <c r="I23" s="26" t="s">
        <v>2854</v>
      </c>
      <c r="J23" s="26" t="s">
        <v>3471</v>
      </c>
      <c r="K23" s="175">
        <v>0.8333333333333334</v>
      </c>
      <c r="L23" s="26" t="s">
        <v>192</v>
      </c>
    </row>
    <row r="24">
      <c r="A24" s="47" t="s">
        <v>3350</v>
      </c>
      <c r="C24" s="5"/>
      <c r="D24" s="47" t="s">
        <v>3350</v>
      </c>
      <c r="F24" s="5"/>
      <c r="G24" s="26" t="s">
        <v>3459</v>
      </c>
      <c r="H24" s="174">
        <v>0.9027777777777778</v>
      </c>
      <c r="I24" s="26" t="s">
        <v>192</v>
      </c>
    </row>
    <row r="25">
      <c r="A25" s="4" t="s">
        <v>3472</v>
      </c>
      <c r="B25" s="174">
        <v>0.8333333333333334</v>
      </c>
      <c r="C25" s="4" t="s">
        <v>3435</v>
      </c>
      <c r="D25" s="4" t="s">
        <v>3473</v>
      </c>
      <c r="E25" s="174">
        <v>0.8402777777777778</v>
      </c>
      <c r="F25" s="4" t="s">
        <v>3438</v>
      </c>
      <c r="G25" s="47" t="s">
        <v>3474</v>
      </c>
    </row>
    <row r="26">
      <c r="A26" s="4" t="s">
        <v>3475</v>
      </c>
      <c r="B26" s="174">
        <v>0.8472222222222222</v>
      </c>
      <c r="C26" s="4" t="s">
        <v>132</v>
      </c>
      <c r="D26" s="4" t="s">
        <v>3476</v>
      </c>
      <c r="E26" s="174">
        <v>0.8541666666666666</v>
      </c>
      <c r="F26" s="4" t="s">
        <v>3432</v>
      </c>
    </row>
    <row r="27">
      <c r="A27" s="4" t="s">
        <v>3477</v>
      </c>
      <c r="B27" s="174">
        <v>0.8611111111111112</v>
      </c>
      <c r="C27" s="4" t="s">
        <v>192</v>
      </c>
      <c r="D27" s="4" t="s">
        <v>3478</v>
      </c>
      <c r="E27" s="174">
        <v>0.8680555555555556</v>
      </c>
      <c r="F27" s="4" t="s">
        <v>3439</v>
      </c>
    </row>
    <row r="28">
      <c r="A28" s="4" t="s">
        <v>3479</v>
      </c>
      <c r="B28" s="174">
        <v>0.875</v>
      </c>
      <c r="C28" s="4" t="s">
        <v>2854</v>
      </c>
      <c r="D28" s="4" t="s">
        <v>3480</v>
      </c>
      <c r="E28" s="174">
        <v>0.8819444444444444</v>
      </c>
      <c r="F28" s="4" t="s">
        <v>2834</v>
      </c>
    </row>
    <row r="29">
      <c r="A29" s="4" t="s">
        <v>3481</v>
      </c>
      <c r="B29" s="174">
        <v>0.8888888888888888</v>
      </c>
      <c r="C29" s="4" t="s">
        <v>3449</v>
      </c>
      <c r="D29" s="4" t="s">
        <v>3482</v>
      </c>
      <c r="E29" s="174">
        <v>0.8958333333333334</v>
      </c>
      <c r="F29" s="4" t="s">
        <v>3438</v>
      </c>
    </row>
    <row r="30">
      <c r="A30" s="4" t="s">
        <v>3483</v>
      </c>
      <c r="B30" s="174">
        <v>0.9027777777777778</v>
      </c>
      <c r="C30" s="4" t="s">
        <v>3440</v>
      </c>
      <c r="D30" s="4" t="s">
        <v>3484</v>
      </c>
      <c r="E30" s="174">
        <v>0.9097222222222222</v>
      </c>
      <c r="F30" s="4" t="s">
        <v>3451</v>
      </c>
    </row>
    <row r="31">
      <c r="A31" s="4" t="s">
        <v>3485</v>
      </c>
      <c r="B31" s="174">
        <v>0.9166666666666666</v>
      </c>
      <c r="C31" s="4" t="s">
        <v>2854</v>
      </c>
      <c r="D31" s="4" t="s">
        <v>3486</v>
      </c>
      <c r="E31" s="174">
        <v>0.9236111111111112</v>
      </c>
      <c r="F31" s="4" t="s">
        <v>3439</v>
      </c>
    </row>
    <row r="32">
      <c r="A32" s="47" t="s">
        <v>3474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76" t="s">
        <v>3487</v>
      </c>
    </row>
    <row r="2">
      <c r="A2" s="26" t="s">
        <v>2782</v>
      </c>
    </row>
    <row r="3">
      <c r="A3" s="26" t="s">
        <v>3488</v>
      </c>
    </row>
    <row r="4">
      <c r="A4" s="26" t="s">
        <v>3489</v>
      </c>
    </row>
    <row r="5">
      <c r="A5" s="26" t="s">
        <v>3490</v>
      </c>
    </row>
    <row r="6">
      <c r="A6" s="26" t="s">
        <v>2790</v>
      </c>
    </row>
    <row r="7">
      <c r="A7" s="26" t="s">
        <v>3491</v>
      </c>
    </row>
    <row r="9">
      <c r="A9" s="4" t="s">
        <v>3365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76" t="s">
        <v>3487</v>
      </c>
    </row>
    <row r="2">
      <c r="A2" s="26" t="s">
        <v>2783</v>
      </c>
    </row>
    <row r="3">
      <c r="A3" s="26" t="s">
        <v>3492</v>
      </c>
    </row>
    <row r="4">
      <c r="A4" s="26" t="s">
        <v>3493</v>
      </c>
    </row>
    <row r="5">
      <c r="A5" s="26" t="s">
        <v>3494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176" t="s">
        <v>3487</v>
      </c>
    </row>
    <row r="2">
      <c r="A2" s="26" t="s">
        <v>3495</v>
      </c>
    </row>
    <row r="3">
      <c r="A3" s="26" t="s">
        <v>3496</v>
      </c>
    </row>
    <row r="4">
      <c r="A4" s="26" t="s">
        <v>3497</v>
      </c>
    </row>
    <row r="5">
      <c r="A5" s="26" t="s">
        <v>3498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77" t="s">
        <v>3499</v>
      </c>
    </row>
    <row r="2">
      <c r="A2" s="38" t="s">
        <v>3500</v>
      </c>
    </row>
    <row r="3">
      <c r="A3" s="178" t="s">
        <v>3501</v>
      </c>
    </row>
    <row r="4">
      <c r="A4" s="4" t="s">
        <v>3436</v>
      </c>
      <c r="B4" s="4" t="s">
        <v>3437</v>
      </c>
      <c r="C4" s="4" t="s">
        <v>3502</v>
      </c>
      <c r="D4" s="4" t="s">
        <v>3503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5" t="s">
        <v>148</v>
      </c>
      <c r="B5" s="105" t="s">
        <v>17</v>
      </c>
      <c r="C5" s="105" t="s">
        <v>120</v>
      </c>
      <c r="D5" s="105" t="s">
        <v>3504</v>
      </c>
    </row>
    <row r="6">
      <c r="A6" s="105" t="s">
        <v>144</v>
      </c>
      <c r="B6" s="105" t="s">
        <v>5</v>
      </c>
      <c r="C6" s="105" t="s">
        <v>115</v>
      </c>
      <c r="D6" s="105" t="s">
        <v>3505</v>
      </c>
    </row>
    <row r="8">
      <c r="A8" s="38" t="s">
        <v>3506</v>
      </c>
    </row>
    <row r="9">
      <c r="A9" s="178" t="s">
        <v>3507</v>
      </c>
    </row>
    <row r="10">
      <c r="A10" s="4" t="s">
        <v>3436</v>
      </c>
      <c r="B10" s="4" t="s">
        <v>3437</v>
      </c>
      <c r="C10" s="4" t="s">
        <v>3502</v>
      </c>
      <c r="D10" s="4" t="s">
        <v>3503</v>
      </c>
    </row>
    <row r="11">
      <c r="A11" s="105" t="s">
        <v>3508</v>
      </c>
      <c r="B11" s="105" t="s">
        <v>6</v>
      </c>
      <c r="C11" s="105" t="s">
        <v>120</v>
      </c>
      <c r="D11" s="105" t="s">
        <v>3509</v>
      </c>
    </row>
    <row r="12">
      <c r="A12" s="105" t="s">
        <v>1047</v>
      </c>
      <c r="B12" s="105" t="s">
        <v>6</v>
      </c>
      <c r="C12" s="105" t="s">
        <v>115</v>
      </c>
      <c r="D12" s="105" t="s">
        <v>3510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179" t="s">
        <v>3511</v>
      </c>
    </row>
    <row r="2">
      <c r="A2" s="47" t="s">
        <v>107</v>
      </c>
      <c r="B2" s="47" t="s">
        <v>4</v>
      </c>
      <c r="C2" s="47" t="s">
        <v>15</v>
      </c>
      <c r="D2" s="47" t="s">
        <v>11</v>
      </c>
      <c r="E2" s="47" t="s">
        <v>17</v>
      </c>
      <c r="F2" s="47" t="s">
        <v>3512</v>
      </c>
    </row>
    <row r="3">
      <c r="A3" s="26" t="s">
        <v>2095</v>
      </c>
      <c r="B3" s="26" t="s">
        <v>471</v>
      </c>
      <c r="C3" s="26" t="s">
        <v>2503</v>
      </c>
      <c r="D3" s="26" t="s">
        <v>1922</v>
      </c>
      <c r="E3" s="26" t="s">
        <v>2703</v>
      </c>
      <c r="F3" s="26" t="s">
        <v>896</v>
      </c>
    </row>
    <row r="4">
      <c r="A4" s="26" t="s">
        <v>2097</v>
      </c>
      <c r="B4" s="26" t="s">
        <v>536</v>
      </c>
      <c r="C4" s="26" t="s">
        <v>3513</v>
      </c>
      <c r="D4" s="26" t="s">
        <v>1879</v>
      </c>
      <c r="E4" s="26" t="s">
        <v>3514</v>
      </c>
      <c r="F4" s="26" t="s">
        <v>3515</v>
      </c>
    </row>
    <row r="5">
      <c r="A5" s="26" t="s">
        <v>3516</v>
      </c>
      <c r="B5" s="26" t="s">
        <v>3517</v>
      </c>
      <c r="C5" s="26" t="s">
        <v>3518</v>
      </c>
      <c r="D5" s="26" t="s">
        <v>3519</v>
      </c>
      <c r="E5" s="26" t="s">
        <v>2709</v>
      </c>
      <c r="F5" s="26" t="s">
        <v>3520</v>
      </c>
    </row>
    <row r="6">
      <c r="A6" s="26" t="s">
        <v>3521</v>
      </c>
      <c r="B6" s="26" t="s">
        <v>546</v>
      </c>
      <c r="C6" s="26" t="s">
        <v>2522</v>
      </c>
      <c r="D6" s="26" t="s">
        <v>3522</v>
      </c>
      <c r="E6" s="26" t="s">
        <v>3523</v>
      </c>
      <c r="F6" s="26" t="s">
        <v>3524</v>
      </c>
    </row>
    <row r="7">
      <c r="A7" s="26" t="s">
        <v>3525</v>
      </c>
      <c r="B7" s="26" t="s">
        <v>3526</v>
      </c>
      <c r="C7" s="26" t="s">
        <v>3527</v>
      </c>
      <c r="D7" s="26" t="s">
        <v>3528</v>
      </c>
      <c r="E7" s="26" t="s">
        <v>3529</v>
      </c>
      <c r="F7" s="26" t="s">
        <v>1054</v>
      </c>
    </row>
    <row r="8">
      <c r="A8" s="26" t="s">
        <v>3530</v>
      </c>
      <c r="B8" s="26" t="s">
        <v>3531</v>
      </c>
      <c r="C8" s="26" t="s">
        <v>3532</v>
      </c>
      <c r="D8" s="26" t="s">
        <v>3533</v>
      </c>
      <c r="E8" s="26" t="s">
        <v>3534</v>
      </c>
      <c r="F8" s="26" t="s">
        <v>3535</v>
      </c>
      <c r="H8" s="10">
        <f>8+9+12+10+11+10+15+7+6+14+2+2</f>
        <v>106</v>
      </c>
    </row>
    <row r="9">
      <c r="A9" s="26" t="s">
        <v>3536</v>
      </c>
      <c r="B9" s="26" t="s">
        <v>3537</v>
      </c>
      <c r="C9" s="26" t="s">
        <v>3538</v>
      </c>
      <c r="D9" s="26" t="s">
        <v>3539</v>
      </c>
      <c r="E9" s="26" t="s">
        <v>3540</v>
      </c>
      <c r="F9" s="26" t="s">
        <v>3541</v>
      </c>
    </row>
    <row r="10">
      <c r="A10" s="26" t="s">
        <v>3542</v>
      </c>
      <c r="B10" s="26" t="s">
        <v>3543</v>
      </c>
      <c r="C10" s="26" t="s">
        <v>3544</v>
      </c>
      <c r="D10" s="26" t="s">
        <v>3545</v>
      </c>
      <c r="E10" s="26" t="s">
        <v>3546</v>
      </c>
      <c r="F10" s="26" t="s">
        <v>3547</v>
      </c>
    </row>
    <row r="11">
      <c r="B11" s="26" t="s">
        <v>3548</v>
      </c>
      <c r="C11" s="26" t="s">
        <v>3549</v>
      </c>
      <c r="D11" s="26" t="s">
        <v>3550</v>
      </c>
      <c r="E11" s="26" t="s">
        <v>3551</v>
      </c>
      <c r="F11" s="26" t="s">
        <v>3552</v>
      </c>
    </row>
    <row r="12">
      <c r="C12" s="26" t="s">
        <v>3553</v>
      </c>
      <c r="D12" s="26" t="s">
        <v>1203</v>
      </c>
      <c r="E12" s="26" t="s">
        <v>3554</v>
      </c>
      <c r="F12" s="26" t="s">
        <v>3555</v>
      </c>
    </row>
    <row r="13">
      <c r="C13" s="26" t="s">
        <v>3556</v>
      </c>
      <c r="E13" s="26" t="s">
        <v>3557</v>
      </c>
    </row>
    <row r="14">
      <c r="C14" s="26" t="s">
        <v>3558</v>
      </c>
    </row>
    <row r="16">
      <c r="A16" s="47" t="s">
        <v>10</v>
      </c>
      <c r="B16" s="47" t="s">
        <v>7</v>
      </c>
      <c r="C16" s="47" t="s">
        <v>16</v>
      </c>
      <c r="D16" s="47" t="s">
        <v>9</v>
      </c>
      <c r="E16" s="47" t="s">
        <v>2978</v>
      </c>
      <c r="F16" s="47" t="s">
        <v>8</v>
      </c>
    </row>
    <row r="17">
      <c r="A17" s="26" t="s">
        <v>1715</v>
      </c>
      <c r="B17" s="26" t="s">
        <v>1254</v>
      </c>
      <c r="C17" s="26" t="s">
        <v>3559</v>
      </c>
      <c r="D17" s="26" t="s">
        <v>3560</v>
      </c>
      <c r="E17" s="26" t="s">
        <v>3561</v>
      </c>
      <c r="F17" s="26" t="s">
        <v>1391</v>
      </c>
    </row>
    <row r="18">
      <c r="A18" s="26" t="s">
        <v>1630</v>
      </c>
      <c r="B18" s="26" t="s">
        <v>1256</v>
      </c>
      <c r="C18" s="26" t="s">
        <v>3562</v>
      </c>
      <c r="D18" s="26" t="s">
        <v>3563</v>
      </c>
      <c r="E18" s="26" t="s">
        <v>3564</v>
      </c>
      <c r="F18" s="26" t="s">
        <v>1365</v>
      </c>
    </row>
    <row r="19">
      <c r="A19" s="26" t="s">
        <v>1683</v>
      </c>
      <c r="B19" s="26" t="s">
        <v>1217</v>
      </c>
      <c r="C19" s="26" t="s">
        <v>3565</v>
      </c>
      <c r="D19" s="26" t="s">
        <v>3566</v>
      </c>
      <c r="E19" s="26" t="s">
        <v>3567</v>
      </c>
    </row>
    <row r="20">
      <c r="A20" s="26" t="s">
        <v>3568</v>
      </c>
      <c r="B20" s="26" t="s">
        <v>3569</v>
      </c>
      <c r="C20" s="26" t="s">
        <v>3570</v>
      </c>
      <c r="D20" s="26" t="s">
        <v>3571</v>
      </c>
      <c r="E20" s="26" t="s">
        <v>3572</v>
      </c>
    </row>
    <row r="21">
      <c r="A21" s="26" t="s">
        <v>3573</v>
      </c>
      <c r="B21" s="26" t="s">
        <v>3574</v>
      </c>
      <c r="C21" s="26" t="s">
        <v>3575</v>
      </c>
      <c r="D21" s="26" t="s">
        <v>3576</v>
      </c>
    </row>
    <row r="22">
      <c r="A22" s="26" t="s">
        <v>3577</v>
      </c>
      <c r="B22" s="26" t="s">
        <v>3578</v>
      </c>
      <c r="C22" s="26" t="s">
        <v>3579</v>
      </c>
      <c r="D22" s="26" t="s">
        <v>3580</v>
      </c>
    </row>
    <row r="23">
      <c r="A23" s="26" t="s">
        <v>3581</v>
      </c>
      <c r="B23" s="26" t="s">
        <v>3582</v>
      </c>
      <c r="D23" s="26" t="s">
        <v>3583</v>
      </c>
    </row>
    <row r="24">
      <c r="A24" s="26" t="s">
        <v>3584</v>
      </c>
      <c r="D24" s="26" t="s">
        <v>3585</v>
      </c>
    </row>
    <row r="25">
      <c r="A25" s="26" t="s">
        <v>3586</v>
      </c>
      <c r="D25" s="26" t="s">
        <v>3587</v>
      </c>
    </row>
    <row r="26">
      <c r="A26" s="26" t="s">
        <v>3588</v>
      </c>
      <c r="D26" s="26" t="s">
        <v>3589</v>
      </c>
    </row>
    <row r="27">
      <c r="A27" s="26" t="s">
        <v>3590</v>
      </c>
      <c r="D27" s="26" t="s">
        <v>3591</v>
      </c>
    </row>
    <row r="28">
      <c r="A28" s="26" t="s">
        <v>3592</v>
      </c>
      <c r="D28" s="26" t="s">
        <v>3593</v>
      </c>
    </row>
    <row r="29">
      <c r="A29" s="26" t="s">
        <v>3594</v>
      </c>
      <c r="D29" s="26" t="s">
        <v>3595</v>
      </c>
    </row>
    <row r="30">
      <c r="A30" s="26" t="s">
        <v>3596</v>
      </c>
      <c r="D30" s="26" t="s">
        <v>3597</v>
      </c>
    </row>
    <row r="31">
      <c r="A31" s="26" t="s">
        <v>3598</v>
      </c>
    </row>
    <row r="33">
      <c r="A33" s="179" t="s">
        <v>3599</v>
      </c>
    </row>
    <row r="34">
      <c r="A34" s="38" t="s">
        <v>386</v>
      </c>
      <c r="B34" s="38" t="s">
        <v>102</v>
      </c>
      <c r="C34" s="38" t="s">
        <v>126</v>
      </c>
      <c r="D34" s="38" t="s">
        <v>112</v>
      </c>
      <c r="E34" s="38" t="s">
        <v>117</v>
      </c>
    </row>
    <row r="35">
      <c r="A35" s="33" t="s">
        <v>3600</v>
      </c>
      <c r="B35" s="33" t="s">
        <v>3601</v>
      </c>
      <c r="C35" s="33" t="s">
        <v>3602</v>
      </c>
      <c r="D35" s="33" t="s">
        <v>3603</v>
      </c>
      <c r="E35" s="33" t="s">
        <v>3604</v>
      </c>
    </row>
    <row r="36">
      <c r="A36" s="33" t="s">
        <v>3605</v>
      </c>
      <c r="B36" s="33" t="s">
        <v>3606</v>
      </c>
      <c r="C36" s="33" t="s">
        <v>3607</v>
      </c>
      <c r="D36" s="33" t="s">
        <v>3608</v>
      </c>
      <c r="E36" s="33" t="s">
        <v>3609</v>
      </c>
    </row>
    <row r="37">
      <c r="A37" s="26" t="s">
        <v>3610</v>
      </c>
      <c r="B37" s="26" t="s">
        <v>3611</v>
      </c>
      <c r="C37" s="26" t="s">
        <v>3612</v>
      </c>
      <c r="D37" s="26" t="s">
        <v>3613</v>
      </c>
      <c r="E37" s="26" t="s">
        <v>3614</v>
      </c>
    </row>
    <row r="38">
      <c r="A38" s="180" t="s">
        <v>3615</v>
      </c>
      <c r="B38" s="26" t="s">
        <v>3616</v>
      </c>
      <c r="C38" s="180" t="s">
        <v>3617</v>
      </c>
      <c r="D38" s="180" t="s">
        <v>3618</v>
      </c>
      <c r="E38" s="26" t="s">
        <v>3619</v>
      </c>
    </row>
    <row r="39">
      <c r="A39" s="26" t="s">
        <v>3620</v>
      </c>
      <c r="B39" s="26" t="s">
        <v>3621</v>
      </c>
      <c r="C39" s="26" t="s">
        <v>3622</v>
      </c>
      <c r="D39" s="26" t="s">
        <v>3623</v>
      </c>
      <c r="E39" s="26" t="s">
        <v>3624</v>
      </c>
    </row>
    <row r="40">
      <c r="A40" s="26" t="s">
        <v>3625</v>
      </c>
      <c r="B40" s="26" t="s">
        <v>3626</v>
      </c>
      <c r="C40" s="26" t="s">
        <v>3627</v>
      </c>
      <c r="D40" s="26" t="s">
        <v>3628</v>
      </c>
      <c r="E40" s="26" t="s">
        <v>3629</v>
      </c>
    </row>
    <row r="41">
      <c r="A41" s="26" t="s">
        <v>3630</v>
      </c>
      <c r="B41" s="180" t="s">
        <v>3631</v>
      </c>
      <c r="C41" s="26" t="s">
        <v>3632</v>
      </c>
      <c r="D41" s="26" t="s">
        <v>3633</v>
      </c>
      <c r="E41" s="26" t="s">
        <v>3634</v>
      </c>
    </row>
    <row r="42">
      <c r="A42" s="26" t="s">
        <v>3635</v>
      </c>
      <c r="B42" s="26" t="s">
        <v>3636</v>
      </c>
      <c r="C42" s="157" t="s">
        <v>3637</v>
      </c>
      <c r="D42" s="26" t="s">
        <v>3638</v>
      </c>
      <c r="E42" s="26" t="s">
        <v>3639</v>
      </c>
    </row>
    <row r="43">
      <c r="A43" s="26" t="s">
        <v>3640</v>
      </c>
      <c r="B43" s="26" t="s">
        <v>3641</v>
      </c>
      <c r="C43" s="26" t="s">
        <v>3642</v>
      </c>
      <c r="D43" s="26" t="s">
        <v>3643</v>
      </c>
      <c r="E43" s="26" t="s">
        <v>3644</v>
      </c>
    </row>
    <row r="44">
      <c r="A44" s="26" t="s">
        <v>3645</v>
      </c>
      <c r="B44" s="157" t="s">
        <v>3646</v>
      </c>
      <c r="C44" s="26" t="s">
        <v>3647</v>
      </c>
      <c r="D44" s="26" t="s">
        <v>3648</v>
      </c>
      <c r="E44" s="26" t="s">
        <v>3649</v>
      </c>
    </row>
    <row r="45">
      <c r="A45" s="26" t="s">
        <v>3650</v>
      </c>
      <c r="B45" s="26" t="s">
        <v>3651</v>
      </c>
      <c r="C45" s="26" t="s">
        <v>3652</v>
      </c>
      <c r="D45" s="26" t="s">
        <v>3653</v>
      </c>
      <c r="E45" s="26" t="s">
        <v>3654</v>
      </c>
    </row>
    <row r="46">
      <c r="A46" s="26" t="s">
        <v>3655</v>
      </c>
      <c r="B46" s="26" t="s">
        <v>3656</v>
      </c>
      <c r="C46" s="26" t="s">
        <v>3657</v>
      </c>
      <c r="D46" s="26" t="s">
        <v>3658</v>
      </c>
      <c r="E46" s="26" t="s">
        <v>3659</v>
      </c>
    </row>
    <row r="47">
      <c r="A47" s="26" t="s">
        <v>3660</v>
      </c>
      <c r="B47" s="26" t="s">
        <v>3661</v>
      </c>
      <c r="C47" s="26" t="s">
        <v>3662</v>
      </c>
      <c r="D47" s="157" t="s">
        <v>3663</v>
      </c>
      <c r="E47" s="26" t="s">
        <v>3664</v>
      </c>
    </row>
    <row r="48">
      <c r="A48" s="180" t="s">
        <v>3665</v>
      </c>
      <c r="B48" s="26" t="s">
        <v>3666</v>
      </c>
      <c r="C48" s="26" t="s">
        <v>3667</v>
      </c>
      <c r="D48" s="26" t="s">
        <v>3668</v>
      </c>
      <c r="E48" s="157" t="s">
        <v>3669</v>
      </c>
    </row>
    <row r="49">
      <c r="A49" s="26" t="s">
        <v>3670</v>
      </c>
      <c r="B49" s="180" t="s">
        <v>3671</v>
      </c>
      <c r="C49" s="26" t="s">
        <v>3672</v>
      </c>
      <c r="D49" s="180" t="s">
        <v>3673</v>
      </c>
      <c r="E49" s="26" t="s">
        <v>3674</v>
      </c>
    </row>
    <row r="50">
      <c r="A50" s="26" t="s">
        <v>3675</v>
      </c>
      <c r="B50" s="26" t="s">
        <v>3676</v>
      </c>
      <c r="C50" s="26" t="s">
        <v>3677</v>
      </c>
      <c r="D50" s="26" t="s">
        <v>3678</v>
      </c>
    </row>
    <row r="51">
      <c r="A51" s="26" t="s">
        <v>3679</v>
      </c>
      <c r="C51" s="26" t="s">
        <v>3680</v>
      </c>
      <c r="D51" s="26" t="s">
        <v>3681</v>
      </c>
    </row>
    <row r="52">
      <c r="D52" s="26" t="s">
        <v>3682</v>
      </c>
    </row>
    <row r="54">
      <c r="A54" s="181" t="s">
        <v>3683</v>
      </c>
    </row>
    <row r="55">
      <c r="A55" s="182" t="s">
        <v>2793</v>
      </c>
      <c r="B55" s="182" t="s">
        <v>3368</v>
      </c>
      <c r="C55" s="182" t="s">
        <v>2794</v>
      </c>
      <c r="D55" s="182" t="s">
        <v>3684</v>
      </c>
      <c r="E55" s="182" t="s">
        <v>3154</v>
      </c>
      <c r="F55" s="182" t="s">
        <v>120</v>
      </c>
      <c r="G55" s="182" t="s">
        <v>115</v>
      </c>
    </row>
    <row r="56">
      <c r="A56" s="4" t="s">
        <v>3685</v>
      </c>
      <c r="B56" s="4" t="s">
        <v>3686</v>
      </c>
      <c r="C56" s="4" t="s">
        <v>386</v>
      </c>
      <c r="D56" s="4" t="s">
        <v>1047</v>
      </c>
      <c r="E56" s="4" t="s">
        <v>3687</v>
      </c>
      <c r="F56" s="4" t="s">
        <v>3687</v>
      </c>
      <c r="G56" s="4" t="s">
        <v>3688</v>
      </c>
    </row>
    <row r="57">
      <c r="A57" s="4" t="s">
        <v>3689</v>
      </c>
      <c r="B57" s="4" t="s">
        <v>3686</v>
      </c>
      <c r="C57" s="4" t="s">
        <v>126</v>
      </c>
      <c r="D57" s="4" t="s">
        <v>123</v>
      </c>
      <c r="E57" s="4" t="s">
        <v>3690</v>
      </c>
      <c r="F57" s="4" t="s">
        <v>3691</v>
      </c>
      <c r="G57" s="4" t="s">
        <v>3692</v>
      </c>
    </row>
    <row r="58">
      <c r="A58" s="4" t="s">
        <v>3693</v>
      </c>
      <c r="B58" s="4" t="s">
        <v>3694</v>
      </c>
      <c r="C58" s="4" t="s">
        <v>117</v>
      </c>
      <c r="D58" s="4" t="s">
        <v>123</v>
      </c>
      <c r="E58" s="4" t="s">
        <v>3695</v>
      </c>
      <c r="F58" s="4" t="s">
        <v>3695</v>
      </c>
      <c r="G58" s="4" t="s">
        <v>3696</v>
      </c>
    </row>
    <row r="59">
      <c r="A59" s="4" t="s">
        <v>3697</v>
      </c>
      <c r="B59" s="4" t="s">
        <v>3362</v>
      </c>
      <c r="C59" s="4" t="s">
        <v>112</v>
      </c>
      <c r="D59" s="4" t="s">
        <v>3698</v>
      </c>
      <c r="E59" s="4" t="s">
        <v>3699</v>
      </c>
      <c r="F59" s="4" t="s">
        <v>3700</v>
      </c>
      <c r="G59" s="4" t="s">
        <v>3701</v>
      </c>
    </row>
    <row r="60">
      <c r="A60" s="4" t="s">
        <v>3702</v>
      </c>
      <c r="B60" s="4" t="s">
        <v>3362</v>
      </c>
      <c r="C60" s="4" t="s">
        <v>126</v>
      </c>
      <c r="D60" s="4" t="s">
        <v>2802</v>
      </c>
      <c r="E60" s="4" t="s">
        <v>3703</v>
      </c>
      <c r="F60" s="4" t="s">
        <v>3703</v>
      </c>
      <c r="G60" s="4" t="s">
        <v>3704</v>
      </c>
    </row>
    <row r="61">
      <c r="A61" s="4" t="s">
        <v>3705</v>
      </c>
      <c r="B61" s="4" t="s">
        <v>3706</v>
      </c>
      <c r="C61" s="4" t="s">
        <v>126</v>
      </c>
      <c r="D61" s="4" t="s">
        <v>1047</v>
      </c>
      <c r="E61" s="4" t="s">
        <v>3703</v>
      </c>
      <c r="F61" s="4" t="s">
        <v>3703</v>
      </c>
      <c r="G61" s="4" t="s">
        <v>3692</v>
      </c>
    </row>
    <row r="62">
      <c r="A62" s="4" t="s">
        <v>3707</v>
      </c>
      <c r="B62" s="4" t="s">
        <v>3708</v>
      </c>
      <c r="C62" s="4" t="s">
        <v>117</v>
      </c>
      <c r="D62" s="4" t="s">
        <v>3709</v>
      </c>
      <c r="E62" s="4" t="s">
        <v>3710</v>
      </c>
      <c r="F62" s="4" t="s">
        <v>3711</v>
      </c>
      <c r="G62" s="4" t="s">
        <v>3712</v>
      </c>
    </row>
    <row r="63">
      <c r="A63" s="4" t="s">
        <v>3713</v>
      </c>
      <c r="B63" s="4" t="s">
        <v>3708</v>
      </c>
      <c r="C63" s="4" t="s">
        <v>112</v>
      </c>
      <c r="D63" s="4" t="s">
        <v>3714</v>
      </c>
      <c r="E63" s="4" t="s">
        <v>3701</v>
      </c>
      <c r="F63" s="4" t="s">
        <v>3715</v>
      </c>
      <c r="G63" s="4" t="s">
        <v>3703</v>
      </c>
    </row>
    <row r="64">
      <c r="A64" s="4" t="s">
        <v>3716</v>
      </c>
      <c r="B64" s="4" t="s">
        <v>3359</v>
      </c>
      <c r="C64" s="4" t="s">
        <v>102</v>
      </c>
      <c r="D64" s="4" t="s">
        <v>2822</v>
      </c>
      <c r="E64" s="4" t="s">
        <v>3717</v>
      </c>
      <c r="F64" s="4" t="s">
        <v>3718</v>
      </c>
      <c r="G64" s="4" t="s">
        <v>3719</v>
      </c>
    </row>
    <row r="65">
      <c r="A65" s="4" t="s">
        <v>3720</v>
      </c>
      <c r="B65" s="4" t="s">
        <v>3721</v>
      </c>
      <c r="C65" s="4" t="s">
        <v>112</v>
      </c>
      <c r="D65" s="4" t="s">
        <v>123</v>
      </c>
      <c r="E65" s="4" t="s">
        <v>3715</v>
      </c>
      <c r="F65" s="4" t="s">
        <v>3715</v>
      </c>
      <c r="G65" s="4" t="s">
        <v>3722</v>
      </c>
    </row>
    <row r="66">
      <c r="A66" s="4" t="s">
        <v>3723</v>
      </c>
      <c r="B66" s="4" t="s">
        <v>3721</v>
      </c>
      <c r="C66" s="4" t="s">
        <v>102</v>
      </c>
      <c r="D66" s="4" t="s">
        <v>3698</v>
      </c>
      <c r="E66" s="4" t="s">
        <v>3700</v>
      </c>
      <c r="F66" s="4" t="s">
        <v>3724</v>
      </c>
      <c r="G66" s="4" t="s">
        <v>3700</v>
      </c>
    </row>
    <row r="67">
      <c r="A67" s="4" t="s">
        <v>3725</v>
      </c>
      <c r="B67" s="4" t="s">
        <v>3726</v>
      </c>
      <c r="C67" s="4" t="s">
        <v>386</v>
      </c>
      <c r="D67" s="4" t="s">
        <v>3727</v>
      </c>
      <c r="E67" s="4" t="s">
        <v>3728</v>
      </c>
      <c r="F67" s="4" t="s">
        <v>3729</v>
      </c>
      <c r="G67" s="4" t="s">
        <v>3728</v>
      </c>
    </row>
    <row r="68">
      <c r="A68" s="4" t="s">
        <v>3730</v>
      </c>
      <c r="B68" s="4" t="s">
        <v>3347</v>
      </c>
      <c r="C68" s="4" t="s">
        <v>112</v>
      </c>
      <c r="D68" s="4" t="s">
        <v>2869</v>
      </c>
      <c r="E68" s="4" t="s">
        <v>3701</v>
      </c>
      <c r="F68" s="4" t="s">
        <v>3731</v>
      </c>
      <c r="G68" s="4" t="s">
        <v>3701</v>
      </c>
    </row>
    <row r="69">
      <c r="A69" s="4" t="s">
        <v>3732</v>
      </c>
      <c r="B69" s="4" t="s">
        <v>3347</v>
      </c>
      <c r="C69" s="4" t="s">
        <v>386</v>
      </c>
      <c r="D69" s="4" t="s">
        <v>3698</v>
      </c>
      <c r="E69" s="4" t="s">
        <v>3733</v>
      </c>
      <c r="F69" s="4" t="s">
        <v>3703</v>
      </c>
      <c r="G69" s="4" t="s">
        <v>3718</v>
      </c>
    </row>
    <row r="70">
      <c r="A70" s="4" t="s">
        <v>3734</v>
      </c>
      <c r="B70" s="4" t="s">
        <v>3735</v>
      </c>
      <c r="C70" s="4" t="s">
        <v>117</v>
      </c>
      <c r="D70" s="4" t="s">
        <v>3736</v>
      </c>
      <c r="E70" s="4" t="s">
        <v>3729</v>
      </c>
      <c r="F70" s="4" t="s">
        <v>3729</v>
      </c>
      <c r="G70" s="4" t="s">
        <v>3737</v>
      </c>
    </row>
    <row r="71">
      <c r="A71" s="4" t="s">
        <v>3738</v>
      </c>
      <c r="B71" s="4" t="s">
        <v>3739</v>
      </c>
      <c r="C71" s="4" t="s">
        <v>117</v>
      </c>
      <c r="D71" s="4" t="s">
        <v>123</v>
      </c>
      <c r="E71" s="4" t="s">
        <v>3737</v>
      </c>
      <c r="F71" s="4" t="s">
        <v>3740</v>
      </c>
      <c r="G71" s="4" t="s">
        <v>3737</v>
      </c>
    </row>
    <row r="72">
      <c r="A72" s="4" t="s">
        <v>3741</v>
      </c>
      <c r="B72" s="4" t="s">
        <v>3739</v>
      </c>
      <c r="C72" s="4" t="s">
        <v>112</v>
      </c>
      <c r="D72" s="4" t="s">
        <v>3742</v>
      </c>
      <c r="E72" s="4" t="s">
        <v>3722</v>
      </c>
      <c r="F72" s="4" t="s">
        <v>3743</v>
      </c>
      <c r="G72" s="4" t="s">
        <v>3722</v>
      </c>
    </row>
    <row r="73">
      <c r="A73" s="4" t="s">
        <v>3744</v>
      </c>
      <c r="B73" s="4" t="s">
        <v>3361</v>
      </c>
      <c r="C73" s="4" t="s">
        <v>386</v>
      </c>
      <c r="D73" s="4" t="s">
        <v>3698</v>
      </c>
      <c r="E73" s="4" t="s">
        <v>3718</v>
      </c>
      <c r="F73" s="4" t="s">
        <v>3718</v>
      </c>
      <c r="G73" s="4" t="s">
        <v>3745</v>
      </c>
    </row>
    <row r="74">
      <c r="A74" s="4" t="s">
        <v>3746</v>
      </c>
      <c r="B74" s="4" t="s">
        <v>3747</v>
      </c>
      <c r="C74" s="4" t="s">
        <v>126</v>
      </c>
      <c r="D74" s="4" t="s">
        <v>3736</v>
      </c>
      <c r="E74" s="4" t="s">
        <v>3690</v>
      </c>
      <c r="F74" s="4" t="s">
        <v>3690</v>
      </c>
      <c r="G74" s="4" t="s">
        <v>3703</v>
      </c>
    </row>
    <row r="75">
      <c r="A75" s="4" t="s">
        <v>3685</v>
      </c>
      <c r="B75" s="4" t="s">
        <v>3748</v>
      </c>
      <c r="C75" s="4" t="s">
        <v>112</v>
      </c>
      <c r="D75" s="4" t="s">
        <v>3698</v>
      </c>
      <c r="E75" s="4" t="s">
        <v>3743</v>
      </c>
      <c r="F75" s="4" t="s">
        <v>3743</v>
      </c>
      <c r="G75" s="4" t="s">
        <v>3749</v>
      </c>
    </row>
    <row r="76">
      <c r="A76" s="4" t="s">
        <v>3750</v>
      </c>
      <c r="B76" s="4" t="s">
        <v>3751</v>
      </c>
      <c r="C76" s="4" t="s">
        <v>117</v>
      </c>
      <c r="D76" s="4" t="s">
        <v>2866</v>
      </c>
      <c r="E76" s="4" t="s">
        <v>3737</v>
      </c>
      <c r="F76" s="4" t="s">
        <v>3752</v>
      </c>
      <c r="G76" s="4" t="s">
        <v>3737</v>
      </c>
    </row>
    <row r="77">
      <c r="A77" s="4" t="s">
        <v>3753</v>
      </c>
      <c r="B77" s="4" t="s">
        <v>3357</v>
      </c>
      <c r="C77" s="4" t="s">
        <v>112</v>
      </c>
      <c r="D77" s="4" t="s">
        <v>1047</v>
      </c>
      <c r="E77" s="4" t="s">
        <v>3754</v>
      </c>
      <c r="F77" s="4" t="s">
        <v>3695</v>
      </c>
      <c r="G77" s="4" t="s">
        <v>3755</v>
      </c>
    </row>
    <row r="78">
      <c r="A78" s="5"/>
      <c r="B78" s="5"/>
      <c r="C78" s="5"/>
      <c r="D78" s="5"/>
      <c r="E78" s="5"/>
      <c r="F78" s="5"/>
      <c r="G78" s="5"/>
    </row>
    <row r="79">
      <c r="A79" s="183" t="s">
        <v>3756</v>
      </c>
      <c r="F79" s="5"/>
      <c r="G79" s="5"/>
    </row>
    <row r="80">
      <c r="A80" s="107" t="s">
        <v>92</v>
      </c>
      <c r="B80" s="107" t="s">
        <v>93</v>
      </c>
      <c r="C80" s="107" t="s">
        <v>94</v>
      </c>
      <c r="D80" s="107" t="s">
        <v>95</v>
      </c>
      <c r="E80" s="107" t="s">
        <v>2883</v>
      </c>
      <c r="F80" s="5"/>
      <c r="G80" s="5"/>
    </row>
    <row r="81">
      <c r="A81" s="4" t="s">
        <v>100</v>
      </c>
      <c r="B81" s="4" t="s">
        <v>101</v>
      </c>
      <c r="C81" s="4" t="s">
        <v>102</v>
      </c>
      <c r="D81" s="4" t="s">
        <v>6</v>
      </c>
      <c r="E81" s="4">
        <v>5000.0</v>
      </c>
      <c r="F81" s="5"/>
      <c r="G81" s="5"/>
    </row>
    <row r="82">
      <c r="A82" s="4" t="s">
        <v>105</v>
      </c>
      <c r="B82" s="4" t="s">
        <v>106</v>
      </c>
      <c r="C82" s="4" t="s">
        <v>102</v>
      </c>
      <c r="D82" s="4" t="s">
        <v>107</v>
      </c>
      <c r="E82" s="4">
        <v>5000.0</v>
      </c>
      <c r="F82" s="5"/>
      <c r="G82" s="5"/>
    </row>
    <row r="83">
      <c r="A83" s="4" t="s">
        <v>110</v>
      </c>
      <c r="B83" s="4" t="s">
        <v>111</v>
      </c>
      <c r="C83" s="4" t="s">
        <v>112</v>
      </c>
      <c r="D83" s="4" t="s">
        <v>10</v>
      </c>
      <c r="E83" s="4">
        <v>5000.0</v>
      </c>
      <c r="F83" s="5"/>
      <c r="G83" s="5"/>
    </row>
    <row r="84">
      <c r="A84" s="4" t="s">
        <v>115</v>
      </c>
      <c r="B84" s="4" t="s">
        <v>116</v>
      </c>
      <c r="C84" s="4" t="s">
        <v>117</v>
      </c>
      <c r="D84" s="4" t="s">
        <v>6</v>
      </c>
      <c r="E84" s="4">
        <v>10000.0</v>
      </c>
      <c r="F84" s="5"/>
      <c r="G84" s="5"/>
    </row>
    <row r="85">
      <c r="A85" s="4" t="s">
        <v>120</v>
      </c>
      <c r="B85" s="4" t="s">
        <v>121</v>
      </c>
      <c r="C85" s="4" t="s">
        <v>117</v>
      </c>
      <c r="D85" s="4" t="s">
        <v>9</v>
      </c>
      <c r="E85" s="4">
        <v>10000.0</v>
      </c>
      <c r="F85" s="5"/>
      <c r="G85" s="5"/>
    </row>
    <row r="86">
      <c r="A86" s="4" t="s">
        <v>124</v>
      </c>
      <c r="B86" s="4" t="s">
        <v>125</v>
      </c>
      <c r="C86" s="4" t="s">
        <v>126</v>
      </c>
      <c r="D86" s="4" t="s">
        <v>7</v>
      </c>
      <c r="E86" s="4">
        <v>20000.0</v>
      </c>
      <c r="F86" s="5"/>
      <c r="G86" s="5"/>
    </row>
    <row r="87">
      <c r="A87" s="4" t="s">
        <v>128</v>
      </c>
      <c r="B87" s="4" t="s">
        <v>117</v>
      </c>
      <c r="E87" s="4">
        <v>40000.0</v>
      </c>
      <c r="F87" s="5"/>
      <c r="G87" s="5"/>
    </row>
    <row r="88">
      <c r="A88" s="4" t="s">
        <v>130</v>
      </c>
      <c r="B88" s="4" t="s">
        <v>112</v>
      </c>
      <c r="E88" s="4">
        <v>80000.0</v>
      </c>
      <c r="F88" s="5"/>
      <c r="G88" s="5"/>
    </row>
    <row r="89">
      <c r="A89" s="5"/>
      <c r="B89" s="5"/>
      <c r="C89" s="5"/>
      <c r="D89" s="5"/>
      <c r="E89" s="5"/>
      <c r="F89" s="5"/>
      <c r="G89" s="5"/>
    </row>
    <row r="90">
      <c r="A90" s="5"/>
      <c r="B90" s="5"/>
      <c r="C90" s="5"/>
      <c r="D90" s="5"/>
      <c r="E90" s="5"/>
      <c r="F90" s="5"/>
      <c r="G90" s="5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41" t="s">
        <v>3757</v>
      </c>
    </row>
    <row r="2">
      <c r="A2" s="47" t="s">
        <v>107</v>
      </c>
      <c r="B2" s="47" t="s">
        <v>6</v>
      </c>
      <c r="C2" s="47" t="s">
        <v>4</v>
      </c>
      <c r="D2" s="47" t="s">
        <v>15</v>
      </c>
      <c r="E2" s="47" t="s">
        <v>7</v>
      </c>
      <c r="F2" s="47" t="s">
        <v>10</v>
      </c>
      <c r="G2" s="47" t="s">
        <v>13</v>
      </c>
    </row>
    <row r="3">
      <c r="A3" s="26" t="s">
        <v>2128</v>
      </c>
      <c r="B3" s="26" t="s">
        <v>1135</v>
      </c>
      <c r="C3" s="26" t="s">
        <v>3758</v>
      </c>
      <c r="D3" s="26" t="s">
        <v>2503</v>
      </c>
      <c r="E3" s="26" t="s">
        <v>3759</v>
      </c>
      <c r="F3" s="26" t="s">
        <v>1715</v>
      </c>
      <c r="G3" s="26" t="s">
        <v>2282</v>
      </c>
    </row>
    <row r="4">
      <c r="A4" s="26" t="s">
        <v>2097</v>
      </c>
      <c r="B4" s="26" t="s">
        <v>3760</v>
      </c>
      <c r="C4" s="26" t="s">
        <v>3761</v>
      </c>
      <c r="D4" s="26" t="s">
        <v>3762</v>
      </c>
      <c r="E4" s="26" t="s">
        <v>1310</v>
      </c>
      <c r="F4" s="26" t="s">
        <v>1780</v>
      </c>
      <c r="G4" s="26" t="s">
        <v>2299</v>
      </c>
    </row>
    <row r="5">
      <c r="A5" s="26" t="s">
        <v>2104</v>
      </c>
      <c r="B5" s="26" t="s">
        <v>907</v>
      </c>
      <c r="C5" s="26" t="s">
        <v>3763</v>
      </c>
      <c r="D5" s="26" t="s">
        <v>2505</v>
      </c>
      <c r="E5" s="26" t="s">
        <v>1166</v>
      </c>
      <c r="F5" s="26" t="s">
        <v>1701</v>
      </c>
      <c r="G5" s="26" t="s">
        <v>3764</v>
      </c>
    </row>
    <row r="6">
      <c r="A6" s="26" t="s">
        <v>3765</v>
      </c>
      <c r="B6" s="26" t="s">
        <v>1102</v>
      </c>
      <c r="C6" s="26" t="s">
        <v>3766</v>
      </c>
      <c r="D6" s="26" t="s">
        <v>2522</v>
      </c>
      <c r="E6" s="26" t="s">
        <v>3767</v>
      </c>
      <c r="F6" s="26" t="s">
        <v>3768</v>
      </c>
      <c r="G6" s="26" t="s">
        <v>3769</v>
      </c>
    </row>
    <row r="7">
      <c r="A7" s="26" t="s">
        <v>3770</v>
      </c>
      <c r="B7" s="26" t="s">
        <v>3771</v>
      </c>
      <c r="C7" s="26" t="s">
        <v>3772</v>
      </c>
      <c r="D7" s="26" t="s">
        <v>3773</v>
      </c>
      <c r="E7" s="26" t="s">
        <v>3774</v>
      </c>
      <c r="F7" s="26" t="s">
        <v>3775</v>
      </c>
      <c r="G7" s="26" t="s">
        <v>3776</v>
      </c>
    </row>
    <row r="8">
      <c r="A8" s="26" t="s">
        <v>3777</v>
      </c>
      <c r="C8" s="26" t="s">
        <v>3778</v>
      </c>
      <c r="D8" s="26" t="s">
        <v>3532</v>
      </c>
      <c r="E8" s="26" t="s">
        <v>3779</v>
      </c>
      <c r="F8" s="26" t="s">
        <v>3780</v>
      </c>
      <c r="G8" s="26" t="s">
        <v>3781</v>
      </c>
    </row>
    <row r="9">
      <c r="A9" s="26" t="s">
        <v>3782</v>
      </c>
      <c r="C9" s="26" t="s">
        <v>3783</v>
      </c>
      <c r="D9" s="26" t="s">
        <v>3784</v>
      </c>
      <c r="E9" s="26" t="s">
        <v>3582</v>
      </c>
      <c r="F9" s="26" t="s">
        <v>3785</v>
      </c>
      <c r="G9" s="26" t="s">
        <v>3786</v>
      </c>
    </row>
    <row r="10">
      <c r="A10" s="26" t="s">
        <v>3787</v>
      </c>
      <c r="C10" s="26" t="s">
        <v>3788</v>
      </c>
      <c r="D10" s="26" t="s">
        <v>3789</v>
      </c>
      <c r="E10" s="26" t="s">
        <v>3790</v>
      </c>
      <c r="F10" s="26" t="s">
        <v>3791</v>
      </c>
      <c r="G10" s="26" t="s">
        <v>3792</v>
      </c>
    </row>
    <row r="11">
      <c r="A11" s="26" t="s">
        <v>3793</v>
      </c>
      <c r="C11" s="26" t="s">
        <v>594</v>
      </c>
      <c r="D11" s="26" t="s">
        <v>3794</v>
      </c>
      <c r="F11" s="26" t="s">
        <v>3795</v>
      </c>
      <c r="G11" s="26" t="s">
        <v>3796</v>
      </c>
    </row>
    <row r="12">
      <c r="C12" s="26" t="s">
        <v>3797</v>
      </c>
      <c r="D12" s="26" t="s">
        <v>3798</v>
      </c>
      <c r="F12" s="26" t="s">
        <v>3588</v>
      </c>
    </row>
    <row r="13">
      <c r="C13" s="26" t="s">
        <v>3799</v>
      </c>
      <c r="D13" s="26" t="s">
        <v>3800</v>
      </c>
      <c r="F13" s="26" t="s">
        <v>3590</v>
      </c>
    </row>
    <row r="14">
      <c r="C14" s="26" t="s">
        <v>3801</v>
      </c>
      <c r="D14" s="26" t="s">
        <v>3802</v>
      </c>
      <c r="F14" s="26" t="s">
        <v>3803</v>
      </c>
      <c r="H14" s="10">
        <f>9+5+14+15+8+19+9+8+10+2+16+10+12</f>
        <v>137</v>
      </c>
    </row>
    <row r="15">
      <c r="C15" s="26" t="s">
        <v>3804</v>
      </c>
      <c r="D15" s="26" t="s">
        <v>3805</v>
      </c>
      <c r="F15" s="26" t="s">
        <v>2339</v>
      </c>
    </row>
    <row r="16">
      <c r="C16" s="26" t="s">
        <v>3806</v>
      </c>
      <c r="D16" s="26" t="s">
        <v>3807</v>
      </c>
      <c r="F16" s="26" t="s">
        <v>3808</v>
      </c>
    </row>
    <row r="17">
      <c r="D17" s="26" t="s">
        <v>3809</v>
      </c>
      <c r="F17" s="26" t="s">
        <v>3810</v>
      </c>
    </row>
    <row r="18">
      <c r="F18" s="26" t="s">
        <v>3811</v>
      </c>
    </row>
    <row r="19">
      <c r="F19" s="26" t="s">
        <v>3812</v>
      </c>
    </row>
    <row r="20">
      <c r="F20" s="26" t="s">
        <v>1648</v>
      </c>
    </row>
    <row r="21">
      <c r="F21" s="26" t="s">
        <v>3813</v>
      </c>
    </row>
    <row r="23">
      <c r="A23" s="47" t="s">
        <v>16</v>
      </c>
      <c r="B23" s="47" t="s">
        <v>9</v>
      </c>
      <c r="C23" s="47" t="s">
        <v>8</v>
      </c>
      <c r="D23" s="47" t="s">
        <v>5</v>
      </c>
      <c r="E23" s="47" t="s">
        <v>17</v>
      </c>
      <c r="F23" s="47" t="s">
        <v>3814</v>
      </c>
    </row>
    <row r="24">
      <c r="A24" s="26" t="s">
        <v>3815</v>
      </c>
      <c r="B24" s="26" t="s">
        <v>3560</v>
      </c>
      <c r="C24" s="26" t="s">
        <v>1413</v>
      </c>
      <c r="D24" s="26" t="s">
        <v>664</v>
      </c>
      <c r="E24" s="26" t="s">
        <v>2731</v>
      </c>
      <c r="F24" s="26" t="s">
        <v>3816</v>
      </c>
    </row>
    <row r="25">
      <c r="A25" s="26" t="s">
        <v>3562</v>
      </c>
      <c r="B25" s="26" t="s">
        <v>3563</v>
      </c>
      <c r="C25" s="26" t="s">
        <v>3817</v>
      </c>
      <c r="D25" s="26" t="s">
        <v>3818</v>
      </c>
      <c r="E25" s="26" t="s">
        <v>2600</v>
      </c>
      <c r="F25" s="26" t="s">
        <v>3819</v>
      </c>
    </row>
    <row r="26">
      <c r="A26" s="26" t="s">
        <v>3820</v>
      </c>
      <c r="B26" s="26" t="s">
        <v>3566</v>
      </c>
      <c r="D26" s="26" t="s">
        <v>3821</v>
      </c>
      <c r="E26" s="26" t="s">
        <v>3822</v>
      </c>
      <c r="F26" s="26" t="s">
        <v>3823</v>
      </c>
    </row>
    <row r="27">
      <c r="A27" s="26" t="s">
        <v>3824</v>
      </c>
      <c r="B27" s="26" t="s">
        <v>3825</v>
      </c>
      <c r="D27" s="26" t="s">
        <v>3826</v>
      </c>
      <c r="E27" s="26" t="s">
        <v>3827</v>
      </c>
      <c r="F27" s="26" t="s">
        <v>3828</v>
      </c>
    </row>
    <row r="28">
      <c r="A28" s="26" t="s">
        <v>3829</v>
      </c>
      <c r="B28" s="26" t="s">
        <v>3830</v>
      </c>
      <c r="D28" s="26" t="s">
        <v>3831</v>
      </c>
      <c r="E28" s="26" t="s">
        <v>3832</v>
      </c>
      <c r="F28" s="26" t="s">
        <v>3833</v>
      </c>
    </row>
    <row r="29">
      <c r="A29" s="26" t="s">
        <v>3834</v>
      </c>
      <c r="B29" s="26" t="s">
        <v>3835</v>
      </c>
      <c r="D29" s="26" t="s">
        <v>3836</v>
      </c>
      <c r="E29" s="26" t="s">
        <v>3837</v>
      </c>
      <c r="F29" s="26" t="s">
        <v>3838</v>
      </c>
    </row>
    <row r="30">
      <c r="A30" s="26" t="s">
        <v>3839</v>
      </c>
      <c r="B30" s="26" t="s">
        <v>3840</v>
      </c>
      <c r="D30" s="26" t="s">
        <v>3841</v>
      </c>
      <c r="E30" s="26" t="s">
        <v>3540</v>
      </c>
      <c r="F30" s="26" t="s">
        <v>3842</v>
      </c>
    </row>
    <row r="31">
      <c r="A31" s="26" t="s">
        <v>3843</v>
      </c>
      <c r="B31" s="26" t="s">
        <v>3844</v>
      </c>
      <c r="D31" s="26" t="s">
        <v>3845</v>
      </c>
      <c r="E31" s="26" t="s">
        <v>3846</v>
      </c>
      <c r="F31" s="26" t="s">
        <v>3847</v>
      </c>
    </row>
    <row r="32">
      <c r="B32" s="26" t="s">
        <v>3848</v>
      </c>
      <c r="D32" s="26" t="s">
        <v>3849</v>
      </c>
      <c r="E32" s="26" t="s">
        <v>3850</v>
      </c>
      <c r="F32" s="26" t="s">
        <v>3851</v>
      </c>
    </row>
    <row r="33">
      <c r="B33" s="26" t="s">
        <v>3852</v>
      </c>
      <c r="D33" s="26" t="s">
        <v>3853</v>
      </c>
      <c r="E33" s="26" t="s">
        <v>3854</v>
      </c>
      <c r="F33" s="26" t="s">
        <v>3855</v>
      </c>
    </row>
    <row r="34">
      <c r="D34" s="26" t="s">
        <v>3856</v>
      </c>
      <c r="F34" s="26" t="s">
        <v>3857</v>
      </c>
    </row>
    <row r="35">
      <c r="D35" s="26" t="s">
        <v>3858</v>
      </c>
      <c r="F35" s="26" t="s">
        <v>3859</v>
      </c>
    </row>
    <row r="36">
      <c r="D36" s="26" t="s">
        <v>3860</v>
      </c>
    </row>
    <row r="37">
      <c r="D37" s="26" t="s">
        <v>3861</v>
      </c>
    </row>
    <row r="38">
      <c r="D38" s="26" t="s">
        <v>3862</v>
      </c>
    </row>
    <row r="39">
      <c r="D39" s="26" t="s">
        <v>3863</v>
      </c>
    </row>
    <row r="43">
      <c r="A43" s="41" t="s">
        <v>3864</v>
      </c>
    </row>
    <row r="44">
      <c r="A44" s="38" t="s">
        <v>409</v>
      </c>
      <c r="B44" s="38" t="s">
        <v>410</v>
      </c>
      <c r="C44" s="38" t="s">
        <v>411</v>
      </c>
      <c r="D44" s="38" t="s">
        <v>412</v>
      </c>
      <c r="E44" s="38" t="s">
        <v>413</v>
      </c>
      <c r="F44" s="38" t="s">
        <v>414</v>
      </c>
    </row>
    <row r="45">
      <c r="A45" s="26" t="s">
        <v>3865</v>
      </c>
      <c r="B45" s="26" t="s">
        <v>3866</v>
      </c>
      <c r="C45" s="26" t="s">
        <v>3867</v>
      </c>
      <c r="D45" s="26" t="s">
        <v>3868</v>
      </c>
      <c r="E45" s="26" t="s">
        <v>3869</v>
      </c>
      <c r="F45" s="26" t="s">
        <v>3870</v>
      </c>
    </row>
    <row r="46">
      <c r="A46" s="26" t="s">
        <v>3871</v>
      </c>
      <c r="B46" s="26" t="s">
        <v>3872</v>
      </c>
      <c r="C46" s="26" t="s">
        <v>3873</v>
      </c>
      <c r="D46" s="26" t="s">
        <v>3874</v>
      </c>
      <c r="E46" s="26" t="s">
        <v>3875</v>
      </c>
      <c r="F46" s="26" t="s">
        <v>3876</v>
      </c>
    </row>
    <row r="47">
      <c r="A47" s="26" t="s">
        <v>3877</v>
      </c>
      <c r="B47" s="26" t="s">
        <v>3878</v>
      </c>
      <c r="C47" s="26" t="s">
        <v>3879</v>
      </c>
      <c r="D47" s="26" t="s">
        <v>3880</v>
      </c>
      <c r="E47" s="26" t="s">
        <v>3881</v>
      </c>
      <c r="F47" s="26" t="s">
        <v>3882</v>
      </c>
    </row>
    <row r="48">
      <c r="A48" s="26" t="s">
        <v>3883</v>
      </c>
      <c r="B48" s="26" t="s">
        <v>3884</v>
      </c>
      <c r="C48" s="26" t="s">
        <v>3885</v>
      </c>
      <c r="D48" s="26" t="s">
        <v>3886</v>
      </c>
      <c r="E48" s="26" t="s">
        <v>3887</v>
      </c>
      <c r="F48" s="26" t="s">
        <v>3888</v>
      </c>
    </row>
    <row r="49">
      <c r="A49" s="26" t="s">
        <v>3889</v>
      </c>
      <c r="B49" s="26" t="s">
        <v>3890</v>
      </c>
      <c r="C49" s="26" t="s">
        <v>3891</v>
      </c>
      <c r="D49" s="26" t="s">
        <v>3892</v>
      </c>
      <c r="E49" s="26" t="s">
        <v>3893</v>
      </c>
      <c r="F49" s="26" t="s">
        <v>3894</v>
      </c>
    </row>
    <row r="50">
      <c r="A50" s="26" t="s">
        <v>3895</v>
      </c>
      <c r="B50" s="26" t="s">
        <v>3896</v>
      </c>
      <c r="C50" s="26" t="s">
        <v>3897</v>
      </c>
      <c r="D50" s="26" t="s">
        <v>3898</v>
      </c>
      <c r="E50" s="26" t="s">
        <v>3899</v>
      </c>
      <c r="F50" s="26" t="s">
        <v>3900</v>
      </c>
    </row>
    <row r="51">
      <c r="A51" s="26" t="s">
        <v>3901</v>
      </c>
      <c r="B51" s="26" t="s">
        <v>3902</v>
      </c>
      <c r="C51" s="26" t="s">
        <v>3903</v>
      </c>
      <c r="D51" s="26" t="s">
        <v>3904</v>
      </c>
      <c r="E51" s="26" t="s">
        <v>3905</v>
      </c>
      <c r="F51" s="26" t="s">
        <v>3906</v>
      </c>
    </row>
    <row r="52">
      <c r="A52" s="26" t="s">
        <v>3907</v>
      </c>
      <c r="B52" s="26" t="s">
        <v>3908</v>
      </c>
      <c r="C52" s="26" t="s">
        <v>3909</v>
      </c>
      <c r="D52" s="26" t="s">
        <v>3910</v>
      </c>
      <c r="E52" s="26" t="s">
        <v>3911</v>
      </c>
      <c r="F52" s="26" t="s">
        <v>3912</v>
      </c>
    </row>
    <row r="53">
      <c r="A53" s="26" t="s">
        <v>3913</v>
      </c>
      <c r="B53" s="26" t="s">
        <v>3914</v>
      </c>
      <c r="C53" s="26" t="s">
        <v>3915</v>
      </c>
      <c r="D53" s="26" t="s">
        <v>3916</v>
      </c>
      <c r="E53" s="26" t="s">
        <v>3917</v>
      </c>
      <c r="F53" s="26" t="s">
        <v>3918</v>
      </c>
    </row>
    <row r="54">
      <c r="A54" s="26" t="s">
        <v>3919</v>
      </c>
      <c r="B54" s="26" t="s">
        <v>3920</v>
      </c>
      <c r="C54" s="26" t="s">
        <v>3921</v>
      </c>
      <c r="D54" s="26" t="s">
        <v>3922</v>
      </c>
      <c r="E54" s="26" t="s">
        <v>3923</v>
      </c>
      <c r="F54" s="26" t="s">
        <v>3924</v>
      </c>
    </row>
    <row r="55">
      <c r="A55" s="26" t="s">
        <v>3925</v>
      </c>
      <c r="B55" s="26" t="s">
        <v>3926</v>
      </c>
      <c r="C55" s="26" t="s">
        <v>3927</v>
      </c>
      <c r="D55" s="26" t="s">
        <v>3928</v>
      </c>
      <c r="E55" s="26" t="s">
        <v>3929</v>
      </c>
      <c r="F55" s="26" t="s">
        <v>3930</v>
      </c>
    </row>
    <row r="56">
      <c r="A56" s="26" t="s">
        <v>3931</v>
      </c>
      <c r="B56" s="26" t="s">
        <v>3932</v>
      </c>
      <c r="C56" s="26" t="s">
        <v>3933</v>
      </c>
      <c r="D56" s="26" t="s">
        <v>3934</v>
      </c>
      <c r="E56" s="26" t="s">
        <v>3935</v>
      </c>
      <c r="F56" s="26" t="s">
        <v>3936</v>
      </c>
    </row>
    <row r="57">
      <c r="A57" s="26" t="s">
        <v>3937</v>
      </c>
      <c r="B57" s="26" t="s">
        <v>3938</v>
      </c>
      <c r="C57" s="26" t="s">
        <v>3939</v>
      </c>
      <c r="D57" s="26" t="s">
        <v>3940</v>
      </c>
      <c r="E57" s="26" t="s">
        <v>3941</v>
      </c>
      <c r="F57" s="26" t="s">
        <v>3942</v>
      </c>
    </row>
    <row r="58">
      <c r="A58" s="26" t="s">
        <v>3943</v>
      </c>
      <c r="B58" s="26" t="s">
        <v>3944</v>
      </c>
      <c r="C58" s="26" t="s">
        <v>3945</v>
      </c>
      <c r="D58" s="26" t="s">
        <v>3946</v>
      </c>
      <c r="E58" s="26" t="s">
        <v>3947</v>
      </c>
      <c r="F58" s="26" t="s">
        <v>3948</v>
      </c>
    </row>
    <row r="59">
      <c r="A59" s="26" t="s">
        <v>3949</v>
      </c>
      <c r="B59" s="26" t="s">
        <v>3950</v>
      </c>
      <c r="C59" s="26" t="s">
        <v>3951</v>
      </c>
      <c r="D59" s="26" t="s">
        <v>3952</v>
      </c>
      <c r="E59" s="26" t="s">
        <v>3953</v>
      </c>
      <c r="F59" s="26" t="s">
        <v>3954</v>
      </c>
    </row>
    <row r="60">
      <c r="A60" s="26" t="s">
        <v>3955</v>
      </c>
      <c r="B60" s="26" t="s">
        <v>3956</v>
      </c>
      <c r="C60" s="26" t="s">
        <v>3957</v>
      </c>
      <c r="D60" s="26" t="s">
        <v>3958</v>
      </c>
      <c r="E60" s="26" t="s">
        <v>3959</v>
      </c>
      <c r="F60" s="26" t="s">
        <v>3960</v>
      </c>
    </row>
    <row r="61">
      <c r="A61" s="26" t="s">
        <v>3961</v>
      </c>
      <c r="B61" s="26" t="s">
        <v>3962</v>
      </c>
      <c r="C61" s="26" t="s">
        <v>3963</v>
      </c>
      <c r="D61" s="26" t="s">
        <v>3964</v>
      </c>
      <c r="E61" s="26" t="s">
        <v>3965</v>
      </c>
      <c r="F61" s="26" t="s">
        <v>3966</v>
      </c>
    </row>
    <row r="62">
      <c r="A62" s="26" t="s">
        <v>3967</v>
      </c>
      <c r="B62" s="26" t="s">
        <v>3968</v>
      </c>
      <c r="C62" s="26" t="s">
        <v>3969</v>
      </c>
      <c r="D62" s="26" t="s">
        <v>3970</v>
      </c>
      <c r="E62" s="26" t="s">
        <v>3971</v>
      </c>
      <c r="F62" s="26" t="s">
        <v>3972</v>
      </c>
    </row>
    <row r="63">
      <c r="A63" s="26" t="s">
        <v>3973</v>
      </c>
      <c r="C63" s="26" t="s">
        <v>3974</v>
      </c>
      <c r="D63" s="26" t="s">
        <v>3975</v>
      </c>
      <c r="F63" s="26" t="s">
        <v>3976</v>
      </c>
    </row>
    <row r="64">
      <c r="A64" s="26" t="s">
        <v>3977</v>
      </c>
      <c r="C64" s="26" t="s">
        <v>3978</v>
      </c>
      <c r="D64" s="26" t="s">
        <v>3979</v>
      </c>
      <c r="F64" s="26" t="s">
        <v>3980</v>
      </c>
    </row>
    <row r="65">
      <c r="A65" s="61" t="s">
        <v>3981</v>
      </c>
      <c r="B65" s="61" t="s">
        <v>3982</v>
      </c>
      <c r="C65" s="61" t="s">
        <v>3983</v>
      </c>
      <c r="D65" s="61" t="s">
        <v>3984</v>
      </c>
      <c r="E65" s="61" t="s">
        <v>3985</v>
      </c>
      <c r="F65" s="61" t="s">
        <v>3986</v>
      </c>
    </row>
    <row r="69">
      <c r="A69" s="181" t="s">
        <v>3683</v>
      </c>
    </row>
    <row r="70">
      <c r="A70" s="182" t="s">
        <v>2793</v>
      </c>
      <c r="B70" s="182" t="s">
        <v>3368</v>
      </c>
      <c r="C70" s="110" t="s">
        <v>3369</v>
      </c>
      <c r="D70" s="182" t="s">
        <v>2794</v>
      </c>
      <c r="E70" s="182" t="s">
        <v>3684</v>
      </c>
      <c r="F70" s="182" t="s">
        <v>3154</v>
      </c>
      <c r="G70" s="182" t="s">
        <v>120</v>
      </c>
      <c r="H70" s="182" t="s">
        <v>115</v>
      </c>
    </row>
    <row r="71">
      <c r="A71" s="4" t="s">
        <v>3987</v>
      </c>
      <c r="B71" s="4" t="s">
        <v>3988</v>
      </c>
      <c r="C71" s="4" t="s">
        <v>3989</v>
      </c>
      <c r="D71" s="4" t="s">
        <v>3990</v>
      </c>
      <c r="E71" s="4" t="s">
        <v>2843</v>
      </c>
      <c r="F71" s="4" t="s">
        <v>3991</v>
      </c>
      <c r="G71" s="4" t="s">
        <v>3992</v>
      </c>
      <c r="H71" s="4" t="s">
        <v>3993</v>
      </c>
    </row>
    <row r="72">
      <c r="A72" s="4" t="s">
        <v>3994</v>
      </c>
      <c r="B72" s="4" t="s">
        <v>3988</v>
      </c>
      <c r="C72" s="4" t="s">
        <v>3995</v>
      </c>
      <c r="D72" s="4" t="s">
        <v>3996</v>
      </c>
      <c r="E72" s="4" t="s">
        <v>3997</v>
      </c>
      <c r="F72" s="4" t="s">
        <v>3998</v>
      </c>
      <c r="G72" s="4" t="s">
        <v>3998</v>
      </c>
      <c r="H72" s="4" t="s">
        <v>3999</v>
      </c>
    </row>
    <row r="73">
      <c r="A73" s="4" t="s">
        <v>4000</v>
      </c>
      <c r="B73" s="4" t="s">
        <v>4001</v>
      </c>
      <c r="C73" s="4" t="s">
        <v>4002</v>
      </c>
      <c r="D73" s="4" t="s">
        <v>4003</v>
      </c>
      <c r="E73" s="4" t="s">
        <v>3997</v>
      </c>
      <c r="F73" s="4" t="s">
        <v>4004</v>
      </c>
      <c r="G73" s="4" t="s">
        <v>4005</v>
      </c>
      <c r="H73" s="4" t="s">
        <v>4006</v>
      </c>
    </row>
    <row r="74">
      <c r="A74" s="4" t="s">
        <v>4007</v>
      </c>
      <c r="B74" s="4" t="s">
        <v>4001</v>
      </c>
      <c r="C74" s="4" t="s">
        <v>3995</v>
      </c>
      <c r="D74" s="4" t="s">
        <v>3990</v>
      </c>
      <c r="E74" s="4" t="s">
        <v>2843</v>
      </c>
      <c r="F74" s="4" t="s">
        <v>4008</v>
      </c>
      <c r="G74" s="4" t="s">
        <v>4008</v>
      </c>
      <c r="H74" s="4" t="s">
        <v>4009</v>
      </c>
    </row>
    <row r="75">
      <c r="A75" s="4" t="s">
        <v>4010</v>
      </c>
      <c r="B75" s="4" t="s">
        <v>4001</v>
      </c>
      <c r="C75" s="4" t="s">
        <v>3989</v>
      </c>
      <c r="D75" s="4" t="s">
        <v>135</v>
      </c>
      <c r="E75" s="4" t="s">
        <v>2802</v>
      </c>
      <c r="F75" s="4" t="s">
        <v>4011</v>
      </c>
      <c r="G75" s="4" t="s">
        <v>4012</v>
      </c>
      <c r="H75" s="4" t="s">
        <v>4011</v>
      </c>
    </row>
    <row r="76">
      <c r="A76" s="4" t="s">
        <v>4013</v>
      </c>
      <c r="B76" s="4" t="s">
        <v>4014</v>
      </c>
      <c r="C76" s="4" t="s">
        <v>4015</v>
      </c>
      <c r="D76" s="4" t="s">
        <v>3996</v>
      </c>
      <c r="E76" s="4" t="s">
        <v>2843</v>
      </c>
      <c r="F76" s="4" t="s">
        <v>4016</v>
      </c>
      <c r="G76" s="4" t="s">
        <v>4016</v>
      </c>
      <c r="H76" s="4" t="s">
        <v>4017</v>
      </c>
    </row>
    <row r="77">
      <c r="A77" s="4" t="s">
        <v>4018</v>
      </c>
      <c r="B77" s="4" t="s">
        <v>4014</v>
      </c>
      <c r="C77" s="4" t="s">
        <v>4002</v>
      </c>
      <c r="D77" s="4" t="s">
        <v>4019</v>
      </c>
      <c r="E77" s="4" t="s">
        <v>3997</v>
      </c>
      <c r="F77" s="4" t="s">
        <v>4020</v>
      </c>
      <c r="G77" s="4" t="s">
        <v>4021</v>
      </c>
      <c r="H77" s="4" t="s">
        <v>4020</v>
      </c>
    </row>
    <row r="78">
      <c r="A78" s="4" t="s">
        <v>4022</v>
      </c>
      <c r="B78" s="4" t="s">
        <v>3346</v>
      </c>
      <c r="C78" s="4" t="s">
        <v>4023</v>
      </c>
      <c r="D78" s="4" t="s">
        <v>3996</v>
      </c>
      <c r="E78" s="4" t="s">
        <v>2843</v>
      </c>
      <c r="F78" s="4" t="s">
        <v>3999</v>
      </c>
      <c r="G78" s="4" t="s">
        <v>4016</v>
      </c>
      <c r="H78" s="4" t="s">
        <v>3999</v>
      </c>
    </row>
    <row r="79">
      <c r="A79" s="4" t="s">
        <v>4024</v>
      </c>
      <c r="B79" s="4" t="s">
        <v>3346</v>
      </c>
      <c r="C79" s="4" t="s">
        <v>4015</v>
      </c>
      <c r="D79" s="4" t="s">
        <v>135</v>
      </c>
      <c r="E79" s="4" t="s">
        <v>3997</v>
      </c>
      <c r="F79" s="4" t="s">
        <v>4025</v>
      </c>
      <c r="G79" s="4" t="s">
        <v>4026</v>
      </c>
      <c r="H79" s="4" t="s">
        <v>4017</v>
      </c>
    </row>
    <row r="80">
      <c r="A80" s="4" t="s">
        <v>4027</v>
      </c>
      <c r="B80" s="4" t="s">
        <v>4028</v>
      </c>
      <c r="C80" s="4" t="s">
        <v>4015</v>
      </c>
      <c r="D80" s="4" t="s">
        <v>4003</v>
      </c>
      <c r="E80" s="4" t="s">
        <v>2843</v>
      </c>
      <c r="F80" s="4" t="s">
        <v>4017</v>
      </c>
      <c r="G80" s="4" t="s">
        <v>4029</v>
      </c>
      <c r="H80" s="4" t="s">
        <v>4030</v>
      </c>
    </row>
    <row r="81">
      <c r="A81" s="4" t="s">
        <v>4031</v>
      </c>
      <c r="B81" s="4" t="s">
        <v>4028</v>
      </c>
      <c r="C81" s="4" t="s">
        <v>4023</v>
      </c>
      <c r="D81" s="4" t="s">
        <v>3996</v>
      </c>
      <c r="E81" s="4" t="s">
        <v>3997</v>
      </c>
      <c r="F81" s="4" t="s">
        <v>3999</v>
      </c>
      <c r="G81" s="4" t="s">
        <v>4016</v>
      </c>
      <c r="H81" s="4" t="s">
        <v>3999</v>
      </c>
    </row>
    <row r="82">
      <c r="A82" s="4" t="s">
        <v>4032</v>
      </c>
      <c r="B82" s="4" t="s">
        <v>4028</v>
      </c>
      <c r="C82" s="4" t="s">
        <v>3989</v>
      </c>
      <c r="D82" s="4" t="s">
        <v>4033</v>
      </c>
      <c r="E82" s="4" t="s">
        <v>2843</v>
      </c>
      <c r="F82" s="4" t="s">
        <v>4034</v>
      </c>
      <c r="G82" s="4" t="s">
        <v>4034</v>
      </c>
      <c r="H82" s="4" t="s">
        <v>4025</v>
      </c>
    </row>
    <row r="83">
      <c r="A83" s="4" t="s">
        <v>4035</v>
      </c>
      <c r="B83" s="4" t="s">
        <v>4036</v>
      </c>
      <c r="C83" s="4" t="s">
        <v>4037</v>
      </c>
      <c r="D83" s="4" t="s">
        <v>3990</v>
      </c>
      <c r="E83" s="4" t="s">
        <v>2827</v>
      </c>
      <c r="F83" s="4" t="s">
        <v>4038</v>
      </c>
      <c r="G83" s="4" t="s">
        <v>4038</v>
      </c>
      <c r="H83" s="4" t="s">
        <v>4039</v>
      </c>
    </row>
    <row r="84">
      <c r="A84" s="4" t="s">
        <v>4040</v>
      </c>
      <c r="B84" s="4" t="s">
        <v>4036</v>
      </c>
      <c r="C84" s="4" t="s">
        <v>4023</v>
      </c>
      <c r="D84" s="4" t="s">
        <v>135</v>
      </c>
      <c r="E84" s="4" t="s">
        <v>3997</v>
      </c>
      <c r="F84" s="4" t="s">
        <v>4041</v>
      </c>
      <c r="G84" s="4" t="s">
        <v>4042</v>
      </c>
      <c r="H84" s="4" t="s">
        <v>4041</v>
      </c>
    </row>
    <row r="85">
      <c r="A85" s="4" t="s">
        <v>4043</v>
      </c>
      <c r="B85" s="4" t="s">
        <v>4044</v>
      </c>
      <c r="C85" s="4" t="s">
        <v>4002</v>
      </c>
      <c r="D85" s="4" t="s">
        <v>4019</v>
      </c>
      <c r="E85" s="4" t="s">
        <v>3997</v>
      </c>
      <c r="F85" s="4" t="s">
        <v>4045</v>
      </c>
      <c r="G85" s="4" t="s">
        <v>4046</v>
      </c>
      <c r="H85" s="4" t="s">
        <v>4011</v>
      </c>
    </row>
    <row r="86">
      <c r="A86" s="4" t="s">
        <v>4047</v>
      </c>
      <c r="B86" s="4" t="s">
        <v>4044</v>
      </c>
      <c r="C86" s="4" t="s">
        <v>4015</v>
      </c>
      <c r="D86" s="4" t="s">
        <v>4033</v>
      </c>
      <c r="E86" s="4" t="s">
        <v>2827</v>
      </c>
      <c r="F86" s="4" t="s">
        <v>4048</v>
      </c>
      <c r="G86" s="4" t="s">
        <v>4049</v>
      </c>
      <c r="H86" s="4" t="s">
        <v>4048</v>
      </c>
    </row>
    <row r="87">
      <c r="A87" s="4" t="s">
        <v>4050</v>
      </c>
      <c r="B87" s="4" t="s">
        <v>4051</v>
      </c>
      <c r="C87" s="4" t="s">
        <v>4037</v>
      </c>
      <c r="D87" s="4" t="s">
        <v>135</v>
      </c>
      <c r="E87" s="4" t="s">
        <v>2843</v>
      </c>
      <c r="F87" s="4" t="s">
        <v>4052</v>
      </c>
      <c r="G87" s="4" t="s">
        <v>4052</v>
      </c>
      <c r="H87" s="4" t="s">
        <v>4011</v>
      </c>
    </row>
    <row r="88">
      <c r="A88" s="4" t="s">
        <v>4053</v>
      </c>
      <c r="B88" s="4" t="s">
        <v>4051</v>
      </c>
      <c r="C88" s="4" t="s">
        <v>4015</v>
      </c>
      <c r="D88" s="4" t="s">
        <v>4019</v>
      </c>
      <c r="E88" s="4" t="s">
        <v>3997</v>
      </c>
      <c r="F88" s="4" t="s">
        <v>4021</v>
      </c>
      <c r="G88" s="4" t="s">
        <v>4054</v>
      </c>
      <c r="H88" s="4" t="s">
        <v>4021</v>
      </c>
    </row>
    <row r="89">
      <c r="A89" s="4" t="s">
        <v>4055</v>
      </c>
      <c r="B89" s="4" t="s">
        <v>4056</v>
      </c>
      <c r="C89" s="4" t="s">
        <v>4037</v>
      </c>
      <c r="D89" s="4" t="s">
        <v>3990</v>
      </c>
      <c r="E89" s="4" t="s">
        <v>2827</v>
      </c>
      <c r="F89" s="4" t="s">
        <v>4057</v>
      </c>
      <c r="G89" s="4" t="s">
        <v>4057</v>
      </c>
      <c r="H89" s="4" t="s">
        <v>4057</v>
      </c>
    </row>
    <row r="90">
      <c r="A90" s="4" t="s">
        <v>4043</v>
      </c>
      <c r="B90" s="4" t="s">
        <v>4056</v>
      </c>
      <c r="C90" s="4" t="s">
        <v>3989</v>
      </c>
      <c r="D90" s="4" t="s">
        <v>4019</v>
      </c>
      <c r="E90" s="4" t="s">
        <v>3997</v>
      </c>
      <c r="F90" s="4" t="s">
        <v>4058</v>
      </c>
      <c r="G90" s="4" t="s">
        <v>4054</v>
      </c>
      <c r="H90" s="4" t="s">
        <v>4059</v>
      </c>
    </row>
    <row r="91">
      <c r="A91" s="4" t="s">
        <v>4047</v>
      </c>
      <c r="B91" s="4" t="s">
        <v>4056</v>
      </c>
      <c r="C91" s="4" t="s">
        <v>3995</v>
      </c>
      <c r="D91" s="4" t="s">
        <v>4003</v>
      </c>
      <c r="E91" s="4" t="s">
        <v>2843</v>
      </c>
      <c r="F91" s="4" t="s">
        <v>4060</v>
      </c>
      <c r="G91" s="4" t="s">
        <v>4061</v>
      </c>
      <c r="H91" s="4" t="s">
        <v>4060</v>
      </c>
    </row>
    <row r="92">
      <c r="A92" s="4" t="s">
        <v>4062</v>
      </c>
      <c r="B92" s="4" t="s">
        <v>3349</v>
      </c>
      <c r="C92" s="4" t="s">
        <v>4037</v>
      </c>
      <c r="D92" s="4" t="s">
        <v>3990</v>
      </c>
      <c r="E92" s="4" t="s">
        <v>4063</v>
      </c>
      <c r="F92" s="4" t="s">
        <v>3991</v>
      </c>
      <c r="G92" s="4" t="s">
        <v>4057</v>
      </c>
      <c r="H92" s="4" t="s">
        <v>3991</v>
      </c>
    </row>
    <row r="93">
      <c r="A93" s="4" t="s">
        <v>4064</v>
      </c>
      <c r="B93" s="4" t="s">
        <v>3349</v>
      </c>
      <c r="C93" s="4" t="s">
        <v>4023</v>
      </c>
      <c r="D93" s="4" t="s">
        <v>4003</v>
      </c>
      <c r="E93" s="4" t="s">
        <v>4065</v>
      </c>
      <c r="F93" s="4" t="s">
        <v>4066</v>
      </c>
      <c r="G93" s="4" t="s">
        <v>4067</v>
      </c>
      <c r="H93" s="4" t="s">
        <v>4068</v>
      </c>
    </row>
    <row r="94">
      <c r="A94" s="4" t="s">
        <v>4069</v>
      </c>
      <c r="B94" s="4" t="s">
        <v>4070</v>
      </c>
      <c r="C94" s="4" t="s">
        <v>3995</v>
      </c>
      <c r="D94" s="4" t="s">
        <v>4019</v>
      </c>
      <c r="E94" s="4" t="s">
        <v>3997</v>
      </c>
      <c r="F94" s="4" t="s">
        <v>4071</v>
      </c>
      <c r="G94" s="4" t="s">
        <v>4058</v>
      </c>
      <c r="H94" s="4" t="s">
        <v>4071</v>
      </c>
    </row>
    <row r="95">
      <c r="A95" s="4" t="s">
        <v>4072</v>
      </c>
      <c r="B95" s="4" t="s">
        <v>4070</v>
      </c>
      <c r="C95" s="4" t="s">
        <v>4037</v>
      </c>
      <c r="D95" s="4" t="s">
        <v>4003</v>
      </c>
      <c r="E95" s="4" t="s">
        <v>2843</v>
      </c>
      <c r="F95" s="4" t="s">
        <v>4066</v>
      </c>
      <c r="G95" s="4" t="s">
        <v>4073</v>
      </c>
      <c r="H95" s="4" t="s">
        <v>4060</v>
      </c>
    </row>
    <row r="96">
      <c r="A96" s="4" t="s">
        <v>4074</v>
      </c>
      <c r="B96" s="4" t="s">
        <v>4075</v>
      </c>
      <c r="C96" s="4" t="s">
        <v>4002</v>
      </c>
      <c r="D96" s="4" t="s">
        <v>3996</v>
      </c>
      <c r="E96" s="4" t="s">
        <v>3997</v>
      </c>
      <c r="F96" s="4" t="s">
        <v>4076</v>
      </c>
      <c r="G96" s="4" t="s">
        <v>4042</v>
      </c>
      <c r="H96" s="4" t="s">
        <v>4020</v>
      </c>
    </row>
    <row r="97">
      <c r="A97" s="4" t="s">
        <v>4077</v>
      </c>
      <c r="B97" s="4" t="s">
        <v>4075</v>
      </c>
      <c r="C97" s="4" t="s">
        <v>3995</v>
      </c>
      <c r="D97" s="4" t="s">
        <v>4033</v>
      </c>
      <c r="E97" s="4" t="s">
        <v>2802</v>
      </c>
      <c r="F97" s="4" t="s">
        <v>4078</v>
      </c>
      <c r="G97" s="4" t="s">
        <v>4079</v>
      </c>
      <c r="H97" s="4" t="s">
        <v>4078</v>
      </c>
    </row>
    <row r="98">
      <c r="A98" s="4" t="s">
        <v>4080</v>
      </c>
      <c r="B98" s="4" t="s">
        <v>4081</v>
      </c>
      <c r="C98" s="4" t="s">
        <v>4002</v>
      </c>
      <c r="D98" s="4" t="s">
        <v>3990</v>
      </c>
      <c r="E98" s="4" t="s">
        <v>2827</v>
      </c>
      <c r="F98" s="4" t="s">
        <v>4082</v>
      </c>
      <c r="G98" s="4" t="s">
        <v>4005</v>
      </c>
      <c r="H98" s="4" t="s">
        <v>4082</v>
      </c>
    </row>
    <row r="99">
      <c r="A99" s="4" t="s">
        <v>4083</v>
      </c>
      <c r="B99" s="4" t="s">
        <v>4081</v>
      </c>
      <c r="C99" s="4" t="s">
        <v>3989</v>
      </c>
      <c r="D99" s="4" t="s">
        <v>135</v>
      </c>
      <c r="E99" s="4" t="s">
        <v>3997</v>
      </c>
      <c r="F99" s="4" t="s">
        <v>4025</v>
      </c>
      <c r="G99" s="4" t="s">
        <v>4025</v>
      </c>
      <c r="H99" s="4" t="s">
        <v>4084</v>
      </c>
    </row>
    <row r="100">
      <c r="A100" s="4" t="s">
        <v>3994</v>
      </c>
      <c r="B100" s="4" t="s">
        <v>4081</v>
      </c>
      <c r="C100" s="4" t="s">
        <v>4023</v>
      </c>
      <c r="D100" s="4" t="s">
        <v>4033</v>
      </c>
      <c r="E100" s="4" t="s">
        <v>2843</v>
      </c>
      <c r="F100" s="4" t="s">
        <v>4078</v>
      </c>
      <c r="G100" s="4" t="s">
        <v>4034</v>
      </c>
      <c r="H100" s="4" t="s">
        <v>4078</v>
      </c>
    </row>
    <row r="101">
      <c r="A101" s="4" t="s">
        <v>4085</v>
      </c>
      <c r="B101" s="4" t="s">
        <v>4086</v>
      </c>
      <c r="C101" s="4" t="s">
        <v>4037</v>
      </c>
      <c r="D101" s="4" t="s">
        <v>3990</v>
      </c>
      <c r="E101" s="4" t="s">
        <v>4087</v>
      </c>
      <c r="F101" s="4" t="s">
        <v>3991</v>
      </c>
      <c r="G101" s="4" t="s">
        <v>3991</v>
      </c>
      <c r="H101" s="4" t="s">
        <v>4030</v>
      </c>
    </row>
    <row r="102">
      <c r="A102" s="4" t="s">
        <v>4088</v>
      </c>
      <c r="B102" s="4" t="s">
        <v>4086</v>
      </c>
      <c r="C102" s="4" t="s">
        <v>4002</v>
      </c>
      <c r="D102" s="4" t="s">
        <v>3996</v>
      </c>
      <c r="E102" s="4" t="s">
        <v>3997</v>
      </c>
      <c r="F102" s="4" t="s">
        <v>4016</v>
      </c>
      <c r="G102" s="4" t="s">
        <v>4016</v>
      </c>
      <c r="H102" s="4" t="s">
        <v>4089</v>
      </c>
    </row>
    <row r="103">
      <c r="A103" s="4" t="s">
        <v>4090</v>
      </c>
      <c r="B103" s="4" t="s">
        <v>4091</v>
      </c>
      <c r="C103" s="4" t="s">
        <v>3989</v>
      </c>
      <c r="D103" s="4" t="s">
        <v>135</v>
      </c>
      <c r="E103" s="4" t="s">
        <v>2843</v>
      </c>
      <c r="F103" s="4" t="s">
        <v>4092</v>
      </c>
      <c r="G103" s="4" t="s">
        <v>4052</v>
      </c>
      <c r="H103" s="4" t="s">
        <v>4092</v>
      </c>
    </row>
    <row r="104">
      <c r="A104" s="4" t="s">
        <v>4093</v>
      </c>
      <c r="B104" s="4" t="s">
        <v>4094</v>
      </c>
      <c r="C104" s="4" t="s">
        <v>4037</v>
      </c>
      <c r="D104" s="4" t="s">
        <v>135</v>
      </c>
      <c r="E104" s="4" t="s">
        <v>4095</v>
      </c>
      <c r="F104" s="4" t="s">
        <v>4092</v>
      </c>
      <c r="G104" s="4" t="s">
        <v>4096</v>
      </c>
      <c r="H104" s="4" t="s">
        <v>4092</v>
      </c>
    </row>
    <row r="105">
      <c r="A105" s="5"/>
      <c r="B105" s="5"/>
      <c r="C105" s="5"/>
      <c r="D105" s="5"/>
      <c r="E105" s="5"/>
      <c r="F105" s="5"/>
      <c r="G105" s="5"/>
      <c r="H105" s="5"/>
    </row>
    <row r="106">
      <c r="A106" s="184" t="s">
        <v>4097</v>
      </c>
      <c r="F106" s="5"/>
      <c r="G106" s="5"/>
      <c r="H106" s="5"/>
    </row>
    <row r="107">
      <c r="A107" s="106" t="s">
        <v>92</v>
      </c>
      <c r="B107" s="106" t="s">
        <v>93</v>
      </c>
      <c r="C107" s="106" t="s">
        <v>94</v>
      </c>
      <c r="D107" s="106" t="s">
        <v>95</v>
      </c>
      <c r="E107" s="106" t="s">
        <v>2883</v>
      </c>
      <c r="F107" s="5"/>
      <c r="G107" s="5"/>
      <c r="H107" s="5"/>
    </row>
    <row r="108">
      <c r="A108" s="4" t="s">
        <v>100</v>
      </c>
      <c r="B108" s="4" t="s">
        <v>134</v>
      </c>
      <c r="C108" s="4" t="s">
        <v>135</v>
      </c>
      <c r="D108" s="4" t="s">
        <v>11</v>
      </c>
      <c r="E108" s="4">
        <v>5000.0</v>
      </c>
      <c r="F108" s="5"/>
      <c r="G108" s="5"/>
      <c r="H108" s="5"/>
    </row>
    <row r="109">
      <c r="A109" s="4" t="s">
        <v>110</v>
      </c>
      <c r="B109" s="4" t="s">
        <v>138</v>
      </c>
      <c r="C109" s="4" t="s">
        <v>135</v>
      </c>
      <c r="D109" s="4" t="s">
        <v>11</v>
      </c>
      <c r="E109" s="4">
        <v>5000.0</v>
      </c>
      <c r="F109" s="5"/>
      <c r="G109" s="5"/>
      <c r="H109" s="5"/>
    </row>
    <row r="110">
      <c r="A110" s="4" t="s">
        <v>141</v>
      </c>
      <c r="B110" s="4" t="s">
        <v>142</v>
      </c>
      <c r="C110" s="4" t="s">
        <v>135</v>
      </c>
      <c r="D110" s="4" t="s">
        <v>107</v>
      </c>
      <c r="E110" s="4">
        <v>10000.0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" t="s">
        <v>120</v>
      </c>
      <c r="B111" s="4" t="s">
        <v>145</v>
      </c>
      <c r="C111" s="4" t="s">
        <v>146</v>
      </c>
      <c r="D111" s="4" t="s">
        <v>17</v>
      </c>
      <c r="E111" s="4">
        <v>10000.0</v>
      </c>
      <c r="F111" s="5"/>
      <c r="G111" s="5"/>
      <c r="H111" s="5"/>
    </row>
    <row r="112">
      <c r="A112" s="4" t="s">
        <v>124</v>
      </c>
      <c r="B112" s="4" t="s">
        <v>142</v>
      </c>
      <c r="C112" s="4" t="s">
        <v>135</v>
      </c>
      <c r="D112" s="4" t="s">
        <v>107</v>
      </c>
      <c r="E112" s="4">
        <v>20000.0</v>
      </c>
      <c r="F112" s="5"/>
      <c r="G112" s="5"/>
      <c r="H112" s="5"/>
    </row>
    <row r="113">
      <c r="A113" s="4" t="s">
        <v>150</v>
      </c>
      <c r="B113" s="4" t="s">
        <v>146</v>
      </c>
      <c r="E113" s="4">
        <v>25000.0</v>
      </c>
      <c r="F113" s="5"/>
      <c r="G113" s="5"/>
      <c r="H113" s="5"/>
    </row>
    <row r="114">
      <c r="A114" s="4" t="s">
        <v>151</v>
      </c>
      <c r="B114" s="4" t="s">
        <v>152</v>
      </c>
      <c r="E114" s="4">
        <v>50000.0</v>
      </c>
      <c r="F114" s="5"/>
      <c r="G114" s="5"/>
      <c r="H114" s="5"/>
    </row>
    <row r="115">
      <c r="A115" s="4" t="s">
        <v>130</v>
      </c>
      <c r="B115" s="4" t="s">
        <v>135</v>
      </c>
      <c r="E115" s="4">
        <v>100000.0</v>
      </c>
      <c r="F115" s="5"/>
      <c r="G115" s="5"/>
      <c r="H115" s="5"/>
    </row>
    <row r="116">
      <c r="A116" s="5"/>
      <c r="B116" s="5"/>
      <c r="C116" s="5"/>
      <c r="D116" s="5"/>
      <c r="E116" s="5"/>
      <c r="F116" s="5"/>
      <c r="G116" s="5"/>
      <c r="H116" s="5"/>
    </row>
    <row r="117">
      <c r="A117" s="5"/>
      <c r="B117" s="5"/>
      <c r="C117" s="5"/>
      <c r="D117" s="5"/>
      <c r="E117" s="5"/>
      <c r="F117" s="5"/>
      <c r="G117" s="5"/>
      <c r="H117" s="5"/>
    </row>
    <row r="118">
      <c r="A118" s="5"/>
      <c r="B118" s="5"/>
      <c r="C118" s="5"/>
      <c r="D118" s="5"/>
      <c r="E118" s="5"/>
      <c r="F118" s="5"/>
      <c r="G118" s="5"/>
      <c r="H118" s="5"/>
    </row>
    <row r="119">
      <c r="A119" s="5"/>
      <c r="B119" s="5"/>
      <c r="C119" s="5"/>
      <c r="D119" s="5"/>
      <c r="E119" s="5"/>
      <c r="F119" s="5"/>
      <c r="G119" s="5"/>
      <c r="H119" s="5"/>
    </row>
    <row r="120">
      <c r="A120" s="5"/>
      <c r="B120" s="5"/>
      <c r="C120" s="5"/>
      <c r="D120" s="5"/>
      <c r="E120" s="5"/>
      <c r="F120" s="5"/>
      <c r="G120" s="5"/>
      <c r="H120" s="5"/>
    </row>
    <row r="121">
      <c r="A121" s="5"/>
      <c r="B121" s="5"/>
      <c r="C121" s="5"/>
      <c r="D121" s="5"/>
      <c r="E121" s="5"/>
      <c r="F121" s="5"/>
      <c r="G121" s="5"/>
      <c r="H121" s="5"/>
    </row>
    <row r="122">
      <c r="A122" s="5"/>
      <c r="B122" s="5"/>
      <c r="C122" s="5"/>
      <c r="D122" s="5"/>
      <c r="E122" s="5"/>
      <c r="F122" s="5"/>
      <c r="G122" s="5"/>
      <c r="H122" s="5"/>
    </row>
    <row r="123">
      <c r="A123" s="5"/>
      <c r="B123" s="5"/>
      <c r="C123" s="5"/>
      <c r="D123" s="5"/>
      <c r="E123" s="5"/>
      <c r="F123" s="5"/>
      <c r="G123" s="5"/>
      <c r="H123" s="5"/>
    </row>
    <row r="124">
      <c r="A124" s="5"/>
      <c r="B124" s="5"/>
      <c r="C124" s="5"/>
      <c r="D124" s="5"/>
      <c r="E124" s="5"/>
      <c r="F124" s="5"/>
      <c r="G124" s="5"/>
      <c r="H124" s="5"/>
    </row>
    <row r="125">
      <c r="A125" s="5"/>
      <c r="B125" s="5"/>
      <c r="C125" s="5"/>
      <c r="D125" s="5"/>
      <c r="E125" s="5"/>
      <c r="F125" s="5"/>
      <c r="G125" s="5"/>
      <c r="H125" s="5"/>
    </row>
    <row r="126">
      <c r="A126" s="5"/>
      <c r="B126" s="5"/>
      <c r="C126" s="5"/>
      <c r="D126" s="5"/>
      <c r="E126" s="5"/>
      <c r="F126" s="5"/>
      <c r="G126" s="5"/>
      <c r="H126" s="5"/>
    </row>
    <row r="127">
      <c r="A127" s="5"/>
      <c r="B127" s="5"/>
      <c r="C127" s="5"/>
      <c r="D127" s="5"/>
      <c r="E127" s="5"/>
      <c r="F127" s="5"/>
      <c r="G127" s="5"/>
      <c r="H127" s="5"/>
    </row>
    <row r="128">
      <c r="A128" s="5"/>
      <c r="B128" s="5"/>
      <c r="C128" s="5"/>
      <c r="D128" s="5"/>
      <c r="E128" s="5"/>
      <c r="F128" s="5"/>
      <c r="G128" s="5"/>
      <c r="H128" s="5"/>
    </row>
    <row r="129">
      <c r="A129" s="5"/>
      <c r="B129" s="5"/>
      <c r="C129" s="5"/>
      <c r="D129" s="5"/>
      <c r="E129" s="5"/>
      <c r="F129" s="5"/>
      <c r="G129" s="5"/>
      <c r="H129" s="5"/>
    </row>
    <row r="130">
      <c r="A130" s="5"/>
      <c r="B130" s="5"/>
      <c r="C130" s="5"/>
      <c r="D130" s="5"/>
      <c r="E130" s="5"/>
      <c r="F130" s="5"/>
      <c r="G130" s="5"/>
      <c r="H130" s="5"/>
    </row>
    <row r="131">
      <c r="A131" s="5"/>
      <c r="B131" s="5"/>
      <c r="C131" s="5"/>
      <c r="D131" s="5"/>
      <c r="E131" s="5"/>
      <c r="F131" s="5"/>
      <c r="G131" s="5"/>
      <c r="H131" s="5"/>
    </row>
    <row r="132">
      <c r="A132" s="5"/>
      <c r="B132" s="5"/>
      <c r="C132" s="5"/>
      <c r="D132" s="5"/>
      <c r="E132" s="5"/>
      <c r="F132" s="5"/>
      <c r="G132" s="5"/>
      <c r="H132" s="5"/>
    </row>
    <row r="133">
      <c r="A133" s="5"/>
      <c r="B133" s="5"/>
      <c r="C133" s="5"/>
      <c r="D133" s="5"/>
      <c r="E133" s="5"/>
      <c r="F133" s="5"/>
      <c r="G133" s="5"/>
      <c r="H133" s="5"/>
    </row>
    <row r="134">
      <c r="A134" s="5"/>
      <c r="B134" s="5"/>
      <c r="C134" s="5"/>
      <c r="D134" s="5"/>
      <c r="E134" s="5"/>
      <c r="F134" s="5"/>
      <c r="G134" s="5"/>
      <c r="H134" s="5"/>
    </row>
    <row r="135">
      <c r="A135" s="5"/>
      <c r="B135" s="5"/>
      <c r="C135" s="5"/>
      <c r="D135" s="5"/>
      <c r="E135" s="5"/>
      <c r="F135" s="5"/>
      <c r="G135" s="5"/>
      <c r="H135" s="5"/>
    </row>
    <row r="136">
      <c r="A136" s="5"/>
      <c r="B136" s="5"/>
      <c r="C136" s="5"/>
      <c r="D136" s="5"/>
      <c r="E136" s="5"/>
      <c r="F136" s="5"/>
      <c r="G136" s="5"/>
      <c r="H136" s="5"/>
    </row>
    <row r="137">
      <c r="A137" s="5"/>
      <c r="B137" s="5"/>
      <c r="C137" s="5"/>
      <c r="D137" s="5"/>
      <c r="E137" s="5"/>
      <c r="F137" s="5"/>
      <c r="G137" s="5"/>
      <c r="H137" s="5"/>
    </row>
    <row r="138">
      <c r="A138" s="5"/>
      <c r="B138" s="5"/>
      <c r="C138" s="5"/>
      <c r="D138" s="5"/>
      <c r="E138" s="5"/>
      <c r="F138" s="5"/>
      <c r="G138" s="5"/>
      <c r="H138" s="5"/>
    </row>
    <row r="139">
      <c r="A139" s="5"/>
      <c r="B139" s="5"/>
      <c r="C139" s="5"/>
      <c r="D139" s="5"/>
      <c r="E139" s="5"/>
      <c r="F139" s="5"/>
      <c r="G139" s="5"/>
      <c r="H139" s="5"/>
    </row>
    <row r="140">
      <c r="A140" s="5"/>
      <c r="B140" s="5"/>
      <c r="C140" s="5"/>
      <c r="D140" s="5"/>
      <c r="E140" s="5"/>
      <c r="F140" s="5"/>
      <c r="G140" s="5"/>
      <c r="H140" s="5"/>
    </row>
    <row r="141">
      <c r="A141" s="5"/>
      <c r="B141" s="5"/>
      <c r="C141" s="5"/>
      <c r="D141" s="5"/>
      <c r="E141" s="5"/>
      <c r="F141" s="5"/>
      <c r="G141" s="5"/>
      <c r="H141" s="5"/>
    </row>
    <row r="142">
      <c r="A142" s="5"/>
      <c r="B142" s="5"/>
      <c r="C142" s="5"/>
      <c r="D142" s="5"/>
      <c r="E142" s="5"/>
      <c r="F142" s="5"/>
      <c r="G142" s="5"/>
      <c r="H142" s="5"/>
    </row>
    <row r="143">
      <c r="A143" s="5"/>
      <c r="B143" s="5"/>
      <c r="C143" s="5"/>
      <c r="D143" s="5"/>
      <c r="E143" s="5"/>
      <c r="F143" s="5"/>
      <c r="G143" s="5"/>
      <c r="H143" s="5"/>
    </row>
    <row r="144">
      <c r="A144" s="5"/>
      <c r="B144" s="5"/>
      <c r="C144" s="5"/>
      <c r="D144" s="5"/>
      <c r="E144" s="5"/>
      <c r="F144" s="5"/>
      <c r="G144" s="5"/>
      <c r="H144" s="5"/>
    </row>
    <row r="145">
      <c r="A145" s="5"/>
      <c r="B145" s="5"/>
      <c r="C145" s="5"/>
      <c r="D145" s="5"/>
      <c r="E145" s="5"/>
      <c r="F145" s="5"/>
      <c r="G145" s="5"/>
      <c r="H145" s="5"/>
    </row>
    <row r="146">
      <c r="A146" s="5"/>
      <c r="B146" s="5"/>
      <c r="C146" s="5"/>
      <c r="D146" s="5"/>
      <c r="E146" s="5"/>
      <c r="F146" s="5"/>
      <c r="G146" s="5"/>
      <c r="H146" s="5"/>
    </row>
    <row r="147">
      <c r="A147" s="5"/>
      <c r="B147" s="5"/>
      <c r="C147" s="5"/>
      <c r="D147" s="5"/>
      <c r="E147" s="5"/>
      <c r="F147" s="5"/>
      <c r="G147" s="5"/>
      <c r="H147" s="5"/>
    </row>
    <row r="148">
      <c r="A148" s="5"/>
      <c r="B148" s="5"/>
      <c r="C148" s="5"/>
      <c r="D148" s="5"/>
      <c r="E148" s="5"/>
      <c r="F148" s="5"/>
      <c r="G148" s="5"/>
      <c r="H148" s="5"/>
    </row>
    <row r="149">
      <c r="A149" s="5"/>
      <c r="B149" s="5"/>
      <c r="C149" s="5"/>
      <c r="D149" s="5"/>
      <c r="E149" s="5"/>
      <c r="F149" s="5"/>
      <c r="G149" s="5"/>
      <c r="H149" s="5"/>
    </row>
    <row r="150">
      <c r="A150" s="5"/>
      <c r="B150" s="5"/>
      <c r="C150" s="5"/>
      <c r="D150" s="5"/>
      <c r="E150" s="5"/>
      <c r="F150" s="5"/>
      <c r="G150" s="5"/>
      <c r="H150" s="5"/>
    </row>
    <row r="151">
      <c r="A151" s="5"/>
      <c r="B151" s="5"/>
      <c r="C151" s="5"/>
      <c r="D151" s="5"/>
      <c r="E151" s="5"/>
      <c r="F151" s="5"/>
      <c r="G151" s="5"/>
      <c r="H151" s="5"/>
    </row>
    <row r="152">
      <c r="A152" s="5"/>
      <c r="B152" s="5"/>
      <c r="C152" s="5"/>
      <c r="D152" s="5"/>
      <c r="E152" s="5"/>
      <c r="F152" s="5"/>
      <c r="G152" s="5"/>
      <c r="H152" s="5"/>
    </row>
    <row r="153">
      <c r="A153" s="5"/>
      <c r="B153" s="5"/>
      <c r="C153" s="5"/>
      <c r="D153" s="5"/>
      <c r="E153" s="5"/>
      <c r="F153" s="5"/>
      <c r="G153" s="5"/>
      <c r="H153" s="5"/>
    </row>
    <row r="154">
      <c r="A154" s="5"/>
      <c r="B154" s="5"/>
      <c r="C154" s="5"/>
      <c r="D154" s="5"/>
      <c r="E154" s="5"/>
      <c r="F154" s="5"/>
      <c r="G154" s="5"/>
      <c r="H154" s="5"/>
    </row>
    <row r="155">
      <c r="A155" s="5"/>
      <c r="B155" s="5"/>
      <c r="C155" s="5"/>
      <c r="D155" s="5"/>
      <c r="E155" s="5"/>
      <c r="F155" s="5"/>
      <c r="G155" s="5"/>
      <c r="H155" s="5"/>
    </row>
    <row r="156">
      <c r="A156" s="5"/>
      <c r="B156" s="5"/>
      <c r="C156" s="5"/>
      <c r="D156" s="5"/>
      <c r="E156" s="5"/>
      <c r="F156" s="5"/>
      <c r="G156" s="5"/>
      <c r="H156" s="5"/>
    </row>
    <row r="157">
      <c r="A157" s="5"/>
      <c r="B157" s="5"/>
      <c r="C157" s="5"/>
      <c r="D157" s="5"/>
      <c r="E157" s="5"/>
      <c r="F157" s="5"/>
      <c r="G157" s="5"/>
      <c r="H157" s="5"/>
    </row>
    <row r="158">
      <c r="A158" s="5"/>
      <c r="B158" s="5"/>
      <c r="C158" s="5"/>
      <c r="D158" s="5"/>
      <c r="E158" s="5"/>
      <c r="F158" s="5"/>
      <c r="G158" s="5"/>
      <c r="H158" s="5"/>
    </row>
    <row r="159">
      <c r="A159" s="5"/>
      <c r="B159" s="5"/>
      <c r="C159" s="5"/>
      <c r="D159" s="5"/>
      <c r="E159" s="5"/>
      <c r="F159" s="5"/>
      <c r="G159" s="5"/>
      <c r="H159" s="5"/>
    </row>
    <row r="160">
      <c r="A160" s="5"/>
      <c r="B160" s="5"/>
      <c r="C160" s="5"/>
      <c r="D160" s="5"/>
      <c r="E160" s="5"/>
      <c r="F160" s="5"/>
      <c r="G160" s="5"/>
      <c r="H160" s="5"/>
    </row>
    <row r="161">
      <c r="A161" s="5"/>
      <c r="B161" s="5"/>
      <c r="C161" s="5"/>
      <c r="D161" s="5"/>
      <c r="E161" s="5"/>
      <c r="F161" s="5"/>
      <c r="G161" s="5"/>
      <c r="H161" s="5"/>
    </row>
    <row r="162">
      <c r="A162" s="5"/>
      <c r="B162" s="5"/>
      <c r="C162" s="5"/>
      <c r="D162" s="5"/>
      <c r="E162" s="5"/>
      <c r="F162" s="5"/>
      <c r="G162" s="5"/>
      <c r="H162" s="5"/>
    </row>
    <row r="163">
      <c r="A163" s="5"/>
      <c r="B163" s="5"/>
      <c r="C163" s="5"/>
      <c r="D163" s="5"/>
      <c r="E163" s="5"/>
      <c r="F163" s="5"/>
      <c r="G163" s="5"/>
      <c r="H163" s="5"/>
    </row>
    <row r="164">
      <c r="A164" s="5"/>
      <c r="B164" s="5"/>
      <c r="C164" s="5"/>
      <c r="D164" s="5"/>
      <c r="E164" s="5"/>
      <c r="F164" s="5"/>
      <c r="G164" s="5"/>
      <c r="H164" s="5"/>
    </row>
    <row r="165">
      <c r="A165" s="5"/>
      <c r="B165" s="5"/>
      <c r="C165" s="5"/>
      <c r="D165" s="5"/>
      <c r="E165" s="5"/>
      <c r="F165" s="5"/>
      <c r="G165" s="5"/>
      <c r="H165" s="5"/>
    </row>
    <row r="166">
      <c r="A166" s="5"/>
      <c r="B166" s="5"/>
      <c r="C166" s="5"/>
      <c r="D166" s="5"/>
      <c r="E166" s="5"/>
      <c r="F166" s="5"/>
      <c r="G166" s="5"/>
      <c r="H166" s="5"/>
    </row>
    <row r="167">
      <c r="A167" s="5"/>
      <c r="B167" s="5"/>
      <c r="C167" s="5"/>
      <c r="D167" s="5"/>
      <c r="E167" s="5"/>
      <c r="F167" s="5"/>
      <c r="G167" s="5"/>
      <c r="H167" s="5"/>
    </row>
    <row r="168">
      <c r="A168" s="5"/>
      <c r="B168" s="5"/>
      <c r="C168" s="5"/>
      <c r="D168" s="5"/>
      <c r="E168" s="5"/>
      <c r="F168" s="5"/>
      <c r="G168" s="5"/>
      <c r="H168" s="5"/>
    </row>
    <row r="169">
      <c r="A169" s="5"/>
      <c r="B169" s="5"/>
      <c r="C169" s="5"/>
      <c r="D169" s="5"/>
      <c r="E169" s="5"/>
      <c r="F169" s="5"/>
      <c r="G169" s="5"/>
      <c r="H169" s="5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1" t="s">
        <v>4098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47" t="s">
        <v>8</v>
      </c>
      <c r="B2" s="47" t="s">
        <v>10</v>
      </c>
      <c r="C2" s="47" t="s">
        <v>107</v>
      </c>
      <c r="D2" s="47" t="s">
        <v>15</v>
      </c>
      <c r="E2" s="47" t="s">
        <v>5</v>
      </c>
      <c r="F2" s="47" t="s">
        <v>6</v>
      </c>
      <c r="G2" s="47" t="s">
        <v>7</v>
      </c>
      <c r="H2" s="47" t="s">
        <v>11</v>
      </c>
      <c r="I2" s="47" t="s">
        <v>13</v>
      </c>
      <c r="J2" s="47" t="s">
        <v>17</v>
      </c>
      <c r="K2" s="47" t="s">
        <v>4099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26" t="s">
        <v>1388</v>
      </c>
      <c r="B3" s="33" t="s">
        <v>1677</v>
      </c>
      <c r="C3" s="33" t="s">
        <v>4100</v>
      </c>
      <c r="D3" s="33" t="s">
        <v>2499</v>
      </c>
      <c r="E3" s="33" t="s">
        <v>251</v>
      </c>
      <c r="F3" s="33" t="s">
        <v>899</v>
      </c>
      <c r="G3" s="33" t="s">
        <v>4101</v>
      </c>
      <c r="H3" s="33" t="s">
        <v>1938</v>
      </c>
      <c r="I3" s="33" t="s">
        <v>2314</v>
      </c>
      <c r="J3" s="33" t="s">
        <v>4102</v>
      </c>
      <c r="K3" s="33" t="s">
        <v>4103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26" t="s">
        <v>1406</v>
      </c>
      <c r="B4" s="33" t="s">
        <v>1681</v>
      </c>
      <c r="C4" s="33" t="s">
        <v>4104</v>
      </c>
      <c r="D4" s="33" t="s">
        <v>3513</v>
      </c>
      <c r="E4" s="33" t="s">
        <v>4105</v>
      </c>
      <c r="F4" s="33" t="s">
        <v>1150</v>
      </c>
      <c r="G4" s="33" t="s">
        <v>1256</v>
      </c>
      <c r="H4" s="33" t="s">
        <v>4106</v>
      </c>
      <c r="I4" s="33" t="s">
        <v>2350</v>
      </c>
      <c r="J4" s="33" t="s">
        <v>4107</v>
      </c>
      <c r="K4" s="33" t="s">
        <v>4108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3" t="s">
        <v>2287</v>
      </c>
      <c r="B5" s="33" t="s">
        <v>1785</v>
      </c>
      <c r="C5" s="33" t="s">
        <v>4109</v>
      </c>
      <c r="D5" s="33" t="s">
        <v>4110</v>
      </c>
      <c r="E5" s="33" t="s">
        <v>751</v>
      </c>
      <c r="F5" s="33" t="s">
        <v>4111</v>
      </c>
      <c r="G5" s="33" t="s">
        <v>1260</v>
      </c>
      <c r="H5" s="33" t="s">
        <v>4112</v>
      </c>
      <c r="I5" s="33" t="s">
        <v>4113</v>
      </c>
      <c r="J5" s="33" t="s">
        <v>4114</v>
      </c>
      <c r="K5" s="33" t="s">
        <v>4115</v>
      </c>
      <c r="L5" s="34"/>
      <c r="M5" s="34">
        <f>8+15+12+15+17+14+7+15+12+13+10</f>
        <v>138</v>
      </c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3" t="s">
        <v>4116</v>
      </c>
      <c r="B6" s="33" t="s">
        <v>4117</v>
      </c>
      <c r="C6" s="26" t="s">
        <v>4118</v>
      </c>
      <c r="D6" s="33" t="s">
        <v>4119</v>
      </c>
      <c r="E6" s="33" t="s">
        <v>4120</v>
      </c>
      <c r="F6" s="33" t="s">
        <v>4121</v>
      </c>
      <c r="G6" s="33" t="s">
        <v>4122</v>
      </c>
      <c r="H6" s="26" t="s">
        <v>1874</v>
      </c>
      <c r="I6" s="33" t="s">
        <v>4123</v>
      </c>
      <c r="J6" s="33" t="s">
        <v>4124</v>
      </c>
      <c r="K6" s="33" t="s">
        <v>4125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3" t="s">
        <v>4126</v>
      </c>
      <c r="B7" s="33" t="s">
        <v>4127</v>
      </c>
      <c r="C7" s="33" t="s">
        <v>4128</v>
      </c>
      <c r="D7" s="33" t="s">
        <v>4129</v>
      </c>
      <c r="E7" s="33" t="s">
        <v>4130</v>
      </c>
      <c r="F7" s="33" t="s">
        <v>4131</v>
      </c>
      <c r="G7" s="33" t="s">
        <v>1334</v>
      </c>
      <c r="H7" s="26" t="s">
        <v>4132</v>
      </c>
      <c r="I7" s="33" t="s">
        <v>4133</v>
      </c>
      <c r="J7" s="33" t="s">
        <v>2771</v>
      </c>
      <c r="K7" s="33" t="s">
        <v>4134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3" t="s">
        <v>4135</v>
      </c>
      <c r="B8" s="33" t="s">
        <v>3577</v>
      </c>
      <c r="C8" s="33" t="s">
        <v>4136</v>
      </c>
      <c r="D8" s="33" t="s">
        <v>4137</v>
      </c>
      <c r="E8" s="33" t="s">
        <v>4138</v>
      </c>
      <c r="F8" s="33" t="s">
        <v>4139</v>
      </c>
      <c r="G8" s="33" t="s">
        <v>4140</v>
      </c>
      <c r="H8" s="26" t="s">
        <v>4141</v>
      </c>
      <c r="I8" s="33" t="s">
        <v>2358</v>
      </c>
      <c r="J8" s="33" t="s">
        <v>4142</v>
      </c>
      <c r="K8" s="33" t="s">
        <v>4143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3" t="s">
        <v>4144</v>
      </c>
      <c r="B9" s="33" t="s">
        <v>3581</v>
      </c>
      <c r="C9" s="33" t="s">
        <v>4145</v>
      </c>
      <c r="D9" s="33" t="s">
        <v>4146</v>
      </c>
      <c r="E9" s="33" t="s">
        <v>4147</v>
      </c>
      <c r="F9" s="33" t="s">
        <v>953</v>
      </c>
      <c r="G9" s="33" t="s">
        <v>4148</v>
      </c>
      <c r="H9" s="26" t="s">
        <v>4149</v>
      </c>
      <c r="I9" s="33" t="s">
        <v>4150</v>
      </c>
      <c r="J9" s="33" t="s">
        <v>4151</v>
      </c>
      <c r="K9" s="33" t="s">
        <v>4152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3" t="s">
        <v>4153</v>
      </c>
      <c r="B10" s="33" t="s">
        <v>4154</v>
      </c>
      <c r="C10" s="33" t="s">
        <v>4155</v>
      </c>
      <c r="D10" s="33" t="s">
        <v>4156</v>
      </c>
      <c r="E10" s="33" t="s">
        <v>4157</v>
      </c>
      <c r="F10" s="33" t="s">
        <v>4158</v>
      </c>
      <c r="G10" s="34"/>
      <c r="H10" s="26" t="s">
        <v>4159</v>
      </c>
      <c r="I10" s="33" t="s">
        <v>2276</v>
      </c>
      <c r="J10" s="33" t="s">
        <v>4160</v>
      </c>
      <c r="K10" s="33" t="s">
        <v>4161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4"/>
      <c r="B11" s="33" t="s">
        <v>4162</v>
      </c>
      <c r="C11" s="33" t="s">
        <v>4163</v>
      </c>
      <c r="D11" s="33" t="s">
        <v>4164</v>
      </c>
      <c r="E11" s="33" t="s">
        <v>4165</v>
      </c>
      <c r="F11" s="33" t="s">
        <v>4166</v>
      </c>
      <c r="G11" s="34"/>
      <c r="H11" s="33" t="s">
        <v>4167</v>
      </c>
      <c r="I11" s="33" t="s">
        <v>4168</v>
      </c>
      <c r="J11" s="33" t="s">
        <v>4169</v>
      </c>
      <c r="K11" s="33" t="s">
        <v>4170</v>
      </c>
      <c r="L11" s="33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>
      <c r="B12" s="26" t="s">
        <v>4171</v>
      </c>
      <c r="C12" s="26" t="s">
        <v>4172</v>
      </c>
      <c r="D12" s="26" t="s">
        <v>3553</v>
      </c>
      <c r="E12" s="26" t="s">
        <v>4173</v>
      </c>
      <c r="F12" s="26" t="s">
        <v>4174</v>
      </c>
      <c r="H12" s="33" t="s">
        <v>4175</v>
      </c>
      <c r="I12" s="33" t="s">
        <v>4176</v>
      </c>
      <c r="J12" s="33" t="s">
        <v>4177</v>
      </c>
      <c r="K12" s="33" t="s">
        <v>4178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B13" s="26" t="s">
        <v>4179</v>
      </c>
      <c r="C13" s="26" t="s">
        <v>4180</v>
      </c>
      <c r="D13" s="26" t="s">
        <v>3800</v>
      </c>
      <c r="E13" s="26" t="s">
        <v>4181</v>
      </c>
      <c r="F13" s="26" t="s">
        <v>4182</v>
      </c>
      <c r="H13" s="33" t="s">
        <v>4183</v>
      </c>
      <c r="I13" s="33" t="s">
        <v>4184</v>
      </c>
      <c r="J13" s="33" t="s">
        <v>4185</v>
      </c>
      <c r="K13" s="34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B14" s="26" t="s">
        <v>4186</v>
      </c>
      <c r="C14" s="26" t="s">
        <v>4187</v>
      </c>
      <c r="D14" s="26" t="s">
        <v>3802</v>
      </c>
      <c r="E14" s="26" t="s">
        <v>4188</v>
      </c>
      <c r="F14" s="26" t="s">
        <v>4189</v>
      </c>
      <c r="H14" s="33" t="s">
        <v>4190</v>
      </c>
      <c r="I14" s="33" t="s">
        <v>4191</v>
      </c>
      <c r="J14" s="33" t="s">
        <v>4192</v>
      </c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B15" s="26" t="s">
        <v>4193</v>
      </c>
      <c r="D15" s="26" t="s">
        <v>4194</v>
      </c>
      <c r="E15" s="26" t="s">
        <v>4195</v>
      </c>
      <c r="F15" s="26" t="s">
        <v>4196</v>
      </c>
      <c r="H15" s="33" t="s">
        <v>4197</v>
      </c>
      <c r="I15" s="34"/>
      <c r="J15" s="33" t="s">
        <v>4198</v>
      </c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B16" s="26" t="s">
        <v>4199</v>
      </c>
      <c r="D16" s="26" t="s">
        <v>4200</v>
      </c>
      <c r="E16" s="26" t="s">
        <v>4201</v>
      </c>
      <c r="F16" s="26" t="s">
        <v>4202</v>
      </c>
      <c r="H16" s="26" t="s">
        <v>4203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4"/>
      <c r="B17" s="33" t="s">
        <v>4204</v>
      </c>
      <c r="C17" s="34"/>
      <c r="D17" s="33" t="s">
        <v>4205</v>
      </c>
      <c r="E17" s="33" t="s">
        <v>4206</v>
      </c>
      <c r="F17" s="34"/>
      <c r="G17" s="34"/>
      <c r="H17" s="26" t="s">
        <v>4207</v>
      </c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4"/>
      <c r="B18" s="34"/>
      <c r="C18" s="34"/>
      <c r="D18" s="34"/>
      <c r="E18" s="33" t="s">
        <v>4208</v>
      </c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4"/>
      <c r="B19" s="34"/>
      <c r="C19" s="34"/>
      <c r="D19" s="34"/>
      <c r="E19" s="33" t="s">
        <v>4209</v>
      </c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21" t="s">
        <v>4210</v>
      </c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>
      <c r="A21" s="38" t="s">
        <v>457</v>
      </c>
      <c r="B21" s="38" t="s">
        <v>169</v>
      </c>
      <c r="C21" s="38" t="s">
        <v>458</v>
      </c>
      <c r="D21" s="38" t="s">
        <v>459</v>
      </c>
      <c r="E21" s="38" t="s">
        <v>164</v>
      </c>
      <c r="F21" s="38" t="s">
        <v>460</v>
      </c>
      <c r="G21" s="38" t="s">
        <v>157</v>
      </c>
      <c r="H21" s="38" t="s">
        <v>461</v>
      </c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>
      <c r="A22" s="161" t="s">
        <v>4211</v>
      </c>
      <c r="B22" s="161" t="s">
        <v>4212</v>
      </c>
      <c r="C22" s="161" t="s">
        <v>4212</v>
      </c>
      <c r="D22" s="161" t="s">
        <v>4212</v>
      </c>
      <c r="E22" s="161" t="s">
        <v>4212</v>
      </c>
      <c r="F22" s="161" t="s">
        <v>4212</v>
      </c>
      <c r="G22" s="161" t="s">
        <v>4212</v>
      </c>
      <c r="H22" s="161" t="s">
        <v>4212</v>
      </c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>
      <c r="A23" s="26" t="s">
        <v>4213</v>
      </c>
      <c r="B23" s="26" t="s">
        <v>4214</v>
      </c>
      <c r="C23" s="26" t="s">
        <v>4215</v>
      </c>
      <c r="D23" s="26" t="s">
        <v>4216</v>
      </c>
      <c r="E23" s="26" t="s">
        <v>4217</v>
      </c>
      <c r="F23" s="26" t="s">
        <v>4218</v>
      </c>
      <c r="G23" s="33" t="s">
        <v>4219</v>
      </c>
      <c r="H23" s="33" t="s">
        <v>4220</v>
      </c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>
      <c r="A24" s="33" t="s">
        <v>4221</v>
      </c>
      <c r="B24" s="33" t="s">
        <v>4222</v>
      </c>
      <c r="C24" s="33" t="s">
        <v>4223</v>
      </c>
      <c r="D24" s="33" t="s">
        <v>4224</v>
      </c>
      <c r="E24" s="33" t="s">
        <v>4225</v>
      </c>
      <c r="F24" s="33" t="s">
        <v>4226</v>
      </c>
      <c r="G24" s="33" t="s">
        <v>4227</v>
      </c>
      <c r="H24" s="33" t="s">
        <v>4228</v>
      </c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>
      <c r="A25" s="33" t="s">
        <v>4229</v>
      </c>
      <c r="B25" s="33" t="s">
        <v>4230</v>
      </c>
      <c r="C25" s="33" t="s">
        <v>4231</v>
      </c>
      <c r="D25" s="33" t="s">
        <v>4232</v>
      </c>
      <c r="E25" s="33" t="s">
        <v>4233</v>
      </c>
      <c r="F25" s="33" t="s">
        <v>4234</v>
      </c>
      <c r="G25" s="33" t="s">
        <v>4235</v>
      </c>
      <c r="H25" s="33" t="s">
        <v>4236</v>
      </c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>
      <c r="A26" s="26" t="s">
        <v>4237</v>
      </c>
      <c r="B26" s="26" t="s">
        <v>4238</v>
      </c>
      <c r="C26" s="33" t="s">
        <v>4239</v>
      </c>
      <c r="D26" s="33" t="s">
        <v>4240</v>
      </c>
      <c r="E26" s="33" t="s">
        <v>4241</v>
      </c>
      <c r="F26" s="33" t="s">
        <v>4242</v>
      </c>
      <c r="G26" s="33" t="s">
        <v>4243</v>
      </c>
      <c r="H26" s="33" t="s">
        <v>4244</v>
      </c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>
      <c r="A27" s="26" t="s">
        <v>4245</v>
      </c>
      <c r="B27" s="26" t="s">
        <v>4246</v>
      </c>
      <c r="C27" s="26" t="s">
        <v>4247</v>
      </c>
      <c r="D27" s="26" t="s">
        <v>4248</v>
      </c>
      <c r="E27" s="26" t="s">
        <v>4249</v>
      </c>
      <c r="F27" s="26" t="s">
        <v>4250</v>
      </c>
      <c r="G27" s="26" t="s">
        <v>4251</v>
      </c>
      <c r="H27" s="26" t="s">
        <v>4252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>
      <c r="A28" s="26" t="s">
        <v>4253</v>
      </c>
      <c r="B28" s="26" t="s">
        <v>4254</v>
      </c>
      <c r="C28" s="26" t="s">
        <v>4255</v>
      </c>
      <c r="D28" s="26" t="s">
        <v>4256</v>
      </c>
      <c r="E28" s="26" t="s">
        <v>4257</v>
      </c>
      <c r="F28" s="26" t="s">
        <v>4258</v>
      </c>
      <c r="G28" s="26" t="s">
        <v>4259</v>
      </c>
      <c r="H28" s="26" t="s">
        <v>4260</v>
      </c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>
      <c r="A29" s="26" t="s">
        <v>4261</v>
      </c>
      <c r="B29" s="26" t="s">
        <v>4262</v>
      </c>
      <c r="C29" s="26" t="s">
        <v>4263</v>
      </c>
      <c r="D29" s="26" t="s">
        <v>4264</v>
      </c>
      <c r="E29" s="26" t="s">
        <v>4265</v>
      </c>
      <c r="F29" s="26" t="s">
        <v>4266</v>
      </c>
      <c r="G29" s="26" t="s">
        <v>4267</v>
      </c>
      <c r="H29" s="26" t="s">
        <v>4268</v>
      </c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>
      <c r="A30" s="26" t="s">
        <v>4269</v>
      </c>
      <c r="B30" s="26" t="s">
        <v>4270</v>
      </c>
      <c r="C30" s="33" t="s">
        <v>4271</v>
      </c>
      <c r="D30" s="33" t="s">
        <v>4272</v>
      </c>
      <c r="E30" s="33" t="s">
        <v>4273</v>
      </c>
      <c r="F30" s="33" t="s">
        <v>4274</v>
      </c>
      <c r="G30" s="33" t="s">
        <v>4275</v>
      </c>
      <c r="H30" s="33" t="s">
        <v>4276</v>
      </c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>
      <c r="A31" s="26" t="s">
        <v>4277</v>
      </c>
      <c r="B31" s="26" t="s">
        <v>4278</v>
      </c>
      <c r="C31" s="33" t="s">
        <v>4279</v>
      </c>
      <c r="D31" s="33" t="s">
        <v>4280</v>
      </c>
      <c r="E31" s="33" t="s">
        <v>4281</v>
      </c>
      <c r="F31" s="33" t="s">
        <v>4282</v>
      </c>
      <c r="G31" s="33" t="s">
        <v>4283</v>
      </c>
      <c r="H31" s="33" t="s">
        <v>4284</v>
      </c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>
      <c r="A32" s="26" t="s">
        <v>4285</v>
      </c>
      <c r="B32" s="26" t="s">
        <v>4286</v>
      </c>
      <c r="C32" s="26" t="s">
        <v>4287</v>
      </c>
      <c r="D32" s="33" t="s">
        <v>4288</v>
      </c>
      <c r="E32" s="26" t="s">
        <v>4289</v>
      </c>
      <c r="F32" s="33" t="s">
        <v>4290</v>
      </c>
      <c r="G32" s="33" t="s">
        <v>4291</v>
      </c>
      <c r="H32" s="33" t="s">
        <v>4292</v>
      </c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>
      <c r="A33" s="26" t="s">
        <v>4293</v>
      </c>
      <c r="B33" s="26" t="s">
        <v>4294</v>
      </c>
      <c r="C33" s="26" t="s">
        <v>4295</v>
      </c>
      <c r="D33" s="33" t="s">
        <v>4296</v>
      </c>
      <c r="E33" s="26" t="s">
        <v>4297</v>
      </c>
      <c r="F33" s="33" t="s">
        <v>4298</v>
      </c>
      <c r="G33" s="33" t="s">
        <v>4299</v>
      </c>
      <c r="H33" s="26" t="s">
        <v>4300</v>
      </c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>
      <c r="A34" s="26" t="s">
        <v>4301</v>
      </c>
      <c r="B34" s="26" t="s">
        <v>4302</v>
      </c>
      <c r="C34" s="26" t="s">
        <v>4303</v>
      </c>
      <c r="D34" s="33" t="s">
        <v>4304</v>
      </c>
      <c r="E34" s="26" t="s">
        <v>4305</v>
      </c>
      <c r="F34" s="26" t="s">
        <v>4306</v>
      </c>
      <c r="G34" s="33" t="s">
        <v>4307</v>
      </c>
      <c r="H34" s="33" t="s">
        <v>4308</v>
      </c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>
      <c r="A35" s="26" t="s">
        <v>4309</v>
      </c>
      <c r="B35" s="26" t="s">
        <v>4310</v>
      </c>
      <c r="C35" s="26" t="s">
        <v>4311</v>
      </c>
      <c r="D35" s="26" t="s">
        <v>4312</v>
      </c>
      <c r="E35" s="33" t="s">
        <v>4313</v>
      </c>
      <c r="F35" s="26" t="s">
        <v>4314</v>
      </c>
      <c r="G35" s="26" t="s">
        <v>4315</v>
      </c>
      <c r="H35" s="26" t="s">
        <v>4316</v>
      </c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>
      <c r="A36" s="26" t="s">
        <v>4317</v>
      </c>
      <c r="B36" s="26" t="s">
        <v>4318</v>
      </c>
      <c r="C36" s="26" t="s">
        <v>4319</v>
      </c>
      <c r="D36" s="26" t="s">
        <v>4320</v>
      </c>
      <c r="E36" s="26" t="s">
        <v>4321</v>
      </c>
      <c r="F36" s="33" t="s">
        <v>4322</v>
      </c>
      <c r="G36" s="26" t="s">
        <v>4323</v>
      </c>
      <c r="H36" s="26" t="s">
        <v>4324</v>
      </c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26" t="s">
        <v>4325</v>
      </c>
      <c r="B37" s="26" t="s">
        <v>4326</v>
      </c>
      <c r="C37" s="26" t="s">
        <v>4327</v>
      </c>
      <c r="D37" s="26" t="s">
        <v>4328</v>
      </c>
      <c r="E37" s="26" t="s">
        <v>4329</v>
      </c>
      <c r="F37" s="26" t="s">
        <v>4330</v>
      </c>
      <c r="G37" s="26" t="s">
        <v>4331</v>
      </c>
      <c r="H37" s="26" t="s">
        <v>4332</v>
      </c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>
      <c r="A38" s="26" t="s">
        <v>4333</v>
      </c>
      <c r="B38" s="26" t="s">
        <v>4334</v>
      </c>
      <c r="C38" s="26" t="s">
        <v>4335</v>
      </c>
      <c r="D38" s="26" t="s">
        <v>4336</v>
      </c>
      <c r="E38" s="26" t="s">
        <v>4337</v>
      </c>
      <c r="F38" s="26" t="s">
        <v>4338</v>
      </c>
      <c r="G38" s="26" t="s">
        <v>4339</v>
      </c>
      <c r="H38" s="26" t="s">
        <v>4340</v>
      </c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>
      <c r="A39" s="26" t="s">
        <v>4341</v>
      </c>
      <c r="C39" s="26" t="s">
        <v>4342</v>
      </c>
      <c r="D39" s="26" t="s">
        <v>4343</v>
      </c>
      <c r="F39" s="26" t="s">
        <v>4344</v>
      </c>
      <c r="G39" s="26" t="s">
        <v>4345</v>
      </c>
      <c r="H39" s="26" t="s">
        <v>4346</v>
      </c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>
      <c r="A40" s="26" t="s">
        <v>4347</v>
      </c>
      <c r="C40" s="26" t="s">
        <v>4348</v>
      </c>
      <c r="G40" s="26" t="s">
        <v>4349</v>
      </c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>
      <c r="E42" s="33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>
      <c r="A44" s="181" t="s">
        <v>3683</v>
      </c>
      <c r="I44" s="5"/>
      <c r="J44" s="5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>
      <c r="A45" s="182" t="s">
        <v>2793</v>
      </c>
      <c r="B45" s="182" t="s">
        <v>3368</v>
      </c>
      <c r="C45" s="110" t="s">
        <v>3369</v>
      </c>
      <c r="D45" s="182" t="s">
        <v>2794</v>
      </c>
      <c r="E45" s="182" t="s">
        <v>3684</v>
      </c>
      <c r="F45" s="182" t="s">
        <v>3154</v>
      </c>
      <c r="G45" s="182" t="s">
        <v>120</v>
      </c>
      <c r="H45" s="182" t="s">
        <v>115</v>
      </c>
      <c r="I45" s="5"/>
      <c r="J45" s="5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>
      <c r="A46" s="4" t="s">
        <v>4350</v>
      </c>
      <c r="B46" s="4" t="s">
        <v>4351</v>
      </c>
      <c r="C46" s="4" t="s">
        <v>4352</v>
      </c>
      <c r="D46" s="4" t="s">
        <v>157</v>
      </c>
      <c r="E46" s="4" t="s">
        <v>4353</v>
      </c>
      <c r="F46" s="4" t="s">
        <v>4354</v>
      </c>
      <c r="G46" s="4" t="s">
        <v>4354</v>
      </c>
      <c r="H46" s="4" t="s">
        <v>4355</v>
      </c>
      <c r="I46" s="5"/>
      <c r="J46" s="5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>
      <c r="A47" s="4" t="s">
        <v>4356</v>
      </c>
      <c r="B47" s="4" t="s">
        <v>4351</v>
      </c>
      <c r="C47" s="4" t="s">
        <v>4357</v>
      </c>
      <c r="D47" s="4" t="s">
        <v>459</v>
      </c>
      <c r="E47" s="4" t="s">
        <v>4358</v>
      </c>
      <c r="F47" s="4" t="s">
        <v>4359</v>
      </c>
      <c r="G47" s="4" t="s">
        <v>4360</v>
      </c>
      <c r="H47" s="4" t="s">
        <v>4359</v>
      </c>
      <c r="I47" s="5"/>
      <c r="J47" s="5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>
      <c r="A48" s="4" t="s">
        <v>4361</v>
      </c>
      <c r="B48" s="4" t="s">
        <v>4362</v>
      </c>
      <c r="C48" s="4" t="s">
        <v>4363</v>
      </c>
      <c r="D48" s="4" t="s">
        <v>460</v>
      </c>
      <c r="E48" s="4" t="s">
        <v>4358</v>
      </c>
      <c r="F48" s="4" t="s">
        <v>4364</v>
      </c>
      <c r="G48" s="4" t="s">
        <v>4365</v>
      </c>
      <c r="H48" s="4" t="s">
        <v>4364</v>
      </c>
      <c r="I48" s="5"/>
      <c r="J48" s="5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>
      <c r="A49" s="4" t="s">
        <v>4366</v>
      </c>
      <c r="B49" s="4" t="s">
        <v>4362</v>
      </c>
      <c r="C49" s="4" t="s">
        <v>4367</v>
      </c>
      <c r="D49" s="4" t="s">
        <v>458</v>
      </c>
      <c r="E49" s="4" t="s">
        <v>4353</v>
      </c>
      <c r="F49" s="4" t="s">
        <v>4368</v>
      </c>
      <c r="G49" s="4" t="s">
        <v>4369</v>
      </c>
      <c r="H49" s="4" t="s">
        <v>4370</v>
      </c>
      <c r="I49" s="5"/>
      <c r="J49" s="5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>
      <c r="A50" s="4" t="s">
        <v>4371</v>
      </c>
      <c r="B50" s="4" t="s">
        <v>4372</v>
      </c>
      <c r="C50" s="4" t="s">
        <v>4373</v>
      </c>
      <c r="D50" s="4" t="s">
        <v>157</v>
      </c>
      <c r="E50" s="4" t="s">
        <v>4374</v>
      </c>
      <c r="F50" s="4" t="s">
        <v>4375</v>
      </c>
      <c r="G50" s="4" t="s">
        <v>4354</v>
      </c>
      <c r="H50" s="4" t="s">
        <v>4375</v>
      </c>
      <c r="I50" s="5"/>
      <c r="J50" s="5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>
      <c r="A51" s="4" t="s">
        <v>4376</v>
      </c>
      <c r="B51" s="4" t="s">
        <v>4372</v>
      </c>
      <c r="C51" s="4" t="s">
        <v>4367</v>
      </c>
      <c r="D51" s="4" t="s">
        <v>461</v>
      </c>
      <c r="E51" s="4" t="s">
        <v>4377</v>
      </c>
      <c r="F51" s="4" t="s">
        <v>4378</v>
      </c>
      <c r="G51" s="4" t="s">
        <v>4378</v>
      </c>
      <c r="H51" s="4" t="s">
        <v>4365</v>
      </c>
      <c r="I51" s="5"/>
      <c r="J51" s="5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4" t="s">
        <v>4379</v>
      </c>
      <c r="B52" s="4" t="s">
        <v>4380</v>
      </c>
      <c r="C52" s="4" t="s">
        <v>4381</v>
      </c>
      <c r="D52" s="4" t="s">
        <v>457</v>
      </c>
      <c r="E52" s="4" t="s">
        <v>4374</v>
      </c>
      <c r="F52" s="4" t="s">
        <v>4382</v>
      </c>
      <c r="G52" s="4" t="s">
        <v>4383</v>
      </c>
      <c r="H52" s="4" t="s">
        <v>4384</v>
      </c>
      <c r="I52" s="5"/>
      <c r="J52" s="5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4" t="s">
        <v>4385</v>
      </c>
      <c r="B53" s="4" t="s">
        <v>4380</v>
      </c>
      <c r="C53" s="4" t="s">
        <v>4386</v>
      </c>
      <c r="D53" s="4" t="s">
        <v>164</v>
      </c>
      <c r="E53" s="4" t="s">
        <v>4387</v>
      </c>
      <c r="F53" s="4" t="s">
        <v>4388</v>
      </c>
      <c r="G53" s="4" t="s">
        <v>4388</v>
      </c>
      <c r="H53" s="4" t="s">
        <v>4389</v>
      </c>
      <c r="I53" s="5"/>
      <c r="J53" s="5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4" t="s">
        <v>4390</v>
      </c>
      <c r="B54" s="4" t="s">
        <v>4391</v>
      </c>
      <c r="C54" s="4" t="s">
        <v>4352</v>
      </c>
      <c r="D54" s="4" t="s">
        <v>157</v>
      </c>
      <c r="E54" s="4" t="s">
        <v>4392</v>
      </c>
      <c r="F54" s="4" t="s">
        <v>4354</v>
      </c>
      <c r="G54" s="4" t="s">
        <v>4393</v>
      </c>
      <c r="H54" s="4" t="s">
        <v>4394</v>
      </c>
      <c r="I54" s="5"/>
      <c r="J54" s="5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4" t="s">
        <v>4395</v>
      </c>
      <c r="B55" s="4" t="s">
        <v>4391</v>
      </c>
      <c r="C55" s="4" t="s">
        <v>4363</v>
      </c>
      <c r="D55" s="4" t="s">
        <v>459</v>
      </c>
      <c r="E55" s="4" t="s">
        <v>4358</v>
      </c>
      <c r="F55" s="4" t="s">
        <v>4396</v>
      </c>
      <c r="G55" s="4" t="s">
        <v>4397</v>
      </c>
      <c r="H55" s="4" t="s">
        <v>4396</v>
      </c>
      <c r="I55" s="5"/>
      <c r="J55" s="5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4" t="s">
        <v>4398</v>
      </c>
      <c r="B56" s="4" t="s">
        <v>4399</v>
      </c>
      <c r="C56" s="4" t="s">
        <v>4357</v>
      </c>
      <c r="D56" s="4" t="s">
        <v>164</v>
      </c>
      <c r="E56" s="4" t="s">
        <v>4374</v>
      </c>
      <c r="F56" s="4" t="s">
        <v>4400</v>
      </c>
      <c r="G56" s="4" t="s">
        <v>4401</v>
      </c>
      <c r="H56" s="4" t="s">
        <v>4402</v>
      </c>
      <c r="I56" s="5"/>
      <c r="J56" s="5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4" t="s">
        <v>4403</v>
      </c>
      <c r="B57" s="4" t="s">
        <v>4399</v>
      </c>
      <c r="C57" s="4" t="s">
        <v>4381</v>
      </c>
      <c r="D57" s="4" t="s">
        <v>460</v>
      </c>
      <c r="E57" s="4" t="s">
        <v>4377</v>
      </c>
      <c r="F57" s="4" t="s">
        <v>4364</v>
      </c>
      <c r="G57" s="4" t="s">
        <v>4404</v>
      </c>
      <c r="H57" s="4" t="s">
        <v>4405</v>
      </c>
      <c r="I57" s="5"/>
      <c r="J57" s="5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4" t="s">
        <v>4406</v>
      </c>
      <c r="B58" s="4" t="s">
        <v>4407</v>
      </c>
      <c r="C58" s="4" t="s">
        <v>4408</v>
      </c>
      <c r="D58" s="4" t="s">
        <v>157</v>
      </c>
      <c r="E58" s="4" t="s">
        <v>4409</v>
      </c>
      <c r="F58" s="4" t="s">
        <v>4410</v>
      </c>
      <c r="G58" s="4" t="s">
        <v>4411</v>
      </c>
      <c r="H58" s="4" t="s">
        <v>4375</v>
      </c>
      <c r="I58" s="5"/>
      <c r="J58" s="5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4" t="s">
        <v>4412</v>
      </c>
      <c r="B59" s="4" t="s">
        <v>4407</v>
      </c>
      <c r="C59" s="4" t="s">
        <v>4373</v>
      </c>
      <c r="D59" s="4" t="s">
        <v>460</v>
      </c>
      <c r="E59" s="4" t="s">
        <v>4358</v>
      </c>
      <c r="F59" s="4" t="s">
        <v>4413</v>
      </c>
      <c r="G59" s="4" t="s">
        <v>4413</v>
      </c>
      <c r="H59" s="4" t="s">
        <v>4414</v>
      </c>
      <c r="I59" s="5"/>
      <c r="J59" s="5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>
      <c r="A60" s="4" t="s">
        <v>4415</v>
      </c>
      <c r="B60" s="4" t="s">
        <v>4416</v>
      </c>
      <c r="C60" s="4" t="s">
        <v>4367</v>
      </c>
      <c r="D60" s="4" t="s">
        <v>169</v>
      </c>
      <c r="E60" s="4" t="s">
        <v>4377</v>
      </c>
      <c r="F60" s="4" t="s">
        <v>4417</v>
      </c>
      <c r="G60" s="4" t="s">
        <v>4418</v>
      </c>
      <c r="H60" s="4" t="s">
        <v>4417</v>
      </c>
      <c r="I60" s="5"/>
      <c r="J60" s="5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4" t="s">
        <v>4419</v>
      </c>
      <c r="B61" s="4" t="s">
        <v>4416</v>
      </c>
      <c r="C61" s="4" t="s">
        <v>4386</v>
      </c>
      <c r="D61" s="4" t="s">
        <v>461</v>
      </c>
      <c r="E61" s="4" t="s">
        <v>4420</v>
      </c>
      <c r="F61" s="4" t="s">
        <v>4421</v>
      </c>
      <c r="G61" s="4" t="s">
        <v>4422</v>
      </c>
      <c r="H61" s="4" t="s">
        <v>4423</v>
      </c>
      <c r="I61" s="5"/>
      <c r="J61" s="5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>
      <c r="A62" s="4" t="s">
        <v>4424</v>
      </c>
      <c r="B62" s="4" t="s">
        <v>4425</v>
      </c>
      <c r="C62" s="4" t="s">
        <v>4381</v>
      </c>
      <c r="D62" s="4" t="s">
        <v>169</v>
      </c>
      <c r="E62" s="4" t="s">
        <v>4377</v>
      </c>
      <c r="F62" s="4" t="s">
        <v>4417</v>
      </c>
      <c r="G62" s="4" t="s">
        <v>4417</v>
      </c>
      <c r="H62" s="4" t="s">
        <v>4405</v>
      </c>
      <c r="I62" s="5"/>
      <c r="J62" s="5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4" t="s">
        <v>4426</v>
      </c>
      <c r="B63" s="4" t="s">
        <v>4425</v>
      </c>
      <c r="C63" s="4" t="s">
        <v>4373</v>
      </c>
      <c r="D63" s="4" t="s">
        <v>460</v>
      </c>
      <c r="E63" s="4" t="s">
        <v>4374</v>
      </c>
      <c r="F63" s="4" t="s">
        <v>4404</v>
      </c>
      <c r="G63" s="4" t="s">
        <v>4413</v>
      </c>
      <c r="H63" s="4" t="s">
        <v>4404</v>
      </c>
      <c r="I63" s="5"/>
      <c r="J63" s="5"/>
      <c r="K63" s="34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4427</v>
      </c>
      <c r="B64" s="4" t="s">
        <v>4428</v>
      </c>
      <c r="C64" s="4" t="s">
        <v>4352</v>
      </c>
      <c r="D64" s="4" t="s">
        <v>164</v>
      </c>
      <c r="E64" s="4" t="s">
        <v>4429</v>
      </c>
      <c r="F64" s="4" t="s">
        <v>4430</v>
      </c>
      <c r="G64" s="4" t="s">
        <v>4431</v>
      </c>
      <c r="H64" s="4" t="s">
        <v>4370</v>
      </c>
      <c r="I64" s="5"/>
      <c r="J64" s="5"/>
      <c r="K64" s="34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4432</v>
      </c>
      <c r="B65" s="4" t="s">
        <v>4428</v>
      </c>
      <c r="C65" s="4" t="s">
        <v>4363</v>
      </c>
      <c r="D65" s="4" t="s">
        <v>461</v>
      </c>
      <c r="E65" s="4" t="s">
        <v>4409</v>
      </c>
      <c r="F65" s="4" t="s">
        <v>4433</v>
      </c>
      <c r="G65" s="4" t="s">
        <v>4434</v>
      </c>
      <c r="H65" s="4" t="s">
        <v>4402</v>
      </c>
      <c r="I65" s="5"/>
      <c r="J65" s="5"/>
      <c r="K65" s="34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4435</v>
      </c>
      <c r="B66" s="4" t="s">
        <v>4436</v>
      </c>
      <c r="C66" s="4" t="s">
        <v>4352</v>
      </c>
      <c r="D66" s="4" t="s">
        <v>157</v>
      </c>
      <c r="E66" s="4" t="s">
        <v>4437</v>
      </c>
      <c r="F66" s="4" t="s">
        <v>4438</v>
      </c>
      <c r="G66" s="4" t="s">
        <v>4438</v>
      </c>
      <c r="H66" s="4" t="s">
        <v>4439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4440</v>
      </c>
      <c r="B67" s="4" t="s">
        <v>4436</v>
      </c>
      <c r="C67" s="4" t="s">
        <v>4357</v>
      </c>
      <c r="D67" s="4" t="s">
        <v>458</v>
      </c>
      <c r="E67" s="4" t="s">
        <v>4441</v>
      </c>
      <c r="F67" s="4" t="s">
        <v>4442</v>
      </c>
      <c r="G67" s="4" t="s">
        <v>4443</v>
      </c>
      <c r="H67" s="4" t="s">
        <v>4442</v>
      </c>
      <c r="I67" s="5"/>
      <c r="J67" s="5"/>
      <c r="K67" s="34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4444</v>
      </c>
      <c r="B68" s="4" t="s">
        <v>4445</v>
      </c>
      <c r="C68" s="4" t="s">
        <v>4408</v>
      </c>
      <c r="D68" s="4" t="s">
        <v>459</v>
      </c>
      <c r="E68" s="4" t="s">
        <v>4437</v>
      </c>
      <c r="F68" s="4" t="s">
        <v>4446</v>
      </c>
      <c r="G68" s="4" t="s">
        <v>4447</v>
      </c>
      <c r="H68" s="4" t="s">
        <v>4446</v>
      </c>
      <c r="I68" s="5"/>
      <c r="J68" s="5"/>
      <c r="K68" s="34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4448</v>
      </c>
      <c r="B69" s="4" t="s">
        <v>4445</v>
      </c>
      <c r="C69" s="4" t="s">
        <v>4386</v>
      </c>
      <c r="D69" s="4" t="s">
        <v>164</v>
      </c>
      <c r="E69" s="4" t="s">
        <v>4377</v>
      </c>
      <c r="F69" s="4" t="s">
        <v>4449</v>
      </c>
      <c r="G69" s="4" t="s">
        <v>4449</v>
      </c>
      <c r="H69" s="4" t="s">
        <v>4078</v>
      </c>
      <c r="I69" s="5"/>
      <c r="J69" s="5"/>
      <c r="K69" s="34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4450</v>
      </c>
      <c r="B70" s="4" t="s">
        <v>3051</v>
      </c>
      <c r="C70" s="4" t="s">
        <v>4367</v>
      </c>
      <c r="D70" s="4" t="s">
        <v>458</v>
      </c>
      <c r="E70" s="4" t="s">
        <v>4451</v>
      </c>
      <c r="F70" s="4" t="s">
        <v>4442</v>
      </c>
      <c r="G70" s="4" t="s">
        <v>4452</v>
      </c>
      <c r="H70" s="4" t="s">
        <v>4453</v>
      </c>
      <c r="I70" s="5"/>
      <c r="J70" s="5"/>
      <c r="K70" s="34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4454</v>
      </c>
      <c r="B71" s="4" t="s">
        <v>3051</v>
      </c>
      <c r="C71" s="4" t="s">
        <v>4357</v>
      </c>
      <c r="D71" s="4" t="s">
        <v>157</v>
      </c>
      <c r="E71" s="4" t="s">
        <v>4455</v>
      </c>
      <c r="F71" s="4" t="s">
        <v>4354</v>
      </c>
      <c r="G71" s="4" t="s">
        <v>4354</v>
      </c>
      <c r="H71" s="4" t="s">
        <v>4375</v>
      </c>
      <c r="I71" s="5"/>
      <c r="J71" s="5"/>
      <c r="K71" s="34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4456</v>
      </c>
      <c r="B72" s="4" t="s">
        <v>4457</v>
      </c>
      <c r="C72" s="4" t="s">
        <v>4373</v>
      </c>
      <c r="D72" s="4" t="s">
        <v>164</v>
      </c>
      <c r="E72" s="4" t="s">
        <v>4387</v>
      </c>
      <c r="F72" s="4" t="s">
        <v>4430</v>
      </c>
      <c r="G72" s="4" t="s">
        <v>4458</v>
      </c>
      <c r="H72" s="4" t="s">
        <v>4430</v>
      </c>
      <c r="I72" s="5"/>
      <c r="J72" s="5"/>
      <c r="K72" s="34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4459</v>
      </c>
      <c r="B73" s="4" t="s">
        <v>4457</v>
      </c>
      <c r="C73" s="4" t="s">
        <v>4381</v>
      </c>
      <c r="D73" s="4" t="s">
        <v>169</v>
      </c>
      <c r="E73" s="4" t="s">
        <v>4437</v>
      </c>
      <c r="F73" s="4" t="s">
        <v>4460</v>
      </c>
      <c r="G73" s="4" t="s">
        <v>4461</v>
      </c>
      <c r="H73" s="4" t="s">
        <v>4462</v>
      </c>
      <c r="I73" s="5"/>
      <c r="J73" s="5"/>
      <c r="K73" s="34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4463</v>
      </c>
      <c r="B74" s="4" t="s">
        <v>3355</v>
      </c>
      <c r="C74" s="4" t="s">
        <v>4352</v>
      </c>
      <c r="D74" s="4" t="s">
        <v>157</v>
      </c>
      <c r="E74" s="4" t="s">
        <v>4464</v>
      </c>
      <c r="F74" s="4" t="s">
        <v>4465</v>
      </c>
      <c r="G74" s="4" t="s">
        <v>4465</v>
      </c>
      <c r="H74" s="4" t="s">
        <v>4375</v>
      </c>
      <c r="I74" s="5"/>
      <c r="J74" s="5"/>
      <c r="K74" s="34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4466</v>
      </c>
      <c r="B75" s="4" t="s">
        <v>3355</v>
      </c>
      <c r="C75" s="4" t="s">
        <v>4373</v>
      </c>
      <c r="D75" s="4" t="s">
        <v>459</v>
      </c>
      <c r="E75" s="4" t="s">
        <v>4358</v>
      </c>
      <c r="F75" s="4" t="s">
        <v>4453</v>
      </c>
      <c r="G75" s="4" t="s">
        <v>4404</v>
      </c>
      <c r="H75" s="4" t="s">
        <v>4453</v>
      </c>
      <c r="I75" s="5"/>
      <c r="J75" s="5"/>
      <c r="K75" s="34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4467</v>
      </c>
      <c r="B76" s="4" t="s">
        <v>4468</v>
      </c>
      <c r="C76" s="4" t="s">
        <v>4386</v>
      </c>
      <c r="D76" s="4" t="s">
        <v>164</v>
      </c>
      <c r="E76" s="4" t="s">
        <v>4377</v>
      </c>
      <c r="F76" s="4" t="s">
        <v>4430</v>
      </c>
      <c r="G76" s="4" t="s">
        <v>4430</v>
      </c>
      <c r="H76" s="4" t="s">
        <v>4370</v>
      </c>
      <c r="I76" s="5"/>
      <c r="J76" s="5"/>
      <c r="K76" s="34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4469</v>
      </c>
      <c r="B77" s="4" t="s">
        <v>4470</v>
      </c>
      <c r="C77" s="4" t="s">
        <v>4352</v>
      </c>
      <c r="D77" s="4" t="s">
        <v>157</v>
      </c>
      <c r="E77" s="4" t="s">
        <v>4358</v>
      </c>
      <c r="F77" s="4" t="s">
        <v>4354</v>
      </c>
      <c r="G77" s="4" t="s">
        <v>4354</v>
      </c>
      <c r="H77" s="4" t="s">
        <v>4370</v>
      </c>
      <c r="I77" s="5"/>
      <c r="J77" s="5"/>
      <c r="K77" s="34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34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8" t="s">
        <v>4471</v>
      </c>
      <c r="F79" s="5"/>
      <c r="G79" s="5"/>
      <c r="H79" s="5"/>
      <c r="I79" s="5"/>
      <c r="J79" s="5"/>
      <c r="K79" s="34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6" t="s">
        <v>92</v>
      </c>
      <c r="B80" s="106" t="s">
        <v>93</v>
      </c>
      <c r="C80" s="106" t="s">
        <v>94</v>
      </c>
      <c r="D80" s="106" t="s">
        <v>95</v>
      </c>
      <c r="E80" s="106" t="s">
        <v>2883</v>
      </c>
      <c r="F80" s="5"/>
      <c r="G80" s="5"/>
      <c r="H80" s="5"/>
      <c r="I80" s="5"/>
      <c r="J80" s="5"/>
      <c r="K80" s="34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155</v>
      </c>
      <c r="B81" s="4" t="s">
        <v>156</v>
      </c>
      <c r="C81" s="4" t="s">
        <v>157</v>
      </c>
      <c r="D81" s="4" t="s">
        <v>4</v>
      </c>
      <c r="E81" s="4">
        <v>10000.0</v>
      </c>
      <c r="F81" s="5"/>
      <c r="G81" s="5"/>
      <c r="H81" s="5"/>
      <c r="I81" s="5"/>
      <c r="J81" s="5"/>
      <c r="K81" s="34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110</v>
      </c>
      <c r="B82" s="4" t="s">
        <v>158</v>
      </c>
      <c r="C82" s="4" t="s">
        <v>157</v>
      </c>
      <c r="D82" s="4" t="s">
        <v>159</v>
      </c>
      <c r="E82" s="4">
        <v>10000.0</v>
      </c>
      <c r="F82" s="5"/>
      <c r="G82" s="5"/>
      <c r="H82" s="5"/>
      <c r="I82" s="5"/>
      <c r="J82" s="5"/>
      <c r="K82" s="34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162</v>
      </c>
      <c r="B83" s="4" t="s">
        <v>163</v>
      </c>
      <c r="C83" s="4" t="s">
        <v>164</v>
      </c>
      <c r="D83" s="4" t="s">
        <v>11</v>
      </c>
      <c r="E83" s="4">
        <v>20000.0</v>
      </c>
      <c r="F83" s="5"/>
      <c r="G83" s="5"/>
      <c r="H83" s="5"/>
      <c r="I83" s="5"/>
      <c r="J83" s="5"/>
      <c r="K83" s="34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166</v>
      </c>
      <c r="B84" s="4" t="s">
        <v>167</v>
      </c>
      <c r="C84" s="4" t="s">
        <v>157</v>
      </c>
      <c r="D84" s="4" t="s">
        <v>4</v>
      </c>
      <c r="E84" s="4">
        <v>20000.0</v>
      </c>
      <c r="F84" s="5"/>
      <c r="G84" s="5"/>
      <c r="H84" s="5"/>
      <c r="I84" s="5"/>
      <c r="J84" s="5"/>
      <c r="K84" s="34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124</v>
      </c>
      <c r="B85" s="4" t="s">
        <v>167</v>
      </c>
      <c r="C85" s="4" t="s">
        <v>157</v>
      </c>
      <c r="D85" s="4" t="s">
        <v>4</v>
      </c>
      <c r="E85" s="4">
        <v>40000.0</v>
      </c>
      <c r="F85" s="5"/>
      <c r="G85" s="5"/>
      <c r="H85" s="5"/>
      <c r="I85" s="5"/>
      <c r="J85" s="5"/>
      <c r="K85" s="34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150</v>
      </c>
      <c r="B86" s="4" t="s">
        <v>169</v>
      </c>
      <c r="E86" s="4">
        <v>50000.0</v>
      </c>
      <c r="F86" s="5"/>
      <c r="G86" s="5"/>
      <c r="H86" s="5"/>
      <c r="I86" s="34"/>
      <c r="J86" s="34"/>
      <c r="K86" s="34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151</v>
      </c>
      <c r="B87" s="4" t="s">
        <v>164</v>
      </c>
      <c r="E87" s="4">
        <v>100000.0</v>
      </c>
      <c r="F87" s="5"/>
      <c r="G87" s="5"/>
      <c r="H87" s="5"/>
      <c r="I87" s="34"/>
      <c r="J87" s="34"/>
      <c r="K87" s="34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130</v>
      </c>
      <c r="B88" s="4" t="s">
        <v>157</v>
      </c>
      <c r="E88" s="4">
        <v>200000.0</v>
      </c>
      <c r="F88" s="5"/>
      <c r="G88" s="5"/>
      <c r="H88" s="5"/>
      <c r="I88" s="34"/>
      <c r="J88" s="34"/>
      <c r="K88" s="34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34"/>
      <c r="J89" s="34"/>
      <c r="K89" s="34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34"/>
      <c r="J90" s="34"/>
      <c r="K90" s="34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34"/>
      <c r="J91" s="34"/>
      <c r="K91" s="34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34"/>
      <c r="J92" s="34"/>
      <c r="K92" s="34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34"/>
      <c r="J93" s="34"/>
      <c r="K93" s="34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34"/>
      <c r="J94" s="34"/>
      <c r="K94" s="34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34"/>
      <c r="J95" s="34"/>
      <c r="K95" s="34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C96" s="5"/>
      <c r="D96" s="5"/>
      <c r="E96" s="5"/>
      <c r="F96" s="5"/>
      <c r="G96" s="5"/>
      <c r="H96" s="5"/>
      <c r="I96" s="34"/>
      <c r="J96" s="34"/>
      <c r="K96" s="34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33"/>
      <c r="C97" s="5"/>
      <c r="D97" s="5"/>
      <c r="E97" s="5"/>
      <c r="F97" s="5"/>
      <c r="G97" s="5"/>
      <c r="H97" s="5"/>
      <c r="I97" s="34"/>
      <c r="J97" s="34"/>
      <c r="K97" s="34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33"/>
      <c r="C98" s="5"/>
      <c r="D98" s="5"/>
      <c r="E98" s="5"/>
      <c r="F98" s="5"/>
      <c r="G98" s="5"/>
      <c r="H98" s="5"/>
      <c r="I98" s="34"/>
      <c r="J98" s="34"/>
      <c r="K98" s="34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33"/>
      <c r="C99" s="5"/>
      <c r="D99" s="5"/>
      <c r="E99" s="5"/>
      <c r="F99" s="5"/>
      <c r="G99" s="5"/>
      <c r="H99" s="5"/>
      <c r="I99" s="34"/>
      <c r="J99" s="34"/>
      <c r="K99" s="34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33"/>
      <c r="C100" s="5"/>
      <c r="D100" s="5"/>
      <c r="E100" s="5"/>
      <c r="F100" s="5"/>
      <c r="G100" s="5"/>
      <c r="H100" s="5"/>
      <c r="I100" s="34"/>
      <c r="J100" s="34"/>
      <c r="K100" s="34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C101" s="5"/>
      <c r="D101" s="5"/>
      <c r="E101" s="5"/>
      <c r="F101" s="5"/>
      <c r="G101" s="5"/>
      <c r="H101" s="5"/>
      <c r="I101" s="34"/>
      <c r="J101" s="34"/>
      <c r="K101" s="34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C102" s="5"/>
      <c r="D102" s="5"/>
      <c r="E102" s="5"/>
      <c r="F102" s="5"/>
      <c r="G102" s="5"/>
      <c r="H102" s="5"/>
      <c r="I102" s="34"/>
      <c r="J102" s="34"/>
      <c r="K102" s="34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C103" s="5"/>
      <c r="D103" s="5"/>
      <c r="E103" s="5"/>
      <c r="F103" s="5"/>
      <c r="G103" s="5"/>
      <c r="H103" s="5"/>
      <c r="I103" s="34"/>
      <c r="J103" s="34"/>
      <c r="K103" s="34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33"/>
      <c r="C104" s="5"/>
      <c r="D104" s="5"/>
      <c r="E104" s="5"/>
      <c r="F104" s="5"/>
      <c r="G104" s="5"/>
      <c r="H104" s="5"/>
      <c r="I104" s="34"/>
      <c r="J104" s="34"/>
      <c r="K104" s="34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33"/>
      <c r="C105" s="5"/>
      <c r="D105" s="5"/>
      <c r="E105" s="5"/>
      <c r="F105" s="5"/>
      <c r="G105" s="5"/>
      <c r="H105" s="5"/>
      <c r="I105" s="34"/>
      <c r="J105" s="34"/>
      <c r="K105" s="34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33"/>
      <c r="C106" s="5"/>
      <c r="D106" s="5"/>
      <c r="E106" s="5"/>
      <c r="F106" s="5"/>
      <c r="G106" s="5"/>
      <c r="H106" s="5"/>
      <c r="I106" s="34"/>
      <c r="J106" s="34"/>
      <c r="K106" s="34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33"/>
      <c r="C107" s="5"/>
      <c r="D107" s="5"/>
      <c r="E107" s="5"/>
      <c r="F107" s="5"/>
      <c r="G107" s="5"/>
      <c r="H107" s="5"/>
      <c r="I107" s="34"/>
      <c r="J107" s="34"/>
      <c r="K107" s="34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33"/>
      <c r="C108" s="5"/>
      <c r="D108" s="5"/>
      <c r="E108" s="5"/>
      <c r="F108" s="5"/>
      <c r="G108" s="5"/>
      <c r="H108" s="5"/>
      <c r="I108" s="34"/>
      <c r="J108" s="34"/>
      <c r="K108" s="34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C109" s="5"/>
      <c r="D109" s="5"/>
      <c r="E109" s="5"/>
      <c r="F109" s="5"/>
      <c r="G109" s="5"/>
      <c r="H109" s="5"/>
      <c r="I109" s="34"/>
      <c r="J109" s="34"/>
      <c r="K109" s="34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C110" s="5"/>
      <c r="D110" s="5"/>
      <c r="E110" s="5"/>
      <c r="F110" s="5"/>
      <c r="G110" s="5"/>
      <c r="H110" s="5"/>
      <c r="I110" s="34"/>
      <c r="J110" s="34"/>
      <c r="K110" s="34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C111" s="5"/>
      <c r="D111" s="5"/>
      <c r="E111" s="5"/>
      <c r="F111" s="5"/>
      <c r="G111" s="5"/>
      <c r="H111" s="5"/>
      <c r="I111" s="34"/>
      <c r="J111" s="34"/>
      <c r="K111" s="34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C112" s="5"/>
      <c r="D112" s="5"/>
      <c r="E112" s="5"/>
      <c r="F112" s="5"/>
      <c r="G112" s="5"/>
      <c r="H112" s="5"/>
      <c r="I112" s="34"/>
      <c r="J112" s="34"/>
      <c r="K112" s="34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C113" s="5"/>
      <c r="D113" s="5"/>
      <c r="E113" s="5"/>
      <c r="F113" s="5"/>
      <c r="G113" s="5"/>
      <c r="H113" s="5"/>
      <c r="I113" s="34"/>
      <c r="J113" s="34"/>
      <c r="K113" s="34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C114" s="5"/>
      <c r="D114" s="5"/>
      <c r="E114" s="5"/>
      <c r="F114" s="5"/>
      <c r="G114" s="5"/>
      <c r="H114" s="5"/>
      <c r="I114" s="34"/>
      <c r="J114" s="34"/>
      <c r="K114" s="34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34"/>
      <c r="J115" s="34"/>
      <c r="K115" s="34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34"/>
      <c r="J116" s="34"/>
      <c r="K116" s="34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34"/>
      <c r="J117" s="34"/>
      <c r="K117" s="34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34"/>
      <c r="J118" s="34"/>
      <c r="K118" s="34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34"/>
      <c r="J119" s="34"/>
      <c r="K119" s="34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34"/>
      <c r="J120" s="34"/>
      <c r="K120" s="34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34"/>
      <c r="J121" s="34"/>
      <c r="K121" s="34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34"/>
      <c r="J122" s="34"/>
      <c r="K122" s="34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34"/>
      <c r="J123" s="34"/>
      <c r="K123" s="34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34"/>
      <c r="J124" s="34"/>
      <c r="K124" s="34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34"/>
      <c r="J125" s="34"/>
      <c r="K125" s="34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34"/>
      <c r="J126" s="34"/>
      <c r="K126" s="34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34"/>
      <c r="J127" s="34"/>
      <c r="K127" s="34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34"/>
      <c r="J128" s="34"/>
      <c r="K128" s="34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34"/>
      <c r="J129" s="34"/>
      <c r="K129" s="34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34"/>
      <c r="J130" s="34"/>
      <c r="K130" s="34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34"/>
      <c r="J131" s="34"/>
      <c r="K131" s="34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34"/>
      <c r="J132" s="34"/>
      <c r="K132" s="34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34"/>
      <c r="J133" s="34"/>
      <c r="K133" s="34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34"/>
      <c r="J134" s="34"/>
      <c r="K134" s="34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34"/>
      <c r="J135" s="34"/>
      <c r="K135" s="34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34"/>
      <c r="J136" s="34"/>
      <c r="K136" s="34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34"/>
      <c r="J137" s="34"/>
      <c r="K137" s="34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34"/>
      <c r="J138" s="34"/>
      <c r="K138" s="34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34"/>
      <c r="J139" s="34"/>
      <c r="K139" s="34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34"/>
      <c r="J140" s="34"/>
      <c r="K140" s="34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34"/>
      <c r="J141" s="34"/>
      <c r="K141" s="34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34"/>
      <c r="J142" s="34"/>
      <c r="K142" s="34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34"/>
      <c r="J143" s="34"/>
      <c r="K143" s="34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34"/>
      <c r="J144" s="34"/>
      <c r="K144" s="34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34"/>
      <c r="J145" s="34"/>
      <c r="K145" s="34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34"/>
      <c r="J146" s="34"/>
      <c r="K146" s="34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34"/>
      <c r="J147" s="34"/>
      <c r="K147" s="34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34"/>
      <c r="J148" s="34"/>
      <c r="K148" s="34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34"/>
      <c r="J149" s="34"/>
      <c r="K149" s="34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34"/>
      <c r="J150" s="34"/>
      <c r="K150" s="34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34"/>
      <c r="J151" s="34"/>
      <c r="K151" s="34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34"/>
      <c r="J152" s="34"/>
      <c r="K152" s="34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34"/>
      <c r="J153" s="34"/>
      <c r="K153" s="34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34"/>
      <c r="J154" s="34"/>
      <c r="K154" s="34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34"/>
      <c r="J155" s="34"/>
      <c r="K155" s="34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34"/>
      <c r="J156" s="34"/>
      <c r="K156" s="34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34"/>
      <c r="J157" s="34"/>
      <c r="K157" s="34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34"/>
      <c r="J158" s="34"/>
      <c r="K158" s="34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34"/>
      <c r="J159" s="34"/>
      <c r="K159" s="34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34"/>
      <c r="J160" s="34"/>
      <c r="K160" s="34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34"/>
      <c r="J161" s="34"/>
      <c r="K161" s="34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34"/>
      <c r="J162" s="34"/>
      <c r="K162" s="34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34"/>
      <c r="J163" s="34"/>
      <c r="K163" s="34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34"/>
      <c r="J164" s="34"/>
      <c r="K164" s="34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34"/>
      <c r="J165" s="34"/>
      <c r="K165" s="34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34"/>
      <c r="J166" s="34"/>
      <c r="K166" s="34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34"/>
      <c r="J167" s="34"/>
      <c r="K167" s="34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34"/>
      <c r="J168" s="34"/>
      <c r="K168" s="34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34"/>
      <c r="J169" s="34"/>
      <c r="K169" s="34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34"/>
      <c r="J170" s="34"/>
      <c r="K170" s="34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34"/>
      <c r="J171" s="34"/>
      <c r="K171" s="34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34"/>
      <c r="J172" s="34"/>
      <c r="K172" s="34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34"/>
      <c r="J173" s="34"/>
      <c r="K173" s="34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34"/>
      <c r="J174" s="34"/>
      <c r="K174" s="34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34"/>
      <c r="J175" s="34"/>
      <c r="K175" s="34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34"/>
      <c r="J176" s="34"/>
      <c r="K176" s="34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34"/>
      <c r="J177" s="34"/>
      <c r="K177" s="34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34"/>
      <c r="J178" s="34"/>
      <c r="K178" s="34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34"/>
      <c r="J179" s="34"/>
      <c r="K179" s="34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34"/>
      <c r="J180" s="34"/>
      <c r="K180" s="34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34"/>
      <c r="J181" s="34"/>
      <c r="K181" s="34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34"/>
      <c r="J182" s="34"/>
      <c r="K182" s="34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34"/>
      <c r="J183" s="34"/>
      <c r="K183" s="34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34"/>
      <c r="J184" s="34"/>
      <c r="K184" s="34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34"/>
      <c r="J185" s="34"/>
      <c r="K185" s="34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34"/>
      <c r="J186" s="34"/>
      <c r="K186" s="34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34"/>
      <c r="J187" s="34"/>
      <c r="K187" s="34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34"/>
      <c r="J188" s="34"/>
      <c r="K188" s="34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34"/>
      <c r="J189" s="34"/>
      <c r="K189" s="34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34"/>
      <c r="J190" s="34"/>
      <c r="K190" s="34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34"/>
      <c r="J191" s="34"/>
      <c r="K191" s="34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34"/>
      <c r="J192" s="34"/>
      <c r="K192" s="34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34"/>
      <c r="J193" s="34"/>
      <c r="K193" s="34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34"/>
      <c r="J194" s="34"/>
      <c r="K194" s="34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34"/>
      <c r="J195" s="34"/>
      <c r="K195" s="34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34"/>
      <c r="J196" s="34"/>
      <c r="K196" s="34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34"/>
      <c r="J197" s="34"/>
      <c r="K197" s="34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34"/>
      <c r="J198" s="34"/>
      <c r="K198" s="34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34"/>
      <c r="J199" s="34"/>
      <c r="K199" s="34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34"/>
      <c r="J200" s="34"/>
      <c r="K200" s="34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34"/>
      <c r="J201" s="34"/>
      <c r="K201" s="34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34"/>
      <c r="J202" s="34"/>
      <c r="K202" s="34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34"/>
      <c r="J203" s="34"/>
      <c r="K203" s="34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34"/>
      <c r="J204" s="34"/>
      <c r="K204" s="34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34"/>
      <c r="J205" s="34"/>
      <c r="K205" s="34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34"/>
      <c r="J206" s="34"/>
      <c r="K206" s="34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34"/>
      <c r="J207" s="34"/>
      <c r="K207" s="34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34"/>
      <c r="J208" s="34"/>
      <c r="K208" s="34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34"/>
      <c r="J209" s="34"/>
      <c r="K209" s="34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34"/>
      <c r="J210" s="34"/>
      <c r="K210" s="34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34"/>
      <c r="J211" s="34"/>
      <c r="K211" s="34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34"/>
      <c r="J212" s="34"/>
      <c r="K212" s="34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34"/>
      <c r="J213" s="34"/>
      <c r="K213" s="34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34"/>
      <c r="J214" s="34"/>
      <c r="K214" s="34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34"/>
      <c r="J215" s="34"/>
      <c r="K215" s="34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34"/>
      <c r="J216" s="34"/>
      <c r="K216" s="34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34"/>
      <c r="J217" s="34"/>
      <c r="K217" s="34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34"/>
      <c r="J218" s="34"/>
      <c r="K218" s="34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34"/>
      <c r="J219" s="34"/>
      <c r="K219" s="34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34"/>
      <c r="J220" s="34"/>
      <c r="K220" s="34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34"/>
      <c r="J221" s="34"/>
      <c r="K221" s="34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34"/>
      <c r="J222" s="34"/>
      <c r="K222" s="34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34"/>
      <c r="J223" s="34"/>
      <c r="K223" s="34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34"/>
      <c r="J224" s="34"/>
      <c r="K224" s="34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34"/>
      <c r="J225" s="34"/>
      <c r="K225" s="34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34"/>
      <c r="J226" s="34"/>
      <c r="K226" s="34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34"/>
      <c r="J227" s="34"/>
      <c r="K227" s="34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34"/>
      <c r="J228" s="34"/>
      <c r="K228" s="34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34"/>
      <c r="J229" s="34"/>
      <c r="K229" s="34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34"/>
      <c r="J230" s="34"/>
      <c r="K230" s="34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34"/>
      <c r="J231" s="34"/>
      <c r="K231" s="34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34"/>
      <c r="J232" s="34"/>
      <c r="K232" s="34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34"/>
      <c r="J233" s="34"/>
      <c r="K233" s="34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34"/>
      <c r="J234" s="34"/>
      <c r="K234" s="34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34"/>
      <c r="J235" s="34"/>
      <c r="K235" s="34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34"/>
      <c r="J236" s="34"/>
      <c r="K236" s="34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34"/>
      <c r="J237" s="34"/>
      <c r="K237" s="34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34"/>
      <c r="J238" s="34"/>
      <c r="K238" s="34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34"/>
      <c r="J239" s="34"/>
      <c r="K239" s="34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34"/>
      <c r="J240" s="34"/>
      <c r="K240" s="34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34"/>
      <c r="J241" s="34"/>
      <c r="K241" s="34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34"/>
      <c r="J242" s="34"/>
      <c r="K242" s="34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34"/>
      <c r="J243" s="34"/>
      <c r="K243" s="34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34"/>
      <c r="J244" s="34"/>
      <c r="K244" s="34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34"/>
      <c r="J245" s="34"/>
      <c r="K245" s="34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34"/>
      <c r="J246" s="34"/>
      <c r="K246" s="34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34"/>
      <c r="J247" s="34"/>
      <c r="K247" s="34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34"/>
      <c r="J248" s="34"/>
      <c r="K248" s="34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34"/>
      <c r="J249" s="34"/>
      <c r="K249" s="34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34"/>
      <c r="J250" s="34"/>
      <c r="K250" s="34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34"/>
      <c r="J251" s="34"/>
      <c r="K251" s="34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34"/>
      <c r="J252" s="34"/>
      <c r="K252" s="34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34"/>
      <c r="J253" s="34"/>
      <c r="K253" s="34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34"/>
      <c r="J254" s="34"/>
      <c r="K254" s="34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34"/>
      <c r="J255" s="34"/>
      <c r="K255" s="34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34"/>
      <c r="J256" s="34"/>
      <c r="K256" s="34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34"/>
      <c r="J257" s="34"/>
      <c r="K257" s="34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34"/>
      <c r="J258" s="34"/>
      <c r="K258" s="34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34"/>
      <c r="J259" s="34"/>
      <c r="K259" s="34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34"/>
      <c r="J260" s="34"/>
      <c r="K260" s="34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34"/>
      <c r="J261" s="34"/>
      <c r="K261" s="34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34"/>
      <c r="J262" s="34"/>
      <c r="K262" s="34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34"/>
      <c r="J263" s="34"/>
      <c r="K263" s="34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34"/>
      <c r="J264" s="34"/>
      <c r="K264" s="34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34"/>
      <c r="J265" s="34"/>
      <c r="K265" s="34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34"/>
      <c r="J266" s="34"/>
      <c r="K266" s="34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34"/>
      <c r="J267" s="34"/>
      <c r="K267" s="34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34"/>
      <c r="J268" s="34"/>
      <c r="K268" s="34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34"/>
      <c r="J269" s="34"/>
      <c r="K269" s="34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34"/>
      <c r="J270" s="34"/>
      <c r="K270" s="34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34"/>
      <c r="J271" s="34"/>
      <c r="K271" s="34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34"/>
      <c r="J272" s="34"/>
      <c r="K272" s="34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34"/>
      <c r="J273" s="34"/>
      <c r="K273" s="34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34"/>
      <c r="J274" s="34"/>
      <c r="K274" s="34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34"/>
      <c r="J275" s="34"/>
      <c r="K275" s="34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34"/>
      <c r="J276" s="34"/>
      <c r="K276" s="34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34"/>
      <c r="J277" s="34"/>
      <c r="K277" s="34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34"/>
      <c r="J278" s="34"/>
      <c r="K278" s="34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34"/>
      <c r="J279" s="34"/>
      <c r="K279" s="34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34"/>
      <c r="J280" s="34"/>
      <c r="K280" s="34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34"/>
      <c r="J281" s="34"/>
      <c r="K281" s="34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34"/>
      <c r="J282" s="34"/>
      <c r="K282" s="34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34"/>
      <c r="J283" s="34"/>
      <c r="K283" s="34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34"/>
      <c r="J284" s="34"/>
      <c r="K284" s="34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34"/>
      <c r="J285" s="34"/>
      <c r="K285" s="34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34"/>
      <c r="J286" s="34"/>
      <c r="K286" s="34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34"/>
      <c r="J287" s="34"/>
      <c r="K287" s="34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34"/>
      <c r="J288" s="34"/>
      <c r="K288" s="34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34"/>
      <c r="J289" s="34"/>
      <c r="K289" s="34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34"/>
      <c r="J290" s="34"/>
      <c r="K290" s="34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34"/>
      <c r="J291" s="34"/>
      <c r="K291" s="34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34"/>
      <c r="J292" s="34"/>
      <c r="K292" s="34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34"/>
      <c r="J293" s="34"/>
      <c r="K293" s="34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34"/>
      <c r="J294" s="34"/>
      <c r="K294" s="34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34"/>
      <c r="J295" s="34"/>
      <c r="K295" s="34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34"/>
      <c r="J296" s="34"/>
      <c r="K296" s="34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34"/>
      <c r="J297" s="34"/>
      <c r="K297" s="34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34"/>
      <c r="J298" s="34"/>
      <c r="K298" s="34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34"/>
      <c r="J299" s="34"/>
      <c r="K299" s="34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34"/>
      <c r="J300" s="34"/>
      <c r="K300" s="34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34"/>
      <c r="J301" s="34"/>
      <c r="K301" s="34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34"/>
      <c r="J302" s="34"/>
      <c r="K302" s="34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34"/>
      <c r="J303" s="34"/>
      <c r="K303" s="34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34"/>
      <c r="J304" s="34"/>
      <c r="K304" s="34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34"/>
      <c r="J305" s="34"/>
      <c r="K305" s="34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34"/>
      <c r="J306" s="34"/>
      <c r="K306" s="34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34"/>
      <c r="J307" s="34"/>
      <c r="K307" s="34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34"/>
      <c r="J308" s="34"/>
      <c r="K308" s="34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34"/>
      <c r="J309" s="34"/>
      <c r="K309" s="34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34"/>
      <c r="J310" s="34"/>
      <c r="K310" s="34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34"/>
      <c r="J311" s="34"/>
      <c r="K311" s="34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34"/>
      <c r="J312" s="34"/>
      <c r="K312" s="34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34"/>
      <c r="J313" s="34"/>
      <c r="K313" s="34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34"/>
      <c r="J314" s="34"/>
      <c r="K314" s="34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34"/>
      <c r="J315" s="34"/>
      <c r="K315" s="34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34"/>
      <c r="J316" s="34"/>
      <c r="K316" s="34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34"/>
      <c r="J317" s="34"/>
      <c r="K317" s="3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34"/>
      <c r="J318" s="34"/>
      <c r="K318" s="3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34"/>
      <c r="J319" s="34"/>
      <c r="K319" s="3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34"/>
      <c r="J320" s="34"/>
      <c r="K320" s="34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34"/>
      <c r="J321" s="34"/>
      <c r="K321" s="34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34"/>
      <c r="J322" s="34"/>
      <c r="K322" s="34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34"/>
      <c r="J323" s="34"/>
      <c r="K323" s="34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34"/>
      <c r="J324" s="34"/>
      <c r="K324" s="34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34"/>
      <c r="J325" s="34"/>
      <c r="K325" s="34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34"/>
      <c r="J326" s="34"/>
      <c r="K326" s="34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34"/>
      <c r="J327" s="34"/>
      <c r="K327" s="3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34"/>
      <c r="J328" s="34"/>
      <c r="K328" s="3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34"/>
      <c r="J329" s="34"/>
      <c r="K329" s="3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34"/>
      <c r="J330" s="34"/>
      <c r="K330" s="3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34"/>
      <c r="J331" s="34"/>
      <c r="K331" s="3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34"/>
      <c r="J332" s="34"/>
      <c r="K332" s="34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34"/>
      <c r="J333" s="34"/>
      <c r="K333" s="34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34"/>
      <c r="J334" s="34"/>
      <c r="K334" s="3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34"/>
      <c r="J335" s="34"/>
      <c r="K335" s="34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34"/>
      <c r="J336" s="34"/>
      <c r="K336" s="34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34"/>
      <c r="J337" s="34"/>
      <c r="K337" s="34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34"/>
      <c r="J338" s="34"/>
      <c r="K338" s="34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34"/>
      <c r="J339" s="34"/>
      <c r="K339" s="34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34"/>
      <c r="J340" s="34"/>
      <c r="K340" s="34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34"/>
      <c r="J341" s="34"/>
      <c r="K341" s="34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34"/>
      <c r="J342" s="34"/>
      <c r="K342" s="3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34"/>
      <c r="J343" s="34"/>
      <c r="K343" s="3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34"/>
      <c r="J344" s="34"/>
      <c r="K344" s="3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34"/>
      <c r="J345" s="34"/>
      <c r="K345" s="34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34"/>
      <c r="J346" s="34"/>
      <c r="K346" s="34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34"/>
      <c r="J347" s="34"/>
      <c r="K347" s="34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34"/>
      <c r="J348" s="34"/>
      <c r="K348" s="34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34"/>
      <c r="J349" s="34"/>
      <c r="K349" s="34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34"/>
      <c r="J350" s="34"/>
      <c r="K350" s="34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34"/>
      <c r="J351" s="34"/>
      <c r="K351" s="34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34"/>
      <c r="J352" s="34"/>
      <c r="K352" s="34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34"/>
      <c r="J353" s="34"/>
      <c r="K353" s="34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34"/>
      <c r="J354" s="34"/>
      <c r="K354" s="34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34"/>
      <c r="J355" s="34"/>
      <c r="K355" s="34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34"/>
      <c r="J356" s="34"/>
      <c r="K356" s="34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34"/>
      <c r="J357" s="34"/>
      <c r="K357" s="34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34"/>
      <c r="J358" s="34"/>
      <c r="K358" s="34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34"/>
      <c r="J359" s="34"/>
      <c r="K359" s="3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34"/>
      <c r="J360" s="34"/>
      <c r="K360" s="3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34"/>
      <c r="J361" s="34"/>
      <c r="K361" s="3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34"/>
      <c r="J362" s="34"/>
      <c r="K362" s="3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34"/>
      <c r="J363" s="34"/>
      <c r="K363" s="3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34"/>
      <c r="J364" s="34"/>
      <c r="K364" s="34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34"/>
      <c r="J365" s="34"/>
      <c r="K365" s="34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34"/>
      <c r="J366" s="34"/>
      <c r="K366" s="34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34"/>
      <c r="J367" s="34"/>
      <c r="K367" s="34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34"/>
      <c r="J368" s="34"/>
      <c r="K368" s="34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34"/>
      <c r="J369" s="34"/>
      <c r="K369" s="34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34"/>
      <c r="J370" s="34"/>
      <c r="K370" s="34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34"/>
      <c r="J371" s="34"/>
      <c r="K371" s="34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34"/>
      <c r="J372" s="34"/>
      <c r="K372" s="34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34"/>
      <c r="J373" s="34"/>
      <c r="K373" s="34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34"/>
      <c r="J374" s="34"/>
      <c r="K374" s="34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34"/>
      <c r="J375" s="34"/>
      <c r="K375" s="34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34"/>
      <c r="J376" s="34"/>
      <c r="K376" s="34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34"/>
      <c r="J377" s="34"/>
      <c r="K377" s="34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34"/>
      <c r="J378" s="34"/>
      <c r="K378" s="34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34"/>
      <c r="J379" s="34"/>
      <c r="K379" s="34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34"/>
      <c r="J380" s="34"/>
      <c r="K380" s="34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34"/>
      <c r="J381" s="34"/>
      <c r="K381" s="34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34"/>
      <c r="J382" s="34"/>
      <c r="K382" s="34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34"/>
      <c r="J383" s="34"/>
      <c r="K383" s="34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34"/>
      <c r="J384" s="34"/>
      <c r="K384" s="34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34"/>
      <c r="J385" s="34"/>
      <c r="K385" s="34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34"/>
      <c r="J386" s="34"/>
      <c r="K386" s="34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34"/>
      <c r="J387" s="34"/>
      <c r="K387" s="34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34"/>
      <c r="J388" s="34"/>
      <c r="K388" s="34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34"/>
      <c r="J389" s="34"/>
      <c r="K389" s="34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34"/>
      <c r="J390" s="34"/>
      <c r="K390" s="34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34"/>
      <c r="J391" s="34"/>
      <c r="K391" s="34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34"/>
      <c r="J392" s="34"/>
      <c r="K392" s="34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34"/>
      <c r="J393" s="34"/>
      <c r="K393" s="34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34"/>
      <c r="J394" s="34"/>
      <c r="K394" s="34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34"/>
      <c r="J395" s="34"/>
      <c r="K395" s="34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34"/>
      <c r="J396" s="34"/>
      <c r="K396" s="34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34"/>
      <c r="J397" s="34"/>
      <c r="K397" s="34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34"/>
      <c r="J398" s="34"/>
      <c r="K398" s="34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34"/>
      <c r="J399" s="34"/>
      <c r="K399" s="34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34"/>
      <c r="J400" s="34"/>
      <c r="K400" s="34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34"/>
      <c r="J401" s="34"/>
      <c r="K401" s="34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34"/>
      <c r="J402" s="34"/>
      <c r="K402" s="34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34"/>
      <c r="J403" s="34"/>
      <c r="K403" s="34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34"/>
      <c r="J404" s="34"/>
      <c r="K404" s="34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34"/>
      <c r="J405" s="34"/>
      <c r="K405" s="34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34"/>
      <c r="J406" s="34"/>
      <c r="K406" s="34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34"/>
      <c r="J407" s="34"/>
      <c r="K407" s="34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34"/>
      <c r="J408" s="34"/>
      <c r="K408" s="34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34"/>
      <c r="J409" s="34"/>
      <c r="K409" s="34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34"/>
      <c r="J410" s="34"/>
      <c r="K410" s="34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34"/>
      <c r="J411" s="34"/>
      <c r="K411" s="34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34"/>
      <c r="J412" s="34"/>
      <c r="K412" s="34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34"/>
      <c r="J413" s="34"/>
      <c r="K413" s="34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34"/>
      <c r="J414" s="34"/>
      <c r="K414" s="34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34"/>
      <c r="J415" s="34"/>
      <c r="K415" s="34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34"/>
      <c r="J416" s="34"/>
      <c r="K416" s="34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34"/>
      <c r="J417" s="34"/>
      <c r="K417" s="34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34"/>
      <c r="J418" s="34"/>
      <c r="K418" s="34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34"/>
      <c r="J419" s="34"/>
      <c r="K419" s="34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34"/>
      <c r="J420" s="34"/>
      <c r="K420" s="34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34"/>
      <c r="J421" s="34"/>
      <c r="K421" s="34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34"/>
      <c r="J422" s="34"/>
      <c r="K422" s="34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34"/>
      <c r="J423" s="34"/>
      <c r="K423" s="34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34"/>
      <c r="J424" s="34"/>
      <c r="K424" s="34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34"/>
      <c r="J425" s="34"/>
      <c r="K425" s="34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34"/>
      <c r="J426" s="34"/>
      <c r="K426" s="34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34"/>
      <c r="J427" s="34"/>
      <c r="K427" s="34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34"/>
      <c r="J428" s="34"/>
      <c r="K428" s="34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34"/>
      <c r="J429" s="34"/>
      <c r="K429" s="34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34"/>
      <c r="J430" s="34"/>
      <c r="K430" s="34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34"/>
      <c r="J431" s="34"/>
      <c r="K431" s="34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34"/>
      <c r="J432" s="34"/>
      <c r="K432" s="34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34"/>
      <c r="J433" s="34"/>
      <c r="K433" s="34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34"/>
      <c r="J434" s="34"/>
      <c r="K434" s="34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34"/>
      <c r="J435" s="34"/>
      <c r="K435" s="34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34"/>
      <c r="J436" s="34"/>
      <c r="K436" s="34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34"/>
      <c r="J437" s="34"/>
      <c r="K437" s="34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34"/>
      <c r="J438" s="34"/>
      <c r="K438" s="34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34"/>
      <c r="J439" s="34"/>
      <c r="K439" s="34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34"/>
      <c r="J440" s="34"/>
      <c r="K440" s="34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34"/>
      <c r="J441" s="34"/>
      <c r="K441" s="34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34"/>
      <c r="J442" s="34"/>
      <c r="K442" s="34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34"/>
      <c r="J443" s="34"/>
      <c r="K443" s="34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34"/>
      <c r="J444" s="34"/>
      <c r="K444" s="34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34"/>
      <c r="J445" s="34"/>
      <c r="K445" s="34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34"/>
      <c r="J446" s="34"/>
      <c r="K446" s="34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34"/>
      <c r="J447" s="34"/>
      <c r="K447" s="34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34"/>
      <c r="J448" s="34"/>
      <c r="K448" s="34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34"/>
      <c r="J449" s="34"/>
      <c r="K449" s="34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34"/>
      <c r="J450" s="34"/>
      <c r="K450" s="34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34"/>
      <c r="J451" s="34"/>
      <c r="K451" s="34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34"/>
      <c r="J452" s="34"/>
      <c r="K452" s="34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34"/>
      <c r="J453" s="34"/>
      <c r="K453" s="34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34"/>
      <c r="J454" s="34"/>
      <c r="K454" s="34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34"/>
      <c r="J455" s="34"/>
      <c r="K455" s="34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34"/>
      <c r="J456" s="34"/>
      <c r="K456" s="34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34"/>
      <c r="J457" s="34"/>
      <c r="K457" s="34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34"/>
      <c r="J458" s="34"/>
      <c r="K458" s="34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34"/>
      <c r="J459" s="34"/>
      <c r="K459" s="34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34"/>
      <c r="J460" s="34"/>
      <c r="K460" s="34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34"/>
      <c r="J461" s="34"/>
      <c r="K461" s="34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34"/>
      <c r="J462" s="34"/>
      <c r="K462" s="34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34"/>
      <c r="J463" s="34"/>
      <c r="K463" s="34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34"/>
      <c r="J464" s="34"/>
      <c r="K464" s="34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34"/>
      <c r="J465" s="34"/>
      <c r="K465" s="34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34"/>
      <c r="J466" s="34"/>
      <c r="K466" s="34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34"/>
      <c r="J467" s="34"/>
      <c r="K467" s="34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34"/>
      <c r="J468" s="34"/>
      <c r="K468" s="34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34"/>
      <c r="J469" s="34"/>
      <c r="K469" s="34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34"/>
      <c r="J470" s="34"/>
      <c r="K470" s="34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34"/>
      <c r="J471" s="34"/>
      <c r="K471" s="34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34"/>
      <c r="J472" s="34"/>
      <c r="K472" s="34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34"/>
      <c r="J473" s="34"/>
      <c r="K473" s="34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34"/>
      <c r="J474" s="34"/>
      <c r="K474" s="34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34"/>
      <c r="J475" s="34"/>
      <c r="K475" s="34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34"/>
      <c r="J476" s="34"/>
      <c r="K476" s="34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34"/>
      <c r="J477" s="34"/>
      <c r="K477" s="34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34"/>
      <c r="J478" s="34"/>
      <c r="K478" s="34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34"/>
      <c r="J479" s="34"/>
      <c r="K479" s="34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34"/>
      <c r="J480" s="34"/>
      <c r="K480" s="34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34"/>
      <c r="J481" s="34"/>
      <c r="K481" s="34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34"/>
      <c r="J482" s="34"/>
      <c r="K482" s="34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34"/>
      <c r="J483" s="34"/>
      <c r="K483" s="34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34"/>
      <c r="J484" s="34"/>
      <c r="K484" s="34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34"/>
      <c r="J485" s="34"/>
      <c r="K485" s="34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34"/>
      <c r="J486" s="34"/>
      <c r="K486" s="34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34"/>
      <c r="J487" s="34"/>
      <c r="K487" s="34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34"/>
      <c r="J488" s="34"/>
      <c r="K488" s="34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34"/>
      <c r="J489" s="34"/>
      <c r="K489" s="34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34"/>
      <c r="J490" s="34"/>
      <c r="K490" s="34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34"/>
      <c r="J491" s="34"/>
      <c r="K491" s="34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34"/>
      <c r="J492" s="34"/>
      <c r="K492" s="34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34"/>
      <c r="J493" s="34"/>
      <c r="K493" s="34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34"/>
      <c r="J494" s="34"/>
      <c r="K494" s="34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34"/>
      <c r="J495" s="34"/>
      <c r="K495" s="34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34"/>
      <c r="J496" s="34"/>
      <c r="K496" s="34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34"/>
      <c r="J497" s="34"/>
      <c r="K497" s="34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34"/>
      <c r="J498" s="34"/>
      <c r="K498" s="34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34"/>
      <c r="J499" s="34"/>
      <c r="K499" s="34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34"/>
      <c r="J500" s="34"/>
      <c r="K500" s="34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34"/>
      <c r="J501" s="34"/>
      <c r="K501" s="34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34"/>
      <c r="J502" s="34"/>
      <c r="K502" s="34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34"/>
      <c r="J503" s="34"/>
      <c r="K503" s="34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34"/>
      <c r="J504" s="34"/>
      <c r="K504" s="34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34"/>
      <c r="J505" s="34"/>
      <c r="K505" s="34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34"/>
      <c r="J506" s="34"/>
      <c r="K506" s="34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34"/>
      <c r="J507" s="34"/>
      <c r="K507" s="34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34"/>
      <c r="J508" s="34"/>
      <c r="K508" s="34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34"/>
      <c r="J509" s="34"/>
      <c r="K509" s="34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34"/>
      <c r="J510" s="34"/>
      <c r="K510" s="34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34"/>
      <c r="J511" s="34"/>
      <c r="K511" s="34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34"/>
      <c r="J512" s="34"/>
      <c r="K512" s="34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34"/>
      <c r="J513" s="34"/>
      <c r="K513" s="34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34"/>
      <c r="J514" s="34"/>
      <c r="K514" s="34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34"/>
      <c r="J515" s="34"/>
      <c r="K515" s="34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34"/>
      <c r="J516" s="34"/>
      <c r="K516" s="34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34"/>
      <c r="J517" s="34"/>
      <c r="K517" s="34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34"/>
      <c r="J518" s="34"/>
      <c r="K518" s="34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34"/>
      <c r="J519" s="34"/>
      <c r="K519" s="34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34"/>
      <c r="J520" s="34"/>
      <c r="K520" s="34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34"/>
      <c r="J521" s="34"/>
      <c r="K521" s="34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34"/>
      <c r="J522" s="34"/>
      <c r="K522" s="34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34"/>
      <c r="J523" s="34"/>
      <c r="K523" s="34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34"/>
      <c r="J524" s="34"/>
      <c r="K524" s="34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34"/>
      <c r="J525" s="34"/>
      <c r="K525" s="34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34"/>
      <c r="J526" s="34"/>
      <c r="K526" s="34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34"/>
      <c r="J527" s="34"/>
      <c r="K527" s="34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34"/>
      <c r="J528" s="34"/>
      <c r="K528" s="34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34"/>
      <c r="J529" s="34"/>
      <c r="K529" s="34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34"/>
      <c r="J530" s="34"/>
      <c r="K530" s="34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34"/>
      <c r="J531" s="34"/>
      <c r="K531" s="34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34"/>
      <c r="J532" s="34"/>
      <c r="K532" s="34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34"/>
      <c r="J533" s="34"/>
      <c r="K533" s="34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34"/>
      <c r="J534" s="34"/>
      <c r="K534" s="34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34"/>
      <c r="J535" s="34"/>
      <c r="K535" s="34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34"/>
      <c r="J536" s="34"/>
      <c r="K536" s="34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34"/>
      <c r="J537" s="34"/>
      <c r="K537" s="34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34"/>
      <c r="J538" s="34"/>
      <c r="K538" s="34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34"/>
      <c r="J539" s="34"/>
      <c r="K539" s="34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34"/>
      <c r="J540" s="34"/>
      <c r="K540" s="34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34"/>
      <c r="J541" s="34"/>
      <c r="K541" s="34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34"/>
      <c r="J542" s="34"/>
      <c r="K542" s="34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34"/>
      <c r="J543" s="34"/>
      <c r="K543" s="34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34"/>
      <c r="J544" s="34"/>
      <c r="K544" s="34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34"/>
      <c r="J545" s="34"/>
      <c r="K545" s="34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34"/>
      <c r="J546" s="34"/>
      <c r="K546" s="34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34"/>
      <c r="J547" s="34"/>
      <c r="K547" s="34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34"/>
      <c r="J548" s="34"/>
      <c r="K548" s="34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34"/>
      <c r="J549" s="34"/>
      <c r="K549" s="34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34"/>
      <c r="J550" s="34"/>
      <c r="K550" s="34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34"/>
      <c r="J551" s="34"/>
      <c r="K551" s="34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34"/>
      <c r="J552" s="34"/>
      <c r="K552" s="34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34"/>
      <c r="J553" s="34"/>
      <c r="K553" s="34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34"/>
      <c r="J554" s="34"/>
      <c r="K554" s="34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34"/>
      <c r="J555" s="34"/>
      <c r="K555" s="34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34"/>
      <c r="J556" s="34"/>
      <c r="K556" s="34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34"/>
      <c r="J557" s="34"/>
      <c r="K557" s="34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34"/>
      <c r="J558" s="34"/>
      <c r="K558" s="34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34"/>
      <c r="J559" s="34"/>
      <c r="K559" s="34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34"/>
      <c r="J560" s="34"/>
      <c r="K560" s="34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34"/>
      <c r="J561" s="34"/>
      <c r="K561" s="34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34"/>
      <c r="J562" s="34"/>
      <c r="K562" s="34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34"/>
      <c r="J563" s="34"/>
      <c r="K563" s="34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34"/>
      <c r="J564" s="34"/>
      <c r="K564" s="34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34"/>
      <c r="J565" s="34"/>
      <c r="K565" s="34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34"/>
      <c r="J566" s="34"/>
      <c r="K566" s="34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34"/>
      <c r="J567" s="34"/>
      <c r="K567" s="34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34"/>
      <c r="J568" s="34"/>
      <c r="K568" s="34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34"/>
      <c r="J569" s="34"/>
      <c r="K569" s="34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34"/>
      <c r="J570" s="34"/>
      <c r="K570" s="34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34"/>
      <c r="J571" s="34"/>
      <c r="K571" s="34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34"/>
      <c r="J572" s="34"/>
      <c r="K572" s="34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34"/>
      <c r="J573" s="34"/>
      <c r="K573" s="34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34"/>
      <c r="J574" s="34"/>
      <c r="K574" s="34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34"/>
      <c r="J575" s="34"/>
      <c r="K575" s="34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34"/>
      <c r="J576" s="34"/>
      <c r="K576" s="34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34"/>
      <c r="J577" s="34"/>
      <c r="K577" s="34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34"/>
      <c r="J578" s="34"/>
      <c r="K578" s="34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34"/>
      <c r="J579" s="34"/>
      <c r="K579" s="34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34"/>
      <c r="J580" s="34"/>
      <c r="K580" s="34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34"/>
      <c r="J581" s="34"/>
      <c r="K581" s="34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34"/>
      <c r="J582" s="34"/>
      <c r="K582" s="34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34"/>
      <c r="J583" s="34"/>
      <c r="K583" s="34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34"/>
      <c r="J584" s="34"/>
      <c r="K584" s="34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34"/>
      <c r="J585" s="34"/>
      <c r="K585" s="34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34"/>
      <c r="J586" s="34"/>
      <c r="K586" s="34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34"/>
      <c r="J587" s="34"/>
      <c r="K587" s="34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34"/>
      <c r="J588" s="34"/>
      <c r="K588" s="34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34"/>
      <c r="J589" s="34"/>
      <c r="K589" s="34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34"/>
      <c r="J590" s="34"/>
      <c r="K590" s="34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34"/>
      <c r="J591" s="34"/>
      <c r="K591" s="34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34"/>
      <c r="J592" s="34"/>
      <c r="K592" s="34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34"/>
      <c r="J593" s="34"/>
      <c r="K593" s="34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34"/>
      <c r="J594" s="34"/>
      <c r="K594" s="34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34"/>
      <c r="J595" s="34"/>
      <c r="K595" s="34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34"/>
      <c r="J596" s="34"/>
      <c r="K596" s="34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34"/>
      <c r="J597" s="34"/>
      <c r="K597" s="34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34"/>
      <c r="J598" s="34"/>
      <c r="K598" s="34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34"/>
      <c r="J599" s="34"/>
      <c r="K599" s="34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34"/>
      <c r="J600" s="34"/>
      <c r="K600" s="34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34"/>
      <c r="J601" s="34"/>
      <c r="K601" s="34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34"/>
      <c r="J602" s="34"/>
      <c r="K602" s="34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34"/>
      <c r="J603" s="34"/>
      <c r="K603" s="34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34"/>
      <c r="J604" s="34"/>
      <c r="K604" s="34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34"/>
      <c r="J605" s="34"/>
      <c r="K605" s="34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34"/>
      <c r="J606" s="34"/>
      <c r="K606" s="34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34"/>
      <c r="J607" s="34"/>
      <c r="K607" s="34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34"/>
      <c r="J608" s="34"/>
      <c r="K608" s="34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34"/>
      <c r="J609" s="34"/>
      <c r="K609" s="34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34"/>
      <c r="J610" s="34"/>
      <c r="K610" s="34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34"/>
      <c r="J611" s="34"/>
      <c r="K611" s="34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34"/>
      <c r="J612" s="34"/>
      <c r="K612" s="34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34"/>
      <c r="J613" s="34"/>
      <c r="K613" s="34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34"/>
      <c r="J614" s="34"/>
      <c r="K614" s="34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34"/>
      <c r="J615" s="34"/>
      <c r="K615" s="34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34"/>
      <c r="J616" s="34"/>
      <c r="K616" s="34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34"/>
      <c r="J617" s="34"/>
      <c r="K617" s="34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34"/>
      <c r="J618" s="34"/>
      <c r="K618" s="34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34"/>
      <c r="J619" s="34"/>
      <c r="K619" s="34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34"/>
      <c r="J620" s="34"/>
      <c r="K620" s="34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34"/>
      <c r="J621" s="34"/>
      <c r="K621" s="34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34"/>
      <c r="J622" s="34"/>
      <c r="K622" s="34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34"/>
      <c r="J623" s="34"/>
      <c r="K623" s="34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34"/>
      <c r="J624" s="34"/>
      <c r="K624" s="34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34"/>
      <c r="J625" s="34"/>
      <c r="K625" s="34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34"/>
      <c r="J626" s="34"/>
      <c r="K626" s="34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34"/>
      <c r="J627" s="34"/>
      <c r="K627" s="34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34"/>
      <c r="J628" s="34"/>
      <c r="K628" s="34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34"/>
      <c r="J629" s="34"/>
      <c r="K629" s="34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34"/>
      <c r="J630" s="34"/>
      <c r="K630" s="34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34"/>
      <c r="J631" s="34"/>
      <c r="K631" s="34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34"/>
      <c r="J632" s="34"/>
      <c r="K632" s="34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34"/>
      <c r="J633" s="34"/>
      <c r="K633" s="34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34"/>
      <c r="J634" s="34"/>
      <c r="K634" s="34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34"/>
      <c r="J635" s="34"/>
      <c r="K635" s="34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34"/>
      <c r="J636" s="34"/>
      <c r="K636" s="34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34"/>
      <c r="J637" s="34"/>
      <c r="K637" s="34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34"/>
      <c r="J638" s="34"/>
      <c r="K638" s="34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34"/>
      <c r="J639" s="34"/>
      <c r="K639" s="34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34"/>
      <c r="J640" s="34"/>
      <c r="K640" s="34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34"/>
      <c r="J641" s="34"/>
      <c r="K641" s="34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34"/>
      <c r="J642" s="34"/>
      <c r="K642" s="34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34"/>
      <c r="J643" s="34"/>
      <c r="K643" s="34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34"/>
      <c r="J644" s="34"/>
      <c r="K644" s="34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34"/>
      <c r="J645" s="34"/>
      <c r="K645" s="34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34"/>
      <c r="J646" s="34"/>
      <c r="K646" s="34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34"/>
      <c r="J647" s="34"/>
      <c r="K647" s="34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34"/>
      <c r="J648" s="34"/>
      <c r="K648" s="34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34"/>
      <c r="J649" s="34"/>
      <c r="K649" s="34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34"/>
      <c r="J650" s="34"/>
      <c r="K650" s="34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34"/>
      <c r="J651" s="34"/>
      <c r="K651" s="34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34"/>
      <c r="J652" s="34"/>
      <c r="K652" s="34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34"/>
      <c r="J653" s="34"/>
      <c r="K653" s="34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34"/>
      <c r="J654" s="34"/>
      <c r="K654" s="34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34"/>
      <c r="J655" s="34"/>
      <c r="K655" s="34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34"/>
      <c r="J656" s="34"/>
      <c r="K656" s="34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34"/>
      <c r="J657" s="34"/>
      <c r="K657" s="34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34"/>
      <c r="J658" s="34"/>
      <c r="K658" s="34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34"/>
      <c r="J659" s="34"/>
      <c r="K659" s="34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34"/>
      <c r="J660" s="34"/>
      <c r="K660" s="34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34"/>
      <c r="J661" s="34"/>
      <c r="K661" s="34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34"/>
      <c r="J662" s="34"/>
      <c r="K662" s="34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34"/>
      <c r="J663" s="34"/>
      <c r="K663" s="34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34"/>
      <c r="J664" s="34"/>
      <c r="K664" s="34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34"/>
      <c r="J665" s="34"/>
      <c r="K665" s="34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34"/>
      <c r="J666" s="34"/>
      <c r="K666" s="34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34"/>
      <c r="J667" s="34"/>
      <c r="K667" s="34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34"/>
      <c r="J668" s="34"/>
      <c r="K668" s="34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34"/>
      <c r="J669" s="34"/>
      <c r="K669" s="34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34"/>
      <c r="J670" s="34"/>
      <c r="K670" s="34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34"/>
      <c r="J671" s="34"/>
      <c r="K671" s="34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34"/>
      <c r="J672" s="34"/>
      <c r="K672" s="34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34"/>
      <c r="J673" s="34"/>
      <c r="K673" s="34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34"/>
      <c r="J674" s="34"/>
      <c r="K674" s="34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34"/>
      <c r="J675" s="34"/>
      <c r="K675" s="34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34"/>
      <c r="J676" s="34"/>
      <c r="K676" s="34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34"/>
      <c r="J677" s="34"/>
      <c r="K677" s="34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34"/>
      <c r="J678" s="34"/>
      <c r="K678" s="34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34"/>
      <c r="J679" s="34"/>
      <c r="K679" s="34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34"/>
      <c r="J680" s="34"/>
      <c r="K680" s="34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34"/>
      <c r="J681" s="34"/>
      <c r="K681" s="34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34"/>
      <c r="J682" s="34"/>
      <c r="K682" s="34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34"/>
      <c r="J683" s="34"/>
      <c r="K683" s="34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34"/>
      <c r="J684" s="34"/>
      <c r="K684" s="34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34"/>
      <c r="J685" s="34"/>
      <c r="K685" s="34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34"/>
      <c r="J686" s="34"/>
      <c r="K686" s="34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34"/>
      <c r="J687" s="34"/>
      <c r="K687" s="34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34"/>
      <c r="J688" s="34"/>
      <c r="K688" s="34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34"/>
      <c r="J689" s="34"/>
      <c r="K689" s="34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34"/>
      <c r="J690" s="34"/>
      <c r="K690" s="34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34"/>
      <c r="J691" s="34"/>
      <c r="K691" s="34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34"/>
      <c r="J692" s="34"/>
      <c r="K692" s="34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34"/>
      <c r="J693" s="34"/>
      <c r="K693" s="34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34"/>
      <c r="J694" s="34"/>
      <c r="K694" s="34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34"/>
      <c r="J695" s="34"/>
      <c r="K695" s="34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34"/>
      <c r="J696" s="34"/>
      <c r="K696" s="34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34"/>
      <c r="J697" s="34"/>
      <c r="K697" s="34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34"/>
      <c r="J698" s="34"/>
      <c r="K698" s="34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34"/>
      <c r="J699" s="34"/>
      <c r="K699" s="34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34"/>
      <c r="J700" s="34"/>
      <c r="K700" s="34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34"/>
      <c r="J701" s="34"/>
      <c r="K701" s="34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34"/>
      <c r="J702" s="34"/>
      <c r="K702" s="34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34"/>
      <c r="J703" s="34"/>
      <c r="K703" s="34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34"/>
      <c r="J704" s="34"/>
      <c r="K704" s="34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34"/>
      <c r="J705" s="34"/>
      <c r="K705" s="34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34"/>
      <c r="J706" s="34"/>
      <c r="K706" s="34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34"/>
      <c r="J707" s="34"/>
      <c r="K707" s="34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34"/>
      <c r="J708" s="34"/>
      <c r="K708" s="34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34"/>
      <c r="J709" s="34"/>
      <c r="K709" s="34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34"/>
      <c r="J710" s="34"/>
      <c r="K710" s="34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34"/>
      <c r="J711" s="34"/>
      <c r="K711" s="34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34"/>
      <c r="J712" s="34"/>
      <c r="K712" s="34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34"/>
      <c r="J713" s="34"/>
      <c r="K713" s="34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34"/>
      <c r="J714" s="34"/>
      <c r="K714" s="34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34"/>
      <c r="J715" s="34"/>
      <c r="K715" s="34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34"/>
      <c r="J716" s="34"/>
      <c r="K716" s="34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34"/>
      <c r="J717" s="34"/>
      <c r="K717" s="34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34"/>
      <c r="J718" s="34"/>
      <c r="K718" s="34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34"/>
      <c r="J719" s="34"/>
      <c r="K719" s="34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34"/>
      <c r="J720" s="34"/>
      <c r="K720" s="34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34"/>
      <c r="J721" s="34"/>
      <c r="K721" s="34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34"/>
      <c r="J722" s="34"/>
      <c r="K722" s="34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34"/>
      <c r="J723" s="34"/>
      <c r="K723" s="34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34"/>
      <c r="J724" s="34"/>
      <c r="K724" s="34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34"/>
      <c r="J725" s="34"/>
      <c r="K725" s="34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34"/>
      <c r="J726" s="34"/>
      <c r="K726" s="34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34"/>
      <c r="J727" s="34"/>
      <c r="K727" s="34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34"/>
      <c r="J728" s="34"/>
      <c r="K728" s="34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34"/>
      <c r="J729" s="34"/>
      <c r="K729" s="34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34"/>
      <c r="J730" s="34"/>
      <c r="K730" s="34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34"/>
      <c r="J731" s="34"/>
      <c r="K731" s="34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34"/>
      <c r="J732" s="34"/>
      <c r="K732" s="34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34"/>
      <c r="J733" s="34"/>
      <c r="K733" s="34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34"/>
      <c r="J734" s="34"/>
      <c r="K734" s="34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34"/>
      <c r="J735" s="34"/>
      <c r="K735" s="34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34"/>
      <c r="J736" s="34"/>
      <c r="K736" s="34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34"/>
      <c r="J737" s="34"/>
      <c r="K737" s="34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34"/>
      <c r="J738" s="34"/>
      <c r="K738" s="34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34"/>
      <c r="J739" s="34"/>
      <c r="K739" s="34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34"/>
      <c r="J740" s="34"/>
      <c r="K740" s="34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34"/>
      <c r="J741" s="34"/>
      <c r="K741" s="34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34"/>
      <c r="J742" s="34"/>
      <c r="K742" s="34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34"/>
      <c r="J743" s="34"/>
      <c r="K743" s="34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34"/>
      <c r="J744" s="34"/>
      <c r="K744" s="34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34"/>
      <c r="J745" s="34"/>
      <c r="K745" s="34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34"/>
      <c r="J746" s="34"/>
      <c r="K746" s="34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34"/>
      <c r="J747" s="34"/>
      <c r="K747" s="34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34"/>
      <c r="J748" s="34"/>
      <c r="K748" s="34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34"/>
      <c r="J749" s="34"/>
      <c r="K749" s="34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34"/>
      <c r="J750" s="34"/>
      <c r="K750" s="34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34"/>
      <c r="J751" s="34"/>
      <c r="K751" s="34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34"/>
      <c r="J752" s="34"/>
      <c r="K752" s="34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34"/>
      <c r="J753" s="34"/>
      <c r="K753" s="34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34"/>
      <c r="J754" s="34"/>
      <c r="K754" s="34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34"/>
      <c r="J755" s="34"/>
      <c r="K755" s="34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34"/>
      <c r="J756" s="34"/>
      <c r="K756" s="34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34"/>
      <c r="J757" s="34"/>
      <c r="K757" s="34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34"/>
      <c r="J758" s="34"/>
      <c r="K758" s="34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34"/>
      <c r="J759" s="34"/>
      <c r="K759" s="34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34"/>
      <c r="J760" s="34"/>
      <c r="K760" s="34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34"/>
      <c r="J761" s="34"/>
      <c r="K761" s="34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34"/>
      <c r="J762" s="34"/>
      <c r="K762" s="34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34"/>
      <c r="J763" s="34"/>
      <c r="K763" s="34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34"/>
      <c r="J764" s="34"/>
      <c r="K764" s="34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34"/>
      <c r="J765" s="34"/>
      <c r="K765" s="34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34"/>
      <c r="J766" s="34"/>
      <c r="K766" s="34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34"/>
      <c r="J767" s="34"/>
      <c r="K767" s="34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34"/>
      <c r="J768" s="34"/>
      <c r="K768" s="34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34"/>
      <c r="J769" s="34"/>
      <c r="K769" s="34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34"/>
      <c r="J770" s="34"/>
      <c r="K770" s="34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34"/>
      <c r="J771" s="34"/>
      <c r="K771" s="34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34"/>
      <c r="J772" s="34"/>
      <c r="K772" s="34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34"/>
      <c r="J773" s="34"/>
      <c r="K773" s="34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34"/>
      <c r="J774" s="34"/>
      <c r="K774" s="34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34"/>
      <c r="J775" s="34"/>
      <c r="K775" s="34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34"/>
      <c r="J776" s="34"/>
      <c r="K776" s="34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34"/>
      <c r="J777" s="34"/>
      <c r="K777" s="34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34"/>
      <c r="J778" s="34"/>
      <c r="K778" s="34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34"/>
      <c r="J779" s="34"/>
      <c r="K779" s="34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34"/>
      <c r="J780" s="34"/>
      <c r="K780" s="34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34"/>
      <c r="J781" s="34"/>
      <c r="K781" s="34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34"/>
      <c r="J782" s="34"/>
      <c r="K782" s="34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34"/>
      <c r="J783" s="34"/>
      <c r="K783" s="34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34"/>
      <c r="J784" s="34"/>
      <c r="K784" s="34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34"/>
      <c r="J785" s="34"/>
      <c r="K785" s="34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34"/>
      <c r="J786" s="34"/>
      <c r="K786" s="34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34"/>
      <c r="J787" s="34"/>
      <c r="K787" s="34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34"/>
      <c r="J788" s="34"/>
      <c r="K788" s="34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34"/>
      <c r="J789" s="34"/>
      <c r="K789" s="34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34"/>
      <c r="J790" s="34"/>
      <c r="K790" s="34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34"/>
      <c r="J791" s="34"/>
      <c r="K791" s="34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34"/>
      <c r="J792" s="34"/>
      <c r="K792" s="34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34"/>
      <c r="J793" s="34"/>
      <c r="K793" s="34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34"/>
      <c r="J794" s="34"/>
      <c r="K794" s="34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34"/>
      <c r="J795" s="34"/>
      <c r="K795" s="34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34"/>
      <c r="J796" s="34"/>
      <c r="K796" s="34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34"/>
      <c r="J797" s="34"/>
      <c r="K797" s="34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34"/>
      <c r="J798" s="34"/>
      <c r="K798" s="34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34"/>
      <c r="J799" s="34"/>
      <c r="K799" s="34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34"/>
      <c r="J800" s="34"/>
      <c r="K800" s="34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34"/>
      <c r="J801" s="34"/>
      <c r="K801" s="34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34"/>
      <c r="J802" s="34"/>
      <c r="K802" s="34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34"/>
      <c r="J803" s="34"/>
      <c r="K803" s="34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34"/>
      <c r="J804" s="34"/>
      <c r="K804" s="34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34"/>
      <c r="J805" s="34"/>
      <c r="K805" s="34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34"/>
      <c r="J806" s="34"/>
      <c r="K806" s="34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34"/>
      <c r="J807" s="34"/>
      <c r="K807" s="34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34"/>
      <c r="J808" s="34"/>
      <c r="K808" s="34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34"/>
      <c r="J809" s="34"/>
      <c r="K809" s="34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34"/>
      <c r="J810" s="34"/>
      <c r="K810" s="34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34"/>
      <c r="J811" s="34"/>
      <c r="K811" s="34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34"/>
      <c r="J812" s="34"/>
      <c r="K812" s="34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34"/>
      <c r="J813" s="34"/>
      <c r="K813" s="34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34"/>
      <c r="J814" s="34"/>
      <c r="K814" s="34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34"/>
      <c r="J815" s="34"/>
      <c r="K815" s="34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34"/>
      <c r="J816" s="34"/>
      <c r="K816" s="34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34"/>
      <c r="J817" s="34"/>
      <c r="K817" s="34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34"/>
      <c r="J818" s="34"/>
      <c r="K818" s="34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34"/>
      <c r="J819" s="34"/>
      <c r="K819" s="34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34"/>
      <c r="J820" s="34"/>
      <c r="K820" s="34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34"/>
      <c r="J821" s="34"/>
      <c r="K821" s="34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34"/>
      <c r="J822" s="34"/>
      <c r="K822" s="34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34"/>
      <c r="J823" s="34"/>
      <c r="K823" s="34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34"/>
      <c r="J824" s="34"/>
      <c r="K824" s="34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34"/>
      <c r="J825" s="34"/>
      <c r="K825" s="34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34"/>
      <c r="J826" s="34"/>
      <c r="K826" s="34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34"/>
      <c r="J827" s="34"/>
      <c r="K827" s="34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34"/>
      <c r="J828" s="34"/>
      <c r="K828" s="34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34"/>
      <c r="J829" s="34"/>
      <c r="K829" s="34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34"/>
      <c r="J830" s="34"/>
      <c r="K830" s="34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34"/>
      <c r="J831" s="34"/>
      <c r="K831" s="34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34"/>
      <c r="J832" s="34"/>
      <c r="K832" s="34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34"/>
      <c r="J833" s="34"/>
      <c r="K833" s="34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34"/>
      <c r="J834" s="34"/>
      <c r="K834" s="34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34"/>
      <c r="J835" s="34"/>
      <c r="K835" s="34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34"/>
      <c r="J836" s="34"/>
      <c r="K836" s="34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34"/>
      <c r="J837" s="34"/>
      <c r="K837" s="34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34"/>
      <c r="J838" s="34"/>
      <c r="K838" s="34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34"/>
      <c r="J839" s="34"/>
      <c r="K839" s="34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34"/>
      <c r="J840" s="34"/>
      <c r="K840" s="34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34"/>
      <c r="J841" s="34"/>
      <c r="K841" s="34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34"/>
      <c r="J842" s="34"/>
      <c r="K842" s="34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34"/>
      <c r="J843" s="34"/>
      <c r="K843" s="34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34"/>
      <c r="J844" s="34"/>
      <c r="K844" s="34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34"/>
      <c r="J845" s="34"/>
      <c r="K845" s="34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34"/>
      <c r="J846" s="34"/>
      <c r="K846" s="34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34"/>
      <c r="J847" s="34"/>
      <c r="K847" s="34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34"/>
      <c r="J848" s="34"/>
      <c r="K848" s="34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34"/>
      <c r="J849" s="34"/>
      <c r="K849" s="34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34"/>
      <c r="J850" s="34"/>
      <c r="K850" s="34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34"/>
      <c r="J851" s="34"/>
      <c r="K851" s="34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34"/>
      <c r="J852" s="34"/>
      <c r="K852" s="34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34"/>
      <c r="J853" s="34"/>
      <c r="K853" s="34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34"/>
      <c r="J854" s="34"/>
      <c r="K854" s="34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34"/>
      <c r="J855" s="34"/>
      <c r="K855" s="34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34"/>
      <c r="J856" s="34"/>
      <c r="K856" s="34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34"/>
      <c r="J857" s="34"/>
      <c r="K857" s="34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34"/>
      <c r="J858" s="34"/>
      <c r="K858" s="34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34"/>
      <c r="J859" s="34"/>
      <c r="K859" s="34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34"/>
      <c r="J860" s="34"/>
      <c r="K860" s="34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34"/>
      <c r="J861" s="34"/>
      <c r="K861" s="34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34"/>
      <c r="J862" s="34"/>
      <c r="K862" s="34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34"/>
      <c r="J863" s="34"/>
      <c r="K863" s="34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34"/>
      <c r="J864" s="34"/>
      <c r="K864" s="34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34"/>
      <c r="J865" s="34"/>
      <c r="K865" s="34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34"/>
      <c r="J866" s="34"/>
      <c r="K866" s="34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34"/>
      <c r="J867" s="34"/>
      <c r="K867" s="34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34"/>
      <c r="J868" s="34"/>
      <c r="K868" s="34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34"/>
      <c r="J869" s="34"/>
      <c r="K869" s="34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34"/>
      <c r="J870" s="34"/>
      <c r="K870" s="34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34"/>
      <c r="J871" s="34"/>
      <c r="K871" s="34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34"/>
      <c r="J872" s="34"/>
      <c r="K872" s="34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34"/>
      <c r="J873" s="34"/>
      <c r="K873" s="34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34"/>
      <c r="J874" s="34"/>
      <c r="K874" s="34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34"/>
      <c r="J875" s="34"/>
      <c r="K875" s="34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34"/>
      <c r="J876" s="34"/>
      <c r="K876" s="34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34"/>
      <c r="J877" s="34"/>
      <c r="K877" s="34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34"/>
      <c r="J878" s="34"/>
      <c r="K878" s="34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34"/>
      <c r="J879" s="34"/>
      <c r="K879" s="34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34"/>
      <c r="J880" s="34"/>
      <c r="K880" s="34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34"/>
      <c r="J881" s="34"/>
      <c r="K881" s="34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34"/>
      <c r="J882" s="34"/>
      <c r="K882" s="34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34"/>
      <c r="J883" s="34"/>
      <c r="K883" s="34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34"/>
      <c r="J884" s="34"/>
      <c r="K884" s="34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34"/>
      <c r="J885" s="34"/>
      <c r="K885" s="34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34"/>
      <c r="J886" s="34"/>
      <c r="K886" s="34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34"/>
      <c r="J887" s="34"/>
      <c r="K887" s="34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34"/>
      <c r="J888" s="34"/>
      <c r="K888" s="34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34"/>
      <c r="J889" s="34"/>
      <c r="K889" s="34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34"/>
      <c r="J890" s="34"/>
      <c r="K890" s="34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34"/>
      <c r="J891" s="34"/>
      <c r="K891" s="34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34"/>
      <c r="J892" s="34"/>
      <c r="K892" s="34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34"/>
      <c r="J893" s="34"/>
      <c r="K893" s="34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34"/>
      <c r="J894" s="34"/>
      <c r="K894" s="34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34"/>
      <c r="J895" s="34"/>
      <c r="K895" s="34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34"/>
      <c r="J896" s="34"/>
      <c r="K896" s="34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34"/>
      <c r="J897" s="34"/>
      <c r="K897" s="34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34"/>
      <c r="J898" s="34"/>
      <c r="K898" s="34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34"/>
      <c r="J899" s="34"/>
      <c r="K899" s="34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34"/>
      <c r="J900" s="34"/>
      <c r="K900" s="34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34"/>
      <c r="J901" s="34"/>
      <c r="K901" s="34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34"/>
      <c r="J902" s="34"/>
      <c r="K902" s="34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34"/>
      <c r="J903" s="34"/>
      <c r="K903" s="34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34"/>
      <c r="J904" s="34"/>
      <c r="K904" s="34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34"/>
      <c r="J905" s="34"/>
      <c r="K905" s="34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34"/>
      <c r="J906" s="34"/>
      <c r="K906" s="34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34"/>
      <c r="J907" s="34"/>
      <c r="K907" s="34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34"/>
      <c r="J908" s="34"/>
      <c r="K908" s="34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34"/>
      <c r="J909" s="34"/>
      <c r="K909" s="34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34"/>
      <c r="J910" s="34"/>
      <c r="K910" s="34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34"/>
      <c r="J911" s="34"/>
      <c r="K911" s="34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34"/>
      <c r="J912" s="34"/>
      <c r="K912" s="34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34"/>
      <c r="J913" s="34"/>
      <c r="K913" s="34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34"/>
      <c r="J914" s="34"/>
      <c r="K914" s="34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34"/>
      <c r="J915" s="34"/>
      <c r="K915" s="34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34"/>
      <c r="J916" s="34"/>
      <c r="K916" s="34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34"/>
      <c r="J917" s="34"/>
      <c r="K917" s="34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34"/>
      <c r="J918" s="34"/>
      <c r="K918" s="34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34"/>
      <c r="J919" s="34"/>
      <c r="K919" s="34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34"/>
      <c r="J920" s="34"/>
      <c r="K920" s="34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34"/>
      <c r="J921" s="34"/>
      <c r="K921" s="34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34"/>
      <c r="J922" s="34"/>
      <c r="K922" s="34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34"/>
      <c r="J923" s="34"/>
      <c r="K923" s="34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34"/>
      <c r="J924" s="34"/>
      <c r="K924" s="34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34"/>
      <c r="J925" s="34"/>
      <c r="K925" s="34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34"/>
      <c r="J926" s="34"/>
      <c r="K926" s="34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34"/>
      <c r="J927" s="34"/>
      <c r="K927" s="34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34"/>
      <c r="J928" s="34"/>
      <c r="K928" s="34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34"/>
      <c r="J929" s="34"/>
      <c r="K929" s="34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34"/>
      <c r="J930" s="34"/>
      <c r="K930" s="34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34"/>
      <c r="J931" s="34"/>
      <c r="K931" s="34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34"/>
      <c r="J932" s="34"/>
      <c r="K932" s="34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34"/>
      <c r="J933" s="34"/>
      <c r="K933" s="34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34"/>
      <c r="J934" s="34"/>
      <c r="K934" s="34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34"/>
      <c r="J935" s="34"/>
      <c r="K935" s="34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34"/>
      <c r="J936" s="34"/>
      <c r="K936" s="34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34"/>
      <c r="J937" s="34"/>
      <c r="K937" s="34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34"/>
      <c r="J938" s="34"/>
      <c r="K938" s="34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34"/>
      <c r="J939" s="34"/>
      <c r="K939" s="34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34"/>
      <c r="J940" s="34"/>
      <c r="K940" s="34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34"/>
      <c r="J941" s="34"/>
      <c r="K941" s="34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34"/>
      <c r="J942" s="34"/>
      <c r="K942" s="34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34"/>
      <c r="J943" s="34"/>
      <c r="K943" s="34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34"/>
      <c r="J944" s="34"/>
      <c r="K944" s="34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34"/>
      <c r="J945" s="34"/>
      <c r="K945" s="34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34"/>
      <c r="J946" s="34"/>
      <c r="K946" s="34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34"/>
      <c r="J947" s="34"/>
      <c r="K947" s="34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34"/>
      <c r="J948" s="34"/>
      <c r="K948" s="34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34"/>
      <c r="J949" s="34"/>
      <c r="K949" s="34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34"/>
      <c r="J950" s="34"/>
      <c r="K950" s="34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34"/>
      <c r="J951" s="34"/>
      <c r="K951" s="34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34"/>
      <c r="J952" s="34"/>
      <c r="K952" s="34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34"/>
      <c r="J953" s="34"/>
      <c r="K953" s="34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34"/>
      <c r="J954" s="34"/>
      <c r="K954" s="34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34"/>
      <c r="J955" s="34"/>
      <c r="K955" s="34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34"/>
      <c r="J956" s="34"/>
      <c r="K956" s="34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34"/>
      <c r="J957" s="34"/>
      <c r="K957" s="34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34"/>
      <c r="J958" s="34"/>
      <c r="K958" s="34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34"/>
      <c r="J959" s="34"/>
      <c r="K959" s="34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34"/>
      <c r="J960" s="34"/>
      <c r="K960" s="34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34"/>
      <c r="J961" s="34"/>
      <c r="K961" s="34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34"/>
      <c r="J962" s="34"/>
      <c r="K962" s="34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34"/>
      <c r="J963" s="34"/>
      <c r="K963" s="34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34"/>
      <c r="J964" s="34"/>
      <c r="K964" s="34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34"/>
      <c r="J965" s="34"/>
      <c r="K965" s="34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34"/>
      <c r="J966" s="34"/>
      <c r="K966" s="34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34"/>
      <c r="J967" s="34"/>
      <c r="K967" s="34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34"/>
      <c r="J968" s="34"/>
      <c r="K968" s="34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34"/>
      <c r="J969" s="34"/>
      <c r="K969" s="34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34"/>
      <c r="J970" s="34"/>
      <c r="K970" s="34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34"/>
      <c r="J971" s="34"/>
      <c r="K971" s="34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34"/>
      <c r="J972" s="34"/>
      <c r="K972" s="34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34"/>
      <c r="J973" s="34"/>
      <c r="K973" s="34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34"/>
      <c r="J974" s="34"/>
      <c r="K974" s="34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34"/>
      <c r="J975" s="34"/>
      <c r="K975" s="34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34"/>
      <c r="J976" s="34"/>
      <c r="K976" s="34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34"/>
      <c r="J977" s="34"/>
      <c r="K977" s="34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34"/>
      <c r="J978" s="34"/>
      <c r="K978" s="34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34"/>
      <c r="J979" s="34"/>
      <c r="K979" s="34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34"/>
      <c r="J980" s="34"/>
      <c r="K980" s="34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34"/>
      <c r="J981" s="34"/>
      <c r="K981" s="34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34"/>
      <c r="J982" s="34"/>
      <c r="K982" s="34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34"/>
      <c r="J983" s="34"/>
      <c r="K983" s="34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34"/>
      <c r="J984" s="34"/>
      <c r="K984" s="34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34"/>
      <c r="J985" s="34"/>
      <c r="K985" s="34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34"/>
      <c r="J986" s="34"/>
      <c r="K986" s="34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34"/>
      <c r="J987" s="34"/>
      <c r="K987" s="34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34"/>
      <c r="J988" s="34"/>
      <c r="K988" s="34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34"/>
      <c r="J989" s="34"/>
      <c r="K989" s="34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34"/>
      <c r="J990" s="34"/>
      <c r="K990" s="34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34"/>
      <c r="J991" s="34"/>
      <c r="K991" s="34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34"/>
      <c r="J992" s="34"/>
      <c r="K992" s="34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34"/>
      <c r="J993" s="34"/>
      <c r="K993" s="34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34"/>
      <c r="J994" s="34"/>
      <c r="K994" s="34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34"/>
      <c r="J995" s="34"/>
      <c r="K995" s="34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34"/>
      <c r="J996" s="34"/>
      <c r="K996" s="34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34"/>
      <c r="J997" s="34"/>
      <c r="K997" s="34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34"/>
      <c r="J998" s="34"/>
      <c r="K998" s="34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34"/>
      <c r="J999" s="34"/>
      <c r="K999" s="34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34"/>
      <c r="J1000" s="34"/>
      <c r="K1000" s="34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34"/>
      <c r="J1001" s="34"/>
      <c r="K1001" s="34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06" t="s">
        <v>4472</v>
      </c>
    </row>
    <row r="2">
      <c r="A2" s="47" t="s">
        <v>8</v>
      </c>
      <c r="B2" s="47" t="s">
        <v>107</v>
      </c>
      <c r="C2" s="47" t="s">
        <v>5</v>
      </c>
      <c r="D2" s="47" t="s">
        <v>11</v>
      </c>
      <c r="E2" s="47" t="s">
        <v>15</v>
      </c>
      <c r="F2" s="47" t="s">
        <v>9</v>
      </c>
      <c r="G2" s="47" t="s">
        <v>7</v>
      </c>
      <c r="H2" s="47" t="s">
        <v>6</v>
      </c>
      <c r="I2" s="47" t="s">
        <v>4473</v>
      </c>
      <c r="J2" s="47" t="s">
        <v>4</v>
      </c>
      <c r="K2" s="47" t="s">
        <v>13</v>
      </c>
      <c r="L2" s="47" t="s">
        <v>17</v>
      </c>
    </row>
    <row r="3">
      <c r="A3" s="26" t="s">
        <v>1388</v>
      </c>
      <c r="B3" s="26" t="s">
        <v>2128</v>
      </c>
      <c r="C3" s="26" t="s">
        <v>4474</v>
      </c>
      <c r="D3" s="185" t="s">
        <v>4475</v>
      </c>
      <c r="E3" s="185" t="s">
        <v>4476</v>
      </c>
      <c r="F3" s="185" t="s">
        <v>4477</v>
      </c>
      <c r="G3" s="185" t="s">
        <v>4478</v>
      </c>
      <c r="H3" s="26" t="s">
        <v>896</v>
      </c>
      <c r="I3" s="26" t="s">
        <v>4479</v>
      </c>
      <c r="J3" s="26" t="s">
        <v>392</v>
      </c>
      <c r="K3" s="26" t="s">
        <v>2306</v>
      </c>
      <c r="L3" s="26" t="s">
        <v>4480</v>
      </c>
    </row>
    <row r="4">
      <c r="A4" s="26" t="s">
        <v>1406</v>
      </c>
      <c r="B4" s="26" t="s">
        <v>2097</v>
      </c>
      <c r="C4" s="26" t="s">
        <v>816</v>
      </c>
      <c r="D4" s="26" t="s">
        <v>4481</v>
      </c>
      <c r="E4" s="26" t="s">
        <v>4482</v>
      </c>
      <c r="F4" s="26" t="s">
        <v>4483</v>
      </c>
      <c r="G4" s="26" t="s">
        <v>4484</v>
      </c>
      <c r="H4" s="26" t="s">
        <v>1093</v>
      </c>
      <c r="I4" s="26" t="s">
        <v>4485</v>
      </c>
      <c r="J4" s="26" t="s">
        <v>3761</v>
      </c>
      <c r="K4" s="26" t="s">
        <v>4486</v>
      </c>
      <c r="L4" s="26" t="s">
        <v>4487</v>
      </c>
    </row>
    <row r="5">
      <c r="A5" s="26" t="s">
        <v>4488</v>
      </c>
      <c r="B5" s="26" t="s">
        <v>4489</v>
      </c>
      <c r="C5" s="26" t="s">
        <v>835</v>
      </c>
      <c r="D5" s="26" t="s">
        <v>1993</v>
      </c>
      <c r="E5" s="26" t="s">
        <v>4490</v>
      </c>
      <c r="F5" s="26" t="s">
        <v>4491</v>
      </c>
      <c r="G5" s="26" t="s">
        <v>4492</v>
      </c>
      <c r="H5" s="26" t="s">
        <v>907</v>
      </c>
      <c r="I5" s="26" t="s">
        <v>1752</v>
      </c>
      <c r="J5" s="26" t="s">
        <v>4493</v>
      </c>
      <c r="K5" s="26" t="s">
        <v>4494</v>
      </c>
      <c r="L5" s="26" t="s">
        <v>4495</v>
      </c>
    </row>
    <row r="6">
      <c r="A6" s="26" t="s">
        <v>4496</v>
      </c>
      <c r="B6" s="26" t="s">
        <v>4497</v>
      </c>
      <c r="C6" s="26" t="s">
        <v>4498</v>
      </c>
      <c r="D6" s="26" t="s">
        <v>4499</v>
      </c>
      <c r="E6" s="26" t="s">
        <v>4500</v>
      </c>
      <c r="F6" s="26" t="s">
        <v>4501</v>
      </c>
      <c r="G6" s="26" t="s">
        <v>4502</v>
      </c>
      <c r="H6" s="26" t="s">
        <v>920</v>
      </c>
      <c r="I6" s="26" t="s">
        <v>1754</v>
      </c>
      <c r="J6" s="26" t="s">
        <v>4503</v>
      </c>
      <c r="K6" s="26" t="s">
        <v>3769</v>
      </c>
      <c r="L6" s="26" t="s">
        <v>4504</v>
      </c>
    </row>
    <row r="7">
      <c r="A7" s="26" t="s">
        <v>4505</v>
      </c>
      <c r="B7" s="26" t="s">
        <v>4506</v>
      </c>
      <c r="C7" s="26" t="s">
        <v>4507</v>
      </c>
      <c r="D7" s="26" t="s">
        <v>4508</v>
      </c>
      <c r="E7" s="26" t="s">
        <v>4509</v>
      </c>
      <c r="F7" s="26" t="s">
        <v>4510</v>
      </c>
      <c r="G7" s="26" t="s">
        <v>4511</v>
      </c>
      <c r="H7" s="26" t="s">
        <v>1051</v>
      </c>
      <c r="I7" s="26" t="s">
        <v>4512</v>
      </c>
      <c r="J7" s="26" t="s">
        <v>4513</v>
      </c>
      <c r="K7" s="26" t="s">
        <v>2263</v>
      </c>
      <c r="L7" s="26" t="s">
        <v>4514</v>
      </c>
    </row>
    <row r="8">
      <c r="A8" s="26" t="s">
        <v>4515</v>
      </c>
      <c r="B8" s="26" t="s">
        <v>4516</v>
      </c>
      <c r="C8" s="26" t="s">
        <v>770</v>
      </c>
      <c r="D8" s="26" t="s">
        <v>4517</v>
      </c>
      <c r="E8" s="26" t="s">
        <v>4518</v>
      </c>
      <c r="F8" s="26" t="s">
        <v>4519</v>
      </c>
      <c r="G8" s="26" t="s">
        <v>4520</v>
      </c>
      <c r="I8" s="26" t="s">
        <v>4521</v>
      </c>
      <c r="J8" s="26" t="s">
        <v>4522</v>
      </c>
      <c r="K8" s="26" t="s">
        <v>2358</v>
      </c>
      <c r="L8" s="26" t="s">
        <v>4142</v>
      </c>
    </row>
    <row r="9">
      <c r="A9" s="26" t="s">
        <v>4523</v>
      </c>
      <c r="B9" s="26" t="s">
        <v>4524</v>
      </c>
      <c r="C9" s="26" t="s">
        <v>4525</v>
      </c>
      <c r="D9" s="26" t="s">
        <v>4526</v>
      </c>
      <c r="E9" s="26" t="s">
        <v>4527</v>
      </c>
      <c r="F9" s="26" t="s">
        <v>4528</v>
      </c>
      <c r="I9" s="26" t="s">
        <v>4529</v>
      </c>
      <c r="J9" s="26" t="s">
        <v>4530</v>
      </c>
      <c r="K9" s="26" t="s">
        <v>4531</v>
      </c>
      <c r="L9" s="26" t="s">
        <v>4151</v>
      </c>
    </row>
    <row r="10">
      <c r="A10" s="26" t="s">
        <v>4532</v>
      </c>
      <c r="B10" s="26" t="s">
        <v>4533</v>
      </c>
      <c r="C10" s="26" t="s">
        <v>4534</v>
      </c>
      <c r="D10" s="26" t="s">
        <v>4535</v>
      </c>
      <c r="E10" s="26" t="s">
        <v>4536</v>
      </c>
      <c r="F10" s="26" t="s">
        <v>4537</v>
      </c>
      <c r="H10" s="186"/>
      <c r="I10" s="26" t="s">
        <v>4538</v>
      </c>
      <c r="J10" s="26" t="s">
        <v>4539</v>
      </c>
      <c r="K10" s="26" t="s">
        <v>4540</v>
      </c>
      <c r="L10" s="26" t="s">
        <v>4541</v>
      </c>
    </row>
    <row r="11">
      <c r="A11" s="26" t="s">
        <v>4542</v>
      </c>
      <c r="B11" s="26" t="s">
        <v>4543</v>
      </c>
      <c r="D11" s="26" t="s">
        <v>4544</v>
      </c>
      <c r="E11" s="26" t="s">
        <v>4545</v>
      </c>
      <c r="F11" s="26" t="s">
        <v>4546</v>
      </c>
      <c r="I11" s="26" t="s">
        <v>4547</v>
      </c>
      <c r="J11" s="26" t="s">
        <v>4548</v>
      </c>
      <c r="K11" s="26" t="s">
        <v>4549</v>
      </c>
      <c r="L11" s="26" t="s">
        <v>4550</v>
      </c>
    </row>
    <row r="12">
      <c r="A12" s="26" t="s">
        <v>4551</v>
      </c>
      <c r="B12" s="26" t="s">
        <v>4552</v>
      </c>
      <c r="D12" s="26" t="s">
        <v>4553</v>
      </c>
      <c r="E12" s="26" t="s">
        <v>3798</v>
      </c>
      <c r="F12" s="26" t="s">
        <v>4554</v>
      </c>
      <c r="I12" s="26" t="s">
        <v>4555</v>
      </c>
      <c r="J12" s="26" t="s">
        <v>4556</v>
      </c>
      <c r="K12" s="26" t="s">
        <v>4557</v>
      </c>
      <c r="L12" s="26" t="s">
        <v>4558</v>
      </c>
    </row>
    <row r="13">
      <c r="A13" s="26" t="s">
        <v>2337</v>
      </c>
      <c r="B13" s="26" t="s">
        <v>4559</v>
      </c>
      <c r="D13" s="26" t="s">
        <v>4560</v>
      </c>
      <c r="E13" s="26" t="s">
        <v>4561</v>
      </c>
      <c r="F13" s="26" t="s">
        <v>4562</v>
      </c>
      <c r="I13" s="26" t="s">
        <v>4563</v>
      </c>
      <c r="J13" s="26" t="s">
        <v>4564</v>
      </c>
      <c r="L13" s="26" t="s">
        <v>4565</v>
      </c>
    </row>
    <row r="14">
      <c r="A14" s="26" t="s">
        <v>4566</v>
      </c>
      <c r="B14" s="26" t="s">
        <v>4567</v>
      </c>
      <c r="D14" s="26" t="s">
        <v>4568</v>
      </c>
      <c r="E14" s="26" t="s">
        <v>4569</v>
      </c>
      <c r="F14" s="26" t="s">
        <v>4570</v>
      </c>
      <c r="I14" s="26" t="s">
        <v>4571</v>
      </c>
      <c r="J14" s="26" t="s">
        <v>4572</v>
      </c>
      <c r="L14" s="26" t="s">
        <v>4573</v>
      </c>
    </row>
    <row r="15">
      <c r="A15" s="26" t="s">
        <v>4574</v>
      </c>
      <c r="B15" s="26" t="s">
        <v>4575</v>
      </c>
      <c r="D15" s="26" t="s">
        <v>4576</v>
      </c>
      <c r="E15" s="26" t="s">
        <v>4577</v>
      </c>
      <c r="F15" s="26" t="s">
        <v>4578</v>
      </c>
      <c r="I15" s="26" t="s">
        <v>4579</v>
      </c>
      <c r="J15" s="26" t="s">
        <v>310</v>
      </c>
      <c r="L15" s="26" t="s">
        <v>4580</v>
      </c>
    </row>
    <row r="16">
      <c r="A16" s="26" t="s">
        <v>4581</v>
      </c>
      <c r="B16" s="26" t="s">
        <v>4582</v>
      </c>
      <c r="E16" s="26" t="s">
        <v>4583</v>
      </c>
      <c r="I16" s="26" t="s">
        <v>4584</v>
      </c>
      <c r="J16" s="26" t="s">
        <v>4585</v>
      </c>
      <c r="L16" s="26" t="s">
        <v>4586</v>
      </c>
    </row>
    <row r="17">
      <c r="A17" s="26" t="s">
        <v>4587</v>
      </c>
      <c r="B17" s="26" t="s">
        <v>4588</v>
      </c>
      <c r="E17" s="26" t="s">
        <v>4589</v>
      </c>
      <c r="J17" s="26" t="s">
        <v>4590</v>
      </c>
      <c r="L17" s="26" t="s">
        <v>4591</v>
      </c>
    </row>
    <row r="18">
      <c r="B18" s="26" t="s">
        <v>4592</v>
      </c>
      <c r="E18" s="26" t="s">
        <v>4593</v>
      </c>
      <c r="J18" s="26" t="s">
        <v>4594</v>
      </c>
    </row>
    <row r="19">
      <c r="B19" s="26" t="s">
        <v>4595</v>
      </c>
      <c r="J19" s="26" t="s">
        <v>4596</v>
      </c>
    </row>
    <row r="20">
      <c r="B20" s="26" t="s">
        <v>4597</v>
      </c>
      <c r="J20" s="26" t="s">
        <v>4598</v>
      </c>
      <c r="K20" s="26"/>
    </row>
    <row r="21">
      <c r="B21" s="26" t="s">
        <v>4599</v>
      </c>
    </row>
    <row r="22">
      <c r="B22" s="26" t="s">
        <v>4600</v>
      </c>
    </row>
    <row r="23">
      <c r="B23" s="26" t="s">
        <v>4601</v>
      </c>
    </row>
    <row r="24">
      <c r="B24" s="26" t="s">
        <v>4602</v>
      </c>
    </row>
    <row r="25">
      <c r="B25" s="26" t="s">
        <v>4603</v>
      </c>
      <c r="K25" s="26"/>
    </row>
    <row r="26">
      <c r="B26" s="26" t="s">
        <v>4604</v>
      </c>
      <c r="K26" s="26"/>
    </row>
    <row r="27">
      <c r="B27" s="26" t="s">
        <v>4605</v>
      </c>
    </row>
    <row r="28">
      <c r="B28" s="26" t="s">
        <v>4606</v>
      </c>
    </row>
    <row r="29">
      <c r="B29" s="26" t="s">
        <v>4607</v>
      </c>
    </row>
    <row r="30">
      <c r="B30" s="26" t="s">
        <v>4608</v>
      </c>
    </row>
    <row r="32">
      <c r="A32" s="106" t="s">
        <v>4609</v>
      </c>
    </row>
    <row r="33">
      <c r="A33" s="38" t="s">
        <v>512</v>
      </c>
      <c r="B33" s="38" t="s">
        <v>513</v>
      </c>
      <c r="C33" s="38" t="s">
        <v>196</v>
      </c>
      <c r="D33" s="38" t="s">
        <v>514</v>
      </c>
      <c r="E33" s="38" t="s">
        <v>182</v>
      </c>
      <c r="F33" s="38" t="s">
        <v>515</v>
      </c>
      <c r="G33" s="38" t="s">
        <v>516</v>
      </c>
      <c r="H33" s="38" t="s">
        <v>185</v>
      </c>
    </row>
    <row r="34">
      <c r="A34" s="26" t="s">
        <v>4610</v>
      </c>
      <c r="B34" s="26" t="s">
        <v>4611</v>
      </c>
      <c r="C34" s="26" t="s">
        <v>4612</v>
      </c>
      <c r="D34" s="26" t="s">
        <v>4613</v>
      </c>
      <c r="E34" s="26" t="s">
        <v>4614</v>
      </c>
      <c r="F34" s="26" t="s">
        <v>4615</v>
      </c>
      <c r="G34" s="26" t="s">
        <v>4616</v>
      </c>
      <c r="H34" s="26" t="s">
        <v>4617</v>
      </c>
    </row>
    <row r="35">
      <c r="A35" s="26" t="s">
        <v>4618</v>
      </c>
      <c r="B35" s="26" t="s">
        <v>4619</v>
      </c>
      <c r="C35" s="26" t="s">
        <v>4620</v>
      </c>
      <c r="D35" s="26" t="s">
        <v>4621</v>
      </c>
      <c r="E35" s="26" t="s">
        <v>4622</v>
      </c>
      <c r="F35" s="26" t="s">
        <v>4623</v>
      </c>
      <c r="G35" s="26" t="s">
        <v>4624</v>
      </c>
      <c r="H35" s="26" t="s">
        <v>4625</v>
      </c>
    </row>
    <row r="36">
      <c r="A36" s="26" t="s">
        <v>4626</v>
      </c>
      <c r="B36" s="26" t="s">
        <v>4627</v>
      </c>
      <c r="C36" s="26" t="s">
        <v>4628</v>
      </c>
      <c r="D36" s="26" t="s">
        <v>4629</v>
      </c>
      <c r="E36" s="26" t="s">
        <v>4630</v>
      </c>
      <c r="F36" s="26" t="s">
        <v>4631</v>
      </c>
      <c r="G36" s="26" t="s">
        <v>4632</v>
      </c>
      <c r="H36" s="26" t="s">
        <v>4633</v>
      </c>
    </row>
    <row r="37">
      <c r="A37" s="26" t="s">
        <v>4634</v>
      </c>
      <c r="B37" s="26" t="s">
        <v>4635</v>
      </c>
      <c r="C37" s="26" t="s">
        <v>4636</v>
      </c>
      <c r="D37" s="26" t="s">
        <v>4637</v>
      </c>
      <c r="E37" s="26" t="s">
        <v>4638</v>
      </c>
      <c r="F37" s="26" t="s">
        <v>4639</v>
      </c>
      <c r="G37" s="26" t="s">
        <v>4640</v>
      </c>
      <c r="H37" s="26" t="s">
        <v>4641</v>
      </c>
    </row>
    <row r="38">
      <c r="A38" s="26" t="s">
        <v>4642</v>
      </c>
      <c r="B38" s="26" t="s">
        <v>4643</v>
      </c>
      <c r="C38" s="26" t="s">
        <v>4644</v>
      </c>
      <c r="D38" s="26" t="s">
        <v>4645</v>
      </c>
      <c r="E38" s="26" t="s">
        <v>4646</v>
      </c>
      <c r="F38" s="26" t="s">
        <v>4647</v>
      </c>
      <c r="G38" s="26" t="s">
        <v>4648</v>
      </c>
      <c r="H38" s="26" t="s">
        <v>4649</v>
      </c>
    </row>
    <row r="39">
      <c r="A39" s="26" t="s">
        <v>4650</v>
      </c>
      <c r="B39" s="26" t="s">
        <v>4651</v>
      </c>
      <c r="C39" s="26" t="s">
        <v>4652</v>
      </c>
      <c r="D39" s="26" t="s">
        <v>4653</v>
      </c>
      <c r="E39" s="26" t="s">
        <v>4654</v>
      </c>
      <c r="F39" s="26" t="s">
        <v>4655</v>
      </c>
      <c r="G39" s="26" t="s">
        <v>4656</v>
      </c>
      <c r="H39" s="26" t="s">
        <v>4657</v>
      </c>
    </row>
    <row r="40">
      <c r="A40" s="26" t="s">
        <v>4658</v>
      </c>
      <c r="B40" s="26" t="s">
        <v>4659</v>
      </c>
      <c r="C40" s="26" t="s">
        <v>4660</v>
      </c>
      <c r="D40" s="26" t="s">
        <v>4661</v>
      </c>
      <c r="E40" s="26" t="s">
        <v>4662</v>
      </c>
      <c r="F40" s="26" t="s">
        <v>4663</v>
      </c>
      <c r="G40" s="26" t="s">
        <v>4664</v>
      </c>
      <c r="H40" s="26" t="s">
        <v>4665</v>
      </c>
    </row>
    <row r="41">
      <c r="A41" s="26" t="s">
        <v>4666</v>
      </c>
      <c r="B41" s="26" t="s">
        <v>4667</v>
      </c>
      <c r="C41" s="26" t="s">
        <v>4668</v>
      </c>
      <c r="D41" s="26" t="s">
        <v>4669</v>
      </c>
      <c r="E41" s="26" t="s">
        <v>4670</v>
      </c>
      <c r="F41" s="26" t="s">
        <v>4671</v>
      </c>
      <c r="G41" s="26" t="s">
        <v>4672</v>
      </c>
      <c r="H41" s="26" t="s">
        <v>4673</v>
      </c>
    </row>
    <row r="42">
      <c r="A42" s="26" t="s">
        <v>4674</v>
      </c>
      <c r="B42" s="26" t="s">
        <v>4675</v>
      </c>
      <c r="C42" s="26" t="s">
        <v>4676</v>
      </c>
      <c r="D42" s="26" t="s">
        <v>4677</v>
      </c>
      <c r="E42" s="26" t="s">
        <v>4678</v>
      </c>
      <c r="F42" s="26" t="s">
        <v>4679</v>
      </c>
      <c r="G42" s="26" t="s">
        <v>4680</v>
      </c>
      <c r="H42" s="26" t="s">
        <v>4681</v>
      </c>
    </row>
    <row r="43">
      <c r="A43" s="26" t="s">
        <v>4682</v>
      </c>
      <c r="B43" s="26" t="s">
        <v>4683</v>
      </c>
      <c r="C43" s="26" t="s">
        <v>4684</v>
      </c>
      <c r="D43" s="26" t="s">
        <v>4685</v>
      </c>
      <c r="E43" s="26" t="s">
        <v>4686</v>
      </c>
      <c r="F43" s="26" t="s">
        <v>4687</v>
      </c>
      <c r="G43" s="26" t="s">
        <v>4688</v>
      </c>
      <c r="H43" s="26" t="s">
        <v>4689</v>
      </c>
    </row>
    <row r="44">
      <c r="A44" s="26" t="s">
        <v>4690</v>
      </c>
      <c r="B44" s="26" t="s">
        <v>4691</v>
      </c>
      <c r="C44" s="26" t="s">
        <v>4692</v>
      </c>
      <c r="D44" s="26" t="s">
        <v>4693</v>
      </c>
      <c r="E44" s="26" t="s">
        <v>4694</v>
      </c>
      <c r="F44" s="26" t="s">
        <v>4695</v>
      </c>
      <c r="G44" s="26" t="s">
        <v>4696</v>
      </c>
      <c r="H44" s="26" t="s">
        <v>4697</v>
      </c>
    </row>
    <row r="45">
      <c r="A45" s="26" t="s">
        <v>4698</v>
      </c>
      <c r="B45" s="26" t="s">
        <v>4699</v>
      </c>
      <c r="C45" s="26" t="s">
        <v>4700</v>
      </c>
      <c r="D45" s="26" t="s">
        <v>4701</v>
      </c>
      <c r="E45" s="26" t="s">
        <v>4702</v>
      </c>
      <c r="F45" s="26" t="s">
        <v>4703</v>
      </c>
      <c r="G45" s="26" t="s">
        <v>4704</v>
      </c>
      <c r="H45" s="26" t="s">
        <v>4705</v>
      </c>
    </row>
    <row r="46">
      <c r="A46" s="26" t="s">
        <v>4706</v>
      </c>
      <c r="B46" s="26" t="s">
        <v>4707</v>
      </c>
      <c r="C46" s="26" t="s">
        <v>4708</v>
      </c>
      <c r="D46" s="26" t="s">
        <v>4709</v>
      </c>
      <c r="E46" s="26" t="s">
        <v>4710</v>
      </c>
      <c r="F46" s="26" t="s">
        <v>4711</v>
      </c>
      <c r="G46" s="26" t="s">
        <v>4712</v>
      </c>
      <c r="H46" s="26" t="s">
        <v>4713</v>
      </c>
    </row>
    <row r="47">
      <c r="A47" s="26" t="s">
        <v>4714</v>
      </c>
      <c r="B47" s="26" t="s">
        <v>4715</v>
      </c>
      <c r="C47" s="26" t="s">
        <v>4716</v>
      </c>
      <c r="D47" s="26" t="s">
        <v>4717</v>
      </c>
      <c r="E47" s="26" t="s">
        <v>4718</v>
      </c>
      <c r="F47" s="26" t="s">
        <v>4719</v>
      </c>
      <c r="G47" s="26" t="s">
        <v>4720</v>
      </c>
      <c r="H47" s="26" t="s">
        <v>4721</v>
      </c>
    </row>
    <row r="48">
      <c r="A48" s="26" t="s">
        <v>4722</v>
      </c>
      <c r="B48" s="26" t="s">
        <v>4723</v>
      </c>
      <c r="C48" s="26" t="s">
        <v>4724</v>
      </c>
      <c r="D48" s="26" t="s">
        <v>4725</v>
      </c>
      <c r="E48" s="26" t="s">
        <v>4726</v>
      </c>
      <c r="F48" s="26" t="s">
        <v>4727</v>
      </c>
      <c r="G48" s="26" t="s">
        <v>4728</v>
      </c>
      <c r="H48" s="26" t="s">
        <v>4729</v>
      </c>
    </row>
    <row r="49">
      <c r="A49" s="26" t="s">
        <v>4730</v>
      </c>
      <c r="B49" s="26" t="s">
        <v>4731</v>
      </c>
      <c r="C49" s="26" t="s">
        <v>4732</v>
      </c>
      <c r="D49" s="26" t="s">
        <v>4733</v>
      </c>
      <c r="E49" s="26" t="s">
        <v>4734</v>
      </c>
      <c r="F49" s="26" t="s">
        <v>4735</v>
      </c>
      <c r="G49" s="26" t="s">
        <v>4736</v>
      </c>
      <c r="H49" s="26" t="s">
        <v>4737</v>
      </c>
    </row>
    <row r="50">
      <c r="A50" s="26" t="s">
        <v>4738</v>
      </c>
      <c r="B50" s="26" t="s">
        <v>4739</v>
      </c>
      <c r="C50" s="26" t="s">
        <v>4740</v>
      </c>
      <c r="D50" s="26" t="s">
        <v>4741</v>
      </c>
      <c r="G50" s="26" t="s">
        <v>4742</v>
      </c>
    </row>
    <row r="51">
      <c r="B51" s="26" t="s">
        <v>4743</v>
      </c>
      <c r="C51" s="26" t="s">
        <v>4744</v>
      </c>
      <c r="D51" s="26" t="s">
        <v>4745</v>
      </c>
      <c r="G51" s="26" t="s">
        <v>4746</v>
      </c>
    </row>
    <row r="54">
      <c r="A54" s="181" t="s">
        <v>3683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82" t="s">
        <v>2793</v>
      </c>
      <c r="B55" s="182" t="s">
        <v>3368</v>
      </c>
      <c r="C55" s="110" t="s">
        <v>3369</v>
      </c>
      <c r="D55" s="182" t="s">
        <v>2794</v>
      </c>
      <c r="E55" s="182" t="s">
        <v>3684</v>
      </c>
      <c r="F55" s="182" t="s">
        <v>3154</v>
      </c>
      <c r="G55" s="182" t="s">
        <v>120</v>
      </c>
      <c r="H55" s="182" t="s">
        <v>115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4747</v>
      </c>
      <c r="B56" s="4" t="s">
        <v>3356</v>
      </c>
      <c r="C56" s="4" t="s">
        <v>4748</v>
      </c>
      <c r="D56" s="4" t="s">
        <v>182</v>
      </c>
      <c r="E56" s="4" t="s">
        <v>4749</v>
      </c>
      <c r="F56" s="4" t="s">
        <v>4750</v>
      </c>
      <c r="G56" s="4" t="s">
        <v>4750</v>
      </c>
      <c r="H56" s="4" t="s">
        <v>4750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4751</v>
      </c>
      <c r="B57" s="4" t="s">
        <v>3356</v>
      </c>
      <c r="C57" s="4" t="s">
        <v>4752</v>
      </c>
      <c r="D57" s="4" t="s">
        <v>196</v>
      </c>
      <c r="E57" s="4" t="s">
        <v>4753</v>
      </c>
      <c r="F57" s="4" t="s">
        <v>4754</v>
      </c>
      <c r="G57" s="4" t="s">
        <v>4754</v>
      </c>
      <c r="H57" s="4" t="s">
        <v>4755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4756</v>
      </c>
      <c r="B58" s="4" t="s">
        <v>4757</v>
      </c>
      <c r="C58" s="4" t="s">
        <v>4758</v>
      </c>
      <c r="D58" s="4" t="s">
        <v>515</v>
      </c>
      <c r="E58" s="4" t="s">
        <v>4749</v>
      </c>
      <c r="F58" s="4" t="s">
        <v>4759</v>
      </c>
      <c r="G58" s="4" t="s">
        <v>4760</v>
      </c>
      <c r="H58" s="4" t="s">
        <v>4761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4762</v>
      </c>
      <c r="B59" s="4" t="s">
        <v>4757</v>
      </c>
      <c r="C59" s="4" t="s">
        <v>4763</v>
      </c>
      <c r="D59" s="4" t="s">
        <v>179</v>
      </c>
      <c r="E59" s="4" t="s">
        <v>4764</v>
      </c>
      <c r="F59" s="4" t="s">
        <v>4765</v>
      </c>
      <c r="G59" s="4" t="s">
        <v>4766</v>
      </c>
      <c r="H59" s="4" t="s">
        <v>4767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4768</v>
      </c>
      <c r="B60" s="4" t="s">
        <v>4769</v>
      </c>
      <c r="C60" s="4" t="s">
        <v>4770</v>
      </c>
      <c r="D60" s="4" t="s">
        <v>182</v>
      </c>
      <c r="E60" s="4" t="s">
        <v>4771</v>
      </c>
      <c r="F60" s="4" t="s">
        <v>4772</v>
      </c>
      <c r="G60" s="4" t="s">
        <v>4772</v>
      </c>
      <c r="H60" s="4" t="s">
        <v>4773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4774</v>
      </c>
      <c r="B61" s="4" t="s">
        <v>4769</v>
      </c>
      <c r="C61" s="4" t="s">
        <v>4775</v>
      </c>
      <c r="D61" s="4" t="s">
        <v>516</v>
      </c>
      <c r="E61" s="4" t="s">
        <v>4749</v>
      </c>
      <c r="F61" s="4" t="s">
        <v>4776</v>
      </c>
      <c r="G61" s="4" t="s">
        <v>4777</v>
      </c>
      <c r="H61" s="4" t="s">
        <v>4778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4779</v>
      </c>
      <c r="B62" s="4" t="s">
        <v>4780</v>
      </c>
      <c r="C62" s="4" t="s">
        <v>4781</v>
      </c>
      <c r="D62" s="4" t="s">
        <v>185</v>
      </c>
      <c r="E62" s="4" t="s">
        <v>4782</v>
      </c>
      <c r="F62" s="4" t="s">
        <v>4783</v>
      </c>
      <c r="G62" s="4" t="s">
        <v>4783</v>
      </c>
      <c r="H62" s="4" t="s">
        <v>4784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4785</v>
      </c>
      <c r="B63" s="4" t="s">
        <v>4780</v>
      </c>
      <c r="C63" s="4" t="s">
        <v>4763</v>
      </c>
      <c r="D63" s="4" t="s">
        <v>515</v>
      </c>
      <c r="E63" s="4" t="s">
        <v>4771</v>
      </c>
      <c r="F63" s="4" t="s">
        <v>4786</v>
      </c>
      <c r="G63" s="4" t="s">
        <v>4786</v>
      </c>
      <c r="H63" s="4" t="s">
        <v>4787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4788</v>
      </c>
      <c r="B64" s="4" t="s">
        <v>4789</v>
      </c>
      <c r="C64" s="4" t="s">
        <v>4770</v>
      </c>
      <c r="D64" s="4" t="s">
        <v>516</v>
      </c>
      <c r="E64" s="4" t="s">
        <v>4790</v>
      </c>
      <c r="F64" s="4" t="s">
        <v>4791</v>
      </c>
      <c r="G64" s="4" t="s">
        <v>4792</v>
      </c>
      <c r="H64" s="4" t="s">
        <v>4791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4793</v>
      </c>
      <c r="B65" s="4" t="s">
        <v>4789</v>
      </c>
      <c r="C65" s="4" t="s">
        <v>4758</v>
      </c>
      <c r="D65" s="4" t="s">
        <v>179</v>
      </c>
      <c r="E65" s="4" t="s">
        <v>4771</v>
      </c>
      <c r="F65" s="4" t="s">
        <v>4794</v>
      </c>
      <c r="G65" s="4" t="s">
        <v>4795</v>
      </c>
      <c r="H65" s="4" t="s">
        <v>4796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4797</v>
      </c>
      <c r="B66" s="4" t="s">
        <v>4798</v>
      </c>
      <c r="C66" s="4" t="s">
        <v>4752</v>
      </c>
      <c r="D66" s="4" t="s">
        <v>196</v>
      </c>
      <c r="E66" s="4" t="s">
        <v>4799</v>
      </c>
      <c r="F66" s="4" t="s">
        <v>4800</v>
      </c>
      <c r="G66" s="4" t="s">
        <v>4800</v>
      </c>
      <c r="H66" s="4" t="s">
        <v>4801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4" t="s">
        <v>4802</v>
      </c>
      <c r="B67" s="4" t="s">
        <v>4798</v>
      </c>
      <c r="C67" s="4" t="s">
        <v>4803</v>
      </c>
      <c r="D67" s="4" t="s">
        <v>514</v>
      </c>
      <c r="E67" s="4" t="s">
        <v>4804</v>
      </c>
      <c r="F67" s="4" t="s">
        <v>4805</v>
      </c>
      <c r="G67" s="4" t="s">
        <v>4806</v>
      </c>
      <c r="H67" s="4" t="s">
        <v>4805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4807</v>
      </c>
      <c r="B68" s="4" t="s">
        <v>4808</v>
      </c>
      <c r="C68" s="4" t="s">
        <v>4770</v>
      </c>
      <c r="D68" s="4" t="s">
        <v>196</v>
      </c>
      <c r="E68" s="4" t="s">
        <v>4809</v>
      </c>
      <c r="F68" s="4" t="s">
        <v>4810</v>
      </c>
      <c r="G68" s="4" t="s">
        <v>4811</v>
      </c>
      <c r="H68" s="4" t="s">
        <v>4812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4813</v>
      </c>
      <c r="B69" s="4" t="s">
        <v>4808</v>
      </c>
      <c r="C69" s="4" t="s">
        <v>4775</v>
      </c>
      <c r="D69" s="4" t="s">
        <v>182</v>
      </c>
      <c r="E69" s="4" t="s">
        <v>4749</v>
      </c>
      <c r="F69" s="4" t="s">
        <v>4814</v>
      </c>
      <c r="G69" s="4" t="s">
        <v>4814</v>
      </c>
      <c r="H69" s="4" t="s">
        <v>4791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4768</v>
      </c>
      <c r="B70" s="4" t="s">
        <v>4815</v>
      </c>
      <c r="C70" s="4" t="s">
        <v>4748</v>
      </c>
      <c r="D70" s="4" t="s">
        <v>182</v>
      </c>
      <c r="E70" s="4" t="s">
        <v>4816</v>
      </c>
      <c r="F70" s="4" t="s">
        <v>4817</v>
      </c>
      <c r="G70" s="4" t="s">
        <v>4817</v>
      </c>
      <c r="H70" s="4" t="s">
        <v>4818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4819</v>
      </c>
      <c r="B71" s="4" t="s">
        <v>4815</v>
      </c>
      <c r="C71" s="4" t="s">
        <v>4803</v>
      </c>
      <c r="D71" s="4" t="s">
        <v>185</v>
      </c>
      <c r="E71" s="4" t="s">
        <v>4790</v>
      </c>
      <c r="F71" s="4" t="s">
        <v>4820</v>
      </c>
      <c r="G71" s="4" t="s">
        <v>4820</v>
      </c>
      <c r="H71" s="4" t="s">
        <v>4761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4" t="s">
        <v>4821</v>
      </c>
      <c r="B72" s="4" t="s">
        <v>4822</v>
      </c>
      <c r="C72" s="4" t="s">
        <v>4752</v>
      </c>
      <c r="D72" s="4" t="s">
        <v>196</v>
      </c>
      <c r="E72" s="4" t="s">
        <v>4823</v>
      </c>
      <c r="F72" s="4" t="s">
        <v>4812</v>
      </c>
      <c r="G72" s="4" t="s">
        <v>4776</v>
      </c>
      <c r="H72" s="4" t="s">
        <v>4824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4825</v>
      </c>
      <c r="B73" s="4" t="s">
        <v>4822</v>
      </c>
      <c r="C73" s="4" t="s">
        <v>4781</v>
      </c>
      <c r="D73" s="4" t="s">
        <v>179</v>
      </c>
      <c r="E73" s="4" t="s">
        <v>4790</v>
      </c>
      <c r="F73" s="4" t="s">
        <v>4826</v>
      </c>
      <c r="G73" s="4" t="s">
        <v>4827</v>
      </c>
      <c r="H73" s="4" t="s">
        <v>4767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4828</v>
      </c>
      <c r="B74" s="4" t="s">
        <v>4829</v>
      </c>
      <c r="C74" s="4" t="s">
        <v>4803</v>
      </c>
      <c r="D74" s="4" t="s">
        <v>185</v>
      </c>
      <c r="E74" s="4" t="s">
        <v>4830</v>
      </c>
      <c r="F74" s="4" t="s">
        <v>4831</v>
      </c>
      <c r="G74" s="4" t="s">
        <v>4832</v>
      </c>
      <c r="H74" s="4" t="s">
        <v>4831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4833</v>
      </c>
      <c r="B75" s="4" t="s">
        <v>4829</v>
      </c>
      <c r="C75" s="4" t="s">
        <v>4758</v>
      </c>
      <c r="D75" s="4" t="s">
        <v>514</v>
      </c>
      <c r="E75" s="4" t="s">
        <v>4834</v>
      </c>
      <c r="F75" s="4" t="s">
        <v>4835</v>
      </c>
      <c r="G75" s="4" t="s">
        <v>4836</v>
      </c>
      <c r="H75" s="4" t="s">
        <v>4837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4838</v>
      </c>
      <c r="B76" s="4" t="s">
        <v>4839</v>
      </c>
      <c r="C76" s="4" t="s">
        <v>4775</v>
      </c>
      <c r="D76" s="4" t="s">
        <v>4840</v>
      </c>
      <c r="E76" s="4" t="s">
        <v>4799</v>
      </c>
      <c r="F76" s="4" t="s">
        <v>4818</v>
      </c>
      <c r="G76" s="4" t="s">
        <v>4841</v>
      </c>
      <c r="H76" s="4" t="s">
        <v>4818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4" t="s">
        <v>4842</v>
      </c>
      <c r="B77" s="4" t="s">
        <v>4839</v>
      </c>
      <c r="C77" s="4" t="s">
        <v>4781</v>
      </c>
      <c r="D77" s="4" t="s">
        <v>515</v>
      </c>
      <c r="E77" s="4" t="s">
        <v>4749</v>
      </c>
      <c r="F77" s="4" t="s">
        <v>4759</v>
      </c>
      <c r="G77" s="4" t="s">
        <v>4843</v>
      </c>
      <c r="H77" s="4" t="s">
        <v>4759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4844</v>
      </c>
      <c r="B78" s="4" t="s">
        <v>4845</v>
      </c>
      <c r="C78" s="4" t="s">
        <v>4763</v>
      </c>
      <c r="D78" s="4" t="s">
        <v>514</v>
      </c>
      <c r="E78" s="4" t="s">
        <v>4834</v>
      </c>
      <c r="F78" s="4" t="s">
        <v>4836</v>
      </c>
      <c r="G78" s="4" t="s">
        <v>4846</v>
      </c>
      <c r="H78" s="4" t="s">
        <v>4836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4797</v>
      </c>
      <c r="B79" s="4" t="s">
        <v>4845</v>
      </c>
      <c r="C79" s="4" t="s">
        <v>4748</v>
      </c>
      <c r="D79" s="4" t="s">
        <v>182</v>
      </c>
      <c r="E79" s="4" t="s">
        <v>4847</v>
      </c>
      <c r="F79" s="4" t="s">
        <v>4772</v>
      </c>
      <c r="G79" s="4" t="s">
        <v>4848</v>
      </c>
      <c r="H79" s="4" t="s">
        <v>4772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4849</v>
      </c>
      <c r="B80" s="4" t="s">
        <v>4850</v>
      </c>
      <c r="C80" s="4" t="s">
        <v>4752</v>
      </c>
      <c r="D80" s="4" t="s">
        <v>179</v>
      </c>
      <c r="E80" s="4" t="s">
        <v>4749</v>
      </c>
      <c r="F80" s="4" t="s">
        <v>4832</v>
      </c>
      <c r="G80" s="4" t="s">
        <v>4851</v>
      </c>
      <c r="H80" s="4" t="s">
        <v>4832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4852</v>
      </c>
      <c r="B81" s="4" t="s">
        <v>4853</v>
      </c>
      <c r="C81" s="4" t="s">
        <v>4770</v>
      </c>
      <c r="D81" s="4" t="s">
        <v>185</v>
      </c>
      <c r="E81" s="4" t="s">
        <v>4749</v>
      </c>
      <c r="F81" s="4" t="s">
        <v>4831</v>
      </c>
      <c r="G81" s="4" t="s">
        <v>4831</v>
      </c>
      <c r="H81" s="4" t="s">
        <v>4831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4" t="s">
        <v>4854</v>
      </c>
      <c r="B82" s="4" t="s">
        <v>4855</v>
      </c>
      <c r="C82" s="4" t="s">
        <v>4781</v>
      </c>
      <c r="D82" s="4" t="s">
        <v>182</v>
      </c>
      <c r="E82" s="4" t="s">
        <v>4749</v>
      </c>
      <c r="F82" s="4" t="s">
        <v>4814</v>
      </c>
      <c r="G82" s="4" t="s">
        <v>4817</v>
      </c>
      <c r="H82" s="4" t="s">
        <v>4814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4856</v>
      </c>
      <c r="B83" s="4" t="s">
        <v>3073</v>
      </c>
      <c r="C83" s="4" t="s">
        <v>4763</v>
      </c>
      <c r="D83" s="4" t="s">
        <v>182</v>
      </c>
      <c r="E83" s="4" t="s">
        <v>4857</v>
      </c>
      <c r="F83" s="4" t="s">
        <v>4773</v>
      </c>
      <c r="G83" s="4" t="s">
        <v>4773</v>
      </c>
      <c r="H83" s="4" t="s">
        <v>4783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8" t="s">
        <v>3425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6" t="s">
        <v>92</v>
      </c>
      <c r="B87" s="106" t="s">
        <v>93</v>
      </c>
      <c r="C87" s="106" t="s">
        <v>94</v>
      </c>
      <c r="D87" s="106" t="s">
        <v>95</v>
      </c>
      <c r="E87" s="106" t="s">
        <v>2883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177</v>
      </c>
      <c r="B88" s="4" t="s">
        <v>178</v>
      </c>
      <c r="C88" s="4" t="s">
        <v>179</v>
      </c>
      <c r="D88" s="4" t="s">
        <v>10</v>
      </c>
      <c r="E88" s="4">
        <v>20000.0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180</v>
      </c>
      <c r="B89" s="4" t="s">
        <v>181</v>
      </c>
      <c r="C89" s="4" t="s">
        <v>182</v>
      </c>
      <c r="D89" s="4" t="s">
        <v>8</v>
      </c>
      <c r="E89" s="4">
        <v>20000.0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183</v>
      </c>
      <c r="B90" s="4" t="s">
        <v>184</v>
      </c>
      <c r="C90" s="4" t="s">
        <v>185</v>
      </c>
      <c r="D90" s="4" t="s">
        <v>4</v>
      </c>
      <c r="E90" s="4">
        <v>40000.0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190</v>
      </c>
      <c r="B91" s="4" t="s">
        <v>181</v>
      </c>
      <c r="C91" s="4" t="s">
        <v>182</v>
      </c>
      <c r="D91" s="4" t="s">
        <v>8</v>
      </c>
      <c r="E91" s="4">
        <v>40000.0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193</v>
      </c>
      <c r="B92" s="4" t="s">
        <v>142</v>
      </c>
      <c r="C92" s="4" t="s">
        <v>182</v>
      </c>
      <c r="D92" s="4" t="s">
        <v>107</v>
      </c>
      <c r="E92" s="4">
        <v>80000.0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195</v>
      </c>
      <c r="B93" s="4" t="s">
        <v>196</v>
      </c>
      <c r="E93" s="4">
        <v>100000.0</v>
      </c>
    </row>
    <row r="94">
      <c r="A94" s="4" t="s">
        <v>151</v>
      </c>
      <c r="B94" s="4" t="s">
        <v>185</v>
      </c>
      <c r="E94" s="4">
        <v>160000.0</v>
      </c>
    </row>
    <row r="95">
      <c r="A95" s="4" t="s">
        <v>130</v>
      </c>
      <c r="B95" s="4" t="s">
        <v>182</v>
      </c>
      <c r="E95" s="4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187" t="s">
        <v>4858</v>
      </c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89" t="s">
        <v>4</v>
      </c>
      <c r="B2" s="189" t="s">
        <v>107</v>
      </c>
      <c r="C2" s="189" t="s">
        <v>7</v>
      </c>
      <c r="D2" s="189" t="s">
        <v>9</v>
      </c>
      <c r="E2" s="189" t="s">
        <v>10</v>
      </c>
      <c r="F2" s="189" t="s">
        <v>13</v>
      </c>
      <c r="G2" s="30" t="s">
        <v>4859</v>
      </c>
      <c r="H2" s="25" t="s">
        <v>15</v>
      </c>
      <c r="I2" s="25" t="s">
        <v>6</v>
      </c>
      <c r="J2" s="25" t="s">
        <v>8</v>
      </c>
      <c r="K2" s="25" t="s">
        <v>14</v>
      </c>
      <c r="L2" s="25" t="s">
        <v>4860</v>
      </c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</row>
    <row r="3" ht="21.0" customHeight="1">
      <c r="A3" s="113" t="s">
        <v>392</v>
      </c>
      <c r="B3" s="190" t="s">
        <v>4861</v>
      </c>
      <c r="C3" s="190" t="s">
        <v>4862</v>
      </c>
      <c r="D3" s="113" t="s">
        <v>4863</v>
      </c>
      <c r="E3" s="191" t="s">
        <v>4864</v>
      </c>
      <c r="F3" s="185" t="s">
        <v>4865</v>
      </c>
      <c r="G3" s="192" t="s">
        <v>4866</v>
      </c>
      <c r="H3" s="185" t="s">
        <v>4867</v>
      </c>
      <c r="I3" s="113" t="s">
        <v>1131</v>
      </c>
      <c r="J3" s="113" t="s">
        <v>1403</v>
      </c>
      <c r="K3" s="26" t="s">
        <v>2409</v>
      </c>
      <c r="L3" s="26" t="s">
        <v>4868</v>
      </c>
      <c r="M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>
      <c r="A4" s="113" t="s">
        <v>4869</v>
      </c>
      <c r="B4" s="113" t="s">
        <v>4870</v>
      </c>
      <c r="C4" s="113" t="s">
        <v>4871</v>
      </c>
      <c r="D4" s="113" t="s">
        <v>3563</v>
      </c>
      <c r="E4" s="113" t="s">
        <v>3760</v>
      </c>
      <c r="F4" s="113" t="s">
        <v>2318</v>
      </c>
      <c r="G4" s="192" t="s">
        <v>4872</v>
      </c>
      <c r="H4" s="113" t="s">
        <v>4482</v>
      </c>
      <c r="I4" s="113" t="s">
        <v>4873</v>
      </c>
      <c r="J4" s="113" t="s">
        <v>1406</v>
      </c>
      <c r="K4" s="26" t="s">
        <v>2406</v>
      </c>
      <c r="L4" s="26" t="s">
        <v>3818</v>
      </c>
      <c r="M4" s="188"/>
      <c r="N4" s="26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 ht="18.75" customHeight="1">
      <c r="A5" s="113" t="s">
        <v>4874</v>
      </c>
      <c r="B5" s="113" t="s">
        <v>4875</v>
      </c>
      <c r="C5" s="113" t="s">
        <v>4876</v>
      </c>
      <c r="D5" s="113" t="s">
        <v>4877</v>
      </c>
      <c r="E5" s="113" t="s">
        <v>4878</v>
      </c>
      <c r="F5" s="113" t="s">
        <v>2301</v>
      </c>
      <c r="G5" s="192" t="s">
        <v>1889</v>
      </c>
      <c r="H5" s="113" t="s">
        <v>4490</v>
      </c>
      <c r="I5" s="113" t="s">
        <v>907</v>
      </c>
      <c r="J5" s="113" t="s">
        <v>4488</v>
      </c>
      <c r="K5" s="26" t="s">
        <v>2412</v>
      </c>
      <c r="L5" s="26" t="s">
        <v>4879</v>
      </c>
      <c r="M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113" t="s">
        <v>4880</v>
      </c>
      <c r="B6" s="113" t="s">
        <v>4881</v>
      </c>
      <c r="C6" s="113" t="s">
        <v>4882</v>
      </c>
      <c r="D6" s="113" t="s">
        <v>4883</v>
      </c>
      <c r="E6" s="113" t="s">
        <v>4884</v>
      </c>
      <c r="F6" s="113" t="s">
        <v>4885</v>
      </c>
      <c r="G6" s="192" t="s">
        <v>1914</v>
      </c>
      <c r="H6" s="113" t="s">
        <v>4500</v>
      </c>
      <c r="I6" s="113" t="s">
        <v>4886</v>
      </c>
      <c r="J6" s="113" t="s">
        <v>1102</v>
      </c>
      <c r="K6" s="26" t="s">
        <v>4887</v>
      </c>
      <c r="L6" s="26" t="s">
        <v>4888</v>
      </c>
      <c r="M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113" t="s">
        <v>4889</v>
      </c>
      <c r="B7" s="113" t="s">
        <v>4890</v>
      </c>
      <c r="C7" s="113" t="s">
        <v>4891</v>
      </c>
      <c r="D7" s="113" t="s">
        <v>4892</v>
      </c>
      <c r="E7" s="113" t="s">
        <v>1664</v>
      </c>
      <c r="F7" s="113" t="s">
        <v>4893</v>
      </c>
      <c r="G7" s="192" t="s">
        <v>4894</v>
      </c>
      <c r="H7" s="113" t="s">
        <v>4509</v>
      </c>
      <c r="I7" s="113" t="s">
        <v>4895</v>
      </c>
      <c r="J7" s="113" t="s">
        <v>4896</v>
      </c>
      <c r="K7" s="26" t="s">
        <v>2415</v>
      </c>
      <c r="L7" s="26" t="s">
        <v>4897</v>
      </c>
      <c r="M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113" t="s">
        <v>4898</v>
      </c>
      <c r="B8" s="113" t="s">
        <v>4899</v>
      </c>
      <c r="C8" s="113" t="s">
        <v>4900</v>
      </c>
      <c r="D8" s="113" t="s">
        <v>4901</v>
      </c>
      <c r="E8" s="113" t="s">
        <v>4902</v>
      </c>
      <c r="F8" s="113" t="s">
        <v>4903</v>
      </c>
      <c r="G8" s="192" t="s">
        <v>4904</v>
      </c>
      <c r="H8" s="113" t="s">
        <v>4518</v>
      </c>
      <c r="I8" s="113" t="s">
        <v>4905</v>
      </c>
      <c r="J8" s="113" t="s">
        <v>4135</v>
      </c>
      <c r="K8" s="26" t="s">
        <v>2416</v>
      </c>
      <c r="L8" s="26" t="s">
        <v>4906</v>
      </c>
      <c r="M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113" t="s">
        <v>4907</v>
      </c>
      <c r="B9" s="113" t="s">
        <v>4908</v>
      </c>
      <c r="C9" s="113" t="s">
        <v>4909</v>
      </c>
      <c r="D9" s="190" t="s">
        <v>4910</v>
      </c>
      <c r="E9" s="113" t="s">
        <v>3581</v>
      </c>
      <c r="F9" s="113" t="s">
        <v>4911</v>
      </c>
      <c r="G9" s="192" t="s">
        <v>3842</v>
      </c>
      <c r="H9" s="113" t="s">
        <v>4527</v>
      </c>
      <c r="I9" s="188"/>
      <c r="J9" s="113" t="s">
        <v>4912</v>
      </c>
      <c r="K9" s="26" t="s">
        <v>4913</v>
      </c>
      <c r="L9" s="188"/>
      <c r="M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113" t="s">
        <v>4914</v>
      </c>
      <c r="B10" s="113" t="s">
        <v>4915</v>
      </c>
      <c r="C10" s="113" t="s">
        <v>4916</v>
      </c>
      <c r="D10" s="113" t="s">
        <v>4917</v>
      </c>
      <c r="E10" s="113" t="s">
        <v>4918</v>
      </c>
      <c r="F10" s="113" t="s">
        <v>4919</v>
      </c>
      <c r="G10" s="192" t="s">
        <v>4920</v>
      </c>
      <c r="H10" s="113" t="s">
        <v>4536</v>
      </c>
      <c r="I10" s="188"/>
      <c r="J10" s="113" t="s">
        <v>4921</v>
      </c>
      <c r="K10" s="26" t="s">
        <v>4922</v>
      </c>
      <c r="L10" s="188"/>
      <c r="M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113" t="s">
        <v>4548</v>
      </c>
      <c r="B11" s="113" t="s">
        <v>4923</v>
      </c>
      <c r="C11" s="113" t="s">
        <v>4924</v>
      </c>
      <c r="D11" s="113" t="s">
        <v>4925</v>
      </c>
      <c r="E11" s="113" t="s">
        <v>4926</v>
      </c>
      <c r="F11" s="113" t="s">
        <v>2279</v>
      </c>
      <c r="G11" s="192" t="s">
        <v>4927</v>
      </c>
      <c r="H11" s="113" t="s">
        <v>4545</v>
      </c>
      <c r="I11" s="188"/>
      <c r="J11" s="113" t="s">
        <v>4928</v>
      </c>
      <c r="K11" s="26" t="s">
        <v>4929</v>
      </c>
      <c r="L11" s="188"/>
      <c r="M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113" t="s">
        <v>4930</v>
      </c>
      <c r="B12" s="113" t="s">
        <v>4931</v>
      </c>
      <c r="C12" s="113" t="s">
        <v>4932</v>
      </c>
      <c r="D12" s="113" t="s">
        <v>4933</v>
      </c>
      <c r="E12" s="113" t="s">
        <v>4934</v>
      </c>
      <c r="F12" s="113" t="s">
        <v>4935</v>
      </c>
      <c r="G12" s="192" t="s">
        <v>4936</v>
      </c>
      <c r="H12" s="113" t="s">
        <v>4937</v>
      </c>
      <c r="I12" s="188"/>
      <c r="J12" s="113" t="s">
        <v>4938</v>
      </c>
      <c r="K12" s="26" t="s">
        <v>4939</v>
      </c>
      <c r="L12" s="188"/>
      <c r="M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113" t="s">
        <v>4940</v>
      </c>
      <c r="B13" s="113" t="s">
        <v>4941</v>
      </c>
      <c r="D13" s="113" t="s">
        <v>4942</v>
      </c>
      <c r="E13" s="113" t="s">
        <v>4943</v>
      </c>
      <c r="F13" s="113" t="s">
        <v>4944</v>
      </c>
      <c r="G13" s="192" t="s">
        <v>4945</v>
      </c>
      <c r="H13" s="113" t="s">
        <v>4561</v>
      </c>
      <c r="I13" s="188"/>
      <c r="J13" s="113" t="s">
        <v>4946</v>
      </c>
      <c r="L13" s="188"/>
      <c r="M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B14" s="113" t="s">
        <v>4947</v>
      </c>
      <c r="C14" s="188"/>
      <c r="D14" s="113" t="s">
        <v>4948</v>
      </c>
      <c r="E14" s="113" t="s">
        <v>4949</v>
      </c>
      <c r="F14" s="113" t="s">
        <v>4950</v>
      </c>
      <c r="G14" s="192" t="s">
        <v>4951</v>
      </c>
      <c r="H14" s="113" t="s">
        <v>4569</v>
      </c>
      <c r="I14" s="188"/>
      <c r="J14" s="113" t="s">
        <v>4952</v>
      </c>
      <c r="L14" s="188"/>
      <c r="M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B15" s="113" t="s">
        <v>4953</v>
      </c>
      <c r="C15" s="188"/>
      <c r="D15" s="113" t="s">
        <v>4954</v>
      </c>
      <c r="E15" s="113" t="s">
        <v>1633</v>
      </c>
      <c r="F15" s="113" t="s">
        <v>4955</v>
      </c>
      <c r="G15" s="192" t="s">
        <v>4576</v>
      </c>
      <c r="H15" s="113" t="s">
        <v>4577</v>
      </c>
      <c r="I15" s="188"/>
      <c r="J15" s="113" t="s">
        <v>4956</v>
      </c>
      <c r="L15" s="188"/>
      <c r="M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B16" s="113" t="s">
        <v>4957</v>
      </c>
      <c r="C16" s="188"/>
      <c r="D16" s="113" t="s">
        <v>4958</v>
      </c>
      <c r="E16" s="113" t="s">
        <v>4959</v>
      </c>
      <c r="F16" s="113" t="s">
        <v>4960</v>
      </c>
      <c r="G16" s="192" t="s">
        <v>4961</v>
      </c>
      <c r="H16" s="113" t="s">
        <v>4583</v>
      </c>
      <c r="I16" s="188"/>
      <c r="J16" s="113" t="s">
        <v>4962</v>
      </c>
      <c r="L16" s="188"/>
      <c r="M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B17" s="113" t="s">
        <v>4963</v>
      </c>
      <c r="C17" s="188"/>
      <c r="D17" s="113" t="s">
        <v>4964</v>
      </c>
      <c r="E17" s="113" t="s">
        <v>4965</v>
      </c>
      <c r="F17" s="188"/>
      <c r="G17" s="192" t="s">
        <v>4966</v>
      </c>
      <c r="H17" s="113" t="s">
        <v>4589</v>
      </c>
      <c r="I17" s="188"/>
      <c r="J17" s="113" t="s">
        <v>4967</v>
      </c>
      <c r="L17" s="188"/>
      <c r="M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188"/>
      <c r="B18" s="113" t="s">
        <v>4968</v>
      </c>
      <c r="C18" s="188"/>
      <c r="D18" s="113" t="s">
        <v>4969</v>
      </c>
      <c r="E18" s="113" t="s">
        <v>4970</v>
      </c>
      <c r="F18" s="188"/>
      <c r="G18" s="192" t="s">
        <v>4971</v>
      </c>
      <c r="H18" s="113" t="s">
        <v>4593</v>
      </c>
      <c r="I18" s="188"/>
      <c r="J18" s="188"/>
      <c r="L18" s="188"/>
      <c r="M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188"/>
      <c r="B19" s="113" t="s">
        <v>4972</v>
      </c>
      <c r="C19" s="188"/>
      <c r="D19" s="113" t="s">
        <v>4973</v>
      </c>
      <c r="E19" s="113" t="s">
        <v>4974</v>
      </c>
      <c r="F19" s="188"/>
      <c r="H19" s="113" t="s">
        <v>4975</v>
      </c>
      <c r="I19" s="188"/>
      <c r="J19" s="188"/>
      <c r="L19" s="188"/>
      <c r="M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188"/>
      <c r="B20" s="113" t="s">
        <v>4976</v>
      </c>
      <c r="C20" s="188"/>
      <c r="D20" s="113" t="s">
        <v>4977</v>
      </c>
      <c r="E20" s="113" t="s">
        <v>4978</v>
      </c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88"/>
      <c r="B21" s="113" t="s">
        <v>4979</v>
      </c>
      <c r="C21" s="188"/>
      <c r="D21" s="188"/>
      <c r="E21" s="113" t="s">
        <v>4980</v>
      </c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188"/>
      <c r="B22" s="113" t="s">
        <v>4981</v>
      </c>
      <c r="C22" s="188"/>
      <c r="D22" s="188"/>
      <c r="E22" s="113" t="s">
        <v>4982</v>
      </c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188"/>
      <c r="B23" s="113" t="s">
        <v>4983</v>
      </c>
      <c r="C23" s="188"/>
      <c r="D23" s="188"/>
      <c r="E23" s="113" t="s">
        <v>4984</v>
      </c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188"/>
      <c r="B24" s="113" t="s">
        <v>4985</v>
      </c>
      <c r="C24" s="188"/>
      <c r="D24" s="188"/>
      <c r="E24" s="113" t="s">
        <v>4986</v>
      </c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188"/>
      <c r="C25" s="188"/>
      <c r="D25" s="188"/>
      <c r="E25" s="113" t="s">
        <v>4987</v>
      </c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188"/>
      <c r="C26" s="188"/>
      <c r="D26" s="188"/>
      <c r="E26" s="113" t="s">
        <v>4988</v>
      </c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188"/>
      <c r="B27" s="188"/>
      <c r="C27" s="188"/>
      <c r="D27" s="188"/>
      <c r="E27" s="113" t="s">
        <v>4989</v>
      </c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188"/>
      <c r="C28" s="188"/>
      <c r="D28" s="188"/>
      <c r="E28" s="113" t="s">
        <v>4990</v>
      </c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87" t="s">
        <v>4991</v>
      </c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52" t="s">
        <v>555</v>
      </c>
      <c r="B34" s="52" t="s">
        <v>556</v>
      </c>
      <c r="C34" s="52" t="s">
        <v>557</v>
      </c>
      <c r="D34" s="52" t="s">
        <v>558</v>
      </c>
      <c r="E34" s="52" t="s">
        <v>559</v>
      </c>
      <c r="F34" s="52" t="s">
        <v>560</v>
      </c>
      <c r="G34" s="52" t="s">
        <v>561</v>
      </c>
      <c r="H34" s="52" t="s">
        <v>562</v>
      </c>
      <c r="I34" s="52" t="s">
        <v>563</v>
      </c>
      <c r="J34" s="52" t="s">
        <v>564</v>
      </c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26" t="s">
        <v>4992</v>
      </c>
      <c r="B35" s="26" t="s">
        <v>4993</v>
      </c>
      <c r="C35" s="26" t="s">
        <v>4993</v>
      </c>
      <c r="D35" s="26" t="s">
        <v>4993</v>
      </c>
      <c r="E35" s="26" t="s">
        <v>4994</v>
      </c>
      <c r="F35" s="26" t="s">
        <v>4992</v>
      </c>
      <c r="G35" s="26" t="s">
        <v>4995</v>
      </c>
      <c r="H35" s="26" t="s">
        <v>4993</v>
      </c>
      <c r="I35" s="26" t="s">
        <v>4993</v>
      </c>
      <c r="J35" s="26" t="s">
        <v>4993</v>
      </c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13" t="s">
        <v>4996</v>
      </c>
      <c r="B36" s="113" t="s">
        <v>4997</v>
      </c>
      <c r="C36" s="113" t="s">
        <v>4998</v>
      </c>
      <c r="D36" s="113" t="s">
        <v>4999</v>
      </c>
      <c r="E36" s="113" t="s">
        <v>5000</v>
      </c>
      <c r="F36" s="113" t="s">
        <v>5001</v>
      </c>
      <c r="G36" s="113" t="s">
        <v>5002</v>
      </c>
      <c r="H36" s="113" t="s">
        <v>5003</v>
      </c>
      <c r="I36" s="113" t="s">
        <v>5004</v>
      </c>
      <c r="J36" s="113" t="s">
        <v>5005</v>
      </c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13" t="s">
        <v>5006</v>
      </c>
      <c r="B37" s="113" t="s">
        <v>5007</v>
      </c>
      <c r="C37" s="113" t="s">
        <v>5008</v>
      </c>
      <c r="D37" s="113" t="s">
        <v>5009</v>
      </c>
      <c r="E37" s="113" t="s">
        <v>5010</v>
      </c>
      <c r="F37" s="113" t="s">
        <v>5011</v>
      </c>
      <c r="G37" s="113" t="s">
        <v>5012</v>
      </c>
      <c r="H37" s="113" t="s">
        <v>5013</v>
      </c>
      <c r="I37" s="113" t="s">
        <v>5014</v>
      </c>
      <c r="J37" s="113" t="s">
        <v>5015</v>
      </c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13" t="s">
        <v>5016</v>
      </c>
      <c r="B38" s="113" t="s">
        <v>5017</v>
      </c>
      <c r="C38" s="113" t="s">
        <v>5018</v>
      </c>
      <c r="D38" s="113" t="s">
        <v>5019</v>
      </c>
      <c r="E38" s="113" t="s">
        <v>5020</v>
      </c>
      <c r="F38" s="113" t="s">
        <v>4626</v>
      </c>
      <c r="G38" s="113" t="s">
        <v>5021</v>
      </c>
      <c r="H38" s="113" t="s">
        <v>5022</v>
      </c>
      <c r="I38" s="113" t="s">
        <v>5023</v>
      </c>
      <c r="J38" s="113" t="s">
        <v>5024</v>
      </c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13" t="s">
        <v>5025</v>
      </c>
      <c r="B39" s="113" t="s">
        <v>5026</v>
      </c>
      <c r="C39" s="113" t="s">
        <v>5027</v>
      </c>
      <c r="D39" s="113" t="s">
        <v>5028</v>
      </c>
      <c r="E39" s="113" t="s">
        <v>5029</v>
      </c>
      <c r="F39" s="113" t="s">
        <v>5030</v>
      </c>
      <c r="G39" s="113" t="s">
        <v>5031</v>
      </c>
      <c r="H39" s="113" t="s">
        <v>5032</v>
      </c>
      <c r="I39" s="113" t="s">
        <v>5033</v>
      </c>
      <c r="J39" s="113" t="s">
        <v>5034</v>
      </c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13" t="s">
        <v>5035</v>
      </c>
      <c r="B40" s="113" t="s">
        <v>5036</v>
      </c>
      <c r="C40" s="113" t="s">
        <v>5037</v>
      </c>
      <c r="D40" s="113" t="s">
        <v>5038</v>
      </c>
      <c r="E40" s="113" t="s">
        <v>5039</v>
      </c>
      <c r="F40" s="113" t="s">
        <v>5040</v>
      </c>
      <c r="G40" s="113" t="s">
        <v>5041</v>
      </c>
      <c r="H40" s="113" t="s">
        <v>5042</v>
      </c>
      <c r="I40" s="113" t="s">
        <v>5043</v>
      </c>
      <c r="J40" s="113" t="s">
        <v>5044</v>
      </c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26" t="s">
        <v>5045</v>
      </c>
      <c r="B41" s="113" t="s">
        <v>5046</v>
      </c>
      <c r="C41" s="113" t="s">
        <v>5047</v>
      </c>
      <c r="D41" s="113" t="s">
        <v>5048</v>
      </c>
      <c r="E41" s="113" t="s">
        <v>5049</v>
      </c>
      <c r="F41" s="113" t="s">
        <v>5050</v>
      </c>
      <c r="G41" s="113" t="s">
        <v>5051</v>
      </c>
      <c r="H41" s="113" t="s">
        <v>5052</v>
      </c>
      <c r="I41" s="113" t="s">
        <v>5053</v>
      </c>
      <c r="J41" s="113" t="s">
        <v>5054</v>
      </c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13" t="s">
        <v>5055</v>
      </c>
      <c r="B42" s="113" t="s">
        <v>5056</v>
      </c>
      <c r="C42" s="113" t="s">
        <v>5057</v>
      </c>
      <c r="D42" s="113" t="s">
        <v>5058</v>
      </c>
      <c r="E42" s="113" t="s">
        <v>5059</v>
      </c>
      <c r="F42" s="113" t="s">
        <v>5060</v>
      </c>
      <c r="G42" s="113" t="s">
        <v>5061</v>
      </c>
      <c r="H42" s="113" t="s">
        <v>5062</v>
      </c>
      <c r="I42" s="113" t="s">
        <v>5063</v>
      </c>
      <c r="J42" s="113" t="s">
        <v>5064</v>
      </c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13" t="s">
        <v>5065</v>
      </c>
      <c r="B43" s="113" t="s">
        <v>5066</v>
      </c>
      <c r="C43" s="113" t="s">
        <v>5067</v>
      </c>
      <c r="D43" s="113" t="s">
        <v>5068</v>
      </c>
      <c r="E43" s="26" t="s">
        <v>5069</v>
      </c>
      <c r="F43" s="113" t="s">
        <v>5070</v>
      </c>
      <c r="G43" s="113" t="s">
        <v>5071</v>
      </c>
      <c r="H43" s="113" t="s">
        <v>5072</v>
      </c>
      <c r="I43" s="113" t="s">
        <v>5073</v>
      </c>
      <c r="J43" s="113" t="s">
        <v>5074</v>
      </c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13" t="s">
        <v>5075</v>
      </c>
      <c r="B44" s="26" t="s">
        <v>5076</v>
      </c>
      <c r="C44" s="26" t="s">
        <v>5077</v>
      </c>
      <c r="D44" s="113" t="s">
        <v>5078</v>
      </c>
      <c r="E44" s="26" t="s">
        <v>5079</v>
      </c>
      <c r="F44" s="113" t="s">
        <v>5080</v>
      </c>
      <c r="G44" s="113" t="s">
        <v>5081</v>
      </c>
      <c r="H44" s="113" t="s">
        <v>5082</v>
      </c>
      <c r="I44" s="113" t="s">
        <v>5083</v>
      </c>
      <c r="J44" s="113" t="s">
        <v>5084</v>
      </c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13" t="s">
        <v>5085</v>
      </c>
      <c r="B45" s="26" t="s">
        <v>5086</v>
      </c>
      <c r="C45" s="26" t="s">
        <v>5087</v>
      </c>
      <c r="D45" s="26" t="s">
        <v>5088</v>
      </c>
      <c r="E45" s="113" t="s">
        <v>5089</v>
      </c>
      <c r="F45" s="26" t="s">
        <v>5090</v>
      </c>
      <c r="G45" s="113" t="s">
        <v>5091</v>
      </c>
      <c r="H45" s="26" t="s">
        <v>5092</v>
      </c>
      <c r="I45" s="26" t="s">
        <v>5093</v>
      </c>
      <c r="J45" s="113" t="s">
        <v>5094</v>
      </c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26" t="s">
        <v>5095</v>
      </c>
      <c r="B46" s="26" t="s">
        <v>5096</v>
      </c>
      <c r="C46" s="26" t="s">
        <v>5097</v>
      </c>
      <c r="D46" s="26" t="s">
        <v>5098</v>
      </c>
      <c r="E46" s="26" t="s">
        <v>5099</v>
      </c>
      <c r="F46" s="26" t="s">
        <v>5100</v>
      </c>
      <c r="G46" s="113" t="s">
        <v>5101</v>
      </c>
      <c r="H46" s="113" t="s">
        <v>5102</v>
      </c>
      <c r="I46" s="26" t="s">
        <v>5103</v>
      </c>
      <c r="J46" s="113" t="s">
        <v>5104</v>
      </c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26" t="s">
        <v>5105</v>
      </c>
      <c r="B47" s="26" t="s">
        <v>5106</v>
      </c>
      <c r="C47" s="26" t="s">
        <v>5107</v>
      </c>
      <c r="D47" s="113" t="s">
        <v>5108</v>
      </c>
      <c r="E47" s="26" t="s">
        <v>5109</v>
      </c>
      <c r="F47" s="113" t="s">
        <v>5110</v>
      </c>
      <c r="G47" s="26" t="s">
        <v>5111</v>
      </c>
      <c r="H47" s="26" t="s">
        <v>5112</v>
      </c>
      <c r="I47" s="26" t="s">
        <v>5113</v>
      </c>
      <c r="J47" s="113" t="s">
        <v>5114</v>
      </c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26" t="s">
        <v>5115</v>
      </c>
      <c r="B48" s="26" t="s">
        <v>5116</v>
      </c>
      <c r="C48" s="26" t="s">
        <v>5117</v>
      </c>
      <c r="D48" s="26" t="s">
        <v>5118</v>
      </c>
      <c r="E48" s="26" t="s">
        <v>5119</v>
      </c>
      <c r="F48" s="113" t="s">
        <v>5120</v>
      </c>
      <c r="G48" s="26" t="s">
        <v>5121</v>
      </c>
      <c r="H48" s="26" t="s">
        <v>5122</v>
      </c>
      <c r="I48" s="26" t="s">
        <v>5123</v>
      </c>
      <c r="J48" s="113" t="s">
        <v>5124</v>
      </c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26" t="s">
        <v>5125</v>
      </c>
      <c r="B49" s="26" t="s">
        <v>5126</v>
      </c>
      <c r="C49" s="26" t="s">
        <v>5127</v>
      </c>
      <c r="D49" s="26" t="s">
        <v>5128</v>
      </c>
      <c r="E49" s="26" t="s">
        <v>5129</v>
      </c>
      <c r="F49" s="26" t="s">
        <v>5130</v>
      </c>
      <c r="G49" s="26" t="s">
        <v>5131</v>
      </c>
      <c r="H49" s="26" t="s">
        <v>5132</v>
      </c>
      <c r="I49" s="26" t="s">
        <v>5133</v>
      </c>
      <c r="J49" s="113" t="s">
        <v>5134</v>
      </c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13" t="s">
        <v>5135</v>
      </c>
      <c r="B50" s="26" t="s">
        <v>5136</v>
      </c>
      <c r="C50" s="113" t="s">
        <v>5137</v>
      </c>
      <c r="D50" s="26" t="s">
        <v>5138</v>
      </c>
      <c r="E50" s="26" t="s">
        <v>5139</v>
      </c>
      <c r="F50" s="26" t="s">
        <v>5140</v>
      </c>
      <c r="G50" s="26" t="s">
        <v>5141</v>
      </c>
      <c r="H50" s="26" t="s">
        <v>5142</v>
      </c>
      <c r="I50" s="26" t="s">
        <v>5143</v>
      </c>
      <c r="J50" s="113" t="s">
        <v>5144</v>
      </c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13" t="s">
        <v>5145</v>
      </c>
      <c r="B51" s="26" t="s">
        <v>5146</v>
      </c>
      <c r="C51" s="26" t="s">
        <v>5147</v>
      </c>
      <c r="D51" s="26" t="s">
        <v>5148</v>
      </c>
      <c r="E51" s="113" t="s">
        <v>5149</v>
      </c>
      <c r="F51" s="26" t="s">
        <v>5150</v>
      </c>
      <c r="G51" s="26" t="s">
        <v>5151</v>
      </c>
      <c r="H51" s="26" t="s">
        <v>5152</v>
      </c>
      <c r="I51" s="26" t="s">
        <v>5153</v>
      </c>
      <c r="J51" s="113" t="s">
        <v>5154</v>
      </c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13" t="s">
        <v>5155</v>
      </c>
      <c r="B52" s="26" t="s">
        <v>5156</v>
      </c>
      <c r="C52" s="113" t="s">
        <v>5157</v>
      </c>
      <c r="D52" s="113" t="s">
        <v>5158</v>
      </c>
      <c r="E52" s="26" t="s">
        <v>5159</v>
      </c>
      <c r="F52" s="26" t="s">
        <v>5160</v>
      </c>
      <c r="G52" s="26" t="s">
        <v>5161</v>
      </c>
      <c r="H52" s="26" t="s">
        <v>5162</v>
      </c>
      <c r="I52" s="26" t="s">
        <v>5163</v>
      </c>
      <c r="J52" s="113" t="s">
        <v>5164</v>
      </c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13" t="s">
        <v>5165</v>
      </c>
      <c r="B53" s="113" t="s">
        <v>5166</v>
      </c>
      <c r="C53" s="113" t="s">
        <v>5167</v>
      </c>
      <c r="D53" s="26" t="s">
        <v>5168</v>
      </c>
      <c r="E53" s="113" t="s">
        <v>5169</v>
      </c>
      <c r="F53" s="113" t="s">
        <v>5170</v>
      </c>
      <c r="G53" s="113" t="s">
        <v>5171</v>
      </c>
      <c r="H53" s="26" t="s">
        <v>5172</v>
      </c>
      <c r="I53" s="26" t="s">
        <v>5173</v>
      </c>
      <c r="J53" s="113" t="s">
        <v>5174</v>
      </c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13" t="s">
        <v>5175</v>
      </c>
      <c r="B54" s="113" t="s">
        <v>5176</v>
      </c>
      <c r="C54" s="113" t="s">
        <v>5177</v>
      </c>
      <c r="D54" s="26" t="s">
        <v>5178</v>
      </c>
      <c r="E54" s="113" t="s">
        <v>5179</v>
      </c>
      <c r="F54" s="113"/>
      <c r="G54" s="26" t="s">
        <v>5180</v>
      </c>
      <c r="H54" s="113"/>
      <c r="I54" s="26" t="s">
        <v>5181</v>
      </c>
      <c r="J54" s="113" t="s">
        <v>5182</v>
      </c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13" t="s">
        <v>5183</v>
      </c>
      <c r="B55" s="113" t="s">
        <v>5184</v>
      </c>
      <c r="C55" s="113" t="s">
        <v>5185</v>
      </c>
      <c r="D55" s="26" t="s">
        <v>5186</v>
      </c>
      <c r="E55" s="113" t="s">
        <v>5187</v>
      </c>
      <c r="F55" s="113"/>
      <c r="G55" s="26" t="s">
        <v>5188</v>
      </c>
      <c r="H55" s="113"/>
      <c r="I55" s="113" t="s">
        <v>5189</v>
      </c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13"/>
      <c r="B56" s="113"/>
      <c r="C56" s="113"/>
      <c r="D56" s="113"/>
      <c r="E56" s="113"/>
      <c r="F56" s="113"/>
      <c r="H56" s="113"/>
      <c r="I56" s="113"/>
      <c r="J56" s="113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B57" s="113"/>
      <c r="C57" s="113"/>
      <c r="D57" s="113"/>
      <c r="E57" s="113"/>
      <c r="F57" s="113"/>
      <c r="H57" s="113"/>
      <c r="I57" s="113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13"/>
      <c r="B58" s="113"/>
      <c r="C58" s="113"/>
      <c r="D58" s="113"/>
      <c r="E58" s="113"/>
      <c r="F58" s="113"/>
      <c r="H58" s="113"/>
      <c r="I58" s="113"/>
      <c r="J58" s="113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1" t="s">
        <v>3683</v>
      </c>
      <c r="I59" s="193"/>
      <c r="J59" s="193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>
      <c r="A60" s="182" t="s">
        <v>2793</v>
      </c>
      <c r="B60" s="182" t="s">
        <v>3368</v>
      </c>
      <c r="C60" s="110" t="s">
        <v>3369</v>
      </c>
      <c r="D60" s="182" t="s">
        <v>2794</v>
      </c>
      <c r="E60" s="182" t="s">
        <v>3684</v>
      </c>
      <c r="F60" s="182" t="s">
        <v>3154</v>
      </c>
      <c r="G60" s="182" t="s">
        <v>120</v>
      </c>
      <c r="H60" s="182" t="s">
        <v>115</v>
      </c>
      <c r="I60" s="193"/>
      <c r="J60" s="193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>
      <c r="A61" s="193" t="s">
        <v>5190</v>
      </c>
      <c r="B61" s="193" t="s">
        <v>5191</v>
      </c>
      <c r="C61" s="193" t="s">
        <v>5192</v>
      </c>
      <c r="D61" s="193" t="s">
        <v>5193</v>
      </c>
      <c r="E61" s="4" t="s">
        <v>137</v>
      </c>
      <c r="F61" s="4" t="s">
        <v>5194</v>
      </c>
      <c r="G61" s="193" t="s">
        <v>5195</v>
      </c>
      <c r="H61" s="4" t="s">
        <v>5194</v>
      </c>
      <c r="I61" s="193"/>
      <c r="J61" s="193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>
      <c r="A62" s="4" t="s">
        <v>5196</v>
      </c>
      <c r="B62" s="4" t="s">
        <v>5191</v>
      </c>
      <c r="C62" s="193" t="s">
        <v>5197</v>
      </c>
      <c r="D62" s="4" t="s">
        <v>5198</v>
      </c>
      <c r="E62" s="193" t="s">
        <v>5199</v>
      </c>
      <c r="F62" s="4" t="s">
        <v>5200</v>
      </c>
      <c r="G62" s="4" t="s">
        <v>5200</v>
      </c>
      <c r="H62" s="193" t="s">
        <v>5201</v>
      </c>
      <c r="I62" s="193"/>
      <c r="J62" s="193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>
      <c r="A63" s="4" t="s">
        <v>5202</v>
      </c>
      <c r="B63" s="4" t="s">
        <v>5203</v>
      </c>
      <c r="C63" s="4" t="s">
        <v>5204</v>
      </c>
      <c r="D63" s="4" t="s">
        <v>5205</v>
      </c>
      <c r="E63" s="193" t="s">
        <v>140</v>
      </c>
      <c r="F63" s="4" t="s">
        <v>5206</v>
      </c>
      <c r="G63" s="4" t="s">
        <v>5207</v>
      </c>
      <c r="H63" s="4" t="s">
        <v>5206</v>
      </c>
      <c r="I63" s="193"/>
      <c r="J63" s="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>
      <c r="A64" s="4" t="s">
        <v>5208</v>
      </c>
      <c r="B64" s="4" t="s">
        <v>5203</v>
      </c>
      <c r="C64" s="4" t="s">
        <v>5197</v>
      </c>
      <c r="D64" s="4" t="s">
        <v>5209</v>
      </c>
      <c r="E64" s="4" t="s">
        <v>137</v>
      </c>
      <c r="F64" s="4" t="s">
        <v>5210</v>
      </c>
      <c r="G64" s="4" t="s">
        <v>5211</v>
      </c>
      <c r="H64" s="4" t="s">
        <v>5212</v>
      </c>
      <c r="I64" s="5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>
      <c r="A65" s="4" t="s">
        <v>5213</v>
      </c>
      <c r="B65" s="4" t="s">
        <v>5214</v>
      </c>
      <c r="C65" s="4" t="s">
        <v>5192</v>
      </c>
      <c r="D65" s="4" t="s">
        <v>5215</v>
      </c>
      <c r="E65" s="4" t="s">
        <v>144</v>
      </c>
      <c r="F65" s="4" t="s">
        <v>5216</v>
      </c>
      <c r="G65" s="4" t="s">
        <v>5217</v>
      </c>
      <c r="H65" s="4" t="s">
        <v>5216</v>
      </c>
      <c r="I65" s="5"/>
      <c r="J65" s="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>
      <c r="A66" s="4" t="s">
        <v>5218</v>
      </c>
      <c r="B66" s="4" t="s">
        <v>5214</v>
      </c>
      <c r="C66" s="4" t="s">
        <v>5197</v>
      </c>
      <c r="D66" s="4" t="s">
        <v>5193</v>
      </c>
      <c r="E66" s="4" t="s">
        <v>5199</v>
      </c>
      <c r="F66" s="4" t="s">
        <v>5219</v>
      </c>
      <c r="G66" s="4" t="s">
        <v>5200</v>
      </c>
      <c r="H66" s="4" t="s">
        <v>5219</v>
      </c>
      <c r="I66" s="5"/>
      <c r="J66" s="5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>
      <c r="A67" s="4" t="s">
        <v>5220</v>
      </c>
      <c r="B67" s="4" t="s">
        <v>5214</v>
      </c>
      <c r="C67" s="4" t="s">
        <v>5221</v>
      </c>
      <c r="D67" s="4" t="s">
        <v>5222</v>
      </c>
      <c r="E67" s="4" t="s">
        <v>5223</v>
      </c>
      <c r="F67" s="4" t="s">
        <v>5224</v>
      </c>
      <c r="G67" s="4" t="s">
        <v>5224</v>
      </c>
      <c r="H67" s="4" t="s">
        <v>5225</v>
      </c>
      <c r="I67" s="5"/>
      <c r="J67" s="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>
      <c r="A68" s="4" t="s">
        <v>5226</v>
      </c>
      <c r="B68" s="4" t="s">
        <v>5227</v>
      </c>
      <c r="C68" s="4" t="s">
        <v>5228</v>
      </c>
      <c r="D68" s="4" t="s">
        <v>5229</v>
      </c>
      <c r="E68" s="4" t="s">
        <v>5230</v>
      </c>
      <c r="F68" s="4" t="s">
        <v>5231</v>
      </c>
      <c r="G68" s="4" t="s">
        <v>5232</v>
      </c>
      <c r="H68" s="4" t="s">
        <v>5231</v>
      </c>
      <c r="I68" s="193"/>
      <c r="J68" s="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>
      <c r="A69" s="4" t="s">
        <v>5233</v>
      </c>
      <c r="B69" s="4" t="s">
        <v>5227</v>
      </c>
      <c r="C69" s="4" t="s">
        <v>5197</v>
      </c>
      <c r="D69" s="4" t="s">
        <v>5234</v>
      </c>
      <c r="E69" s="4" t="s">
        <v>5235</v>
      </c>
      <c r="F69" s="4" t="s">
        <v>5236</v>
      </c>
      <c r="G69" s="4" t="s">
        <v>5237</v>
      </c>
      <c r="H69" s="4" t="s">
        <v>5236</v>
      </c>
      <c r="I69" s="5"/>
      <c r="J69" s="5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>
      <c r="A70" s="4" t="s">
        <v>5238</v>
      </c>
      <c r="B70" s="4" t="s">
        <v>5227</v>
      </c>
      <c r="C70" s="4" t="s">
        <v>5192</v>
      </c>
      <c r="D70" s="4" t="s">
        <v>5209</v>
      </c>
      <c r="E70" s="4" t="s">
        <v>5223</v>
      </c>
      <c r="F70" s="4" t="s">
        <v>5239</v>
      </c>
      <c r="G70" s="4" t="s">
        <v>5240</v>
      </c>
      <c r="H70" s="4" t="s">
        <v>5239</v>
      </c>
      <c r="I70" s="5"/>
      <c r="J70" s="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>
      <c r="A71" s="4" t="s">
        <v>5241</v>
      </c>
      <c r="B71" s="4" t="s">
        <v>3374</v>
      </c>
      <c r="C71" s="4" t="s">
        <v>5197</v>
      </c>
      <c r="D71" s="4" t="s">
        <v>5234</v>
      </c>
      <c r="E71" s="4" t="s">
        <v>5242</v>
      </c>
      <c r="F71" s="4" t="s">
        <v>5237</v>
      </c>
      <c r="G71" s="4" t="s">
        <v>5237</v>
      </c>
      <c r="H71" s="4" t="s">
        <v>5243</v>
      </c>
      <c r="I71" s="5"/>
      <c r="J71" s="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>
      <c r="A72" s="4" t="s">
        <v>5244</v>
      </c>
      <c r="B72" s="193" t="s">
        <v>3374</v>
      </c>
      <c r="C72" s="4" t="s">
        <v>5192</v>
      </c>
      <c r="D72" s="4" t="s">
        <v>5245</v>
      </c>
      <c r="E72" s="4" t="s">
        <v>5246</v>
      </c>
      <c r="F72" s="4" t="s">
        <v>5247</v>
      </c>
      <c r="G72" s="4" t="s">
        <v>5248</v>
      </c>
      <c r="H72" s="4" t="s">
        <v>5247</v>
      </c>
      <c r="I72" s="5"/>
      <c r="J72" s="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>
      <c r="A73" s="195" t="s">
        <v>5249</v>
      </c>
      <c r="B73" s="193" t="s">
        <v>3374</v>
      </c>
      <c r="C73" s="4" t="s">
        <v>5204</v>
      </c>
      <c r="D73" s="4" t="s">
        <v>5229</v>
      </c>
      <c r="E73" s="4" t="s">
        <v>5223</v>
      </c>
      <c r="F73" s="4" t="s">
        <v>5231</v>
      </c>
      <c r="G73" s="4" t="s">
        <v>5250</v>
      </c>
      <c r="H73" s="4" t="s">
        <v>5231</v>
      </c>
      <c r="I73" s="5"/>
      <c r="J73" s="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>
      <c r="A74" s="196" t="s">
        <v>5251</v>
      </c>
      <c r="B74" s="197" t="s">
        <v>3385</v>
      </c>
      <c r="C74" s="198" t="s">
        <v>5228</v>
      </c>
      <c r="D74" s="198" t="s">
        <v>5234</v>
      </c>
      <c r="E74" s="198" t="s">
        <v>5199</v>
      </c>
      <c r="F74" s="198" t="s">
        <v>5252</v>
      </c>
      <c r="G74" s="199" t="s">
        <v>5253</v>
      </c>
      <c r="H74" s="4" t="s">
        <v>5254</v>
      </c>
      <c r="I74" s="5"/>
      <c r="J74" s="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>
      <c r="A75" s="196" t="s">
        <v>5255</v>
      </c>
      <c r="B75" s="197" t="s">
        <v>3385</v>
      </c>
      <c r="C75" s="198" t="s">
        <v>5204</v>
      </c>
      <c r="D75" s="198" t="s">
        <v>5229</v>
      </c>
      <c r="E75" s="198" t="s">
        <v>140</v>
      </c>
      <c r="F75" s="198" t="s">
        <v>5231</v>
      </c>
      <c r="G75" s="199" t="s">
        <v>5256</v>
      </c>
      <c r="H75" s="4" t="s">
        <v>5231</v>
      </c>
      <c r="I75" s="5"/>
      <c r="J75" s="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>
      <c r="A76" s="196" t="s">
        <v>5257</v>
      </c>
      <c r="B76" s="197" t="s">
        <v>3385</v>
      </c>
      <c r="C76" s="198" t="s">
        <v>5221</v>
      </c>
      <c r="D76" s="198" t="s">
        <v>5222</v>
      </c>
      <c r="E76" s="198" t="s">
        <v>5235</v>
      </c>
      <c r="F76" s="198" t="s">
        <v>5258</v>
      </c>
      <c r="G76" s="199" t="s">
        <v>5259</v>
      </c>
      <c r="H76" s="198" t="s">
        <v>5258</v>
      </c>
      <c r="I76" s="5"/>
      <c r="J76" s="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>
      <c r="A77" s="196" t="s">
        <v>5260</v>
      </c>
      <c r="B77" s="197" t="s">
        <v>3395</v>
      </c>
      <c r="C77" s="198" t="s">
        <v>5192</v>
      </c>
      <c r="D77" s="198" t="s">
        <v>5209</v>
      </c>
      <c r="E77" s="198" t="s">
        <v>5261</v>
      </c>
      <c r="F77" s="198" t="s">
        <v>5262</v>
      </c>
      <c r="G77" s="198" t="s">
        <v>5262</v>
      </c>
      <c r="H77" s="198" t="s">
        <v>5262</v>
      </c>
      <c r="I77" s="5"/>
      <c r="J77" s="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>
      <c r="A78" s="196" t="s">
        <v>5263</v>
      </c>
      <c r="B78" s="197" t="s">
        <v>3395</v>
      </c>
      <c r="C78" s="198" t="s">
        <v>5228</v>
      </c>
      <c r="D78" s="198" t="s">
        <v>5205</v>
      </c>
      <c r="E78" s="198" t="s">
        <v>5264</v>
      </c>
      <c r="F78" s="198" t="s">
        <v>5265</v>
      </c>
      <c r="G78" s="198" t="s">
        <v>5265</v>
      </c>
      <c r="H78" s="4" t="s">
        <v>5266</v>
      </c>
      <c r="I78" s="5"/>
      <c r="J78" s="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>
      <c r="A79" s="196" t="s">
        <v>5267</v>
      </c>
      <c r="B79" s="197" t="s">
        <v>3395</v>
      </c>
      <c r="C79" s="198" t="s">
        <v>5221</v>
      </c>
      <c r="D79" s="198" t="s">
        <v>5215</v>
      </c>
      <c r="E79" s="198" t="s">
        <v>5246</v>
      </c>
      <c r="F79" s="197" t="s">
        <v>5268</v>
      </c>
      <c r="G79" s="199" t="s">
        <v>5269</v>
      </c>
      <c r="H79" s="193" t="s">
        <v>5270</v>
      </c>
      <c r="I79" s="5"/>
      <c r="J79" s="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>
      <c r="A80" s="53" t="s">
        <v>596</v>
      </c>
      <c r="I80" s="5"/>
      <c r="J80" s="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>
      <c r="A81" s="200"/>
      <c r="B81" s="201"/>
      <c r="C81" s="201"/>
      <c r="D81" s="201"/>
      <c r="E81" s="201"/>
      <c r="F81" s="201"/>
      <c r="G81" s="202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>
      <c r="A82" s="196"/>
      <c r="B82" s="201"/>
      <c r="C82" s="201"/>
      <c r="D82" s="201"/>
      <c r="E82" s="201"/>
      <c r="F82" s="201"/>
      <c r="G82" s="202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>
      <c r="A83" s="196"/>
      <c r="B83" s="201"/>
      <c r="C83" s="201"/>
      <c r="D83" s="201"/>
      <c r="E83" s="201"/>
      <c r="F83" s="201"/>
      <c r="G83" s="201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>
      <c r="A84" s="196"/>
      <c r="B84" s="201"/>
      <c r="C84" s="201"/>
      <c r="D84" s="201"/>
      <c r="E84" s="201"/>
      <c r="F84" s="201"/>
      <c r="G84" s="201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>
      <c r="A85" s="203"/>
      <c r="B85" s="201"/>
      <c r="C85" s="201"/>
      <c r="D85" s="201"/>
      <c r="E85" s="201"/>
      <c r="F85" s="201"/>
      <c r="G85" s="201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>
      <c r="A86" s="196"/>
      <c r="B86" s="201"/>
      <c r="C86" s="201"/>
      <c r="D86" s="201"/>
      <c r="E86" s="201"/>
      <c r="F86" s="201"/>
      <c r="G86" s="201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>
      <c r="A87" s="196"/>
      <c r="B87" s="201"/>
      <c r="C87" s="201"/>
      <c r="D87" s="201"/>
      <c r="E87" s="201"/>
      <c r="F87" s="201"/>
      <c r="G87" s="201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>
      <c r="A88" s="196"/>
      <c r="B88" s="201"/>
      <c r="C88" s="201"/>
      <c r="D88" s="201"/>
      <c r="E88" s="201"/>
      <c r="F88" s="201"/>
      <c r="G88" s="201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>
      <c r="A89" s="196"/>
      <c r="B89" s="201"/>
      <c r="C89" s="201"/>
      <c r="D89" s="201"/>
      <c r="E89" s="201"/>
      <c r="F89" s="201"/>
      <c r="G89" s="201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>
      <c r="A90" s="203"/>
      <c r="B90" s="201"/>
      <c r="C90" s="201"/>
      <c r="D90" s="201"/>
      <c r="E90" s="201"/>
      <c r="F90" s="201"/>
      <c r="G90" s="201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>
      <c r="A91" s="196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>
      <c r="A92" s="20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>
      <c r="A93" s="20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>
      <c r="A94" s="205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>
      <c r="A95" s="20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>
      <c r="A96" s="20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>
      <c r="A97" s="20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>
      <c r="A98" s="205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>
      <c r="A99" s="20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>
      <c r="A100" s="20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>
      <c r="A101" s="205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>
      <c r="A102" s="5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>
      <c r="A103" s="5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>
      <c r="A104" s="5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>
      <c r="A105" s="5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>
      <c r="A106" s="5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>
      <c r="A107" s="5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>
      <c r="A108" s="5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>
      <c r="A109" s="5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>
      <c r="A110" s="5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>
      <c r="A111" s="5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>
      <c r="A112" s="5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>
      <c r="A113" s="5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>
      <c r="A114" s="5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>
      <c r="A115" s="5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>
      <c r="A116" s="5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>
      <c r="A117" s="5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>
      <c r="A118" s="5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>
      <c r="A119" s="5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>
      <c r="A120" s="5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</sheetData>
  <mergeCells count="4">
    <mergeCell ref="A1:L1"/>
    <mergeCell ref="A33:J33"/>
    <mergeCell ref="A59:H59"/>
    <mergeCell ref="A80:H80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06" t="s">
        <v>5271</v>
      </c>
    </row>
    <row r="2">
      <c r="A2" s="189" t="s">
        <v>9</v>
      </c>
      <c r="B2" s="189" t="s">
        <v>5</v>
      </c>
      <c r="C2" s="189" t="s">
        <v>8</v>
      </c>
      <c r="D2" s="189" t="s">
        <v>10</v>
      </c>
      <c r="E2" s="189" t="s">
        <v>12</v>
      </c>
      <c r="F2" s="189" t="s">
        <v>13</v>
      </c>
      <c r="G2" s="189" t="s">
        <v>4</v>
      </c>
      <c r="H2" s="189" t="s">
        <v>6</v>
      </c>
      <c r="I2" s="189" t="s">
        <v>11</v>
      </c>
      <c r="J2" s="189" t="s">
        <v>14</v>
      </c>
      <c r="K2" s="189" t="s">
        <v>15</v>
      </c>
      <c r="L2" s="189" t="s">
        <v>16</v>
      </c>
      <c r="M2" s="189" t="s">
        <v>17</v>
      </c>
      <c r="N2" s="189" t="s">
        <v>5272</v>
      </c>
    </row>
    <row r="3">
      <c r="A3" s="207" t="s">
        <v>4863</v>
      </c>
      <c r="B3" s="26" t="s">
        <v>2127</v>
      </c>
      <c r="C3" s="26" t="s">
        <v>1339</v>
      </c>
      <c r="D3" s="207" t="s">
        <v>2346</v>
      </c>
      <c r="E3" s="207" t="s">
        <v>1923</v>
      </c>
      <c r="F3" s="207" t="s">
        <v>5273</v>
      </c>
      <c r="G3" s="26" t="s">
        <v>5274</v>
      </c>
      <c r="H3" s="26" t="s">
        <v>5275</v>
      </c>
      <c r="I3" s="26" t="s">
        <v>1938</v>
      </c>
      <c r="J3" s="26" t="s">
        <v>810</v>
      </c>
      <c r="K3" s="26" t="s">
        <v>4867</v>
      </c>
      <c r="M3" s="26" t="s">
        <v>5276</v>
      </c>
      <c r="N3" s="26" t="s">
        <v>1160</v>
      </c>
    </row>
    <row r="4">
      <c r="A4" s="208" t="s">
        <v>5277</v>
      </c>
      <c r="B4" s="26" t="s">
        <v>663</v>
      </c>
      <c r="C4" s="26" t="s">
        <v>5278</v>
      </c>
      <c r="D4" s="26" t="s">
        <v>5279</v>
      </c>
      <c r="E4" s="26" t="s">
        <v>5280</v>
      </c>
      <c r="F4" s="26" t="s">
        <v>5281</v>
      </c>
      <c r="G4" s="26" t="s">
        <v>480</v>
      </c>
      <c r="H4" s="26" t="s">
        <v>1092</v>
      </c>
      <c r="I4" s="26" t="s">
        <v>5282</v>
      </c>
      <c r="J4" s="26" t="s">
        <v>832</v>
      </c>
      <c r="K4" s="26" t="s">
        <v>3762</v>
      </c>
      <c r="M4" s="26" t="s">
        <v>3514</v>
      </c>
      <c r="N4" s="26" t="s">
        <v>1161</v>
      </c>
    </row>
    <row r="5">
      <c r="A5" s="208" t="s">
        <v>3566</v>
      </c>
      <c r="B5" s="26" t="s">
        <v>3517</v>
      </c>
      <c r="C5" s="26" t="s">
        <v>5283</v>
      </c>
      <c r="D5" s="26" t="s">
        <v>5284</v>
      </c>
      <c r="E5" s="26" t="s">
        <v>5285</v>
      </c>
      <c r="F5" s="26" t="s">
        <v>5286</v>
      </c>
      <c r="G5" s="26" t="s">
        <v>585</v>
      </c>
      <c r="H5" s="26" t="s">
        <v>5287</v>
      </c>
      <c r="I5" s="26" t="s">
        <v>1995</v>
      </c>
      <c r="J5" s="26" t="s">
        <v>5288</v>
      </c>
      <c r="K5" s="26" t="s">
        <v>2505</v>
      </c>
      <c r="M5" s="26" t="s">
        <v>2709</v>
      </c>
      <c r="N5" s="26" t="s">
        <v>5289</v>
      </c>
    </row>
    <row r="6">
      <c r="A6" s="208" t="s">
        <v>5290</v>
      </c>
      <c r="B6" s="26" t="s">
        <v>5291</v>
      </c>
      <c r="C6" s="26" t="s">
        <v>1353</v>
      </c>
      <c r="D6" s="26" t="s">
        <v>5292</v>
      </c>
      <c r="E6" s="26" t="s">
        <v>5293</v>
      </c>
      <c r="F6" s="26" t="s">
        <v>5294</v>
      </c>
      <c r="G6" s="26" t="s">
        <v>4880</v>
      </c>
      <c r="H6" s="26" t="s">
        <v>5295</v>
      </c>
      <c r="I6" s="26" t="s">
        <v>5296</v>
      </c>
      <c r="J6" s="26" t="s">
        <v>5297</v>
      </c>
      <c r="K6" s="26" t="s">
        <v>2522</v>
      </c>
      <c r="M6" s="26" t="s">
        <v>5298</v>
      </c>
      <c r="N6" s="26" t="s">
        <v>1236</v>
      </c>
    </row>
    <row r="7">
      <c r="A7" s="208" t="s">
        <v>5299</v>
      </c>
      <c r="B7" s="26" t="s">
        <v>682</v>
      </c>
      <c r="C7" s="26" t="s">
        <v>1357</v>
      </c>
      <c r="D7" s="26" t="s">
        <v>5300</v>
      </c>
      <c r="E7" s="26" t="s">
        <v>3770</v>
      </c>
      <c r="F7" s="26" t="s">
        <v>5301</v>
      </c>
      <c r="G7" s="26" t="s">
        <v>5302</v>
      </c>
      <c r="H7" s="26" t="s">
        <v>1054</v>
      </c>
      <c r="I7" s="26" t="s">
        <v>4894</v>
      </c>
      <c r="J7" s="26" t="s">
        <v>5303</v>
      </c>
      <c r="K7" s="26" t="s">
        <v>3773</v>
      </c>
      <c r="M7" s="26" t="s">
        <v>5304</v>
      </c>
      <c r="N7" s="26" t="s">
        <v>5305</v>
      </c>
    </row>
    <row r="8">
      <c r="A8" s="208" t="s">
        <v>5306</v>
      </c>
      <c r="B8" s="26" t="s">
        <v>5307</v>
      </c>
      <c r="C8" s="26" t="s">
        <v>1359</v>
      </c>
      <c r="D8" s="26" t="s">
        <v>5308</v>
      </c>
      <c r="E8" s="26" t="s">
        <v>5309</v>
      </c>
      <c r="F8" s="26" t="s">
        <v>5310</v>
      </c>
      <c r="G8" s="26" t="s">
        <v>4898</v>
      </c>
      <c r="H8" s="26" t="s">
        <v>5311</v>
      </c>
      <c r="I8" s="26" t="s">
        <v>5312</v>
      </c>
      <c r="J8" s="26" t="s">
        <v>5313</v>
      </c>
      <c r="K8" s="26" t="s">
        <v>3532</v>
      </c>
      <c r="M8" s="26" t="s">
        <v>5314</v>
      </c>
      <c r="N8" s="26" t="s">
        <v>5315</v>
      </c>
    </row>
    <row r="9">
      <c r="A9" s="208" t="s">
        <v>5316</v>
      </c>
      <c r="B9" s="26" t="s">
        <v>5317</v>
      </c>
      <c r="C9" s="26" t="s">
        <v>1361</v>
      </c>
      <c r="D9" s="26" t="s">
        <v>5318</v>
      </c>
      <c r="E9" s="26" t="s">
        <v>5319</v>
      </c>
      <c r="F9" s="26" t="s">
        <v>5320</v>
      </c>
      <c r="G9" s="26" t="s">
        <v>4907</v>
      </c>
      <c r="H9" s="26" t="s">
        <v>5321</v>
      </c>
      <c r="I9" s="26" t="s">
        <v>1840</v>
      </c>
      <c r="J9" s="26" t="s">
        <v>5322</v>
      </c>
      <c r="K9" s="26" t="s">
        <v>3784</v>
      </c>
      <c r="M9" s="26" t="s">
        <v>5323</v>
      </c>
      <c r="N9" s="26" t="s">
        <v>5324</v>
      </c>
    </row>
    <row r="10">
      <c r="A10" s="208" t="s">
        <v>5325</v>
      </c>
      <c r="B10" s="26" t="s">
        <v>700</v>
      </c>
      <c r="C10" s="26" t="s">
        <v>1363</v>
      </c>
      <c r="D10" s="26" t="s">
        <v>5326</v>
      </c>
      <c r="E10" s="26" t="s">
        <v>5327</v>
      </c>
      <c r="F10" s="26" t="s">
        <v>5328</v>
      </c>
      <c r="G10" s="26" t="s">
        <v>5329</v>
      </c>
      <c r="H10" s="26" t="s">
        <v>3547</v>
      </c>
      <c r="I10" s="26" t="s">
        <v>5330</v>
      </c>
      <c r="J10" s="26" t="s">
        <v>5331</v>
      </c>
      <c r="K10" s="26" t="s">
        <v>5332</v>
      </c>
      <c r="M10" s="26" t="s">
        <v>5333</v>
      </c>
      <c r="N10" s="26" t="s">
        <v>5334</v>
      </c>
    </row>
    <row r="11">
      <c r="A11" s="208" t="s">
        <v>5335</v>
      </c>
      <c r="B11" s="26" t="s">
        <v>704</v>
      </c>
      <c r="C11" s="26" t="s">
        <v>5336</v>
      </c>
      <c r="D11" s="26" t="s">
        <v>5337</v>
      </c>
      <c r="E11" s="26" t="s">
        <v>5338</v>
      </c>
      <c r="F11" s="26" t="s">
        <v>5339</v>
      </c>
      <c r="G11" s="26" t="s">
        <v>5340</v>
      </c>
      <c r="H11" s="26" t="s">
        <v>5341</v>
      </c>
      <c r="I11" s="26" t="s">
        <v>5342</v>
      </c>
      <c r="J11" s="26" t="s">
        <v>5343</v>
      </c>
      <c r="K11" s="26" t="s">
        <v>5344</v>
      </c>
      <c r="M11" s="26" t="s">
        <v>5345</v>
      </c>
      <c r="N11" s="26" t="s">
        <v>5346</v>
      </c>
    </row>
    <row r="12">
      <c r="A12" s="208" t="s">
        <v>5347</v>
      </c>
      <c r="B12" s="26" t="s">
        <v>709</v>
      </c>
      <c r="C12" s="26" t="s">
        <v>1366</v>
      </c>
      <c r="D12" s="26" t="s">
        <v>5348</v>
      </c>
      <c r="E12" s="26" t="s">
        <v>5349</v>
      </c>
      <c r="F12" s="26" t="s">
        <v>5350</v>
      </c>
      <c r="G12" s="26" t="s">
        <v>5351</v>
      </c>
      <c r="H12" s="26" t="s">
        <v>5352</v>
      </c>
      <c r="I12" s="26" t="s">
        <v>5353</v>
      </c>
      <c r="J12" s="26" t="s">
        <v>5354</v>
      </c>
      <c r="K12" s="26" t="s">
        <v>3798</v>
      </c>
      <c r="M12" s="26" t="s">
        <v>5355</v>
      </c>
      <c r="N12" s="26" t="s">
        <v>5356</v>
      </c>
    </row>
    <row r="13">
      <c r="A13" s="208" t="s">
        <v>5357</v>
      </c>
      <c r="B13" s="26" t="s">
        <v>715</v>
      </c>
      <c r="C13" s="26" t="s">
        <v>1367</v>
      </c>
      <c r="D13" s="26" t="s">
        <v>5358</v>
      </c>
      <c r="E13" s="26"/>
      <c r="F13" s="26" t="s">
        <v>5359</v>
      </c>
      <c r="G13" s="26" t="s">
        <v>4940</v>
      </c>
      <c r="H13" s="26" t="s">
        <v>5360</v>
      </c>
      <c r="I13" s="26" t="s">
        <v>5361</v>
      </c>
      <c r="J13" s="26" t="s">
        <v>5362</v>
      </c>
      <c r="K13" s="26" t="s">
        <v>5363</v>
      </c>
      <c r="M13" s="26" t="s">
        <v>5364</v>
      </c>
      <c r="N13" s="26" t="s">
        <v>5365</v>
      </c>
    </row>
    <row r="14">
      <c r="A14" s="208" t="s">
        <v>5366</v>
      </c>
      <c r="B14" s="26" t="s">
        <v>720</v>
      </c>
      <c r="C14" s="26" t="s">
        <v>5367</v>
      </c>
      <c r="D14" s="26" t="s">
        <v>5368</v>
      </c>
      <c r="F14" s="26" t="s">
        <v>5369</v>
      </c>
      <c r="G14" s="26" t="s">
        <v>5370</v>
      </c>
      <c r="H14" s="26" t="s">
        <v>5371</v>
      </c>
      <c r="I14" s="26" t="s">
        <v>5372</v>
      </c>
      <c r="J14" s="26" t="s">
        <v>4188</v>
      </c>
      <c r="K14" s="26" t="s">
        <v>5373</v>
      </c>
      <c r="M14" s="26" t="s">
        <v>5374</v>
      </c>
      <c r="N14" s="26" t="s">
        <v>5375</v>
      </c>
    </row>
    <row r="15">
      <c r="A15" s="208" t="s">
        <v>5376</v>
      </c>
      <c r="B15" s="26" t="s">
        <v>5377</v>
      </c>
      <c r="C15" s="26" t="s">
        <v>1369</v>
      </c>
      <c r="D15" s="26" t="s">
        <v>5378</v>
      </c>
      <c r="F15" s="26" t="s">
        <v>5379</v>
      </c>
      <c r="G15" s="26" t="s">
        <v>5380</v>
      </c>
      <c r="H15" s="26" t="s">
        <v>5381</v>
      </c>
      <c r="I15" s="26" t="s">
        <v>5382</v>
      </c>
      <c r="J15" s="26" t="s">
        <v>5383</v>
      </c>
      <c r="K15" s="26" t="s">
        <v>5384</v>
      </c>
      <c r="M15" s="26" t="s">
        <v>5385</v>
      </c>
    </row>
    <row r="16">
      <c r="A16" s="208" t="s">
        <v>5386</v>
      </c>
      <c r="B16" s="26" t="s">
        <v>730</v>
      </c>
      <c r="C16" s="26" t="s">
        <v>1370</v>
      </c>
      <c r="D16" s="26" t="s">
        <v>5387</v>
      </c>
      <c r="G16" s="26" t="s">
        <v>5388</v>
      </c>
      <c r="I16" s="26" t="s">
        <v>5389</v>
      </c>
      <c r="J16" s="26" t="s">
        <v>5390</v>
      </c>
      <c r="K16" s="26" t="s">
        <v>3807</v>
      </c>
      <c r="M16" s="26" t="s">
        <v>5391</v>
      </c>
    </row>
    <row r="17">
      <c r="A17" s="26" t="s">
        <v>5392</v>
      </c>
      <c r="B17" s="26" t="s">
        <v>736</v>
      </c>
      <c r="C17" s="26" t="s">
        <v>1371</v>
      </c>
      <c r="F17" s="47" t="s">
        <v>5393</v>
      </c>
      <c r="G17" s="26" t="s">
        <v>5394</v>
      </c>
      <c r="H17" s="47" t="s">
        <v>5395</v>
      </c>
      <c r="I17" s="26" t="s">
        <v>5396</v>
      </c>
      <c r="J17" s="26" t="s">
        <v>5397</v>
      </c>
      <c r="K17" s="26" t="s">
        <v>5398</v>
      </c>
      <c r="M17" s="26" t="s">
        <v>5399</v>
      </c>
    </row>
    <row r="18">
      <c r="B18" s="26" t="s">
        <v>5400</v>
      </c>
      <c r="C18" s="26" t="s">
        <v>5401</v>
      </c>
      <c r="D18" s="26" t="s">
        <v>5402</v>
      </c>
      <c r="F18" s="26" t="s">
        <v>2346</v>
      </c>
      <c r="G18" s="26" t="s">
        <v>4594</v>
      </c>
      <c r="H18" s="26" t="s">
        <v>5403</v>
      </c>
      <c r="I18" s="26" t="s">
        <v>5404</v>
      </c>
      <c r="J18" s="26" t="s">
        <v>5405</v>
      </c>
      <c r="K18" s="26" t="s">
        <v>5406</v>
      </c>
    </row>
    <row r="19">
      <c r="B19" s="26" t="s">
        <v>5407</v>
      </c>
      <c r="C19" s="26" t="s">
        <v>1373</v>
      </c>
      <c r="D19" s="47" t="s">
        <v>5408</v>
      </c>
      <c r="F19" s="26" t="s">
        <v>5409</v>
      </c>
      <c r="G19" s="26" t="s">
        <v>5410</v>
      </c>
      <c r="H19" s="26" t="s">
        <v>5411</v>
      </c>
      <c r="I19" s="26" t="s">
        <v>5412</v>
      </c>
      <c r="K19" s="26" t="s">
        <v>4975</v>
      </c>
      <c r="M19" s="47" t="s">
        <v>5413</v>
      </c>
    </row>
    <row r="20">
      <c r="B20" s="26" t="s">
        <v>748</v>
      </c>
      <c r="C20" s="26" t="s">
        <v>1374</v>
      </c>
      <c r="D20" s="26" t="s">
        <v>1793</v>
      </c>
      <c r="F20" s="26" t="s">
        <v>5414</v>
      </c>
      <c r="G20" s="26" t="s">
        <v>5415</v>
      </c>
      <c r="H20" s="26" t="s">
        <v>5416</v>
      </c>
      <c r="I20" s="26" t="s">
        <v>5417</v>
      </c>
      <c r="M20" s="65" t="s">
        <v>5418</v>
      </c>
    </row>
    <row r="21">
      <c r="B21" s="26" t="s">
        <v>752</v>
      </c>
      <c r="D21" s="26" t="s">
        <v>5419</v>
      </c>
      <c r="F21" s="26" t="s">
        <v>5420</v>
      </c>
      <c r="G21" s="26" t="s">
        <v>5421</v>
      </c>
      <c r="H21" s="26" t="s">
        <v>5422</v>
      </c>
      <c r="I21" s="26" t="s">
        <v>5423</v>
      </c>
      <c r="J21" s="47" t="s">
        <v>5424</v>
      </c>
      <c r="M21" s="65" t="s">
        <v>2742</v>
      </c>
    </row>
    <row r="22">
      <c r="B22" s="26" t="s">
        <v>5425</v>
      </c>
      <c r="D22" s="26" t="s">
        <v>3383</v>
      </c>
      <c r="F22" s="26" t="s">
        <v>5426</v>
      </c>
      <c r="G22" s="26" t="s">
        <v>338</v>
      </c>
      <c r="I22" s="26" t="s">
        <v>5427</v>
      </c>
      <c r="J22" s="26" t="s">
        <v>5428</v>
      </c>
      <c r="M22" s="65" t="s">
        <v>5429</v>
      </c>
    </row>
    <row r="23">
      <c r="B23" s="26" t="s">
        <v>758</v>
      </c>
      <c r="F23" s="26" t="s">
        <v>5430</v>
      </c>
      <c r="J23" s="26" t="s">
        <v>5431</v>
      </c>
      <c r="M23" s="65" t="s">
        <v>5432</v>
      </c>
    </row>
    <row r="24">
      <c r="B24" s="26" t="s">
        <v>760</v>
      </c>
      <c r="F24" s="26" t="s">
        <v>5433</v>
      </c>
      <c r="M24" s="65"/>
    </row>
    <row r="25">
      <c r="B25" s="26" t="s">
        <v>5434</v>
      </c>
      <c r="M25" s="65"/>
    </row>
    <row r="26">
      <c r="M26" s="65"/>
    </row>
    <row r="27">
      <c r="M27" s="65"/>
    </row>
    <row r="28">
      <c r="D28" s="10">
        <f>15+23+18+18+11+20+20+17+20+18+17+19+12</f>
        <v>228</v>
      </c>
      <c r="M28" s="65"/>
    </row>
    <row r="31">
      <c r="A31" s="206" t="s">
        <v>5435</v>
      </c>
    </row>
    <row r="32">
      <c r="A32" s="38" t="s">
        <v>598</v>
      </c>
      <c r="B32" s="38" t="s">
        <v>599</v>
      </c>
      <c r="C32" s="38" t="s">
        <v>600</v>
      </c>
      <c r="D32" s="38" t="s">
        <v>601</v>
      </c>
      <c r="E32" s="38" t="s">
        <v>602</v>
      </c>
      <c r="F32" s="38" t="s">
        <v>603</v>
      </c>
      <c r="G32" s="51" t="s">
        <v>604</v>
      </c>
      <c r="H32" s="56" t="s">
        <v>605</v>
      </c>
      <c r="I32" s="56" t="s">
        <v>606</v>
      </c>
      <c r="J32" s="56" t="s">
        <v>607</v>
      </c>
    </row>
    <row r="33">
      <c r="A33" s="33" t="s">
        <v>5436</v>
      </c>
      <c r="B33" s="33" t="s">
        <v>5437</v>
      </c>
      <c r="C33" s="33" t="s">
        <v>5438</v>
      </c>
      <c r="D33" s="33" t="s">
        <v>5439</v>
      </c>
      <c r="E33" s="33" t="s">
        <v>5440</v>
      </c>
      <c r="F33" s="33" t="s">
        <v>5441</v>
      </c>
      <c r="G33" s="33" t="s">
        <v>5442</v>
      </c>
      <c r="H33" s="33" t="s">
        <v>5443</v>
      </c>
      <c r="I33" s="33" t="s">
        <v>5444</v>
      </c>
      <c r="J33" s="33" t="s">
        <v>5445</v>
      </c>
      <c r="K33" s="34"/>
    </row>
    <row r="34">
      <c r="A34" s="33" t="s">
        <v>5446</v>
      </c>
      <c r="B34" s="33" t="s">
        <v>5447</v>
      </c>
      <c r="C34" s="33" t="s">
        <v>5448</v>
      </c>
      <c r="D34" s="33" t="s">
        <v>5449</v>
      </c>
      <c r="E34" s="33" t="s">
        <v>5450</v>
      </c>
      <c r="F34" s="33" t="s">
        <v>5451</v>
      </c>
      <c r="G34" s="33" t="s">
        <v>5452</v>
      </c>
      <c r="H34" s="33" t="s">
        <v>5453</v>
      </c>
      <c r="I34" s="33" t="s">
        <v>5454</v>
      </c>
      <c r="J34" s="33" t="s">
        <v>5455</v>
      </c>
      <c r="K34" s="34"/>
    </row>
    <row r="35">
      <c r="A35" s="33" t="s">
        <v>5456</v>
      </c>
      <c r="B35" s="33" t="s">
        <v>5457</v>
      </c>
      <c r="C35" s="33" t="s">
        <v>5458</v>
      </c>
      <c r="D35" s="33" t="s">
        <v>5459</v>
      </c>
      <c r="E35" s="33" t="s">
        <v>5460</v>
      </c>
      <c r="F35" s="33" t="s">
        <v>5461</v>
      </c>
      <c r="G35" s="33" t="s">
        <v>5462</v>
      </c>
      <c r="H35" s="33" t="s">
        <v>5463</v>
      </c>
      <c r="I35" s="33" t="s">
        <v>5464</v>
      </c>
      <c r="J35" s="33" t="s">
        <v>5465</v>
      </c>
      <c r="K35" s="34"/>
    </row>
    <row r="36">
      <c r="A36" s="33" t="s">
        <v>5466</v>
      </c>
      <c r="B36" s="33" t="s">
        <v>5467</v>
      </c>
      <c r="C36" s="33" t="s">
        <v>5468</v>
      </c>
      <c r="D36" s="33" t="s">
        <v>5469</v>
      </c>
      <c r="E36" s="33" t="s">
        <v>5470</v>
      </c>
      <c r="F36" s="33" t="s">
        <v>5471</v>
      </c>
      <c r="G36" s="33" t="s">
        <v>5472</v>
      </c>
      <c r="H36" s="33" t="s">
        <v>5473</v>
      </c>
      <c r="I36" s="33" t="s">
        <v>5474</v>
      </c>
      <c r="J36" s="33" t="s">
        <v>5475</v>
      </c>
      <c r="K36" s="34"/>
    </row>
    <row r="37">
      <c r="A37" s="33" t="s">
        <v>5476</v>
      </c>
      <c r="B37" s="33" t="s">
        <v>5477</v>
      </c>
      <c r="C37" s="33" t="s">
        <v>5478</v>
      </c>
      <c r="D37" s="33" t="s">
        <v>5479</v>
      </c>
      <c r="E37" s="33" t="s">
        <v>5480</v>
      </c>
      <c r="F37" s="33" t="s">
        <v>5481</v>
      </c>
      <c r="G37" s="33" t="s">
        <v>5482</v>
      </c>
      <c r="H37" s="33" t="s">
        <v>5483</v>
      </c>
      <c r="I37" s="33" t="s">
        <v>5484</v>
      </c>
      <c r="J37" s="33" t="s">
        <v>5485</v>
      </c>
      <c r="K37" s="34"/>
    </row>
    <row r="38">
      <c r="A38" s="33" t="s">
        <v>5486</v>
      </c>
      <c r="B38" s="33" t="s">
        <v>5487</v>
      </c>
      <c r="C38" s="33" t="s">
        <v>5488</v>
      </c>
      <c r="D38" s="33" t="s">
        <v>5489</v>
      </c>
      <c r="E38" s="33" t="s">
        <v>5490</v>
      </c>
      <c r="F38" s="33" t="s">
        <v>5491</v>
      </c>
      <c r="G38" s="33" t="s">
        <v>5492</v>
      </c>
      <c r="H38" s="33" t="s">
        <v>5493</v>
      </c>
      <c r="I38" s="33" t="s">
        <v>5494</v>
      </c>
      <c r="J38" s="33" t="s">
        <v>5495</v>
      </c>
      <c r="K38" s="34"/>
    </row>
    <row r="39">
      <c r="A39" s="33" t="s">
        <v>5496</v>
      </c>
      <c r="B39" s="33" t="s">
        <v>5497</v>
      </c>
      <c r="C39" s="33" t="s">
        <v>5498</v>
      </c>
      <c r="D39" s="33" t="s">
        <v>5499</v>
      </c>
      <c r="E39" s="33" t="s">
        <v>5500</v>
      </c>
      <c r="F39" s="33" t="s">
        <v>5501</v>
      </c>
      <c r="G39" s="33" t="s">
        <v>5502</v>
      </c>
      <c r="H39" s="33" t="s">
        <v>5503</v>
      </c>
      <c r="I39" s="33" t="s">
        <v>5504</v>
      </c>
      <c r="J39" s="33" t="s">
        <v>5505</v>
      </c>
      <c r="K39" s="34"/>
    </row>
    <row r="40">
      <c r="A40" s="33" t="s">
        <v>5506</v>
      </c>
      <c r="B40" s="33" t="s">
        <v>5507</v>
      </c>
      <c r="C40" s="33" t="s">
        <v>5508</v>
      </c>
      <c r="D40" s="33" t="s">
        <v>5509</v>
      </c>
      <c r="E40" s="33" t="s">
        <v>5510</v>
      </c>
      <c r="F40" s="33" t="s">
        <v>5511</v>
      </c>
      <c r="G40" s="33" t="s">
        <v>5512</v>
      </c>
      <c r="H40" s="33" t="s">
        <v>5513</v>
      </c>
      <c r="I40" s="33" t="s">
        <v>5514</v>
      </c>
      <c r="J40" s="33" t="s">
        <v>5515</v>
      </c>
      <c r="K40" s="34"/>
    </row>
    <row r="41">
      <c r="A41" s="33" t="s">
        <v>5516</v>
      </c>
      <c r="B41" s="33" t="s">
        <v>5517</v>
      </c>
      <c r="C41" s="33" t="s">
        <v>5518</v>
      </c>
      <c r="D41" s="33" t="s">
        <v>5519</v>
      </c>
      <c r="E41" s="33" t="s">
        <v>5520</v>
      </c>
      <c r="F41" s="33" t="s">
        <v>5521</v>
      </c>
      <c r="G41" s="33" t="s">
        <v>5522</v>
      </c>
      <c r="H41" s="33" t="s">
        <v>5523</v>
      </c>
      <c r="I41" s="33" t="s">
        <v>5524</v>
      </c>
      <c r="J41" s="33" t="s">
        <v>5525</v>
      </c>
      <c r="K41" s="34"/>
    </row>
    <row r="42">
      <c r="A42" s="33" t="s">
        <v>5526</v>
      </c>
      <c r="B42" s="33" t="s">
        <v>5527</v>
      </c>
      <c r="C42" s="33" t="s">
        <v>5528</v>
      </c>
      <c r="D42" s="33" t="s">
        <v>5529</v>
      </c>
      <c r="E42" s="33" t="s">
        <v>5530</v>
      </c>
      <c r="F42" s="33" t="s">
        <v>5531</v>
      </c>
      <c r="G42" s="33" t="s">
        <v>5532</v>
      </c>
      <c r="H42" s="33" t="s">
        <v>5533</v>
      </c>
      <c r="I42" s="33" t="s">
        <v>5534</v>
      </c>
      <c r="J42" s="33" t="s">
        <v>5535</v>
      </c>
      <c r="K42" s="34"/>
    </row>
    <row r="43">
      <c r="A43" s="33" t="s">
        <v>5536</v>
      </c>
      <c r="B43" s="33" t="s">
        <v>5537</v>
      </c>
      <c r="C43" s="33" t="s">
        <v>5538</v>
      </c>
      <c r="D43" s="33" t="s">
        <v>5539</v>
      </c>
      <c r="E43" s="33" t="s">
        <v>5540</v>
      </c>
      <c r="F43" s="33" t="s">
        <v>5541</v>
      </c>
      <c r="G43" s="33" t="s">
        <v>5542</v>
      </c>
      <c r="H43" s="33" t="s">
        <v>5543</v>
      </c>
      <c r="I43" s="33" t="s">
        <v>5544</v>
      </c>
      <c r="J43" s="33" t="s">
        <v>5545</v>
      </c>
      <c r="K43" s="34"/>
    </row>
    <row r="44">
      <c r="A44" s="33" t="s">
        <v>5546</v>
      </c>
      <c r="B44" s="33" t="s">
        <v>5547</v>
      </c>
      <c r="C44" s="33" t="s">
        <v>5548</v>
      </c>
      <c r="D44" s="33" t="s">
        <v>5549</v>
      </c>
      <c r="E44" s="33" t="s">
        <v>5550</v>
      </c>
      <c r="F44" s="33" t="s">
        <v>5551</v>
      </c>
      <c r="G44" s="33" t="s">
        <v>5552</v>
      </c>
      <c r="H44" s="33" t="s">
        <v>5553</v>
      </c>
      <c r="I44" s="33" t="s">
        <v>5554</v>
      </c>
      <c r="J44" s="33" t="s">
        <v>5555</v>
      </c>
      <c r="K44" s="34"/>
    </row>
    <row r="45">
      <c r="A45" s="33" t="s">
        <v>5556</v>
      </c>
      <c r="B45" s="33" t="s">
        <v>5557</v>
      </c>
      <c r="C45" s="33" t="s">
        <v>5558</v>
      </c>
      <c r="D45" s="33" t="s">
        <v>5559</v>
      </c>
      <c r="E45" s="33" t="s">
        <v>5560</v>
      </c>
      <c r="F45" s="33" t="s">
        <v>5561</v>
      </c>
      <c r="G45" s="33" t="s">
        <v>5562</v>
      </c>
      <c r="H45" s="33" t="s">
        <v>5563</v>
      </c>
      <c r="I45" s="33" t="s">
        <v>5564</v>
      </c>
      <c r="J45" s="33" t="s">
        <v>5565</v>
      </c>
      <c r="K45" s="34"/>
    </row>
    <row r="46">
      <c r="A46" s="33" t="s">
        <v>5566</v>
      </c>
      <c r="B46" s="33" t="s">
        <v>5567</v>
      </c>
      <c r="C46" s="33" t="s">
        <v>5568</v>
      </c>
      <c r="D46" s="33" t="s">
        <v>5569</v>
      </c>
      <c r="E46" s="33" t="s">
        <v>5570</v>
      </c>
      <c r="F46" s="33" t="s">
        <v>5571</v>
      </c>
      <c r="G46" s="33" t="s">
        <v>5572</v>
      </c>
      <c r="H46" s="33" t="s">
        <v>5573</v>
      </c>
      <c r="I46" s="33" t="s">
        <v>5574</v>
      </c>
      <c r="J46" s="33" t="s">
        <v>5575</v>
      </c>
      <c r="K46" s="34"/>
    </row>
    <row r="47">
      <c r="A47" s="33" t="s">
        <v>5576</v>
      </c>
      <c r="B47" s="33" t="s">
        <v>5577</v>
      </c>
      <c r="C47" s="33" t="s">
        <v>5578</v>
      </c>
      <c r="D47" s="33" t="s">
        <v>5579</v>
      </c>
      <c r="E47" s="33" t="s">
        <v>5580</v>
      </c>
      <c r="F47" s="33" t="s">
        <v>5581</v>
      </c>
      <c r="G47" s="33" t="s">
        <v>5582</v>
      </c>
      <c r="H47" s="33" t="s">
        <v>5583</v>
      </c>
      <c r="I47" s="33" t="s">
        <v>5584</v>
      </c>
      <c r="J47" s="33" t="s">
        <v>5585</v>
      </c>
      <c r="K47" s="34"/>
    </row>
    <row r="48">
      <c r="A48" s="33" t="s">
        <v>5586</v>
      </c>
      <c r="B48" s="33" t="s">
        <v>5587</v>
      </c>
      <c r="C48" s="33" t="s">
        <v>5588</v>
      </c>
      <c r="D48" s="33" t="s">
        <v>5589</v>
      </c>
      <c r="E48" s="33" t="s">
        <v>5590</v>
      </c>
      <c r="F48" s="33" t="s">
        <v>5591</v>
      </c>
      <c r="G48" s="33" t="s">
        <v>5592</v>
      </c>
      <c r="H48" s="33" t="s">
        <v>5593</v>
      </c>
      <c r="I48" s="33" t="s">
        <v>5594</v>
      </c>
      <c r="J48" s="33" t="s">
        <v>5595</v>
      </c>
      <c r="K48" s="34"/>
    </row>
    <row r="49">
      <c r="A49" s="33" t="s">
        <v>5596</v>
      </c>
      <c r="B49" s="33" t="s">
        <v>5597</v>
      </c>
      <c r="C49" s="33" t="s">
        <v>5598</v>
      </c>
      <c r="D49" s="33" t="s">
        <v>5599</v>
      </c>
      <c r="E49" s="33" t="s">
        <v>5600</v>
      </c>
      <c r="F49" s="33" t="s">
        <v>5601</v>
      </c>
      <c r="G49" s="33" t="s">
        <v>5602</v>
      </c>
      <c r="H49" s="33" t="s">
        <v>5603</v>
      </c>
      <c r="I49" s="33" t="s">
        <v>5604</v>
      </c>
      <c r="J49" s="33" t="s">
        <v>5605</v>
      </c>
      <c r="K49" s="34"/>
    </row>
    <row r="50">
      <c r="A50" s="33" t="s">
        <v>5606</v>
      </c>
      <c r="B50" s="33" t="s">
        <v>5607</v>
      </c>
      <c r="C50" s="33" t="s">
        <v>5608</v>
      </c>
      <c r="D50" s="33" t="s">
        <v>5609</v>
      </c>
      <c r="E50" s="33" t="s">
        <v>5610</v>
      </c>
      <c r="F50" s="33" t="s">
        <v>5611</v>
      </c>
      <c r="G50" s="33" t="s">
        <v>5612</v>
      </c>
      <c r="H50" s="33" t="s">
        <v>5613</v>
      </c>
      <c r="I50" s="33" t="s">
        <v>5614</v>
      </c>
      <c r="J50" s="33" t="s">
        <v>5615</v>
      </c>
      <c r="K50" s="34"/>
    </row>
    <row r="5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</row>
    <row r="52">
      <c r="A52" s="33"/>
      <c r="B52" s="34"/>
      <c r="C52" s="34"/>
      <c r="D52" s="34"/>
      <c r="E52" s="34"/>
      <c r="F52" s="34"/>
      <c r="G52" s="34"/>
      <c r="H52" s="34"/>
      <c r="I52" s="34"/>
      <c r="J52" s="34"/>
      <c r="K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</row>
    <row r="54">
      <c r="A54" s="181" t="s">
        <v>3683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82" t="s">
        <v>2793</v>
      </c>
      <c r="B55" s="182" t="s">
        <v>3368</v>
      </c>
      <c r="C55" s="110" t="s">
        <v>3369</v>
      </c>
      <c r="D55" s="182" t="s">
        <v>2794</v>
      </c>
      <c r="E55" s="182" t="s">
        <v>3684</v>
      </c>
      <c r="F55" s="182" t="s">
        <v>3154</v>
      </c>
      <c r="G55" s="182" t="s">
        <v>120</v>
      </c>
      <c r="H55" s="182" t="s">
        <v>115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4" t="s">
        <v>5616</v>
      </c>
      <c r="B56" s="4" t="s">
        <v>3138</v>
      </c>
      <c r="C56" s="4" t="s">
        <v>76</v>
      </c>
      <c r="D56" s="4" t="s">
        <v>5617</v>
      </c>
      <c r="E56" s="4" t="s">
        <v>125</v>
      </c>
      <c r="F56" s="4" t="s">
        <v>5618</v>
      </c>
      <c r="G56" s="4" t="s">
        <v>5618</v>
      </c>
      <c r="H56" s="4" t="s">
        <v>5619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4" t="s">
        <v>5620</v>
      </c>
      <c r="B57" s="4" t="s">
        <v>3138</v>
      </c>
      <c r="C57" s="4" t="s">
        <v>71</v>
      </c>
      <c r="D57" s="4" t="s">
        <v>5621</v>
      </c>
      <c r="E57" s="4" t="s">
        <v>3709</v>
      </c>
      <c r="F57" s="4" t="s">
        <v>5622</v>
      </c>
      <c r="G57" s="4" t="s">
        <v>5623</v>
      </c>
      <c r="H57" s="4" t="s">
        <v>5622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4" t="s">
        <v>5624</v>
      </c>
      <c r="B58" s="4" t="s">
        <v>3138</v>
      </c>
      <c r="C58" s="4" t="s">
        <v>1210</v>
      </c>
      <c r="D58" s="4" t="s">
        <v>5625</v>
      </c>
      <c r="E58" s="4" t="s">
        <v>1047</v>
      </c>
      <c r="F58" s="4" t="s">
        <v>5626</v>
      </c>
      <c r="G58" s="4" t="s">
        <v>5627</v>
      </c>
      <c r="H58" s="4" t="s">
        <v>5626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4" t="s">
        <v>5628</v>
      </c>
      <c r="B59" s="4" t="s">
        <v>3138</v>
      </c>
      <c r="C59" s="4" t="s">
        <v>5629</v>
      </c>
      <c r="D59" s="4" t="s">
        <v>5630</v>
      </c>
      <c r="E59" s="4" t="s">
        <v>5631</v>
      </c>
      <c r="F59" s="4" t="s">
        <v>5632</v>
      </c>
      <c r="G59" s="4" t="s">
        <v>5632</v>
      </c>
      <c r="H59" s="4" t="s">
        <v>5633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4" t="s">
        <v>5634</v>
      </c>
      <c r="B60" s="4" t="s">
        <v>3138</v>
      </c>
      <c r="C60" s="4" t="s">
        <v>5635</v>
      </c>
      <c r="D60" s="4" t="s">
        <v>5636</v>
      </c>
      <c r="E60" s="4" t="s">
        <v>184</v>
      </c>
      <c r="F60" s="4" t="s">
        <v>5637</v>
      </c>
      <c r="G60" s="4" t="s">
        <v>5637</v>
      </c>
      <c r="H60" s="4" t="s">
        <v>5638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" t="s">
        <v>5639</v>
      </c>
      <c r="B61" s="4" t="s">
        <v>5640</v>
      </c>
      <c r="C61" s="4" t="s">
        <v>67</v>
      </c>
      <c r="D61" s="4" t="s">
        <v>5621</v>
      </c>
      <c r="E61" s="4" t="s">
        <v>5264</v>
      </c>
      <c r="F61" s="4" t="s">
        <v>5641</v>
      </c>
      <c r="G61" s="4" t="s">
        <v>5642</v>
      </c>
      <c r="H61" s="4" t="s">
        <v>5641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4" t="s">
        <v>5643</v>
      </c>
      <c r="B62" s="4" t="s">
        <v>5640</v>
      </c>
      <c r="C62" s="4" t="s">
        <v>1230</v>
      </c>
      <c r="D62" s="4" t="s">
        <v>5644</v>
      </c>
      <c r="E62" s="4" t="s">
        <v>3709</v>
      </c>
      <c r="F62" s="4" t="s">
        <v>5645</v>
      </c>
      <c r="G62" s="4" t="s">
        <v>5646</v>
      </c>
      <c r="H62" s="4" t="s">
        <v>5647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4" t="s">
        <v>5648</v>
      </c>
      <c r="B63" s="4" t="s">
        <v>5640</v>
      </c>
      <c r="C63" s="4" t="s">
        <v>1223</v>
      </c>
      <c r="D63" s="4" t="s">
        <v>5636</v>
      </c>
      <c r="E63" s="4" t="s">
        <v>5235</v>
      </c>
      <c r="F63" s="4" t="s">
        <v>5637</v>
      </c>
      <c r="G63" s="4" t="s">
        <v>5637</v>
      </c>
      <c r="H63" s="4" t="s">
        <v>5649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4" t="s">
        <v>5650</v>
      </c>
      <c r="B64" s="4" t="s">
        <v>5651</v>
      </c>
      <c r="C64" s="4" t="s">
        <v>5652</v>
      </c>
      <c r="D64" s="4" t="s">
        <v>5630</v>
      </c>
      <c r="E64" s="4" t="s">
        <v>5653</v>
      </c>
      <c r="F64" s="4" t="s">
        <v>5654</v>
      </c>
      <c r="G64" s="4" t="s">
        <v>5655</v>
      </c>
      <c r="H64" s="4" t="s">
        <v>5656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4" t="s">
        <v>5657</v>
      </c>
      <c r="B65" s="4" t="s">
        <v>5651</v>
      </c>
      <c r="C65" s="4" t="s">
        <v>71</v>
      </c>
      <c r="D65" s="4" t="s">
        <v>5658</v>
      </c>
      <c r="E65" s="4" t="s">
        <v>1047</v>
      </c>
      <c r="F65" s="4" t="s">
        <v>5659</v>
      </c>
      <c r="G65" s="4" t="s">
        <v>5660</v>
      </c>
      <c r="H65" s="4" t="s">
        <v>5661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4" t="s">
        <v>5662</v>
      </c>
      <c r="B66" s="4" t="s">
        <v>5651</v>
      </c>
      <c r="C66" s="4" t="s">
        <v>76</v>
      </c>
      <c r="D66" s="4" t="s">
        <v>5663</v>
      </c>
      <c r="E66" s="4" t="s">
        <v>5223</v>
      </c>
      <c r="F66" s="4" t="s">
        <v>5664</v>
      </c>
      <c r="G66" s="4" t="s">
        <v>5665</v>
      </c>
      <c r="H66" s="4" t="s">
        <v>5633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93" t="s">
        <v>5666</v>
      </c>
      <c r="B67" s="4" t="s">
        <v>3108</v>
      </c>
      <c r="C67" s="4" t="s">
        <v>1223</v>
      </c>
      <c r="D67" s="4" t="s">
        <v>5658</v>
      </c>
      <c r="E67" s="4" t="s">
        <v>125</v>
      </c>
      <c r="F67" s="4" t="s">
        <v>5623</v>
      </c>
      <c r="G67" s="4" t="s">
        <v>5667</v>
      </c>
      <c r="H67" s="4" t="s">
        <v>5668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4" t="s">
        <v>5669</v>
      </c>
      <c r="B68" s="4" t="s">
        <v>3108</v>
      </c>
      <c r="C68" s="4" t="s">
        <v>1214</v>
      </c>
      <c r="D68" s="4" t="s">
        <v>5630</v>
      </c>
      <c r="E68" s="4" t="s">
        <v>137</v>
      </c>
      <c r="F68" s="4" t="s">
        <v>5670</v>
      </c>
      <c r="G68" s="4" t="s">
        <v>5671</v>
      </c>
      <c r="H68" s="4" t="s">
        <v>5670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4" t="s">
        <v>5672</v>
      </c>
      <c r="B69" s="4" t="s">
        <v>3108</v>
      </c>
      <c r="C69" s="4" t="s">
        <v>5635</v>
      </c>
      <c r="D69" s="4" t="s">
        <v>5673</v>
      </c>
      <c r="E69" s="4" t="s">
        <v>5246</v>
      </c>
      <c r="F69" s="4" t="s">
        <v>5674</v>
      </c>
      <c r="G69" s="4" t="s">
        <v>5675</v>
      </c>
      <c r="H69" s="4" t="s">
        <v>5676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4" t="s">
        <v>5677</v>
      </c>
      <c r="B70" s="4" t="s">
        <v>5678</v>
      </c>
      <c r="C70" s="4" t="s">
        <v>1230</v>
      </c>
      <c r="D70" s="4" t="s">
        <v>5644</v>
      </c>
      <c r="E70" s="4" t="s">
        <v>144</v>
      </c>
      <c r="F70" s="4" t="s">
        <v>5645</v>
      </c>
      <c r="G70" s="4" t="s">
        <v>5679</v>
      </c>
      <c r="H70" s="4" t="s">
        <v>5645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4" t="s">
        <v>5680</v>
      </c>
      <c r="B71" s="4" t="s">
        <v>5678</v>
      </c>
      <c r="C71" s="4" t="s">
        <v>5629</v>
      </c>
      <c r="D71" s="4" t="s">
        <v>5663</v>
      </c>
      <c r="E71" s="4" t="s">
        <v>140</v>
      </c>
      <c r="F71" s="4" t="s">
        <v>5681</v>
      </c>
      <c r="G71" s="4" t="s">
        <v>5682</v>
      </c>
      <c r="H71" s="4" t="s">
        <v>5676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1" t="s">
        <v>5683</v>
      </c>
      <c r="B72" s="4" t="s">
        <v>5678</v>
      </c>
      <c r="C72" s="4" t="s">
        <v>1214</v>
      </c>
      <c r="D72" s="4" t="s">
        <v>5658</v>
      </c>
      <c r="E72" s="4" t="s">
        <v>1047</v>
      </c>
      <c r="F72" s="4" t="s">
        <v>5684</v>
      </c>
      <c r="G72" s="4" t="s">
        <v>5623</v>
      </c>
      <c r="H72" s="4" t="s">
        <v>5684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4" t="s">
        <v>5685</v>
      </c>
      <c r="B73" s="4" t="s">
        <v>5686</v>
      </c>
      <c r="C73" s="4" t="s">
        <v>1210</v>
      </c>
      <c r="D73" s="4" t="s">
        <v>5644</v>
      </c>
      <c r="E73" s="4" t="s">
        <v>5235</v>
      </c>
      <c r="F73" s="4" t="s">
        <v>5687</v>
      </c>
      <c r="G73" s="4" t="s">
        <v>5687</v>
      </c>
      <c r="H73" s="4" t="s">
        <v>5688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4" t="s">
        <v>5689</v>
      </c>
      <c r="B74" s="4" t="s">
        <v>5686</v>
      </c>
      <c r="C74" s="4" t="s">
        <v>5652</v>
      </c>
      <c r="D74" s="4" t="s">
        <v>5617</v>
      </c>
      <c r="E74" s="4" t="s">
        <v>1047</v>
      </c>
      <c r="F74" s="4" t="s">
        <v>5690</v>
      </c>
      <c r="G74" s="4" t="s">
        <v>5691</v>
      </c>
      <c r="H74" s="4" t="s">
        <v>5679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4" t="s">
        <v>5692</v>
      </c>
      <c r="B75" s="4" t="s">
        <v>5686</v>
      </c>
      <c r="C75" s="4" t="s">
        <v>5629</v>
      </c>
      <c r="D75" s="4" t="s">
        <v>5673</v>
      </c>
      <c r="E75" s="4" t="s">
        <v>3709</v>
      </c>
      <c r="F75" s="4" t="s">
        <v>5638</v>
      </c>
      <c r="G75" s="4" t="s">
        <v>5693</v>
      </c>
      <c r="H75" s="4" t="s">
        <v>5694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4" t="s">
        <v>5695</v>
      </c>
      <c r="B76" s="4" t="s">
        <v>5696</v>
      </c>
      <c r="C76" s="4" t="s">
        <v>71</v>
      </c>
      <c r="D76" s="4" t="s">
        <v>5658</v>
      </c>
      <c r="E76" s="4" t="s">
        <v>125</v>
      </c>
      <c r="F76" s="4" t="s">
        <v>5697</v>
      </c>
      <c r="G76" s="4" t="s">
        <v>5698</v>
      </c>
      <c r="H76" s="4" t="s">
        <v>5699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1" t="s">
        <v>5700</v>
      </c>
      <c r="B77" s="4" t="s">
        <v>5696</v>
      </c>
      <c r="C77" s="4" t="s">
        <v>67</v>
      </c>
      <c r="D77" s="4" t="s">
        <v>5701</v>
      </c>
      <c r="E77" s="4" t="s">
        <v>5246</v>
      </c>
      <c r="F77" s="4" t="s">
        <v>5702</v>
      </c>
      <c r="G77" s="4" t="s">
        <v>5702</v>
      </c>
      <c r="H77" s="4" t="s">
        <v>5622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4" t="s">
        <v>5703</v>
      </c>
      <c r="B78" s="4" t="s">
        <v>5696</v>
      </c>
      <c r="C78" s="4" t="s">
        <v>5652</v>
      </c>
      <c r="D78" s="4" t="s">
        <v>5663</v>
      </c>
      <c r="E78" s="4" t="s">
        <v>3709</v>
      </c>
      <c r="F78" s="4" t="s">
        <v>5704</v>
      </c>
      <c r="G78" s="4" t="s">
        <v>5705</v>
      </c>
      <c r="H78" s="4" t="s">
        <v>5694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4" t="s">
        <v>5706</v>
      </c>
      <c r="B79" s="4" t="s">
        <v>5696</v>
      </c>
      <c r="C79" s="4" t="s">
        <v>1226</v>
      </c>
      <c r="D79" s="4" t="s">
        <v>5630</v>
      </c>
      <c r="E79" s="4" t="s">
        <v>5707</v>
      </c>
      <c r="F79" s="4" t="s">
        <v>5708</v>
      </c>
      <c r="G79" s="4" t="s">
        <v>5708</v>
      </c>
      <c r="H79" s="4" t="s">
        <v>5709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4" t="s">
        <v>5710</v>
      </c>
      <c r="B80" s="4" t="s">
        <v>5696</v>
      </c>
      <c r="C80" s="4" t="s">
        <v>1230</v>
      </c>
      <c r="D80" s="4" t="s">
        <v>5636</v>
      </c>
      <c r="E80" s="4" t="s">
        <v>1047</v>
      </c>
      <c r="F80" s="4" t="s">
        <v>5711</v>
      </c>
      <c r="G80" s="4" t="s">
        <v>5711</v>
      </c>
      <c r="H80" s="4" t="s">
        <v>5712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4" t="s">
        <v>5713</v>
      </c>
      <c r="B81" s="4" t="s">
        <v>5714</v>
      </c>
      <c r="C81" s="4" t="s">
        <v>76</v>
      </c>
      <c r="D81" s="4" t="s">
        <v>5701</v>
      </c>
      <c r="E81" s="4" t="s">
        <v>5707</v>
      </c>
      <c r="F81" s="4" t="s">
        <v>5688</v>
      </c>
      <c r="G81" s="4" t="s">
        <v>5688</v>
      </c>
      <c r="H81" s="4" t="s">
        <v>5699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1" t="s">
        <v>5715</v>
      </c>
      <c r="B82" s="4" t="s">
        <v>5714</v>
      </c>
      <c r="C82" s="4" t="s">
        <v>5629</v>
      </c>
      <c r="D82" s="4" t="s">
        <v>5658</v>
      </c>
      <c r="E82" s="4" t="s">
        <v>125</v>
      </c>
      <c r="F82" s="4" t="s">
        <v>5716</v>
      </c>
      <c r="G82" s="4" t="s">
        <v>5717</v>
      </c>
      <c r="H82" s="4" t="s">
        <v>5716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4" t="s">
        <v>5718</v>
      </c>
      <c r="B83" s="4" t="s">
        <v>5714</v>
      </c>
      <c r="C83" s="4" t="s">
        <v>1226</v>
      </c>
      <c r="D83" s="4" t="s">
        <v>5625</v>
      </c>
      <c r="E83" s="4" t="s">
        <v>5719</v>
      </c>
      <c r="F83" s="4" t="s">
        <v>5679</v>
      </c>
      <c r="G83" s="4" t="s">
        <v>5705</v>
      </c>
      <c r="H83" s="4" t="s">
        <v>5679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4" t="s">
        <v>5720</v>
      </c>
      <c r="B84" s="4" t="s">
        <v>5714</v>
      </c>
      <c r="C84" s="4" t="s">
        <v>1214</v>
      </c>
      <c r="D84" s="4" t="s">
        <v>5630</v>
      </c>
      <c r="E84" s="4" t="s">
        <v>5721</v>
      </c>
      <c r="F84" s="4" t="s">
        <v>5722</v>
      </c>
      <c r="G84" s="4" t="s">
        <v>5723</v>
      </c>
      <c r="H84" s="4" t="s">
        <v>5670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4" t="s">
        <v>5724</v>
      </c>
      <c r="B85" s="4" t="s">
        <v>5725</v>
      </c>
      <c r="C85" s="4" t="s">
        <v>5652</v>
      </c>
      <c r="D85" s="4" t="s">
        <v>5636</v>
      </c>
      <c r="E85" s="4" t="s">
        <v>5719</v>
      </c>
      <c r="F85" s="4" t="s">
        <v>5637</v>
      </c>
      <c r="G85" s="4" t="s">
        <v>5656</v>
      </c>
      <c r="H85" s="4" t="s">
        <v>5726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4" t="s">
        <v>5727</v>
      </c>
      <c r="B86" s="4" t="s">
        <v>5725</v>
      </c>
      <c r="C86" s="4" t="s">
        <v>1210</v>
      </c>
      <c r="D86" s="4" t="s">
        <v>5658</v>
      </c>
      <c r="E86" s="4" t="s">
        <v>125</v>
      </c>
      <c r="F86" s="4" t="s">
        <v>5659</v>
      </c>
      <c r="G86" s="4" t="s">
        <v>5659</v>
      </c>
      <c r="H86" s="4" t="s">
        <v>5728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4" t="s">
        <v>5729</v>
      </c>
      <c r="B87" s="4" t="s">
        <v>5725</v>
      </c>
      <c r="C87" s="4" t="s">
        <v>67</v>
      </c>
      <c r="D87" s="4" t="s">
        <v>5621</v>
      </c>
      <c r="E87" s="4" t="s">
        <v>5707</v>
      </c>
      <c r="F87" s="4" t="s">
        <v>5676</v>
      </c>
      <c r="G87" s="4" t="s">
        <v>5730</v>
      </c>
      <c r="H87" s="4" t="s">
        <v>5676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4" t="s">
        <v>5731</v>
      </c>
      <c r="B88" s="4" t="s">
        <v>5732</v>
      </c>
      <c r="C88" s="4" t="s">
        <v>76</v>
      </c>
      <c r="D88" s="4" t="s">
        <v>5617</v>
      </c>
      <c r="E88" s="4" t="s">
        <v>2844</v>
      </c>
      <c r="F88" s="4" t="s">
        <v>5690</v>
      </c>
      <c r="G88" s="4" t="s">
        <v>5690</v>
      </c>
      <c r="H88" s="4" t="s">
        <v>5699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4" t="s">
        <v>5733</v>
      </c>
      <c r="B89" s="4" t="s">
        <v>5732</v>
      </c>
      <c r="C89" s="4" t="s">
        <v>71</v>
      </c>
      <c r="D89" s="4" t="s">
        <v>5658</v>
      </c>
      <c r="E89" s="4" t="s">
        <v>125</v>
      </c>
      <c r="F89" s="4" t="s">
        <v>5734</v>
      </c>
      <c r="G89" s="4" t="s">
        <v>5697</v>
      </c>
      <c r="H89" s="4" t="s">
        <v>5734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4" t="s">
        <v>5735</v>
      </c>
      <c r="B90" s="4" t="s">
        <v>5732</v>
      </c>
      <c r="C90" s="4" t="s">
        <v>1223</v>
      </c>
      <c r="D90" s="4" t="s">
        <v>5630</v>
      </c>
      <c r="E90" s="4" t="s">
        <v>5721</v>
      </c>
      <c r="F90" s="4" t="s">
        <v>5736</v>
      </c>
      <c r="G90" s="4" t="s">
        <v>5737</v>
      </c>
      <c r="H90" s="4" t="s">
        <v>5738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4" t="s">
        <v>5739</v>
      </c>
      <c r="B91" s="4" t="s">
        <v>5740</v>
      </c>
      <c r="C91" s="4" t="s">
        <v>1223</v>
      </c>
      <c r="D91" s="4" t="s">
        <v>5617</v>
      </c>
      <c r="E91" s="4" t="s">
        <v>5707</v>
      </c>
      <c r="F91" s="4" t="s">
        <v>5665</v>
      </c>
      <c r="G91" s="4" t="s">
        <v>5665</v>
      </c>
      <c r="H91" s="4" t="s">
        <v>5741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4" t="s">
        <v>5742</v>
      </c>
      <c r="B92" s="4" t="s">
        <v>5740</v>
      </c>
      <c r="C92" s="4" t="s">
        <v>1210</v>
      </c>
      <c r="D92" s="4" t="s">
        <v>5701</v>
      </c>
      <c r="E92" s="4" t="s">
        <v>5707</v>
      </c>
      <c r="F92" s="4" t="s">
        <v>5743</v>
      </c>
      <c r="G92" s="4" t="s">
        <v>5743</v>
      </c>
      <c r="H92" s="4" t="s">
        <v>5744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4" t="s">
        <v>5745</v>
      </c>
      <c r="B93" s="4" t="s">
        <v>5740</v>
      </c>
      <c r="C93" s="4" t="s">
        <v>5652</v>
      </c>
      <c r="D93" s="4" t="s">
        <v>5625</v>
      </c>
      <c r="E93" s="4" t="s">
        <v>5719</v>
      </c>
      <c r="F93" s="4" t="s">
        <v>5679</v>
      </c>
      <c r="G93" s="4" t="s">
        <v>5746</v>
      </c>
      <c r="H93" s="4" t="s">
        <v>5676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4" t="s">
        <v>5747</v>
      </c>
      <c r="B94" s="4" t="s">
        <v>5748</v>
      </c>
      <c r="C94" s="4" t="s">
        <v>1214</v>
      </c>
      <c r="D94" s="4" t="s">
        <v>5630</v>
      </c>
      <c r="E94" s="4" t="s">
        <v>5707</v>
      </c>
      <c r="F94" s="4" t="s">
        <v>5749</v>
      </c>
      <c r="G94" s="4" t="s">
        <v>5750</v>
      </c>
      <c r="H94" s="4" t="s">
        <v>5749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4" t="s">
        <v>5751</v>
      </c>
      <c r="B95" s="4" t="s">
        <v>5748</v>
      </c>
      <c r="C95" s="4" t="s">
        <v>71</v>
      </c>
      <c r="D95" s="4" t="s">
        <v>5625</v>
      </c>
      <c r="E95" s="4" t="s">
        <v>5721</v>
      </c>
      <c r="F95" s="4" t="s">
        <v>5752</v>
      </c>
      <c r="G95" s="4" t="s">
        <v>5752</v>
      </c>
      <c r="H95" s="4" t="s">
        <v>5656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4" t="s">
        <v>5753</v>
      </c>
      <c r="B96" s="4" t="s">
        <v>5748</v>
      </c>
      <c r="C96" s="4" t="s">
        <v>1230</v>
      </c>
      <c r="D96" s="4" t="s">
        <v>5673</v>
      </c>
      <c r="E96" s="4" t="s">
        <v>2844</v>
      </c>
      <c r="F96" s="4" t="s">
        <v>5674</v>
      </c>
      <c r="G96" s="4" t="s">
        <v>5674</v>
      </c>
      <c r="H96" s="4" t="s">
        <v>5754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4" t="s">
        <v>5755</v>
      </c>
      <c r="B97" s="4" t="s">
        <v>5748</v>
      </c>
      <c r="C97" s="4" t="s">
        <v>67</v>
      </c>
      <c r="D97" s="4" t="s">
        <v>5636</v>
      </c>
      <c r="E97" s="4" t="s">
        <v>125</v>
      </c>
      <c r="F97" s="4" t="s">
        <v>5756</v>
      </c>
      <c r="G97" s="4" t="s">
        <v>5622</v>
      </c>
      <c r="H97" s="4" t="s">
        <v>5756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4" t="s">
        <v>5757</v>
      </c>
      <c r="B98" s="4" t="s">
        <v>5758</v>
      </c>
      <c r="C98" s="4" t="s">
        <v>1226</v>
      </c>
      <c r="D98" s="4" t="s">
        <v>5673</v>
      </c>
      <c r="E98" s="4" t="s">
        <v>5707</v>
      </c>
      <c r="F98" s="4" t="s">
        <v>5759</v>
      </c>
      <c r="G98" s="4" t="s">
        <v>5759</v>
      </c>
      <c r="H98" s="4" t="s">
        <v>5760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4" t="s">
        <v>5761</v>
      </c>
      <c r="B99" s="4" t="s">
        <v>5758</v>
      </c>
      <c r="C99" s="4" t="s">
        <v>1214</v>
      </c>
      <c r="D99" s="4" t="s">
        <v>5630</v>
      </c>
      <c r="E99" s="4" t="s">
        <v>5707</v>
      </c>
      <c r="F99" s="4" t="s">
        <v>5670</v>
      </c>
      <c r="G99" s="4" t="s">
        <v>5632</v>
      </c>
      <c r="H99" s="4" t="s">
        <v>5670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" t="s">
        <v>5762</v>
      </c>
      <c r="B100" s="4" t="s">
        <v>5758</v>
      </c>
      <c r="C100" s="4" t="s">
        <v>5629</v>
      </c>
      <c r="D100" s="4" t="s">
        <v>5663</v>
      </c>
      <c r="E100" s="4" t="s">
        <v>125</v>
      </c>
      <c r="F100" s="4" t="s">
        <v>5763</v>
      </c>
      <c r="G100" s="4" t="s">
        <v>5737</v>
      </c>
      <c r="H100" s="4" t="s">
        <v>5763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" t="s">
        <v>5764</v>
      </c>
      <c r="B101" s="4" t="s">
        <v>5765</v>
      </c>
      <c r="C101" s="4" t="s">
        <v>5766</v>
      </c>
      <c r="D101" s="4" t="s">
        <v>5630</v>
      </c>
      <c r="E101" s="4" t="s">
        <v>2844</v>
      </c>
      <c r="F101" s="4" t="s">
        <v>5722</v>
      </c>
      <c r="G101" s="4" t="s">
        <v>5623</v>
      </c>
      <c r="H101" s="4" t="s">
        <v>5767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" t="s">
        <v>5768</v>
      </c>
      <c r="B102" s="4" t="s">
        <v>5765</v>
      </c>
      <c r="C102" s="4" t="s">
        <v>5769</v>
      </c>
      <c r="D102" s="4" t="s">
        <v>5621</v>
      </c>
      <c r="E102" s="4" t="s">
        <v>125</v>
      </c>
      <c r="F102" s="4" t="s">
        <v>5702</v>
      </c>
      <c r="G102" s="4" t="s">
        <v>5675</v>
      </c>
      <c r="H102" s="4" t="s">
        <v>5702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</sheetData>
  <mergeCells count="3">
    <mergeCell ref="A1:N1"/>
    <mergeCell ref="A31:J31"/>
    <mergeCell ref="A54:H5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189" t="s">
        <v>8</v>
      </c>
      <c r="B1" s="189" t="s">
        <v>7</v>
      </c>
      <c r="C1" s="189" t="s">
        <v>14</v>
      </c>
      <c r="D1" s="189" t="s">
        <v>12</v>
      </c>
      <c r="E1" s="189" t="s">
        <v>4</v>
      </c>
      <c r="F1" s="189" t="s">
        <v>11</v>
      </c>
      <c r="G1" s="189" t="s">
        <v>6</v>
      </c>
      <c r="H1" s="189" t="s">
        <v>10</v>
      </c>
      <c r="I1" s="189" t="s">
        <v>13</v>
      </c>
      <c r="J1" s="189" t="s">
        <v>15</v>
      </c>
      <c r="K1" s="189" t="s">
        <v>9</v>
      </c>
      <c r="L1" s="47" t="s">
        <v>5770</v>
      </c>
    </row>
    <row r="2">
      <c r="A2" s="207" t="s">
        <v>1413</v>
      </c>
      <c r="B2" s="185" t="s">
        <v>5771</v>
      </c>
      <c r="C2" s="26" t="s">
        <v>5772</v>
      </c>
      <c r="D2" s="26" t="s">
        <v>5773</v>
      </c>
      <c r="E2" s="26" t="s">
        <v>5774</v>
      </c>
      <c r="F2" s="26" t="s">
        <v>1803</v>
      </c>
      <c r="G2" s="26" t="s">
        <v>1081</v>
      </c>
      <c r="H2" s="26" t="s">
        <v>5775</v>
      </c>
      <c r="I2" s="26" t="s">
        <v>2346</v>
      </c>
      <c r="J2" s="26" t="s">
        <v>2503</v>
      </c>
      <c r="K2" s="26" t="s">
        <v>3560</v>
      </c>
      <c r="L2" s="26" t="s">
        <v>5776</v>
      </c>
    </row>
    <row r="3">
      <c r="A3" s="209" t="s">
        <v>5777</v>
      </c>
      <c r="B3" s="26" t="s">
        <v>1269</v>
      </c>
      <c r="C3" s="26" t="s">
        <v>295</v>
      </c>
      <c r="D3" s="26" t="s">
        <v>5778</v>
      </c>
      <c r="E3" s="26" t="s">
        <v>5779</v>
      </c>
      <c r="F3" s="26" t="s">
        <v>5780</v>
      </c>
      <c r="G3" s="26" t="s">
        <v>5781</v>
      </c>
      <c r="H3" s="26" t="s">
        <v>1630</v>
      </c>
      <c r="I3" s="26" t="s">
        <v>5782</v>
      </c>
      <c r="J3" s="26" t="s">
        <v>3762</v>
      </c>
      <c r="K3" s="26" t="s">
        <v>5277</v>
      </c>
      <c r="L3" s="26" t="s">
        <v>5783</v>
      </c>
    </row>
    <row r="4">
      <c r="A4" s="209" t="s">
        <v>5784</v>
      </c>
      <c r="B4" s="26" t="s">
        <v>1217</v>
      </c>
      <c r="C4" s="26" t="s">
        <v>2402</v>
      </c>
      <c r="D4" s="26" t="s">
        <v>2137</v>
      </c>
      <c r="E4" s="26" t="s">
        <v>2617</v>
      </c>
      <c r="F4" s="26" t="s">
        <v>5785</v>
      </c>
      <c r="G4" s="26" t="s">
        <v>1152</v>
      </c>
      <c r="H4" s="26" t="s">
        <v>5786</v>
      </c>
      <c r="I4" s="26" t="s">
        <v>5787</v>
      </c>
      <c r="J4" s="26" t="s">
        <v>2505</v>
      </c>
      <c r="K4" s="26" t="s">
        <v>5788</v>
      </c>
      <c r="L4" s="26" t="s">
        <v>5789</v>
      </c>
    </row>
    <row r="5">
      <c r="A5" s="209" t="s">
        <v>1353</v>
      </c>
      <c r="B5" s="26" t="s">
        <v>5790</v>
      </c>
      <c r="C5" s="26" t="s">
        <v>5791</v>
      </c>
      <c r="D5" s="26" t="s">
        <v>2136</v>
      </c>
      <c r="E5" s="26" t="s">
        <v>3766</v>
      </c>
      <c r="F5" s="26" t="s">
        <v>4497</v>
      </c>
      <c r="G5" s="26" t="s">
        <v>5792</v>
      </c>
      <c r="H5" s="26" t="s">
        <v>5793</v>
      </c>
      <c r="I5" s="26" t="s">
        <v>5794</v>
      </c>
      <c r="J5" s="26" t="s">
        <v>2522</v>
      </c>
      <c r="K5" s="26" t="s">
        <v>5795</v>
      </c>
      <c r="L5" s="26" t="s">
        <v>5796</v>
      </c>
    </row>
    <row r="6">
      <c r="A6" s="209" t="s">
        <v>1357</v>
      </c>
      <c r="B6" s="26" t="s">
        <v>5797</v>
      </c>
      <c r="C6" s="26" t="s">
        <v>5798</v>
      </c>
      <c r="D6" s="26" t="s">
        <v>5799</v>
      </c>
      <c r="E6" s="26" t="s">
        <v>4889</v>
      </c>
      <c r="F6" s="26" t="s">
        <v>4894</v>
      </c>
      <c r="G6" s="26" t="s">
        <v>5800</v>
      </c>
      <c r="H6" s="26" t="s">
        <v>5801</v>
      </c>
      <c r="I6" s="26" t="s">
        <v>2329</v>
      </c>
      <c r="J6" s="26" t="s">
        <v>3773</v>
      </c>
      <c r="K6" s="26" t="s">
        <v>5802</v>
      </c>
      <c r="L6" s="26" t="s">
        <v>5803</v>
      </c>
    </row>
    <row r="7">
      <c r="A7" s="209" t="s">
        <v>1359</v>
      </c>
      <c r="B7" s="26" t="s">
        <v>5804</v>
      </c>
      <c r="C7" s="26" t="s">
        <v>2382</v>
      </c>
      <c r="D7" s="26" t="s">
        <v>5805</v>
      </c>
      <c r="E7" s="26" t="s">
        <v>5806</v>
      </c>
      <c r="F7" s="26" t="s">
        <v>5312</v>
      </c>
      <c r="H7" s="26" t="s">
        <v>3780</v>
      </c>
      <c r="I7" s="26" t="s">
        <v>2203</v>
      </c>
      <c r="J7" s="26" t="s">
        <v>3532</v>
      </c>
      <c r="K7" s="26" t="s">
        <v>5807</v>
      </c>
      <c r="L7" s="26" t="s">
        <v>5808</v>
      </c>
    </row>
    <row r="8">
      <c r="A8" s="209" t="s">
        <v>1361</v>
      </c>
      <c r="B8" s="26" t="s">
        <v>5809</v>
      </c>
      <c r="C8" s="26" t="s">
        <v>5810</v>
      </c>
      <c r="D8" s="26" t="s">
        <v>5811</v>
      </c>
      <c r="E8" s="26" t="s">
        <v>4152</v>
      </c>
      <c r="F8" s="26" t="s">
        <v>5812</v>
      </c>
      <c r="H8" s="26" t="s">
        <v>5318</v>
      </c>
      <c r="I8" s="26" t="s">
        <v>2210</v>
      </c>
      <c r="J8" s="26" t="s">
        <v>3784</v>
      </c>
      <c r="K8" s="26" t="s">
        <v>5813</v>
      </c>
      <c r="L8" s="26" t="s">
        <v>5814</v>
      </c>
    </row>
    <row r="9">
      <c r="A9" s="209" t="s">
        <v>1363</v>
      </c>
      <c r="B9" s="26" t="s">
        <v>5815</v>
      </c>
      <c r="C9" s="26" t="s">
        <v>5816</v>
      </c>
      <c r="D9" s="26" t="s">
        <v>5817</v>
      </c>
      <c r="F9" s="26" t="s">
        <v>5818</v>
      </c>
      <c r="H9" s="26" t="s">
        <v>5819</v>
      </c>
      <c r="I9" s="26" t="s">
        <v>5820</v>
      </c>
      <c r="J9" s="26" t="s">
        <v>5332</v>
      </c>
      <c r="K9" s="26" t="s">
        <v>5821</v>
      </c>
      <c r="L9" s="26" t="s">
        <v>5822</v>
      </c>
    </row>
    <row r="10">
      <c r="A10" s="209" t="s">
        <v>5823</v>
      </c>
      <c r="B10" s="26" t="s">
        <v>5824</v>
      </c>
      <c r="C10" s="26" t="s">
        <v>5825</v>
      </c>
      <c r="D10" s="26" t="s">
        <v>5826</v>
      </c>
      <c r="F10" s="26" t="s">
        <v>5827</v>
      </c>
      <c r="H10" s="26" t="s">
        <v>5828</v>
      </c>
      <c r="I10" s="26" t="s">
        <v>5829</v>
      </c>
      <c r="J10" s="26" t="s">
        <v>5344</v>
      </c>
      <c r="K10" s="26" t="s">
        <v>5830</v>
      </c>
      <c r="L10" s="26" t="s">
        <v>5831</v>
      </c>
    </row>
    <row r="11">
      <c r="A11" s="209" t="s">
        <v>5832</v>
      </c>
      <c r="B11" s="26" t="s">
        <v>5833</v>
      </c>
      <c r="C11" s="26" t="s">
        <v>5834</v>
      </c>
      <c r="D11" s="26" t="s">
        <v>5835</v>
      </c>
      <c r="F11" s="26" t="s">
        <v>5836</v>
      </c>
      <c r="H11" s="26" t="s">
        <v>4555</v>
      </c>
      <c r="I11" s="26" t="s">
        <v>5837</v>
      </c>
      <c r="J11" s="26" t="s">
        <v>3798</v>
      </c>
      <c r="K11" s="26" t="s">
        <v>5838</v>
      </c>
      <c r="L11" s="26" t="s">
        <v>5839</v>
      </c>
    </row>
    <row r="12">
      <c r="A12" s="209" t="s">
        <v>5840</v>
      </c>
      <c r="B12" s="26" t="s">
        <v>5841</v>
      </c>
      <c r="C12" s="26" t="s">
        <v>5842</v>
      </c>
      <c r="D12" s="26" t="s">
        <v>5843</v>
      </c>
      <c r="F12" s="26" t="s">
        <v>5844</v>
      </c>
      <c r="H12" s="26" t="s">
        <v>5845</v>
      </c>
      <c r="I12" s="26" t="s">
        <v>5846</v>
      </c>
      <c r="J12" s="26" t="s">
        <v>5363</v>
      </c>
      <c r="L12" s="26" t="s">
        <v>5847</v>
      </c>
    </row>
    <row r="13">
      <c r="A13" s="209" t="s">
        <v>5848</v>
      </c>
      <c r="B13" s="26" t="s">
        <v>5849</v>
      </c>
      <c r="C13" s="26" t="s">
        <v>5850</v>
      </c>
      <c r="F13" s="26" t="s">
        <v>5851</v>
      </c>
      <c r="H13" s="26" t="s">
        <v>5852</v>
      </c>
      <c r="I13" s="26" t="s">
        <v>5853</v>
      </c>
      <c r="J13" s="26" t="s">
        <v>5373</v>
      </c>
      <c r="L13" s="65" t="s">
        <v>5854</v>
      </c>
    </row>
    <row r="14">
      <c r="A14" s="209" t="s">
        <v>5855</v>
      </c>
      <c r="B14" s="26" t="s">
        <v>5856</v>
      </c>
      <c r="C14" s="26" t="s">
        <v>5857</v>
      </c>
      <c r="F14" s="26" t="s">
        <v>5858</v>
      </c>
      <c r="H14" s="26" t="s">
        <v>5859</v>
      </c>
      <c r="I14" s="26" t="s">
        <v>5860</v>
      </c>
      <c r="J14" s="26" t="s">
        <v>5384</v>
      </c>
      <c r="L14" s="65" t="s">
        <v>5861</v>
      </c>
    </row>
    <row r="15">
      <c r="A15" s="209" t="s">
        <v>5862</v>
      </c>
      <c r="B15" s="26" t="s">
        <v>5863</v>
      </c>
      <c r="F15" s="26" t="s">
        <v>5864</v>
      </c>
      <c r="H15" s="26" t="s">
        <v>5865</v>
      </c>
      <c r="I15" s="26" t="s">
        <v>5866</v>
      </c>
      <c r="J15" s="26" t="s">
        <v>3807</v>
      </c>
      <c r="L15" s="65" t="s">
        <v>5867</v>
      </c>
    </row>
    <row r="16">
      <c r="A16" s="209" t="s">
        <v>5868</v>
      </c>
      <c r="B16" s="26" t="s">
        <v>5869</v>
      </c>
      <c r="F16" s="26" t="s">
        <v>5870</v>
      </c>
      <c r="H16" s="26" t="s">
        <v>5871</v>
      </c>
      <c r="I16" s="26" t="s">
        <v>5872</v>
      </c>
      <c r="J16" s="26" t="s">
        <v>5398</v>
      </c>
      <c r="L16" s="65" t="s">
        <v>5873</v>
      </c>
    </row>
    <row r="17">
      <c r="A17" s="209" t="s">
        <v>5874</v>
      </c>
      <c r="B17" s="26" t="s">
        <v>5875</v>
      </c>
      <c r="I17" s="26" t="s">
        <v>5876</v>
      </c>
      <c r="J17" s="26" t="s">
        <v>5406</v>
      </c>
      <c r="L17" s="26" t="s">
        <v>5877</v>
      </c>
    </row>
    <row r="18">
      <c r="A18" s="209" t="s">
        <v>5878</v>
      </c>
      <c r="I18" s="26" t="s">
        <v>5879</v>
      </c>
      <c r="J18" s="26" t="s">
        <v>4975</v>
      </c>
    </row>
    <row r="19">
      <c r="A19" s="209" t="s">
        <v>5880</v>
      </c>
      <c r="I19" s="26" t="s">
        <v>5881</v>
      </c>
    </row>
    <row r="20">
      <c r="A20" s="209" t="s">
        <v>5882</v>
      </c>
      <c r="I20" s="26" t="s">
        <v>5883</v>
      </c>
    </row>
    <row r="21">
      <c r="A21" s="26"/>
      <c r="I21" s="26" t="s">
        <v>5884</v>
      </c>
    </row>
    <row r="22">
      <c r="I22" s="26" t="s">
        <v>5885</v>
      </c>
    </row>
    <row r="23">
      <c r="I23" s="26" t="s">
        <v>5886</v>
      </c>
    </row>
    <row r="24">
      <c r="I24" s="26" t="s">
        <v>5887</v>
      </c>
    </row>
    <row r="25">
      <c r="I25" s="26" t="s">
        <v>5888</v>
      </c>
    </row>
    <row r="26">
      <c r="B26" s="10">
        <f>19+16+13+10+7+15+5+16+27+17+9+16</f>
        <v>170</v>
      </c>
      <c r="I26" s="26" t="s">
        <v>2262</v>
      </c>
    </row>
    <row r="27">
      <c r="I27" s="26" t="s">
        <v>5889</v>
      </c>
    </row>
    <row r="28">
      <c r="I28" s="26" t="s">
        <v>5890</v>
      </c>
    </row>
    <row r="31">
      <c r="A31" s="98" t="s">
        <v>5891</v>
      </c>
    </row>
    <row r="32">
      <c r="A32" s="38" t="s">
        <v>5892</v>
      </c>
      <c r="B32" s="38" t="s">
        <v>5893</v>
      </c>
      <c r="C32" s="38" t="s">
        <v>5894</v>
      </c>
      <c r="D32" s="38" t="s">
        <v>5895</v>
      </c>
      <c r="E32" s="38" t="s">
        <v>5896</v>
      </c>
      <c r="F32" s="38" t="s">
        <v>5897</v>
      </c>
      <c r="G32" s="38" t="s">
        <v>5898</v>
      </c>
      <c r="H32" s="38" t="s">
        <v>5899</v>
      </c>
    </row>
    <row r="33">
      <c r="A33" s="26" t="s">
        <v>5900</v>
      </c>
      <c r="B33" s="26" t="s">
        <v>5901</v>
      </c>
      <c r="C33" s="26" t="s">
        <v>5902</v>
      </c>
      <c r="D33" s="26" t="s">
        <v>5903</v>
      </c>
      <c r="E33" s="26" t="s">
        <v>5904</v>
      </c>
      <c r="F33" s="26" t="s">
        <v>5905</v>
      </c>
      <c r="G33" s="26" t="s">
        <v>5906</v>
      </c>
      <c r="H33" s="26" t="s">
        <v>5907</v>
      </c>
    </row>
    <row r="34">
      <c r="A34" s="26" t="s">
        <v>5908</v>
      </c>
      <c r="B34" s="26" t="s">
        <v>5909</v>
      </c>
      <c r="C34" s="26" t="s">
        <v>5910</v>
      </c>
      <c r="D34" s="26" t="s">
        <v>5911</v>
      </c>
      <c r="E34" s="26" t="s">
        <v>5912</v>
      </c>
      <c r="F34" s="26" t="s">
        <v>5913</v>
      </c>
      <c r="G34" s="26" t="s">
        <v>5914</v>
      </c>
      <c r="H34" s="26" t="s">
        <v>5915</v>
      </c>
    </row>
    <row r="35">
      <c r="A35" s="26" t="s">
        <v>5916</v>
      </c>
      <c r="B35" s="26" t="s">
        <v>5917</v>
      </c>
      <c r="C35" s="26" t="s">
        <v>5918</v>
      </c>
      <c r="D35" s="26" t="s">
        <v>5919</v>
      </c>
      <c r="E35" s="26" t="s">
        <v>5920</v>
      </c>
      <c r="F35" s="26" t="s">
        <v>5921</v>
      </c>
      <c r="G35" s="26" t="s">
        <v>5922</v>
      </c>
      <c r="H35" s="26" t="s">
        <v>5923</v>
      </c>
    </row>
    <row r="36">
      <c r="A36" s="26" t="s">
        <v>5924</v>
      </c>
      <c r="B36" s="26" t="s">
        <v>5925</v>
      </c>
      <c r="C36" s="26" t="s">
        <v>5926</v>
      </c>
      <c r="D36" s="26" t="s">
        <v>5927</v>
      </c>
      <c r="E36" s="26" t="s">
        <v>5928</v>
      </c>
      <c r="F36" s="26" t="s">
        <v>5929</v>
      </c>
      <c r="G36" s="26" t="s">
        <v>5930</v>
      </c>
      <c r="H36" s="26" t="s">
        <v>5931</v>
      </c>
    </row>
    <row r="37">
      <c r="A37" s="26" t="s">
        <v>5932</v>
      </c>
      <c r="B37" s="26" t="s">
        <v>5933</v>
      </c>
      <c r="C37" s="26" t="s">
        <v>5934</v>
      </c>
      <c r="D37" s="26" t="s">
        <v>5935</v>
      </c>
      <c r="E37" s="26" t="s">
        <v>5936</v>
      </c>
      <c r="F37" s="26" t="s">
        <v>5937</v>
      </c>
      <c r="G37" s="26" t="s">
        <v>5938</v>
      </c>
      <c r="H37" s="26" t="s">
        <v>5939</v>
      </c>
    </row>
    <row r="38">
      <c r="A38" s="26" t="s">
        <v>5940</v>
      </c>
      <c r="B38" s="26" t="s">
        <v>5941</v>
      </c>
      <c r="C38" s="26" t="s">
        <v>5942</v>
      </c>
      <c r="D38" s="26" t="s">
        <v>5943</v>
      </c>
      <c r="E38" s="26" t="s">
        <v>5944</v>
      </c>
      <c r="F38" s="26" t="s">
        <v>5945</v>
      </c>
      <c r="G38" s="26" t="s">
        <v>5946</v>
      </c>
      <c r="H38" s="26" t="s">
        <v>5947</v>
      </c>
    </row>
    <row r="39">
      <c r="A39" s="26" t="s">
        <v>5948</v>
      </c>
      <c r="B39" s="26" t="s">
        <v>5949</v>
      </c>
      <c r="C39" s="26" t="s">
        <v>5950</v>
      </c>
      <c r="D39" s="26" t="s">
        <v>5951</v>
      </c>
      <c r="E39" s="26" t="s">
        <v>5952</v>
      </c>
      <c r="F39" s="26" t="s">
        <v>5953</v>
      </c>
      <c r="G39" s="26" t="s">
        <v>5954</v>
      </c>
      <c r="H39" s="26" t="s">
        <v>5955</v>
      </c>
    </row>
    <row r="40">
      <c r="A40" s="26" t="s">
        <v>5956</v>
      </c>
      <c r="B40" s="26" t="s">
        <v>5957</v>
      </c>
      <c r="C40" s="26" t="s">
        <v>5958</v>
      </c>
      <c r="D40" s="26" t="s">
        <v>5959</v>
      </c>
      <c r="E40" s="26" t="s">
        <v>5960</v>
      </c>
      <c r="F40" s="26" t="s">
        <v>5961</v>
      </c>
      <c r="G40" s="26" t="s">
        <v>5962</v>
      </c>
      <c r="H40" s="26" t="s">
        <v>5963</v>
      </c>
    </row>
    <row r="41">
      <c r="A41" s="26" t="s">
        <v>5964</v>
      </c>
      <c r="B41" s="26" t="s">
        <v>5965</v>
      </c>
      <c r="C41" s="26" t="s">
        <v>5966</v>
      </c>
      <c r="D41" s="26" t="s">
        <v>5967</v>
      </c>
      <c r="E41" s="26" t="s">
        <v>5968</v>
      </c>
      <c r="F41" s="26" t="s">
        <v>5969</v>
      </c>
      <c r="G41" s="26" t="s">
        <v>5970</v>
      </c>
      <c r="H41" s="26" t="s">
        <v>5971</v>
      </c>
    </row>
    <row r="42">
      <c r="A42" s="26" t="s">
        <v>5972</v>
      </c>
      <c r="B42" s="26" t="s">
        <v>5973</v>
      </c>
      <c r="C42" s="26" t="s">
        <v>5974</v>
      </c>
      <c r="D42" s="26" t="s">
        <v>5975</v>
      </c>
      <c r="E42" s="26" t="s">
        <v>5976</v>
      </c>
      <c r="F42" s="26" t="s">
        <v>5977</v>
      </c>
      <c r="G42" s="26" t="s">
        <v>5978</v>
      </c>
      <c r="H42" s="26" t="s">
        <v>5979</v>
      </c>
    </row>
    <row r="43">
      <c r="A43" s="26" t="s">
        <v>5980</v>
      </c>
      <c r="B43" s="26" t="s">
        <v>5981</v>
      </c>
      <c r="C43" s="26" t="s">
        <v>5982</v>
      </c>
      <c r="D43" s="26" t="s">
        <v>5983</v>
      </c>
      <c r="E43" s="26" t="s">
        <v>5984</v>
      </c>
      <c r="F43" s="26" t="s">
        <v>5985</v>
      </c>
      <c r="G43" s="26" t="s">
        <v>5986</v>
      </c>
      <c r="H43" s="26" t="s">
        <v>5987</v>
      </c>
    </row>
    <row r="44">
      <c r="A44" s="26" t="s">
        <v>5988</v>
      </c>
      <c r="B44" s="26" t="s">
        <v>5989</v>
      </c>
      <c r="C44" s="26" t="s">
        <v>5990</v>
      </c>
      <c r="D44" s="26" t="s">
        <v>5991</v>
      </c>
      <c r="E44" s="26" t="s">
        <v>5992</v>
      </c>
      <c r="F44" s="26" t="s">
        <v>5993</v>
      </c>
      <c r="G44" s="26" t="s">
        <v>5994</v>
      </c>
      <c r="H44" s="26" t="s">
        <v>5995</v>
      </c>
    </row>
    <row r="45">
      <c r="A45" s="26" t="s">
        <v>5996</v>
      </c>
      <c r="B45" s="26" t="s">
        <v>5997</v>
      </c>
      <c r="C45" s="26" t="s">
        <v>5998</v>
      </c>
      <c r="D45" s="26" t="s">
        <v>5999</v>
      </c>
      <c r="E45" s="26" t="s">
        <v>6000</v>
      </c>
      <c r="F45" s="26" t="s">
        <v>6001</v>
      </c>
      <c r="G45" s="26" t="s">
        <v>6002</v>
      </c>
      <c r="H45" s="26" t="s">
        <v>6003</v>
      </c>
    </row>
    <row r="46">
      <c r="A46" s="26" t="s">
        <v>6004</v>
      </c>
      <c r="B46" s="26" t="s">
        <v>6005</v>
      </c>
      <c r="C46" s="26" t="s">
        <v>6006</v>
      </c>
      <c r="D46" s="26" t="s">
        <v>6007</v>
      </c>
      <c r="E46" s="26" t="s">
        <v>6008</v>
      </c>
      <c r="F46" s="26" t="s">
        <v>6009</v>
      </c>
      <c r="G46" s="26" t="s">
        <v>6010</v>
      </c>
      <c r="H46" s="26" t="s">
        <v>6011</v>
      </c>
    </row>
    <row r="47">
      <c r="A47" s="26" t="s">
        <v>6012</v>
      </c>
      <c r="B47" s="26" t="s">
        <v>6013</v>
      </c>
      <c r="C47" s="26" t="s">
        <v>6014</v>
      </c>
      <c r="D47" s="26" t="s">
        <v>6015</v>
      </c>
      <c r="E47" s="26" t="s">
        <v>6016</v>
      </c>
      <c r="F47" s="26" t="s">
        <v>6017</v>
      </c>
      <c r="G47" s="26" t="s">
        <v>6018</v>
      </c>
      <c r="H47" s="26" t="s">
        <v>6019</v>
      </c>
    </row>
    <row r="48">
      <c r="A48" s="26" t="s">
        <v>6020</v>
      </c>
      <c r="B48" s="26" t="s">
        <v>6021</v>
      </c>
      <c r="C48" s="26" t="s">
        <v>6022</v>
      </c>
      <c r="D48" s="26" t="s">
        <v>6023</v>
      </c>
      <c r="E48" s="26" t="s">
        <v>6024</v>
      </c>
      <c r="F48" s="26" t="s">
        <v>6025</v>
      </c>
      <c r="G48" s="26" t="s">
        <v>6026</v>
      </c>
      <c r="H48" s="26" t="s">
        <v>6027</v>
      </c>
    </row>
    <row r="49">
      <c r="A49" s="26" t="s">
        <v>6028</v>
      </c>
      <c r="B49" s="26" t="s">
        <v>6029</v>
      </c>
      <c r="C49" s="26" t="s">
        <v>6030</v>
      </c>
      <c r="D49" s="26" t="s">
        <v>6031</v>
      </c>
      <c r="E49" s="26" t="s">
        <v>6032</v>
      </c>
      <c r="F49" s="26" t="s">
        <v>6033</v>
      </c>
      <c r="G49" s="26" t="s">
        <v>6034</v>
      </c>
      <c r="H49" s="26" t="s">
        <v>6035</v>
      </c>
    </row>
    <row r="50">
      <c r="A50" s="26" t="s">
        <v>6036</v>
      </c>
      <c r="B50" s="26" t="s">
        <v>6037</v>
      </c>
      <c r="C50" s="26" t="s">
        <v>6038</v>
      </c>
      <c r="D50" s="26" t="s">
        <v>6039</v>
      </c>
      <c r="E50" s="26" t="s">
        <v>6040</v>
      </c>
      <c r="F50" s="26" t="s">
        <v>6041</v>
      </c>
      <c r="G50" s="26" t="s">
        <v>6042</v>
      </c>
      <c r="H50" s="26" t="s">
        <v>6043</v>
      </c>
    </row>
  </sheetData>
  <mergeCells count="1">
    <mergeCell ref="A31:H3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19.38"/>
    <col customWidth="1" min="3" max="3" width="18.63"/>
    <col customWidth="1" min="4" max="4" width="19.13"/>
    <col customWidth="1" min="5" max="5" width="17.63"/>
    <col customWidth="1" min="6" max="6" width="18.63"/>
    <col customWidth="1" min="7" max="7" width="20.25"/>
    <col customWidth="1" min="8" max="8" width="20.75"/>
    <col customWidth="1" min="9" max="9" width="15.38"/>
    <col customWidth="1" min="10" max="10" width="17.13"/>
  </cols>
  <sheetData>
    <row r="1">
      <c r="A1" s="206" t="s">
        <v>6044</v>
      </c>
    </row>
    <row r="2">
      <c r="A2" s="189" t="s">
        <v>17</v>
      </c>
    </row>
    <row r="3">
      <c r="A3" s="26" t="s">
        <v>6045</v>
      </c>
    </row>
    <row r="4">
      <c r="A4" s="26" t="s">
        <v>3514</v>
      </c>
    </row>
    <row r="5">
      <c r="A5" s="26" t="s">
        <v>4114</v>
      </c>
    </row>
    <row r="6">
      <c r="A6" s="26" t="s">
        <v>6046</v>
      </c>
    </row>
    <row r="7">
      <c r="A7" s="26" t="s">
        <v>6047</v>
      </c>
    </row>
    <row r="8">
      <c r="A8" s="26" t="s">
        <v>2614</v>
      </c>
    </row>
    <row r="9">
      <c r="A9" s="26" t="s">
        <v>6048</v>
      </c>
    </row>
    <row r="10">
      <c r="A10" s="26" t="s">
        <v>6049</v>
      </c>
    </row>
    <row r="11">
      <c r="A11" s="26" t="s">
        <v>6050</v>
      </c>
    </row>
    <row r="12">
      <c r="A12" s="26" t="s">
        <v>2638</v>
      </c>
    </row>
    <row r="13">
      <c r="A13" s="26" t="s">
        <v>6051</v>
      </c>
    </row>
    <row r="14">
      <c r="A14" s="26" t="s">
        <v>2647</v>
      </c>
    </row>
    <row r="15">
      <c r="A15" s="26" t="s">
        <v>6052</v>
      </c>
    </row>
    <row r="16">
      <c r="A16" s="26" t="s">
        <v>6053</v>
      </c>
    </row>
    <row r="17">
      <c r="A17" s="26" t="s">
        <v>2656</v>
      </c>
    </row>
    <row r="18">
      <c r="A18" s="26" t="s">
        <v>6054</v>
      </c>
    </row>
    <row r="19">
      <c r="A19" s="26" t="s">
        <v>2662</v>
      </c>
    </row>
    <row r="20">
      <c r="A20" s="26" t="s">
        <v>6055</v>
      </c>
    </row>
    <row r="21">
      <c r="A21" s="26" t="s">
        <v>6056</v>
      </c>
    </row>
    <row r="22">
      <c r="A22" s="26" t="s">
        <v>2670</v>
      </c>
    </row>
    <row r="23">
      <c r="A23" s="26" t="s">
        <v>6057</v>
      </c>
    </row>
    <row r="24">
      <c r="A24" s="26" t="s">
        <v>2674</v>
      </c>
    </row>
    <row r="25">
      <c r="A25" s="26" t="s">
        <v>2675</v>
      </c>
    </row>
    <row r="26">
      <c r="A26" s="26" t="s">
        <v>2677</v>
      </c>
    </row>
    <row r="27">
      <c r="A27" s="26" t="s">
        <v>2681</v>
      </c>
    </row>
    <row r="28">
      <c r="A28" s="26" t="s">
        <v>2682</v>
      </c>
    </row>
    <row r="29">
      <c r="A29" s="26" t="s">
        <v>6058</v>
      </c>
    </row>
    <row r="30">
      <c r="A30" s="26" t="s">
        <v>6059</v>
      </c>
    </row>
    <row r="31">
      <c r="A31" s="26" t="s">
        <v>6060</v>
      </c>
    </row>
    <row r="32">
      <c r="A32" s="26" t="s">
        <v>2689</v>
      </c>
    </row>
    <row r="33">
      <c r="A33" s="26" t="s">
        <v>2690</v>
      </c>
    </row>
    <row r="34">
      <c r="A34" s="26" t="s">
        <v>6061</v>
      </c>
    </row>
    <row r="35">
      <c r="A35" s="26" t="s">
        <v>2693</v>
      </c>
    </row>
    <row r="36">
      <c r="A36" s="26" t="s">
        <v>6062</v>
      </c>
    </row>
    <row r="37">
      <c r="A37" s="26" t="s">
        <v>6063</v>
      </c>
    </row>
    <row r="38">
      <c r="A38" s="26" t="s">
        <v>6064</v>
      </c>
    </row>
    <row r="39">
      <c r="A39" s="26" t="s">
        <v>6065</v>
      </c>
    </row>
    <row r="42">
      <c r="A42" s="164" t="s">
        <v>6066</v>
      </c>
    </row>
    <row r="43">
      <c r="A43" s="38" t="s">
        <v>6067</v>
      </c>
      <c r="B43" s="38" t="s">
        <v>6068</v>
      </c>
      <c r="C43" s="38" t="s">
        <v>6069</v>
      </c>
      <c r="D43" s="38" t="s">
        <v>6070</v>
      </c>
      <c r="E43" s="38" t="s">
        <v>6071</v>
      </c>
      <c r="F43" s="38" t="s">
        <v>6072</v>
      </c>
      <c r="G43" s="38" t="s">
        <v>6073</v>
      </c>
      <c r="H43" s="38" t="s">
        <v>6074</v>
      </c>
      <c r="I43" s="38" t="s">
        <v>6075</v>
      </c>
      <c r="J43" s="38" t="s">
        <v>6076</v>
      </c>
    </row>
  </sheetData>
  <mergeCells count="2">
    <mergeCell ref="A1:N1"/>
    <mergeCell ref="A42:J42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47" t="s">
        <v>2558</v>
      </c>
    </row>
    <row r="2">
      <c r="A2" s="47" t="s">
        <v>6077</v>
      </c>
    </row>
    <row r="3">
      <c r="A3" s="4" t="s">
        <v>6078</v>
      </c>
    </row>
    <row r="4">
      <c r="A4" s="47" t="s">
        <v>200</v>
      </c>
      <c r="B4" s="47" t="s">
        <v>6079</v>
      </c>
      <c r="C4" s="47" t="s">
        <v>6080</v>
      </c>
      <c r="D4" s="47" t="s">
        <v>6081</v>
      </c>
      <c r="E4" s="47" t="s">
        <v>657</v>
      </c>
      <c r="F4" s="47" t="s">
        <v>6082</v>
      </c>
      <c r="G4" s="47" t="s">
        <v>659</v>
      </c>
    </row>
    <row r="5">
      <c r="A5" s="26" t="s">
        <v>6083</v>
      </c>
      <c r="B5" s="26" t="s">
        <v>6084</v>
      </c>
      <c r="C5" s="39" t="s">
        <v>6085</v>
      </c>
      <c r="D5" s="26" t="s">
        <v>2052</v>
      </c>
      <c r="E5" s="26" t="s">
        <v>6086</v>
      </c>
      <c r="F5" s="26" t="s">
        <v>6087</v>
      </c>
      <c r="G5" s="26" t="s">
        <v>221</v>
      </c>
    </row>
    <row r="6">
      <c r="A6" s="26" t="s">
        <v>6088</v>
      </c>
      <c r="B6" s="26" t="s">
        <v>6089</v>
      </c>
      <c r="C6" s="39" t="s">
        <v>6090</v>
      </c>
      <c r="D6" s="26" t="s">
        <v>2192</v>
      </c>
      <c r="E6" s="26" t="s">
        <v>6091</v>
      </c>
      <c r="F6" s="26" t="s">
        <v>1574</v>
      </c>
    </row>
    <row r="7">
      <c r="A7" s="26" t="s">
        <v>6092</v>
      </c>
      <c r="C7" s="39" t="s">
        <v>6093</v>
      </c>
      <c r="D7" s="26" t="s">
        <v>2069</v>
      </c>
      <c r="E7" s="26" t="s">
        <v>6094</v>
      </c>
      <c r="F7" s="26" t="s">
        <v>6095</v>
      </c>
    </row>
    <row r="8">
      <c r="A8" s="26" t="s">
        <v>6096</v>
      </c>
      <c r="C8" s="39" t="s">
        <v>6097</v>
      </c>
      <c r="D8" s="26" t="s">
        <v>992</v>
      </c>
      <c r="E8" s="26" t="s">
        <v>6098</v>
      </c>
      <c r="F8" s="26" t="s">
        <v>333</v>
      </c>
    </row>
    <row r="9">
      <c r="A9" s="26" t="s">
        <v>6099</v>
      </c>
      <c r="F9" s="26" t="s">
        <v>6100</v>
      </c>
    </row>
    <row r="10">
      <c r="A10" s="26" t="s">
        <v>6101</v>
      </c>
      <c r="F10" s="26" t="s">
        <v>908</v>
      </c>
    </row>
    <row r="11">
      <c r="A11" s="26" t="s">
        <v>6102</v>
      </c>
      <c r="F11" s="26" t="s">
        <v>353</v>
      </c>
    </row>
    <row r="12">
      <c r="A12" s="26" t="s">
        <v>6103</v>
      </c>
      <c r="F12" s="26" t="s">
        <v>6104</v>
      </c>
    </row>
    <row r="13">
      <c r="A13" s="26" t="s">
        <v>6105</v>
      </c>
      <c r="F13" s="26" t="s">
        <v>6106</v>
      </c>
    </row>
    <row r="14">
      <c r="A14" s="26" t="s">
        <v>6107</v>
      </c>
      <c r="F14" s="26" t="s">
        <v>6108</v>
      </c>
    </row>
    <row r="15">
      <c r="A15" s="26" t="s">
        <v>6109</v>
      </c>
      <c r="F15" s="26" t="s">
        <v>1917</v>
      </c>
    </row>
    <row r="16">
      <c r="A16" s="26" t="s">
        <v>6110</v>
      </c>
    </row>
    <row r="17">
      <c r="A17" s="26" t="s">
        <v>6111</v>
      </c>
    </row>
    <row r="18">
      <c r="A18" s="26" t="s">
        <v>6112</v>
      </c>
    </row>
    <row r="19">
      <c r="A19" s="26" t="s">
        <v>6113</v>
      </c>
    </row>
    <row r="20">
      <c r="A20" s="26" t="s">
        <v>6114</v>
      </c>
    </row>
    <row r="21">
      <c r="A21" s="26" t="s">
        <v>6115</v>
      </c>
    </row>
    <row r="22">
      <c r="A22" s="26" t="s">
        <v>6116</v>
      </c>
    </row>
    <row r="23">
      <c r="A23" s="26" t="s">
        <v>6117</v>
      </c>
    </row>
    <row r="24">
      <c r="A24" s="26" t="s">
        <v>6118</v>
      </c>
    </row>
    <row r="28">
      <c r="A28" s="36" t="s">
        <v>6119</v>
      </c>
    </row>
    <row r="29">
      <c r="A29" s="37" t="s">
        <v>6120</v>
      </c>
    </row>
    <row r="30">
      <c r="A30" s="37">
        <v>2026.0</v>
      </c>
    </row>
    <row r="31">
      <c r="A31" s="38" t="s">
        <v>386</v>
      </c>
      <c r="B31" s="38" t="s">
        <v>102</v>
      </c>
      <c r="C31" s="38" t="s">
        <v>126</v>
      </c>
      <c r="D31" s="38" t="s">
        <v>112</v>
      </c>
      <c r="E31" s="38" t="s">
        <v>117</v>
      </c>
    </row>
    <row r="32">
      <c r="A32" s="39" t="s">
        <v>6121</v>
      </c>
      <c r="B32" s="39" t="s">
        <v>387</v>
      </c>
      <c r="C32" s="39" t="s">
        <v>1515</v>
      </c>
      <c r="D32" s="39" t="s">
        <v>783</v>
      </c>
    </row>
    <row r="33">
      <c r="A33" s="26" t="s">
        <v>6122</v>
      </c>
      <c r="B33" s="26" t="s">
        <v>3815</v>
      </c>
      <c r="C33" s="26" t="s">
        <v>847</v>
      </c>
      <c r="D33" s="26" t="s">
        <v>6123</v>
      </c>
    </row>
    <row r="34">
      <c r="A34" s="26" t="s">
        <v>406</v>
      </c>
      <c r="B34" s="26" t="s">
        <v>394</v>
      </c>
      <c r="C34" s="26" t="s">
        <v>394</v>
      </c>
      <c r="D34" s="26" t="s">
        <v>1258</v>
      </c>
    </row>
    <row r="35">
      <c r="C35" s="26" t="s">
        <v>6124</v>
      </c>
    </row>
    <row r="36">
      <c r="C36" s="26" t="s">
        <v>6125</v>
      </c>
    </row>
    <row r="37">
      <c r="C37" s="26" t="s">
        <v>404</v>
      </c>
    </row>
    <row r="42">
      <c r="A42" s="41" t="s">
        <v>6126</v>
      </c>
    </row>
    <row r="43">
      <c r="A43" s="42">
        <v>2026.0</v>
      </c>
    </row>
    <row r="44">
      <c r="A44" s="38" t="s">
        <v>409</v>
      </c>
      <c r="B44" s="38" t="s">
        <v>410</v>
      </c>
      <c r="C44" s="38" t="s">
        <v>411</v>
      </c>
      <c r="D44" s="38" t="s">
        <v>412</v>
      </c>
      <c r="E44" s="38" t="s">
        <v>413</v>
      </c>
      <c r="F44" s="38" t="s">
        <v>414</v>
      </c>
    </row>
    <row r="45">
      <c r="A45" s="39" t="s">
        <v>6127</v>
      </c>
      <c r="B45" s="39" t="s">
        <v>6128</v>
      </c>
    </row>
    <row r="46">
      <c r="A46" s="26" t="s">
        <v>1112</v>
      </c>
      <c r="B46" s="26" t="s">
        <v>6122</v>
      </c>
    </row>
    <row r="47">
      <c r="A47" s="26" t="s">
        <v>1113</v>
      </c>
      <c r="B47" s="26" t="s">
        <v>430</v>
      </c>
    </row>
    <row r="48">
      <c r="A48" s="26" t="s">
        <v>6129</v>
      </c>
    </row>
    <row r="49">
      <c r="A49" s="26" t="s">
        <v>395</v>
      </c>
    </row>
    <row r="50">
      <c r="A50" s="26" t="s">
        <v>6130</v>
      </c>
    </row>
    <row r="51">
      <c r="A51" s="26" t="s">
        <v>452</v>
      </c>
    </row>
    <row r="52">
      <c r="A52" s="26" t="s">
        <v>6096</v>
      </c>
    </row>
    <row r="53">
      <c r="A53" s="26" t="s">
        <v>400</v>
      </c>
    </row>
    <row r="54">
      <c r="A54" s="26" t="s">
        <v>6131</v>
      </c>
    </row>
    <row r="55">
      <c r="A55" s="26" t="s">
        <v>425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47" t="s">
        <v>6132</v>
      </c>
    </row>
    <row r="2">
      <c r="A2" s="47" t="s">
        <v>6133</v>
      </c>
    </row>
    <row r="3">
      <c r="A3" s="4" t="s">
        <v>6134</v>
      </c>
    </row>
    <row r="4">
      <c r="A4" s="47" t="s">
        <v>200</v>
      </c>
      <c r="B4" s="47" t="s">
        <v>6135</v>
      </c>
      <c r="C4" s="47" t="s">
        <v>6136</v>
      </c>
      <c r="D4" s="47" t="s">
        <v>6137</v>
      </c>
      <c r="E4" s="44" t="s">
        <v>6138</v>
      </c>
      <c r="F4" s="44" t="s">
        <v>6139</v>
      </c>
    </row>
    <row r="5">
      <c r="A5" s="26" t="s">
        <v>6140</v>
      </c>
      <c r="B5" s="26" t="s">
        <v>6141</v>
      </c>
      <c r="C5" s="26" t="s">
        <v>6142</v>
      </c>
      <c r="D5" s="26" t="s">
        <v>6143</v>
      </c>
      <c r="E5" s="26" t="s">
        <v>6144</v>
      </c>
      <c r="F5" s="26" t="s">
        <v>6145</v>
      </c>
    </row>
    <row r="6">
      <c r="A6" s="26" t="s">
        <v>6146</v>
      </c>
      <c r="C6" s="26" t="s">
        <v>339</v>
      </c>
      <c r="D6" s="26" t="s">
        <v>6147</v>
      </c>
      <c r="E6" s="26" t="s">
        <v>6148</v>
      </c>
      <c r="F6" s="26" t="s">
        <v>6149</v>
      </c>
    </row>
    <row r="7">
      <c r="A7" s="26" t="s">
        <v>6150</v>
      </c>
      <c r="D7" s="26" t="s">
        <v>6151</v>
      </c>
    </row>
    <row r="8">
      <c r="A8" s="26" t="s">
        <v>6152</v>
      </c>
      <c r="D8" s="26" t="s">
        <v>6153</v>
      </c>
    </row>
    <row r="9">
      <c r="A9" s="26" t="s">
        <v>1728</v>
      </c>
    </row>
    <row r="10">
      <c r="A10" s="26" t="s">
        <v>6154</v>
      </c>
    </row>
    <row r="11">
      <c r="A11" s="26" t="s">
        <v>6155</v>
      </c>
    </row>
    <row r="12">
      <c r="A12" s="26" t="s">
        <v>6156</v>
      </c>
    </row>
    <row r="13">
      <c r="A13" s="26" t="s">
        <v>6157</v>
      </c>
    </row>
    <row r="14">
      <c r="A14" s="26" t="s">
        <v>6158</v>
      </c>
    </row>
    <row r="15">
      <c r="A15" s="26" t="s">
        <v>6159</v>
      </c>
    </row>
    <row r="16">
      <c r="A16" s="26" t="s">
        <v>3859</v>
      </c>
    </row>
    <row r="17">
      <c r="A17" s="26" t="s">
        <v>6160</v>
      </c>
    </row>
    <row r="18">
      <c r="A18" s="26" t="s">
        <v>6161</v>
      </c>
    </row>
    <row r="19">
      <c r="A19" s="26" t="s">
        <v>6162</v>
      </c>
    </row>
    <row r="26">
      <c r="A26" s="36" t="s">
        <v>6163</v>
      </c>
    </row>
    <row r="27">
      <c r="A27" s="37" t="s">
        <v>6164</v>
      </c>
    </row>
    <row r="28">
      <c r="A28" s="37">
        <v>2026.0</v>
      </c>
    </row>
    <row r="29">
      <c r="A29" s="38" t="s">
        <v>386</v>
      </c>
      <c r="B29" s="38" t="s">
        <v>102</v>
      </c>
      <c r="C29" s="38" t="s">
        <v>126</v>
      </c>
      <c r="D29" s="38" t="s">
        <v>112</v>
      </c>
      <c r="E29" s="38" t="s">
        <v>117</v>
      </c>
    </row>
    <row r="30">
      <c r="D30" s="26" t="s">
        <v>846</v>
      </c>
    </row>
    <row r="31">
      <c r="D31" s="26" t="s">
        <v>400</v>
      </c>
    </row>
    <row r="40">
      <c r="A40" s="41" t="s">
        <v>1381</v>
      </c>
    </row>
    <row r="41">
      <c r="A41" s="42">
        <v>2026.0</v>
      </c>
    </row>
    <row r="42">
      <c r="A42" s="38" t="s">
        <v>409</v>
      </c>
      <c r="B42" s="38" t="s">
        <v>410</v>
      </c>
      <c r="C42" s="38" t="s">
        <v>411</v>
      </c>
      <c r="D42" s="38" t="s">
        <v>412</v>
      </c>
      <c r="E42" s="38" t="s">
        <v>413</v>
      </c>
      <c r="F42" s="38" t="s">
        <v>414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47" t="s">
        <v>6165</v>
      </c>
    </row>
    <row r="2">
      <c r="A2" s="4" t="s">
        <v>6166</v>
      </c>
    </row>
    <row r="3">
      <c r="A3" s="4" t="s">
        <v>6167</v>
      </c>
    </row>
    <row r="4">
      <c r="A4" s="47" t="s">
        <v>200</v>
      </c>
      <c r="B4" s="47" t="s">
        <v>6079</v>
      </c>
      <c r="C4" s="47" t="s">
        <v>6168</v>
      </c>
      <c r="D4" s="47" t="s">
        <v>204</v>
      </c>
      <c r="E4" s="47" t="s">
        <v>6169</v>
      </c>
      <c r="F4" s="47" t="s">
        <v>6170</v>
      </c>
      <c r="G4" s="47" t="s">
        <v>6171</v>
      </c>
      <c r="H4" s="47" t="s">
        <v>6172</v>
      </c>
    </row>
    <row r="5">
      <c r="A5" s="26" t="s">
        <v>6173</v>
      </c>
      <c r="B5" s="26" t="s">
        <v>6174</v>
      </c>
      <c r="C5" s="26" t="s">
        <v>6175</v>
      </c>
      <c r="D5" s="26" t="s">
        <v>6176</v>
      </c>
      <c r="E5" s="26" t="s">
        <v>6177</v>
      </c>
      <c r="F5" s="26" t="s">
        <v>1527</v>
      </c>
      <c r="G5" s="26" t="s">
        <v>6178</v>
      </c>
      <c r="H5" s="26" t="s">
        <v>222</v>
      </c>
    </row>
    <row r="6">
      <c r="A6" s="26" t="s">
        <v>6179</v>
      </c>
      <c r="B6" s="26" t="s">
        <v>6180</v>
      </c>
      <c r="C6" s="26" t="s">
        <v>6181</v>
      </c>
      <c r="D6" s="26" t="s">
        <v>6182</v>
      </c>
      <c r="F6" s="26" t="s">
        <v>339</v>
      </c>
      <c r="G6" s="26" t="s">
        <v>6183</v>
      </c>
      <c r="H6" s="26" t="s">
        <v>6184</v>
      </c>
    </row>
    <row r="7">
      <c r="A7" s="26" t="s">
        <v>6185</v>
      </c>
      <c r="C7" s="26" t="s">
        <v>6186</v>
      </c>
      <c r="D7" s="26" t="s">
        <v>6187</v>
      </c>
      <c r="F7" s="26" t="s">
        <v>1530</v>
      </c>
      <c r="G7" s="26" t="s">
        <v>6188</v>
      </c>
      <c r="H7" s="26" t="s">
        <v>6189</v>
      </c>
    </row>
    <row r="8">
      <c r="A8" s="26" t="s">
        <v>6190</v>
      </c>
      <c r="C8" s="26" t="s">
        <v>6191</v>
      </c>
      <c r="F8" s="26" t="s">
        <v>6106</v>
      </c>
      <c r="G8" s="26" t="s">
        <v>6192</v>
      </c>
      <c r="H8" s="26" t="s">
        <v>326</v>
      </c>
    </row>
    <row r="9">
      <c r="A9" s="26" t="s">
        <v>1458</v>
      </c>
      <c r="C9" s="26" t="s">
        <v>6193</v>
      </c>
      <c r="F9" s="26" t="s">
        <v>6194</v>
      </c>
      <c r="G9" s="26" t="s">
        <v>6195</v>
      </c>
      <c r="H9" s="26" t="s">
        <v>986</v>
      </c>
    </row>
    <row r="10">
      <c r="A10" s="26" t="s">
        <v>6196</v>
      </c>
      <c r="F10" s="26" t="s">
        <v>339</v>
      </c>
      <c r="G10" s="26" t="s">
        <v>6197</v>
      </c>
      <c r="H10" s="26" t="s">
        <v>6198</v>
      </c>
    </row>
    <row r="11">
      <c r="A11" s="26" t="s">
        <v>6199</v>
      </c>
      <c r="G11" s="26" t="s">
        <v>6200</v>
      </c>
      <c r="H11" s="26" t="s">
        <v>260</v>
      </c>
    </row>
    <row r="12">
      <c r="A12" s="26" t="s">
        <v>6201</v>
      </c>
      <c r="G12" s="26" t="s">
        <v>6202</v>
      </c>
      <c r="H12" s="26" t="s">
        <v>1186</v>
      </c>
    </row>
    <row r="13">
      <c r="A13" s="26" t="s">
        <v>6203</v>
      </c>
      <c r="G13" s="26" t="s">
        <v>6204</v>
      </c>
      <c r="H13" s="26" t="s">
        <v>6205</v>
      </c>
    </row>
    <row r="14">
      <c r="A14" s="26" t="s">
        <v>6206</v>
      </c>
      <c r="G14" s="26" t="s">
        <v>6207</v>
      </c>
      <c r="H14" s="26" t="s">
        <v>6208</v>
      </c>
    </row>
    <row r="15">
      <c r="A15" s="26" t="s">
        <v>6209</v>
      </c>
      <c r="G15" s="26" t="s">
        <v>6210</v>
      </c>
      <c r="H15" s="26" t="s">
        <v>1198</v>
      </c>
    </row>
    <row r="16">
      <c r="A16" s="26" t="s">
        <v>6211</v>
      </c>
      <c r="H16" s="26" t="s">
        <v>1245</v>
      </c>
    </row>
    <row r="17">
      <c r="A17" s="26" t="s">
        <v>6212</v>
      </c>
      <c r="G17" s="47" t="s">
        <v>6213</v>
      </c>
      <c r="H17" s="26" t="s">
        <v>6214</v>
      </c>
    </row>
    <row r="18">
      <c r="A18" s="26" t="s">
        <v>6215</v>
      </c>
      <c r="G18" s="26" t="s">
        <v>6216</v>
      </c>
      <c r="H18" s="26" t="s">
        <v>260</v>
      </c>
    </row>
    <row r="19">
      <c r="A19" s="26" t="s">
        <v>4967</v>
      </c>
      <c r="G19" s="26" t="s">
        <v>6198</v>
      </c>
      <c r="H19" s="26" t="s">
        <v>1224</v>
      </c>
    </row>
    <row r="20">
      <c r="A20" s="26" t="s">
        <v>6217</v>
      </c>
      <c r="G20" s="26" t="s">
        <v>6104</v>
      </c>
      <c r="H20" s="26" t="s">
        <v>1228</v>
      </c>
    </row>
    <row r="21">
      <c r="A21" s="26" t="s">
        <v>6218</v>
      </c>
      <c r="G21" s="26" t="s">
        <v>6219</v>
      </c>
      <c r="H21" s="26" t="s">
        <v>1240</v>
      </c>
    </row>
    <row r="22">
      <c r="A22" s="26" t="s">
        <v>6220</v>
      </c>
      <c r="G22" s="26" t="s">
        <v>6221</v>
      </c>
      <c r="H22" s="26" t="s">
        <v>6222</v>
      </c>
    </row>
    <row r="23">
      <c r="A23" s="26" t="s">
        <v>6223</v>
      </c>
      <c r="G23" s="26" t="s">
        <v>6224</v>
      </c>
      <c r="H23" s="26" t="s">
        <v>3575</v>
      </c>
    </row>
    <row r="24">
      <c r="G24" s="26" t="s">
        <v>6225</v>
      </c>
      <c r="H24" s="26" t="s">
        <v>279</v>
      </c>
    </row>
    <row r="25">
      <c r="G25" s="26" t="s">
        <v>6226</v>
      </c>
      <c r="H25" s="26" t="s">
        <v>1240</v>
      </c>
    </row>
    <row r="26">
      <c r="G26" s="26" t="s">
        <v>6227</v>
      </c>
      <c r="H26" s="26" t="s">
        <v>6228</v>
      </c>
    </row>
    <row r="27">
      <c r="G27" s="26" t="s">
        <v>6229</v>
      </c>
    </row>
    <row r="29">
      <c r="G29" s="47" t="s">
        <v>6230</v>
      </c>
    </row>
    <row r="30">
      <c r="G30" s="26" t="s">
        <v>6231</v>
      </c>
    </row>
  </sheetData>
  <mergeCells count="3">
    <mergeCell ref="A1:I1"/>
    <mergeCell ref="A2:I2"/>
    <mergeCell ref="A3:I3"/>
  </mergeCells>
  <drawing r:id="rId1"/>
</worksheet>
</file>